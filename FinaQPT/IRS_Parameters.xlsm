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TLALOC\Cuantitativa\Fixed Income\TIIE IRS Valuation Tool\Main Codes\Quant Management\Pricing\"/>
    </mc:Choice>
  </mc:AlternateContent>
  <xr:revisionPtr revIDLastSave="0" documentId="13_ncr:1_{C2614F18-EB1E-4CDB-AF32-3C8C77BDA21C}" xr6:coauthVersionLast="47" xr6:coauthVersionMax="47" xr10:uidLastSave="{00000000-0000-0000-0000-000000000000}"/>
  <bookViews>
    <workbookView xWindow="-120" yWindow="-120" windowWidth="19440" windowHeight="14880" activeTab="2" xr2:uid="{5E6E1423-CA87-454B-95FF-5F4DBC7DDA42}"/>
  </bookViews>
  <sheets>
    <sheet name="Graphs" sheetId="5" r:id="rId1"/>
    <sheet name="ASW_Bonos" sheetId="8" r:id="rId2"/>
    <sheet name="ASW_Cetes" sheetId="12" r:id="rId3"/>
    <sheet name="Snapshot" sheetId="14" r:id="rId4"/>
    <sheet name="Summary" sheetId="15" r:id="rId5"/>
    <sheet name="Scenarios" sheetId="13" r:id="rId6"/>
    <sheet name="Appendix" sheetId="7" r:id="rId7"/>
    <sheet name="Tenor" sheetId="4" state="hidden" r:id="rId8"/>
    <sheet name="Graph_Types" sheetId="2" state="hidden" r:id="rId9"/>
  </sheet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6" i="12" l="1"/>
  <c r="F36" i="12"/>
  <c r="M36" i="12"/>
  <c r="N36" i="12"/>
  <c r="O36" i="12"/>
  <c r="W75" i="13"/>
  <c r="W76" i="13"/>
  <c r="W77" i="13"/>
  <c r="W78" i="13"/>
  <c r="W74" i="13"/>
  <c r="U75" i="13"/>
  <c r="U76" i="13"/>
  <c r="U77" i="13"/>
  <c r="U78" i="13"/>
  <c r="U74" i="13"/>
  <c r="W30" i="13"/>
  <c r="W31" i="13"/>
  <c r="W32" i="13"/>
  <c r="W33" i="13"/>
  <c r="W34" i="13"/>
  <c r="W35" i="13"/>
  <c r="W36" i="13"/>
  <c r="W37" i="13"/>
  <c r="W38" i="13"/>
  <c r="W39" i="13"/>
  <c r="W40" i="13"/>
  <c r="W41" i="13"/>
  <c r="W42" i="13"/>
  <c r="W43" i="13"/>
  <c r="W44" i="13"/>
  <c r="W45" i="13"/>
  <c r="W46" i="13"/>
  <c r="W47" i="13"/>
  <c r="W48" i="13"/>
  <c r="W49" i="13"/>
  <c r="W50" i="13"/>
  <c r="W51" i="13"/>
  <c r="W52" i="13"/>
  <c r="W53" i="13"/>
  <c r="W54" i="13"/>
  <c r="W55" i="13"/>
  <c r="W56" i="13"/>
  <c r="W57" i="13"/>
  <c r="W58" i="13"/>
  <c r="W59" i="13"/>
  <c r="W60" i="13"/>
  <c r="W61" i="13"/>
  <c r="W62" i="13"/>
  <c r="W63" i="13"/>
  <c r="W64" i="13"/>
  <c r="W65" i="13"/>
  <c r="W29" i="13"/>
  <c r="U30" i="13"/>
  <c r="U31" i="13"/>
  <c r="U32" i="13"/>
  <c r="U33" i="13"/>
  <c r="U34" i="13"/>
  <c r="U35" i="13"/>
  <c r="U36" i="13"/>
  <c r="U37" i="13"/>
  <c r="U38" i="13"/>
  <c r="U39" i="13"/>
  <c r="U40" i="13"/>
  <c r="U41" i="13"/>
  <c r="U42" i="13"/>
  <c r="U43" i="13"/>
  <c r="U44" i="13"/>
  <c r="U45" i="13"/>
  <c r="U46" i="13"/>
  <c r="U47" i="13"/>
  <c r="U48" i="13"/>
  <c r="U49" i="13"/>
  <c r="U50" i="13"/>
  <c r="U51" i="13"/>
  <c r="U52" i="13"/>
  <c r="U53" i="13"/>
  <c r="U54" i="13"/>
  <c r="U55" i="13"/>
  <c r="U56" i="13"/>
  <c r="U57" i="13"/>
  <c r="U58" i="13"/>
  <c r="U59" i="13"/>
  <c r="U60" i="13"/>
  <c r="U61" i="13"/>
  <c r="U62" i="13"/>
  <c r="U63" i="13"/>
  <c r="U64" i="13"/>
  <c r="U65" i="13"/>
  <c r="U29" i="13"/>
  <c r="S29" i="13" a="1"/>
  <c r="S29" i="13" s="1"/>
  <c r="R29" i="13" a="1"/>
  <c r="R29" i="13" s="1"/>
  <c r="S74" i="13" a="1"/>
  <c r="S74" i="13" s="1"/>
  <c r="P93" i="12"/>
  <c r="P92" i="12"/>
  <c r="P54" i="12"/>
  <c r="W4" i="13" l="1"/>
  <c r="V6" i="13" s="1"/>
  <c r="V7" i="13"/>
  <c r="V8" i="13"/>
  <c r="V9" i="13"/>
  <c r="V10" i="13"/>
  <c r="V11" i="13"/>
  <c r="V12" i="13"/>
  <c r="V13" i="13"/>
  <c r="V14" i="13"/>
  <c r="V15" i="13"/>
  <c r="V16" i="13"/>
  <c r="V17" i="13"/>
  <c r="V18" i="13"/>
  <c r="V19" i="13"/>
  <c r="V20" i="13"/>
  <c r="V21" i="13"/>
  <c r="V22" i="13"/>
  <c r="V23" i="13"/>
  <c r="V24" i="13"/>
  <c r="R6" i="13" a="1"/>
  <c r="R6" i="13" s="1"/>
  <c r="S6" i="13" s="1"/>
  <c r="U6" i="13"/>
  <c r="H7" i="15" l="1" a="1"/>
  <c r="H7" i="15" s="1"/>
  <c r="E7" i="15" a="1"/>
  <c r="E7" i="15" s="1"/>
  <c r="C2" i="13" l="1"/>
  <c r="U8" i="13" l="1"/>
  <c r="U9" i="13"/>
  <c r="U10" i="13"/>
  <c r="U11" i="13"/>
  <c r="U12" i="13"/>
  <c r="U13" i="13"/>
  <c r="U14" i="13"/>
  <c r="U15" i="13"/>
  <c r="U16" i="13"/>
  <c r="U17" i="13"/>
  <c r="U18" i="13"/>
  <c r="U19" i="13"/>
  <c r="U20" i="13"/>
  <c r="U21" i="13"/>
  <c r="U22" i="13"/>
  <c r="U23" i="13"/>
  <c r="U24" i="13"/>
  <c r="U7" i="13"/>
  <c r="T4" i="13"/>
  <c r="S7" i="13"/>
  <c r="U4" i="14"/>
  <c r="L19" i="12"/>
  <c r="F19" i="12"/>
  <c r="B4" i="14" a="1"/>
  <c r="B4" i="14" s="1"/>
  <c r="B7" i="15" s="1" a="1"/>
  <c r="B7" i="15" s="1"/>
  <c r="K7" i="15" s="1" a="1"/>
  <c r="K7" i="15" s="1"/>
  <c r="I4" i="14"/>
  <c r="C4" i="14" s="1"/>
  <c r="Q4" i="14"/>
  <c r="R4" i="14" s="1"/>
  <c r="I5" i="14"/>
  <c r="C5" i="14" s="1"/>
  <c r="Q5" i="14"/>
  <c r="I6" i="14"/>
  <c r="C6" i="14" s="1"/>
  <c r="D6" i="14" s="1"/>
  <c r="Q6" i="14"/>
  <c r="R6" i="14" s="1"/>
  <c r="I7" i="14"/>
  <c r="C7" i="14" s="1"/>
  <c r="Q7" i="14"/>
  <c r="S7" i="14" s="1"/>
  <c r="R7" i="14"/>
  <c r="I8" i="14"/>
  <c r="C8" i="14" s="1"/>
  <c r="Q8" i="14"/>
  <c r="Q18" i="14" s="1"/>
  <c r="I9" i="14"/>
  <c r="C9" i="14" s="1"/>
  <c r="Q9" i="14"/>
  <c r="I10" i="14"/>
  <c r="C10" i="14" s="1"/>
  <c r="D10" i="14" s="1"/>
  <c r="Q10" i="14"/>
  <c r="R10" i="14" s="1"/>
  <c r="I11" i="14"/>
  <c r="C11" i="14" s="1"/>
  <c r="Q11" i="14"/>
  <c r="I12" i="14"/>
  <c r="C12" i="14" s="1"/>
  <c r="Q12" i="14"/>
  <c r="R12" i="14" s="1"/>
  <c r="I13" i="14"/>
  <c r="C13" i="14" s="1"/>
  <c r="Q13" i="14"/>
  <c r="I14" i="14"/>
  <c r="C14" i="14" s="1"/>
  <c r="D14" i="14" s="1"/>
  <c r="I15" i="14"/>
  <c r="C15" i="14" s="1"/>
  <c r="D15" i="14" s="1"/>
  <c r="I16" i="14"/>
  <c r="C16" i="14" s="1"/>
  <c r="W16" i="14"/>
  <c r="W20" i="14" s="1"/>
  <c r="X16" i="14"/>
  <c r="X17" i="14" s="1"/>
  <c r="Y16" i="14"/>
  <c r="Y17" i="14" s="1"/>
  <c r="Z16" i="14"/>
  <c r="Z17" i="14" s="1"/>
  <c r="I17" i="14"/>
  <c r="C17" i="14" s="1"/>
  <c r="W17" i="14"/>
  <c r="I18" i="14"/>
  <c r="C18" i="14" s="1"/>
  <c r="I19" i="14"/>
  <c r="C19" i="14" s="1"/>
  <c r="W19" i="14"/>
  <c r="I20" i="14"/>
  <c r="C20" i="14" s="1"/>
  <c r="G20" i="14" s="1"/>
  <c r="I21" i="14"/>
  <c r="C21" i="14" s="1"/>
  <c r="I22" i="14"/>
  <c r="C22" i="14" s="1"/>
  <c r="I25" i="14"/>
  <c r="J25" i="14"/>
  <c r="K25" i="14"/>
  <c r="L25" i="14"/>
  <c r="I37" i="14"/>
  <c r="C37" i="14" s="1"/>
  <c r="I38" i="14"/>
  <c r="C38" i="14" s="1"/>
  <c r="D38" i="14" s="1"/>
  <c r="I39" i="14"/>
  <c r="C39" i="14" s="1"/>
  <c r="I40" i="14"/>
  <c r="C40" i="14" s="1"/>
  <c r="I41" i="14"/>
  <c r="C41" i="14" s="1"/>
  <c r="I42" i="14"/>
  <c r="C42" i="14" s="1"/>
  <c r="I43" i="14"/>
  <c r="C43" i="14" s="1"/>
  <c r="I44" i="14"/>
  <c r="C44" i="14" s="1"/>
  <c r="I45" i="14"/>
  <c r="C45" i="14" s="1"/>
  <c r="I46" i="14"/>
  <c r="C46" i="14" s="1"/>
  <c r="D46" i="14" s="1"/>
  <c r="I47" i="14"/>
  <c r="C47" i="14" s="1"/>
  <c r="I48" i="14"/>
  <c r="C48" i="14" s="1"/>
  <c r="I49" i="14"/>
  <c r="C49" i="14" s="1"/>
  <c r="I50" i="14"/>
  <c r="C50" i="14" s="1"/>
  <c r="I53" i="14"/>
  <c r="J53" i="14"/>
  <c r="K53" i="14"/>
  <c r="K56" i="14" s="1"/>
  <c r="L53" i="14"/>
  <c r="M54" i="14"/>
  <c r="N54" i="14"/>
  <c r="M55" i="14"/>
  <c r="N55" i="14"/>
  <c r="M56" i="14"/>
  <c r="N56" i="14"/>
  <c r="M57" i="14"/>
  <c r="N57" i="14"/>
  <c r="M58" i="14"/>
  <c r="N58" i="14"/>
  <c r="M59" i="14"/>
  <c r="N59" i="14"/>
  <c r="C63" i="14"/>
  <c r="G63" i="14" s="1"/>
  <c r="C64" i="14"/>
  <c r="F64" i="14" s="1"/>
  <c r="E64" i="14"/>
  <c r="C65" i="14"/>
  <c r="G65" i="14" s="1"/>
  <c r="C57" i="8"/>
  <c r="C56" i="8"/>
  <c r="C39" i="12"/>
  <c r="C38" i="12"/>
  <c r="I26" i="14" l="1"/>
  <c r="N7" i="15" a="1"/>
  <c r="N7" i="15" s="1"/>
  <c r="O7" i="15" a="1"/>
  <c r="O7" i="15" s="1"/>
  <c r="L7" i="15" a="1"/>
  <c r="L7" i="15" s="1"/>
  <c r="M7" i="15" a="1"/>
  <c r="M7" i="15" s="1"/>
  <c r="L31" i="14"/>
  <c r="D64" i="14"/>
  <c r="L56" i="14"/>
  <c r="F63" i="14"/>
  <c r="J26" i="14"/>
  <c r="S9" i="13"/>
  <c r="S10" i="13"/>
  <c r="S11" i="13"/>
  <c r="S12" i="13"/>
  <c r="S13" i="13"/>
  <c r="S14" i="13"/>
  <c r="S15" i="13"/>
  <c r="S16" i="13"/>
  <c r="S17" i="13"/>
  <c r="S20" i="13"/>
  <c r="S8" i="13"/>
  <c r="S18" i="13"/>
  <c r="S19" i="13"/>
  <c r="S21" i="13"/>
  <c r="S22" i="13"/>
  <c r="S23" i="13"/>
  <c r="S24" i="13"/>
  <c r="G44" i="14"/>
  <c r="D44" i="14"/>
  <c r="F13" i="14"/>
  <c r="D13" i="14"/>
  <c r="I58" i="14"/>
  <c r="J55" i="14"/>
  <c r="I55" i="14"/>
  <c r="J54" i="14"/>
  <c r="Z22" i="14"/>
  <c r="E63" i="14"/>
  <c r="Y22" i="14"/>
  <c r="X22" i="14"/>
  <c r="W22" i="14"/>
  <c r="Z19" i="14"/>
  <c r="Y19" i="14"/>
  <c r="X19" i="14"/>
  <c r="D63" i="14"/>
  <c r="D65" i="14"/>
  <c r="E49" i="14"/>
  <c r="D49" i="14"/>
  <c r="E18" i="14"/>
  <c r="D18" i="14"/>
  <c r="F9" i="14"/>
  <c r="D9" i="14"/>
  <c r="E9" i="14"/>
  <c r="E47" i="14"/>
  <c r="D47" i="14"/>
  <c r="D21" i="14"/>
  <c r="F5" i="14"/>
  <c r="D5" i="14"/>
  <c r="E5" i="14"/>
  <c r="G43" i="14"/>
  <c r="F43" i="14"/>
  <c r="D43" i="14"/>
  <c r="E43" i="14"/>
  <c r="S11" i="14"/>
  <c r="R11" i="14"/>
  <c r="U11" i="14"/>
  <c r="D17" i="14"/>
  <c r="E41" i="14"/>
  <c r="D41" i="14"/>
  <c r="E39" i="14"/>
  <c r="D39" i="14"/>
  <c r="F19" i="14"/>
  <c r="D19" i="14"/>
  <c r="E19" i="14"/>
  <c r="C59" i="14"/>
  <c r="Z21" i="14"/>
  <c r="K59" i="14"/>
  <c r="Y21" i="14"/>
  <c r="J59" i="14"/>
  <c r="X21" i="14"/>
  <c r="Z18" i="14"/>
  <c r="U18" i="14" s="1"/>
  <c r="W21" i="14"/>
  <c r="Y18" i="14"/>
  <c r="T18" i="14" s="1"/>
  <c r="X18" i="14"/>
  <c r="S18" i="14" s="1"/>
  <c r="W18" i="14"/>
  <c r="R18" i="14" s="1"/>
  <c r="F65" i="14"/>
  <c r="I57" i="14"/>
  <c r="E65" i="14"/>
  <c r="Z20" i="14"/>
  <c r="E13" i="14"/>
  <c r="C56" i="14"/>
  <c r="F56" i="14" s="1"/>
  <c r="Y20" i="14"/>
  <c r="X20" i="14"/>
  <c r="G64" i="14"/>
  <c r="K55" i="14"/>
  <c r="F44" i="14"/>
  <c r="C55" i="14"/>
  <c r="E44" i="14"/>
  <c r="K31" i="14"/>
  <c r="U7" i="14"/>
  <c r="D11" i="14"/>
  <c r="E11" i="14"/>
  <c r="F11" i="14"/>
  <c r="G11" i="14"/>
  <c r="E8" i="14"/>
  <c r="F8" i="14"/>
  <c r="G8" i="14"/>
  <c r="D8" i="14"/>
  <c r="E50" i="14"/>
  <c r="F50" i="14"/>
  <c r="D50" i="14"/>
  <c r="G50" i="14"/>
  <c r="D48" i="14"/>
  <c r="G48" i="14"/>
  <c r="F48" i="14"/>
  <c r="E48" i="14"/>
  <c r="D7" i="14"/>
  <c r="F7" i="14"/>
  <c r="G7" i="14"/>
  <c r="E7" i="14"/>
  <c r="S9" i="14"/>
  <c r="U9" i="14"/>
  <c r="R9" i="14"/>
  <c r="T9" i="14"/>
  <c r="E55" i="14"/>
  <c r="D55" i="14"/>
  <c r="F40" i="14"/>
  <c r="D40" i="14"/>
  <c r="C54" i="14"/>
  <c r="G40" i="14"/>
  <c r="E40" i="14"/>
  <c r="R5" i="14"/>
  <c r="S5" i="14"/>
  <c r="T5" i="14"/>
  <c r="Q17" i="14"/>
  <c r="U5" i="14"/>
  <c r="F37" i="14"/>
  <c r="D37" i="14"/>
  <c r="E37" i="14"/>
  <c r="G37" i="14"/>
  <c r="D16" i="14"/>
  <c r="E16" i="14"/>
  <c r="F16" i="14"/>
  <c r="G16" i="14"/>
  <c r="E42" i="14"/>
  <c r="D42" i="14"/>
  <c r="F42" i="14"/>
  <c r="G42" i="14"/>
  <c r="Q22" i="14"/>
  <c r="Q21" i="14"/>
  <c r="Q19" i="14"/>
  <c r="R13" i="14"/>
  <c r="S13" i="14"/>
  <c r="T13" i="14"/>
  <c r="U13" i="14"/>
  <c r="F45" i="14"/>
  <c r="D45" i="14"/>
  <c r="E45" i="14"/>
  <c r="G45" i="14"/>
  <c r="G12" i="14"/>
  <c r="D12" i="14"/>
  <c r="E12" i="14"/>
  <c r="F12" i="14"/>
  <c r="G4" i="14"/>
  <c r="D4" i="14"/>
  <c r="E4" i="14"/>
  <c r="F4" i="14"/>
  <c r="C29" i="14"/>
  <c r="C30" i="14"/>
  <c r="C27" i="14"/>
  <c r="K30" i="14"/>
  <c r="L30" i="14"/>
  <c r="C31" i="14"/>
  <c r="C26" i="14"/>
  <c r="C28" i="14"/>
  <c r="K28" i="14"/>
  <c r="L28" i="14"/>
  <c r="C58" i="14"/>
  <c r="J30" i="14"/>
  <c r="G49" i="14"/>
  <c r="G41" i="14"/>
  <c r="I31" i="14"/>
  <c r="K29" i="14"/>
  <c r="G21" i="14"/>
  <c r="K58" i="14"/>
  <c r="F41" i="14"/>
  <c r="T7" i="14"/>
  <c r="I59" i="14"/>
  <c r="J56" i="14"/>
  <c r="I54" i="14"/>
  <c r="J31" i="14"/>
  <c r="L29" i="14"/>
  <c r="L58" i="14"/>
  <c r="F20" i="14"/>
  <c r="L55" i="14"/>
  <c r="F49" i="14"/>
  <c r="J29" i="14"/>
  <c r="L27" i="14"/>
  <c r="G22" i="14"/>
  <c r="F21" i="14"/>
  <c r="E20" i="14"/>
  <c r="T11" i="14"/>
  <c r="J58" i="14"/>
  <c r="G46" i="14"/>
  <c r="G38" i="14"/>
  <c r="I29" i="14"/>
  <c r="K27" i="14"/>
  <c r="F22" i="14"/>
  <c r="E21" i="14"/>
  <c r="D20" i="14"/>
  <c r="G14" i="14"/>
  <c r="G10" i="14"/>
  <c r="G6" i="14"/>
  <c r="L59" i="14"/>
  <c r="C57" i="14"/>
  <c r="F46" i="14"/>
  <c r="F38" i="14"/>
  <c r="J27" i="14"/>
  <c r="E22" i="14"/>
  <c r="F14" i="14"/>
  <c r="F10" i="14"/>
  <c r="F6" i="14"/>
  <c r="E46" i="14"/>
  <c r="E38" i="14"/>
  <c r="I27" i="14"/>
  <c r="D22" i="14"/>
  <c r="E14" i="14"/>
  <c r="U12" i="14"/>
  <c r="E10" i="14"/>
  <c r="U8" i="14"/>
  <c r="E6" i="14"/>
  <c r="T12" i="14"/>
  <c r="T8" i="14"/>
  <c r="T4" i="14"/>
  <c r="S12" i="14"/>
  <c r="S8" i="14"/>
  <c r="S4" i="14"/>
  <c r="R8" i="14"/>
  <c r="I30" i="14"/>
  <c r="J28" i="14"/>
  <c r="L26" i="14"/>
  <c r="I28" i="14"/>
  <c r="K26" i="14"/>
  <c r="K57" i="14"/>
  <c r="G17" i="14"/>
  <c r="G15" i="14"/>
  <c r="U10" i="14"/>
  <c r="U6" i="14"/>
  <c r="J57" i="14"/>
  <c r="K54" i="14"/>
  <c r="F47" i="14"/>
  <c r="F39" i="14"/>
  <c r="Q20" i="14"/>
  <c r="G18" i="14"/>
  <c r="F17" i="14"/>
  <c r="F15" i="14"/>
  <c r="T10" i="14"/>
  <c r="T6" i="14"/>
  <c r="I56" i="14"/>
  <c r="L57" i="14"/>
  <c r="L54" i="14"/>
  <c r="G47" i="14"/>
  <c r="G39" i="14"/>
  <c r="G19" i="14"/>
  <c r="F18" i="14"/>
  <c r="E17" i="14"/>
  <c r="E15" i="14"/>
  <c r="G13" i="14"/>
  <c r="S10" i="14"/>
  <c r="G9" i="14"/>
  <c r="S6" i="14"/>
  <c r="G5" i="14"/>
  <c r="G29" i="13" a="1"/>
  <c r="G29" i="13" s="1"/>
  <c r="E29" i="13" a="1"/>
  <c r="F41" i="13" s="1"/>
  <c r="L2" i="13"/>
  <c r="C3" i="13"/>
  <c r="L5" i="13" l="1" a="1"/>
  <c r="L5" i="13" s="1"/>
  <c r="R78" i="13"/>
  <c r="R76" i="13"/>
  <c r="R74" i="13"/>
  <c r="R77" i="13"/>
  <c r="R75" i="13"/>
  <c r="E56" i="14"/>
  <c r="F55" i="14"/>
  <c r="F59" i="14"/>
  <c r="G55" i="14"/>
  <c r="R17" i="14"/>
  <c r="U17" i="14"/>
  <c r="T17" i="14"/>
  <c r="S17" i="14"/>
  <c r="S20" i="14"/>
  <c r="R20" i="14"/>
  <c r="U20" i="14"/>
  <c r="T20" i="14"/>
  <c r="R19" i="14"/>
  <c r="U19" i="14"/>
  <c r="T19" i="14"/>
  <c r="S19" i="14"/>
  <c r="U21" i="14"/>
  <c r="T21" i="14"/>
  <c r="S21" i="14"/>
  <c r="R21" i="14"/>
  <c r="U22" i="14"/>
  <c r="T22" i="14"/>
  <c r="S22" i="14"/>
  <c r="R22" i="14"/>
  <c r="D56" i="14"/>
  <c r="G56" i="14"/>
  <c r="E59" i="14"/>
  <c r="D59" i="14"/>
  <c r="G59" i="14"/>
  <c r="E27" i="14"/>
  <c r="F27" i="14"/>
  <c r="G27" i="14"/>
  <c r="D27" i="14"/>
  <c r="E30" i="14"/>
  <c r="D30" i="14"/>
  <c r="F30" i="14"/>
  <c r="G30" i="14"/>
  <c r="D29" i="14"/>
  <c r="E29" i="14"/>
  <c r="F29" i="14"/>
  <c r="G29" i="14"/>
  <c r="G57" i="14"/>
  <c r="D57" i="14"/>
  <c r="E57" i="14"/>
  <c r="F57" i="14"/>
  <c r="F58" i="14"/>
  <c r="G58" i="14"/>
  <c r="D58" i="14"/>
  <c r="E58" i="14"/>
  <c r="E28" i="14"/>
  <c r="G28" i="14"/>
  <c r="F28" i="14"/>
  <c r="D28" i="14"/>
  <c r="G26" i="14"/>
  <c r="D26" i="14"/>
  <c r="E26" i="14"/>
  <c r="F26" i="14"/>
  <c r="D31" i="14"/>
  <c r="E31" i="14"/>
  <c r="F31" i="14"/>
  <c r="G31" i="14"/>
  <c r="D54" i="14"/>
  <c r="E54" i="14"/>
  <c r="F54" i="14"/>
  <c r="G54" i="14"/>
  <c r="F37" i="13"/>
  <c r="F39" i="13"/>
  <c r="F43" i="13"/>
  <c r="E29" i="13"/>
  <c r="F30" i="13"/>
  <c r="F31" i="13"/>
  <c r="F32" i="13"/>
  <c r="F35" i="13"/>
  <c r="F40" i="13"/>
  <c r="F44" i="13"/>
  <c r="F36" i="13"/>
  <c r="F42" i="13"/>
  <c r="F45" i="13"/>
  <c r="F33" i="13"/>
  <c r="F47" i="13"/>
  <c r="I29" i="13"/>
  <c r="I30" i="13" s="1"/>
  <c r="I31" i="13" s="1"/>
  <c r="I32" i="13" s="1"/>
  <c r="I33" i="13" s="1"/>
  <c r="I34" i="13" s="1"/>
  <c r="I35" i="13" s="1"/>
  <c r="I36" i="13" s="1"/>
  <c r="I37" i="13" s="1"/>
  <c r="I38" i="13" s="1"/>
  <c r="I39" i="13" s="1"/>
  <c r="I40" i="13" s="1"/>
  <c r="I41" i="13" s="1"/>
  <c r="I42" i="13" s="1"/>
  <c r="I43" i="13" s="1"/>
  <c r="I44" i="13" s="1"/>
  <c r="I45" i="13" s="1"/>
  <c r="I46" i="13" s="1"/>
  <c r="I47" i="13" s="1"/>
  <c r="H29" i="13"/>
  <c r="H30" i="13" s="1"/>
  <c r="H31" i="13" s="1"/>
  <c r="H32" i="13" s="1"/>
  <c r="H33" i="13" s="1"/>
  <c r="H34" i="13" s="1"/>
  <c r="H35" i="13" s="1"/>
  <c r="H36" i="13" s="1"/>
  <c r="H37" i="13" s="1"/>
  <c r="H38" i="13" s="1"/>
  <c r="H39" i="13" s="1"/>
  <c r="H40" i="13" s="1"/>
  <c r="H41" i="13" s="1"/>
  <c r="H42" i="13" s="1"/>
  <c r="H43" i="13" s="1"/>
  <c r="H44" i="13" s="1"/>
  <c r="H45" i="13" s="1"/>
  <c r="H46" i="13" s="1"/>
  <c r="H47" i="13" s="1"/>
  <c r="F38" i="13"/>
  <c r="F46" i="13"/>
  <c r="F34" i="13"/>
  <c r="F29" i="13" l="1"/>
  <c r="M5" i="13" l="1"/>
  <c r="M6" i="13" s="1"/>
  <c r="O6" i="13" s="1"/>
  <c r="M7" i="13" l="1"/>
  <c r="M8" i="13" s="1"/>
  <c r="M9" i="13" s="1"/>
  <c r="M10" i="13" s="1"/>
  <c r="M11" i="13" s="1"/>
  <c r="M12" i="13" s="1"/>
  <c r="M13" i="13" s="1"/>
  <c r="M14" i="13" s="1"/>
  <c r="M15" i="13" s="1"/>
  <c r="M16" i="13" s="1"/>
  <c r="M17" i="13" s="1"/>
  <c r="M18" i="13" s="1"/>
  <c r="M19" i="13" s="1"/>
  <c r="M20" i="13" s="1"/>
  <c r="M21" i="13" s="1"/>
  <c r="M22" i="13" s="1"/>
  <c r="M23" i="13" s="1"/>
  <c r="M24" i="13" s="1"/>
  <c r="M25" i="13" s="1"/>
  <c r="M26" i="13" s="1"/>
  <c r="M27" i="13" s="1"/>
  <c r="M28" i="13" s="1"/>
  <c r="M29" i="13" s="1"/>
  <c r="M30" i="13" s="1"/>
  <c r="M31" i="13" s="1"/>
  <c r="M32" i="13" s="1"/>
  <c r="M33" i="13" s="1"/>
  <c r="M34" i="13" s="1"/>
  <c r="M35" i="13" s="1"/>
  <c r="M36" i="13" s="1"/>
  <c r="M37" i="13" s="1"/>
  <c r="M38" i="13" s="1"/>
  <c r="M39" i="13" s="1"/>
  <c r="M40" i="13" s="1"/>
  <c r="M41" i="13" s="1"/>
  <c r="M42" i="13" s="1"/>
  <c r="M43" i="13" s="1"/>
  <c r="M44" i="13" s="1"/>
  <c r="M45" i="13" s="1"/>
  <c r="M46" i="13" s="1"/>
  <c r="M47" i="13" s="1"/>
  <c r="M48" i="13" s="1"/>
  <c r="M49" i="13" s="1"/>
  <c r="M50" i="13" s="1"/>
  <c r="M51" i="13" s="1"/>
  <c r="M52" i="13" s="1"/>
  <c r="M53" i="13" s="1"/>
  <c r="O53" i="13" s="1"/>
  <c r="O5" i="13"/>
  <c r="N6" i="13" s="1"/>
  <c r="O7" i="13" l="1"/>
  <c r="M54" i="13"/>
  <c r="O54" i="13" s="1"/>
  <c r="N7" i="13"/>
  <c r="O8" i="13"/>
  <c r="N8" i="13" s="1"/>
  <c r="N5" i="13"/>
  <c r="M55" i="13" l="1"/>
  <c r="O55" i="13" s="1"/>
  <c r="O9" i="13"/>
  <c r="M56" i="13" l="1"/>
  <c r="N9" i="13"/>
  <c r="O56" i="13"/>
  <c r="M57" i="13"/>
  <c r="O10" i="13"/>
  <c r="N10" i="13" s="1"/>
  <c r="O57" i="13" l="1"/>
  <c r="M58" i="13"/>
  <c r="O11" i="13"/>
  <c r="N11" i="13" l="1"/>
  <c r="O58" i="13"/>
  <c r="M59" i="13"/>
  <c r="O12" i="13"/>
  <c r="N12" i="13" s="1"/>
  <c r="O59" i="13" l="1"/>
  <c r="M60" i="13"/>
  <c r="O13" i="13"/>
  <c r="N13" i="13" l="1"/>
  <c r="O60" i="13"/>
  <c r="M61" i="13"/>
  <c r="O14" i="13"/>
  <c r="O61" i="13" l="1"/>
  <c r="M62" i="13"/>
  <c r="O15" i="13"/>
  <c r="N14" i="13"/>
  <c r="N15" i="13" l="1"/>
  <c r="O62" i="13"/>
  <c r="M63" i="13"/>
  <c r="O16" i="13"/>
  <c r="O63" i="13" l="1"/>
  <c r="M64" i="13"/>
  <c r="O17" i="13"/>
  <c r="N17" i="13" s="1"/>
  <c r="N16" i="13"/>
  <c r="O64" i="13" l="1"/>
  <c r="M65" i="13"/>
  <c r="O18" i="13"/>
  <c r="N18" i="13" s="1"/>
  <c r="O65" i="13" l="1"/>
  <c r="M66" i="13"/>
  <c r="O19" i="13"/>
  <c r="N19" i="13" s="1"/>
  <c r="O66" i="13" l="1"/>
  <c r="M67" i="13"/>
  <c r="O20" i="13"/>
  <c r="O67" i="13" l="1"/>
  <c r="M68" i="13"/>
  <c r="O21" i="13"/>
  <c r="N21" i="13" s="1"/>
  <c r="N20" i="13"/>
  <c r="O68" i="13" l="1"/>
  <c r="M69" i="13"/>
  <c r="O22" i="13"/>
  <c r="N22" i="13" s="1"/>
  <c r="O69" i="13" l="1"/>
  <c r="M70" i="13"/>
  <c r="O23" i="13"/>
  <c r="N23" i="13" s="1"/>
  <c r="O70" i="13" l="1"/>
  <c r="M71" i="13"/>
  <c r="O24" i="13"/>
  <c r="N24" i="13" s="1"/>
  <c r="O71" i="13" l="1"/>
  <c r="M72" i="13"/>
  <c r="M73" i="13" s="1"/>
  <c r="M74" i="13" s="1"/>
  <c r="M75" i="13" s="1"/>
  <c r="M76" i="13" s="1"/>
  <c r="M77" i="13" s="1"/>
  <c r="M78" i="13" s="1"/>
  <c r="M79" i="13" s="1"/>
  <c r="M80" i="13" s="1"/>
  <c r="M81" i="13" s="1"/>
  <c r="M82" i="13" s="1"/>
  <c r="M83" i="13" s="1"/>
  <c r="M84" i="13" s="1"/>
  <c r="M85" i="13" s="1"/>
  <c r="M86" i="13" s="1"/>
  <c r="M87" i="13" s="1"/>
  <c r="M88" i="13" s="1"/>
  <c r="M89" i="13" s="1"/>
  <c r="M90" i="13" s="1"/>
  <c r="M91" i="13" s="1"/>
  <c r="M92" i="13" s="1"/>
  <c r="M93" i="13" s="1"/>
  <c r="M94" i="13" s="1"/>
  <c r="M95" i="13" s="1"/>
  <c r="M96" i="13" s="1"/>
  <c r="M97" i="13" s="1"/>
  <c r="M98" i="13" s="1"/>
  <c r="M99" i="13" s="1"/>
  <c r="M100" i="13" s="1"/>
  <c r="M101" i="13" s="1"/>
  <c r="M102" i="13" s="1"/>
  <c r="M103" i="13" s="1"/>
  <c r="M104" i="13" s="1"/>
  <c r="M105" i="13" s="1"/>
  <c r="M106" i="13" s="1"/>
  <c r="M107" i="13" s="1"/>
  <c r="M108" i="13" s="1"/>
  <c r="M109" i="13" s="1"/>
  <c r="M110" i="13" s="1"/>
  <c r="M111" i="13" s="1"/>
  <c r="M112" i="13" s="1"/>
  <c r="M113" i="13" s="1"/>
  <c r="M114" i="13" s="1"/>
  <c r="M115" i="13" s="1"/>
  <c r="M116" i="13" s="1"/>
  <c r="M117" i="13" s="1"/>
  <c r="M118" i="13" s="1"/>
  <c r="M119" i="13" s="1"/>
  <c r="M120" i="13" s="1"/>
  <c r="M121" i="13" s="1"/>
  <c r="M122" i="13" s="1"/>
  <c r="M123" i="13" s="1"/>
  <c r="M124" i="13" s="1"/>
  <c r="M125" i="13" s="1"/>
  <c r="M126" i="13" s="1"/>
  <c r="M127" i="13" s="1"/>
  <c r="M128" i="13" s="1"/>
  <c r="M129" i="13" s="1"/>
  <c r="M130" i="13" s="1"/>
  <c r="M131" i="13" s="1"/>
  <c r="M132" i="13" s="1"/>
  <c r="M133" i="13" s="1"/>
  <c r="M134" i="13" s="1"/>
  <c r="M135" i="13" s="1"/>
  <c r="M136" i="13" s="1"/>
  <c r="M137" i="13" s="1"/>
  <c r="M138" i="13" s="1"/>
  <c r="M139" i="13" s="1"/>
  <c r="M140" i="13" s="1"/>
  <c r="M141" i="13" s="1"/>
  <c r="M142" i="13" s="1"/>
  <c r="M143" i="13" s="1"/>
  <c r="M144" i="13" s="1"/>
  <c r="M145" i="13" s="1"/>
  <c r="M146" i="13" s="1"/>
  <c r="M147" i="13" s="1"/>
  <c r="M148" i="13" s="1"/>
  <c r="M149" i="13" s="1"/>
  <c r="M150" i="13" s="1"/>
  <c r="M151" i="13" s="1"/>
  <c r="M152" i="13" s="1"/>
  <c r="M153" i="13" s="1"/>
  <c r="M154" i="13" s="1"/>
  <c r="M155" i="13" s="1"/>
  <c r="M156" i="13" s="1"/>
  <c r="M157" i="13" s="1"/>
  <c r="M158" i="13" s="1"/>
  <c r="M159" i="13" s="1"/>
  <c r="M160" i="13" s="1"/>
  <c r="M161" i="13" s="1"/>
  <c r="M162" i="13" s="1"/>
  <c r="M163" i="13" s="1"/>
  <c r="M164" i="13" s="1"/>
  <c r="M165" i="13" s="1"/>
  <c r="M166" i="13" s="1"/>
  <c r="M167" i="13" s="1"/>
  <c r="M168" i="13" s="1"/>
  <c r="M169" i="13" s="1"/>
  <c r="M170" i="13" s="1"/>
  <c r="M171" i="13" s="1"/>
  <c r="M172" i="13" s="1"/>
  <c r="M173" i="13" s="1"/>
  <c r="M174" i="13" s="1"/>
  <c r="M175" i="13" s="1"/>
  <c r="M176" i="13" s="1"/>
  <c r="M177" i="13" s="1"/>
  <c r="M178" i="13" s="1"/>
  <c r="M179" i="13" s="1"/>
  <c r="M180" i="13" s="1"/>
  <c r="M181" i="13" s="1"/>
  <c r="M182" i="13" s="1"/>
  <c r="M183" i="13" s="1"/>
  <c r="M184" i="13" s="1"/>
  <c r="M185" i="13" s="1"/>
  <c r="M186" i="13" s="1"/>
  <c r="M187" i="13" s="1"/>
  <c r="M188" i="13" s="1"/>
  <c r="M189" i="13" s="1"/>
  <c r="M190" i="13" s="1"/>
  <c r="M191" i="13" s="1"/>
  <c r="M192" i="13" s="1"/>
  <c r="M193" i="13" s="1"/>
  <c r="M194" i="13" s="1"/>
  <c r="M195" i="13" s="1"/>
  <c r="M196" i="13" s="1"/>
  <c r="M197" i="13" s="1"/>
  <c r="M198" i="13" s="1"/>
  <c r="M199" i="13" s="1"/>
  <c r="M200" i="13" s="1"/>
  <c r="M201" i="13" s="1"/>
  <c r="M202" i="13" s="1"/>
  <c r="M203" i="13" s="1"/>
  <c r="M204" i="13" s="1"/>
  <c r="M205" i="13" s="1"/>
  <c r="M206" i="13" s="1"/>
  <c r="M207" i="13" s="1"/>
  <c r="M208" i="13" s="1"/>
  <c r="M209" i="13" s="1"/>
  <c r="M210" i="13" s="1"/>
  <c r="M211" i="13" s="1"/>
  <c r="M212" i="13" s="1"/>
  <c r="M213" i="13" s="1"/>
  <c r="M214" i="13" s="1"/>
  <c r="M215" i="13" s="1"/>
  <c r="M216" i="13" s="1"/>
  <c r="M217" i="13" s="1"/>
  <c r="M218" i="13" s="1"/>
  <c r="M219" i="13" s="1"/>
  <c r="M220" i="13" s="1"/>
  <c r="M221" i="13" s="1"/>
  <c r="M222" i="13" s="1"/>
  <c r="M223" i="13" s="1"/>
  <c r="M224" i="13" s="1"/>
  <c r="M225" i="13" s="1"/>
  <c r="M226" i="13" s="1"/>
  <c r="M227" i="13" s="1"/>
  <c r="M228" i="13" s="1"/>
  <c r="M229" i="13" s="1"/>
  <c r="M230" i="13" s="1"/>
  <c r="M231" i="13" s="1"/>
  <c r="M232" i="13" s="1"/>
  <c r="M233" i="13" s="1"/>
  <c r="M234" i="13" s="1"/>
  <c r="M235" i="13" s="1"/>
  <c r="M236" i="13" s="1"/>
  <c r="M237" i="13" s="1"/>
  <c r="M238" i="13" s="1"/>
  <c r="M239" i="13" s="1"/>
  <c r="M240" i="13" s="1"/>
  <c r="M241" i="13" s="1"/>
  <c r="M242" i="13" s="1"/>
  <c r="M243" i="13" s="1"/>
  <c r="M244" i="13" s="1"/>
  <c r="M245" i="13" s="1"/>
  <c r="M246" i="13" s="1"/>
  <c r="M247" i="13" s="1"/>
  <c r="M248" i="13" s="1"/>
  <c r="M249" i="13" s="1"/>
  <c r="M250" i="13" s="1"/>
  <c r="M251" i="13" s="1"/>
  <c r="M252" i="13" s="1"/>
  <c r="M253" i="13" s="1"/>
  <c r="M254" i="13" s="1"/>
  <c r="M255" i="13" s="1"/>
  <c r="M256" i="13" s="1"/>
  <c r="M257" i="13" s="1"/>
  <c r="M258" i="13" s="1"/>
  <c r="M259" i="13" s="1"/>
  <c r="M260" i="13" s="1"/>
  <c r="M261" i="13" s="1"/>
  <c r="M262" i="13" s="1"/>
  <c r="M263" i="13" s="1"/>
  <c r="M264" i="13" s="1"/>
  <c r="M265" i="13" s="1"/>
  <c r="M266" i="13" s="1"/>
  <c r="M267" i="13" s="1"/>
  <c r="M268" i="13" s="1"/>
  <c r="M269" i="13" s="1"/>
  <c r="M270" i="13" s="1"/>
  <c r="M271" i="13" s="1"/>
  <c r="M272" i="13" s="1"/>
  <c r="M273" i="13" s="1"/>
  <c r="M274" i="13" s="1"/>
  <c r="M275" i="13" s="1"/>
  <c r="M276" i="13" s="1"/>
  <c r="M277" i="13" s="1"/>
  <c r="M278" i="13" s="1"/>
  <c r="M279" i="13" s="1"/>
  <c r="M280" i="13" s="1"/>
  <c r="M281" i="13" s="1"/>
  <c r="M282" i="13" s="1"/>
  <c r="M283" i="13" s="1"/>
  <c r="M284" i="13" s="1"/>
  <c r="M285" i="13" s="1"/>
  <c r="M286" i="13" s="1"/>
  <c r="M287" i="13" s="1"/>
  <c r="M288" i="13" s="1"/>
  <c r="M289" i="13" s="1"/>
  <c r="M290" i="13" s="1"/>
  <c r="M291" i="13" s="1"/>
  <c r="M292" i="13" s="1"/>
  <c r="M293" i="13" s="1"/>
  <c r="M294" i="13" s="1"/>
  <c r="M295" i="13" s="1"/>
  <c r="M296" i="13" s="1"/>
  <c r="M297" i="13" s="1"/>
  <c r="M298" i="13" s="1"/>
  <c r="M299" i="13" s="1"/>
  <c r="M300" i="13" s="1"/>
  <c r="M301" i="13" s="1"/>
  <c r="M302" i="13" s="1"/>
  <c r="M303" i="13" s="1"/>
  <c r="M304" i="13" s="1"/>
  <c r="M305" i="13" s="1"/>
  <c r="M306" i="13" s="1"/>
  <c r="M307" i="13" s="1"/>
  <c r="M308" i="13" s="1"/>
  <c r="M309" i="13" s="1"/>
  <c r="M310" i="13" s="1"/>
  <c r="M311" i="13" s="1"/>
  <c r="M312" i="13" s="1"/>
  <c r="M313" i="13" s="1"/>
  <c r="M314" i="13" s="1"/>
  <c r="M315" i="13" s="1"/>
  <c r="M316" i="13" s="1"/>
  <c r="M317" i="13" s="1"/>
  <c r="M318" i="13" s="1"/>
  <c r="M319" i="13" s="1"/>
  <c r="M320" i="13" s="1"/>
  <c r="M321" i="13" s="1"/>
  <c r="M322" i="13" s="1"/>
  <c r="M323" i="13" s="1"/>
  <c r="M324" i="13" s="1"/>
  <c r="M325" i="13" s="1"/>
  <c r="M326" i="13" s="1"/>
  <c r="M327" i="13" s="1"/>
  <c r="M328" i="13" s="1"/>
  <c r="M329" i="13" s="1"/>
  <c r="M330" i="13" s="1"/>
  <c r="M331" i="13" s="1"/>
  <c r="M332" i="13" s="1"/>
  <c r="M333" i="13" s="1"/>
  <c r="M334" i="13" s="1"/>
  <c r="M335" i="13" s="1"/>
  <c r="M336" i="13" s="1"/>
  <c r="M337" i="13" s="1"/>
  <c r="M338" i="13" s="1"/>
  <c r="M339" i="13" s="1"/>
  <c r="M340" i="13" s="1"/>
  <c r="M341" i="13" s="1"/>
  <c r="M342" i="13" s="1"/>
  <c r="M343" i="13" s="1"/>
  <c r="M344" i="13" s="1"/>
  <c r="M345" i="13" s="1"/>
  <c r="M346" i="13" s="1"/>
  <c r="M347" i="13" s="1"/>
  <c r="M348" i="13" s="1"/>
  <c r="M349" i="13" s="1"/>
  <c r="M350" i="13" s="1"/>
  <c r="M351" i="13" s="1"/>
  <c r="M352" i="13" s="1"/>
  <c r="M353" i="13" s="1"/>
  <c r="M354" i="13" s="1"/>
  <c r="M355" i="13" s="1"/>
  <c r="M356" i="13" s="1"/>
  <c r="M357" i="13" s="1"/>
  <c r="M358" i="13" s="1"/>
  <c r="M359" i="13" s="1"/>
  <c r="M360" i="13" s="1"/>
  <c r="M361" i="13" s="1"/>
  <c r="M362" i="13" s="1"/>
  <c r="M363" i="13" s="1"/>
  <c r="M364" i="13" s="1"/>
  <c r="M365" i="13" s="1"/>
  <c r="M366" i="13" s="1"/>
  <c r="M367" i="13" s="1"/>
  <c r="M368" i="13" s="1"/>
  <c r="M369" i="13" s="1"/>
  <c r="M370" i="13" s="1"/>
  <c r="M371" i="13" s="1"/>
  <c r="M372" i="13" s="1"/>
  <c r="M373" i="13" s="1"/>
  <c r="M374" i="13" s="1"/>
  <c r="M375" i="13" s="1"/>
  <c r="M376" i="13" s="1"/>
  <c r="M377" i="13" s="1"/>
  <c r="M378" i="13" s="1"/>
  <c r="M379" i="13" s="1"/>
  <c r="M380" i="13" s="1"/>
  <c r="M381" i="13" s="1"/>
  <c r="M382" i="13" s="1"/>
  <c r="M383" i="13" s="1"/>
  <c r="M384" i="13" s="1"/>
  <c r="M385" i="13" s="1"/>
  <c r="M386" i="13" s="1"/>
  <c r="M387" i="13" s="1"/>
  <c r="M388" i="13" s="1"/>
  <c r="M389" i="13" s="1"/>
  <c r="M390" i="13" s="1"/>
  <c r="M391" i="13" s="1"/>
  <c r="M392" i="13" s="1"/>
  <c r="M393" i="13" s="1"/>
  <c r="M394" i="13" s="1"/>
  <c r="M395" i="13" s="1"/>
  <c r="M396" i="13" s="1"/>
  <c r="M397" i="13" s="1"/>
  <c r="M398" i="13" s="1"/>
  <c r="M399" i="13" s="1"/>
  <c r="M400" i="13" s="1"/>
  <c r="M401" i="13" s="1"/>
  <c r="M402" i="13" s="1"/>
  <c r="M403" i="13" s="1"/>
  <c r="M404" i="13" s="1"/>
  <c r="M405" i="13" s="1"/>
  <c r="M406" i="13" s="1"/>
  <c r="M407" i="13" s="1"/>
  <c r="M408" i="13" s="1"/>
  <c r="M409" i="13" s="1"/>
  <c r="M410" i="13" s="1"/>
  <c r="M411" i="13" s="1"/>
  <c r="M412" i="13" s="1"/>
  <c r="M413" i="13" s="1"/>
  <c r="M414" i="13" s="1"/>
  <c r="M415" i="13" s="1"/>
  <c r="M416" i="13" s="1"/>
  <c r="M417" i="13" s="1"/>
  <c r="M418" i="13" s="1"/>
  <c r="M419" i="13" s="1"/>
  <c r="M420" i="13" s="1"/>
  <c r="M421" i="13" s="1"/>
  <c r="M422" i="13" s="1"/>
  <c r="M423" i="13" s="1"/>
  <c r="M424" i="13" s="1"/>
  <c r="M425" i="13" s="1"/>
  <c r="M426" i="13" s="1"/>
  <c r="M427" i="13" s="1"/>
  <c r="M428" i="13" s="1"/>
  <c r="M429" i="13" s="1"/>
  <c r="M430" i="13" s="1"/>
  <c r="M431" i="13" s="1"/>
  <c r="M432" i="13" s="1"/>
  <c r="M433" i="13" s="1"/>
  <c r="M434" i="13" s="1"/>
  <c r="M435" i="13" s="1"/>
  <c r="M436" i="13" s="1"/>
  <c r="M437" i="13" s="1"/>
  <c r="M438" i="13" s="1"/>
  <c r="M439" i="13" s="1"/>
  <c r="M440" i="13" s="1"/>
  <c r="M441" i="13" s="1"/>
  <c r="M442" i="13" s="1"/>
  <c r="M443" i="13" s="1"/>
  <c r="M444" i="13" s="1"/>
  <c r="M445" i="13" s="1"/>
  <c r="M446" i="13" s="1"/>
  <c r="M447" i="13" s="1"/>
  <c r="M448" i="13" s="1"/>
  <c r="M449" i="13" s="1"/>
  <c r="M450" i="13" s="1"/>
  <c r="M451" i="13" s="1"/>
  <c r="M452" i="13" s="1"/>
  <c r="M453" i="13" s="1"/>
  <c r="M454" i="13" s="1"/>
  <c r="M455" i="13" s="1"/>
  <c r="M456" i="13" s="1"/>
  <c r="M457" i="13" s="1"/>
  <c r="M458" i="13" s="1"/>
  <c r="M459" i="13" s="1"/>
  <c r="M460" i="13" s="1"/>
  <c r="M461" i="13" s="1"/>
  <c r="M462" i="13" s="1"/>
  <c r="M463" i="13" s="1"/>
  <c r="M464" i="13" s="1"/>
  <c r="M465" i="13" s="1"/>
  <c r="M466" i="13" s="1"/>
  <c r="M467" i="13" s="1"/>
  <c r="M468" i="13" s="1"/>
  <c r="M469" i="13" s="1"/>
  <c r="M470" i="13" s="1"/>
  <c r="M471" i="13" s="1"/>
  <c r="M472" i="13" s="1"/>
  <c r="M473" i="13" s="1"/>
  <c r="M474" i="13" s="1"/>
  <c r="M475" i="13" s="1"/>
  <c r="M476" i="13" s="1"/>
  <c r="M477" i="13" s="1"/>
  <c r="M478" i="13" s="1"/>
  <c r="M479" i="13" s="1"/>
  <c r="M480" i="13" s="1"/>
  <c r="M481" i="13" s="1"/>
  <c r="M482" i="13" s="1"/>
  <c r="M483" i="13" s="1"/>
  <c r="M484" i="13" s="1"/>
  <c r="M485" i="13" s="1"/>
  <c r="M486" i="13" s="1"/>
  <c r="M487" i="13" s="1"/>
  <c r="M488" i="13" s="1"/>
  <c r="M489" i="13" s="1"/>
  <c r="M490" i="13" s="1"/>
  <c r="M491" i="13" s="1"/>
  <c r="M492" i="13" s="1"/>
  <c r="M493" i="13" s="1"/>
  <c r="M494" i="13" s="1"/>
  <c r="M495" i="13" s="1"/>
  <c r="M496" i="13" s="1"/>
  <c r="M497" i="13" s="1"/>
  <c r="M498" i="13" s="1"/>
  <c r="M499" i="13" s="1"/>
  <c r="M500" i="13" s="1"/>
  <c r="M501" i="13" s="1"/>
  <c r="M502" i="13" s="1"/>
  <c r="M503" i="13" s="1"/>
  <c r="M504" i="13" s="1"/>
  <c r="M505" i="13" s="1"/>
  <c r="M506" i="13" s="1"/>
  <c r="M507" i="13" s="1"/>
  <c r="M508" i="13" s="1"/>
  <c r="M509" i="13" s="1"/>
  <c r="M510" i="13" s="1"/>
  <c r="M511" i="13" s="1"/>
  <c r="M512" i="13" s="1"/>
  <c r="M513" i="13" s="1"/>
  <c r="M514" i="13" s="1"/>
  <c r="M515" i="13" s="1"/>
  <c r="M516" i="13" s="1"/>
  <c r="M517" i="13" s="1"/>
  <c r="M518" i="13" s="1"/>
  <c r="M519" i="13" s="1"/>
  <c r="M520" i="13" s="1"/>
  <c r="M521" i="13" s="1"/>
  <c r="M522" i="13" s="1"/>
  <c r="M523" i="13" s="1"/>
  <c r="M524" i="13" s="1"/>
  <c r="M525" i="13" s="1"/>
  <c r="M526" i="13" s="1"/>
  <c r="M527" i="13" s="1"/>
  <c r="M528" i="13" s="1"/>
  <c r="M529" i="13" s="1"/>
  <c r="M530" i="13" s="1"/>
  <c r="M531" i="13" s="1"/>
  <c r="M532" i="13" s="1"/>
  <c r="M533" i="13" s="1"/>
  <c r="M534" i="13" s="1"/>
  <c r="M535" i="13" s="1"/>
  <c r="M536" i="13" s="1"/>
  <c r="M537" i="13" s="1"/>
  <c r="M538" i="13" s="1"/>
  <c r="M539" i="13" s="1"/>
  <c r="M540" i="13" s="1"/>
  <c r="M541" i="13" s="1"/>
  <c r="M542" i="13" s="1"/>
  <c r="M543" i="13" s="1"/>
  <c r="M544" i="13" s="1"/>
  <c r="M545" i="13" s="1"/>
  <c r="M546" i="13" s="1"/>
  <c r="M547" i="13" s="1"/>
  <c r="M548" i="13" s="1"/>
  <c r="M549" i="13" s="1"/>
  <c r="M550" i="13" s="1"/>
  <c r="M551" i="13" s="1"/>
  <c r="M552" i="13" s="1"/>
  <c r="M553" i="13" s="1"/>
  <c r="M554" i="13" s="1"/>
  <c r="M555" i="13" s="1"/>
  <c r="M556" i="13" s="1"/>
  <c r="M557" i="13" s="1"/>
  <c r="M558" i="13" s="1"/>
  <c r="M559" i="13" s="1"/>
  <c r="M560" i="13" s="1"/>
  <c r="M561" i="13" s="1"/>
  <c r="M562" i="13" s="1"/>
  <c r="M563" i="13" s="1"/>
  <c r="M564" i="13" s="1"/>
  <c r="M565" i="13" s="1"/>
  <c r="M566" i="13" s="1"/>
  <c r="M567" i="13" s="1"/>
  <c r="M568" i="13" s="1"/>
  <c r="M569" i="13" s="1"/>
  <c r="M570" i="13" s="1"/>
  <c r="M571" i="13" s="1"/>
  <c r="M572" i="13" s="1"/>
  <c r="M573" i="13" s="1"/>
  <c r="M574" i="13" s="1"/>
  <c r="M575" i="13" s="1"/>
  <c r="M576" i="13" s="1"/>
  <c r="M577" i="13" s="1"/>
  <c r="M578" i="13" s="1"/>
  <c r="M579" i="13" s="1"/>
  <c r="M580" i="13" s="1"/>
  <c r="M581" i="13" s="1"/>
  <c r="M582" i="13" s="1"/>
  <c r="M583" i="13" s="1"/>
  <c r="M584" i="13" s="1"/>
  <c r="M585" i="13" s="1"/>
  <c r="M586" i="13" s="1"/>
  <c r="M587" i="13" s="1"/>
  <c r="M588" i="13" s="1"/>
  <c r="M589" i="13" s="1"/>
  <c r="M590" i="13" s="1"/>
  <c r="M591" i="13" s="1"/>
  <c r="M592" i="13" s="1"/>
  <c r="M593" i="13" s="1"/>
  <c r="M594" i="13" s="1"/>
  <c r="M595" i="13" s="1"/>
  <c r="M596" i="13" s="1"/>
  <c r="M597" i="13" s="1"/>
  <c r="M598" i="13" s="1"/>
  <c r="M599" i="13" s="1"/>
  <c r="M600" i="13" s="1"/>
  <c r="M601" i="13" s="1"/>
  <c r="M602" i="13" s="1"/>
  <c r="M603" i="13" s="1"/>
  <c r="M604" i="13" s="1"/>
  <c r="M605" i="13" s="1"/>
  <c r="M606" i="13" s="1"/>
  <c r="M607" i="13" s="1"/>
  <c r="M608" i="13" s="1"/>
  <c r="M609" i="13" s="1"/>
  <c r="M610" i="13" s="1"/>
  <c r="M611" i="13" s="1"/>
  <c r="M612" i="13" s="1"/>
  <c r="M613" i="13" s="1"/>
  <c r="M614" i="13" s="1"/>
  <c r="M615" i="13" s="1"/>
  <c r="M616" i="13" s="1"/>
  <c r="M617" i="13" s="1"/>
  <c r="M618" i="13" s="1"/>
  <c r="M619" i="13" s="1"/>
  <c r="M620" i="13" s="1"/>
  <c r="M621" i="13" s="1"/>
  <c r="M622" i="13" s="1"/>
  <c r="M623" i="13" s="1"/>
  <c r="M624" i="13" s="1"/>
  <c r="M625" i="13" s="1"/>
  <c r="M626" i="13" s="1"/>
  <c r="M627" i="13" s="1"/>
  <c r="M628" i="13" s="1"/>
  <c r="M629" i="13" s="1"/>
  <c r="M630" i="13" s="1"/>
  <c r="M631" i="13" s="1"/>
  <c r="M632" i="13" s="1"/>
  <c r="M633" i="13" s="1"/>
  <c r="M634" i="13" s="1"/>
  <c r="M635" i="13" s="1"/>
  <c r="M636" i="13" s="1"/>
  <c r="M637" i="13" s="1"/>
  <c r="M638" i="13" s="1"/>
  <c r="M639" i="13" s="1"/>
  <c r="M640" i="13" s="1"/>
  <c r="M641" i="13" s="1"/>
  <c r="M642" i="13" s="1"/>
  <c r="M643" i="13" s="1"/>
  <c r="M644" i="13" s="1"/>
  <c r="M645" i="13" s="1"/>
  <c r="M646" i="13" s="1"/>
  <c r="M647" i="13" s="1"/>
  <c r="M648" i="13" s="1"/>
  <c r="M649" i="13" s="1"/>
  <c r="M650" i="13" s="1"/>
  <c r="M651" i="13" s="1"/>
  <c r="M652" i="13" s="1"/>
  <c r="M653" i="13" s="1"/>
  <c r="M654" i="13" s="1"/>
  <c r="M655" i="13" s="1"/>
  <c r="M656" i="13" s="1"/>
  <c r="M657" i="13" s="1"/>
  <c r="M658" i="13" s="1"/>
  <c r="M659" i="13" s="1"/>
  <c r="M660" i="13" s="1"/>
  <c r="M661" i="13" s="1"/>
  <c r="M662" i="13" s="1"/>
  <c r="M663" i="13" s="1"/>
  <c r="M664" i="13" s="1"/>
  <c r="M665" i="13" s="1"/>
  <c r="M666" i="13" s="1"/>
  <c r="M667" i="13" s="1"/>
  <c r="M668" i="13" s="1"/>
  <c r="M669" i="13" s="1"/>
  <c r="M670" i="13" s="1"/>
  <c r="M671" i="13" s="1"/>
  <c r="M672" i="13" s="1"/>
  <c r="M673" i="13" s="1"/>
  <c r="M674" i="13" s="1"/>
  <c r="M675" i="13" s="1"/>
  <c r="M676" i="13" s="1"/>
  <c r="M677" i="13" s="1"/>
  <c r="M678" i="13" s="1"/>
  <c r="M679" i="13" s="1"/>
  <c r="M680" i="13" s="1"/>
  <c r="M681" i="13" s="1"/>
  <c r="M682" i="13" s="1"/>
  <c r="M683" i="13" s="1"/>
  <c r="M684" i="13" s="1"/>
  <c r="M685" i="13" s="1"/>
  <c r="M686" i="13" s="1"/>
  <c r="M687" i="13" s="1"/>
  <c r="M688" i="13" s="1"/>
  <c r="M689" i="13" s="1"/>
  <c r="M690" i="13" s="1"/>
  <c r="M691" i="13" s="1"/>
  <c r="M692" i="13" s="1"/>
  <c r="M693" i="13" s="1"/>
  <c r="M694" i="13" s="1"/>
  <c r="M695" i="13" s="1"/>
  <c r="M696" i="13" s="1"/>
  <c r="M697" i="13" s="1"/>
  <c r="M698" i="13" s="1"/>
  <c r="M699" i="13" s="1"/>
  <c r="M700" i="13" s="1"/>
  <c r="M701" i="13" s="1"/>
  <c r="M702" i="13" s="1"/>
  <c r="M703" i="13" s="1"/>
  <c r="M704" i="13" s="1"/>
  <c r="M705" i="13" s="1"/>
  <c r="M706" i="13" s="1"/>
  <c r="M707" i="13" s="1"/>
  <c r="M708" i="13" s="1"/>
  <c r="M709" i="13" s="1"/>
  <c r="M710" i="13" s="1"/>
  <c r="M711" i="13" s="1"/>
  <c r="M712" i="13" s="1"/>
  <c r="M713" i="13" s="1"/>
  <c r="M714" i="13" s="1"/>
  <c r="M715" i="13" s="1"/>
  <c r="M716" i="13" s="1"/>
  <c r="M717" i="13" s="1"/>
  <c r="M718" i="13" s="1"/>
  <c r="M719" i="13" s="1"/>
  <c r="M720" i="13" s="1"/>
  <c r="M721" i="13" s="1"/>
  <c r="M722" i="13" s="1"/>
  <c r="M723" i="13" s="1"/>
  <c r="M724" i="13" s="1"/>
  <c r="M725" i="13" s="1"/>
  <c r="M726" i="13" s="1"/>
  <c r="M727" i="13" s="1"/>
  <c r="M728" i="13" s="1"/>
  <c r="M729" i="13" s="1"/>
  <c r="M730" i="13" s="1"/>
  <c r="M731" i="13" s="1"/>
  <c r="M732" i="13" s="1"/>
  <c r="M733" i="13" s="1"/>
  <c r="M734" i="13" s="1"/>
  <c r="M735" i="13" s="1"/>
  <c r="M736" i="13" s="1"/>
  <c r="M737" i="13" s="1"/>
  <c r="M738" i="13" s="1"/>
  <c r="M739" i="13" s="1"/>
  <c r="M740" i="13" s="1"/>
  <c r="M741" i="13" s="1"/>
  <c r="M742" i="13" s="1"/>
  <c r="M743" i="13" s="1"/>
  <c r="M744" i="13" s="1"/>
  <c r="M745" i="13" s="1"/>
  <c r="M746" i="13" s="1"/>
  <c r="M747" i="13" s="1"/>
  <c r="M748" i="13" s="1"/>
  <c r="M749" i="13" s="1"/>
  <c r="M750" i="13" s="1"/>
  <c r="M751" i="13" s="1"/>
  <c r="M752" i="13" s="1"/>
  <c r="M753" i="13" s="1"/>
  <c r="M754" i="13" s="1"/>
  <c r="M755" i="13" s="1"/>
  <c r="M756" i="13" s="1"/>
  <c r="M757" i="13" s="1"/>
  <c r="M758" i="13" s="1"/>
  <c r="M759" i="13" s="1"/>
  <c r="M760" i="13" s="1"/>
  <c r="M761" i="13" s="1"/>
  <c r="M762" i="13" s="1"/>
  <c r="M763" i="13" s="1"/>
  <c r="M764" i="13" s="1"/>
  <c r="M765" i="13" s="1"/>
  <c r="M766" i="13" s="1"/>
  <c r="M767" i="13" s="1"/>
  <c r="M768" i="13" s="1"/>
  <c r="M769" i="13" s="1"/>
  <c r="M770" i="13" s="1"/>
  <c r="M771" i="13" s="1"/>
  <c r="M772" i="13" s="1"/>
  <c r="M773" i="13" s="1"/>
  <c r="M774" i="13" s="1"/>
  <c r="M775" i="13" s="1"/>
  <c r="M776" i="13" s="1"/>
  <c r="M777" i="13" s="1"/>
  <c r="M778" i="13" s="1"/>
  <c r="M779" i="13" s="1"/>
  <c r="M780" i="13" s="1"/>
  <c r="M781" i="13" s="1"/>
  <c r="M782" i="13" s="1"/>
  <c r="M783" i="13" s="1"/>
  <c r="M784" i="13" s="1"/>
  <c r="M785" i="13" s="1"/>
  <c r="M786" i="13" s="1"/>
  <c r="M787" i="13" s="1"/>
  <c r="M788" i="13" s="1"/>
  <c r="M789" i="13" s="1"/>
  <c r="M790" i="13" s="1"/>
  <c r="M791" i="13" s="1"/>
  <c r="M792" i="13" s="1"/>
  <c r="M793" i="13" s="1"/>
  <c r="M794" i="13" s="1"/>
  <c r="M795" i="13" s="1"/>
  <c r="M796" i="13" s="1"/>
  <c r="M797" i="13" s="1"/>
  <c r="M798" i="13" s="1"/>
  <c r="M799" i="13" s="1"/>
  <c r="M800" i="13" s="1"/>
  <c r="M801" i="13" s="1"/>
  <c r="M802" i="13" s="1"/>
  <c r="M803" i="13" s="1"/>
  <c r="M804" i="13" s="1"/>
  <c r="M805" i="13" s="1"/>
  <c r="M806" i="13" s="1"/>
  <c r="M807" i="13" s="1"/>
  <c r="M808" i="13" s="1"/>
  <c r="M809" i="13" s="1"/>
  <c r="M810" i="13" s="1"/>
  <c r="M811" i="13" s="1"/>
  <c r="M812" i="13" s="1"/>
  <c r="M813" i="13" s="1"/>
  <c r="M814" i="13" s="1"/>
  <c r="M815" i="13" s="1"/>
  <c r="M816" i="13" s="1"/>
  <c r="M817" i="13" s="1"/>
  <c r="M818" i="13" s="1"/>
  <c r="M819" i="13" s="1"/>
  <c r="M820" i="13" s="1"/>
  <c r="M821" i="13" s="1"/>
  <c r="M822" i="13" s="1"/>
  <c r="M823" i="13" s="1"/>
  <c r="M824" i="13" s="1"/>
  <c r="M825" i="13" s="1"/>
  <c r="M826" i="13" s="1"/>
  <c r="M827" i="13" s="1"/>
  <c r="M828" i="13" s="1"/>
  <c r="M829" i="13" s="1"/>
  <c r="M830" i="13" s="1"/>
  <c r="M831" i="13" s="1"/>
  <c r="M832" i="13" s="1"/>
  <c r="M833" i="13" s="1"/>
  <c r="M834" i="13" s="1"/>
  <c r="M835" i="13" s="1"/>
  <c r="M836" i="13" s="1"/>
  <c r="M837" i="13" s="1"/>
  <c r="M838" i="13" s="1"/>
  <c r="M839" i="13" s="1"/>
  <c r="M840" i="13" s="1"/>
  <c r="M841" i="13" s="1"/>
  <c r="M842" i="13" s="1"/>
  <c r="M843" i="13" s="1"/>
  <c r="M844" i="13" s="1"/>
  <c r="M845" i="13" s="1"/>
  <c r="M846" i="13" s="1"/>
  <c r="M847" i="13" s="1"/>
  <c r="M848" i="13" s="1"/>
  <c r="M849" i="13" s="1"/>
  <c r="M850" i="13" s="1"/>
  <c r="M851" i="13" s="1"/>
  <c r="M852" i="13" s="1"/>
  <c r="M853" i="13" s="1"/>
  <c r="M854" i="13" s="1"/>
  <c r="M855" i="13" s="1"/>
  <c r="M856" i="13" s="1"/>
  <c r="M857" i="13" s="1"/>
  <c r="M858" i="13" s="1"/>
  <c r="M859" i="13" s="1"/>
  <c r="M860" i="13" s="1"/>
  <c r="M861" i="13" s="1"/>
  <c r="M862" i="13" s="1"/>
  <c r="M863" i="13" s="1"/>
  <c r="M864" i="13" s="1"/>
  <c r="M865" i="13" s="1"/>
  <c r="M866" i="13" s="1"/>
  <c r="M867" i="13" s="1"/>
  <c r="M868" i="13" s="1"/>
  <c r="M869" i="13" s="1"/>
  <c r="M870" i="13" s="1"/>
  <c r="M871" i="13" s="1"/>
  <c r="M872" i="13" s="1"/>
  <c r="M873" i="13" s="1"/>
  <c r="M874" i="13" s="1"/>
  <c r="M875" i="13" s="1"/>
  <c r="M876" i="13" s="1"/>
  <c r="M877" i="13" s="1"/>
  <c r="M878" i="13" s="1"/>
  <c r="M879" i="13" s="1"/>
  <c r="M880" i="13" s="1"/>
  <c r="M881" i="13" s="1"/>
  <c r="M882" i="13" s="1"/>
  <c r="M883" i="13" s="1"/>
  <c r="M884" i="13" s="1"/>
  <c r="M885" i="13" s="1"/>
  <c r="M886" i="13" s="1"/>
  <c r="M887" i="13" s="1"/>
  <c r="M888" i="13" s="1"/>
  <c r="M889" i="13" s="1"/>
  <c r="M890" i="13" s="1"/>
  <c r="M891" i="13" s="1"/>
  <c r="M892" i="13" s="1"/>
  <c r="M893" i="13" s="1"/>
  <c r="M894" i="13" s="1"/>
  <c r="M895" i="13" s="1"/>
  <c r="M896" i="13" s="1"/>
  <c r="M897" i="13" s="1"/>
  <c r="M898" i="13" s="1"/>
  <c r="M899" i="13" s="1"/>
  <c r="M900" i="13" s="1"/>
  <c r="M901" i="13" s="1"/>
  <c r="M902" i="13" s="1"/>
  <c r="M903" i="13" s="1"/>
  <c r="M904" i="13" s="1"/>
  <c r="M905" i="13" s="1"/>
  <c r="M906" i="13" s="1"/>
  <c r="M907" i="13" s="1"/>
  <c r="M908" i="13" s="1"/>
  <c r="M909" i="13" s="1"/>
  <c r="M910" i="13" s="1"/>
  <c r="M911" i="13" s="1"/>
  <c r="M912" i="13" s="1"/>
  <c r="M913" i="13" s="1"/>
  <c r="M914" i="13" s="1"/>
  <c r="M915" i="13" s="1"/>
  <c r="M916" i="13" s="1"/>
  <c r="M917" i="13" s="1"/>
  <c r="M918" i="13" s="1"/>
  <c r="M919" i="13" s="1"/>
  <c r="M920" i="13" s="1"/>
  <c r="M921" i="13" s="1"/>
  <c r="M922" i="13" s="1"/>
  <c r="M923" i="13" s="1"/>
  <c r="M924" i="13" s="1"/>
  <c r="M925" i="13" s="1"/>
  <c r="M926" i="13" s="1"/>
  <c r="M927" i="13" s="1"/>
  <c r="M928" i="13" s="1"/>
  <c r="M929" i="13" s="1"/>
  <c r="M930" i="13" s="1"/>
  <c r="M931" i="13" s="1"/>
  <c r="M932" i="13" s="1"/>
  <c r="M933" i="13" s="1"/>
  <c r="M934" i="13" s="1"/>
  <c r="M935" i="13" s="1"/>
  <c r="M936" i="13" s="1"/>
  <c r="M937" i="13" s="1"/>
  <c r="M938" i="13" s="1"/>
  <c r="M939" i="13" s="1"/>
  <c r="M940" i="13" s="1"/>
  <c r="M941" i="13" s="1"/>
  <c r="M942" i="13" s="1"/>
  <c r="M943" i="13" s="1"/>
  <c r="M944" i="13" s="1"/>
  <c r="M945" i="13" s="1"/>
  <c r="M946" i="13" s="1"/>
  <c r="M947" i="13" s="1"/>
  <c r="M948" i="13" s="1"/>
  <c r="M949" i="13" s="1"/>
  <c r="M950" i="13" s="1"/>
  <c r="M951" i="13" s="1"/>
  <c r="M952" i="13" s="1"/>
  <c r="M953" i="13" s="1"/>
  <c r="M954" i="13" s="1"/>
  <c r="M955" i="13" s="1"/>
  <c r="M956" i="13" s="1"/>
  <c r="M957" i="13" s="1"/>
  <c r="M958" i="13" s="1"/>
  <c r="M959" i="13" s="1"/>
  <c r="M960" i="13" s="1"/>
  <c r="M961" i="13" s="1"/>
  <c r="M962" i="13" s="1"/>
  <c r="M963" i="13" s="1"/>
  <c r="M964" i="13" s="1"/>
  <c r="M965" i="13" s="1"/>
  <c r="M966" i="13" s="1"/>
  <c r="M967" i="13" s="1"/>
  <c r="M968" i="13" s="1"/>
  <c r="M969" i="13" s="1"/>
  <c r="M970" i="13" s="1"/>
  <c r="M971" i="13" s="1"/>
  <c r="M972" i="13" s="1"/>
  <c r="M973" i="13" s="1"/>
  <c r="M974" i="13" s="1"/>
  <c r="M975" i="13" s="1"/>
  <c r="M976" i="13" s="1"/>
  <c r="M977" i="13" s="1"/>
  <c r="M978" i="13" s="1"/>
  <c r="M979" i="13" s="1"/>
  <c r="M980" i="13" s="1"/>
  <c r="M981" i="13" s="1"/>
  <c r="M982" i="13" s="1"/>
  <c r="M983" i="13" s="1"/>
  <c r="M984" i="13" s="1"/>
  <c r="M985" i="13" s="1"/>
  <c r="M986" i="13" s="1"/>
  <c r="M987" i="13" s="1"/>
  <c r="M988" i="13" s="1"/>
  <c r="M989" i="13" s="1"/>
  <c r="M990" i="13" s="1"/>
  <c r="M991" i="13" s="1"/>
  <c r="M992" i="13" s="1"/>
  <c r="M993" i="13" s="1"/>
  <c r="M994" i="13" s="1"/>
  <c r="M995" i="13" s="1"/>
  <c r="M996" i="13" s="1"/>
  <c r="M997" i="13" s="1"/>
  <c r="M998" i="13" s="1"/>
  <c r="M999" i="13" s="1"/>
  <c r="M1000" i="13" s="1"/>
  <c r="M1001" i="13" s="1"/>
  <c r="M1002" i="13" s="1"/>
  <c r="M1003" i="13" s="1"/>
  <c r="M1004" i="13" s="1"/>
  <c r="M1005" i="13" s="1"/>
  <c r="M1006" i="13" s="1"/>
  <c r="M1007" i="13" s="1"/>
  <c r="M1008" i="13" s="1"/>
  <c r="M1009" i="13" s="1"/>
  <c r="M1010" i="13" s="1"/>
  <c r="M1011" i="13" s="1"/>
  <c r="M1012" i="13" s="1"/>
  <c r="M1013" i="13" s="1"/>
  <c r="M1014" i="13" s="1"/>
  <c r="M1015" i="13" s="1"/>
  <c r="M1016" i="13" s="1"/>
  <c r="M1017" i="13" s="1"/>
  <c r="M1018" i="13" s="1"/>
  <c r="M1019" i="13" s="1"/>
  <c r="M1020" i="13" s="1"/>
  <c r="M1021" i="13" s="1"/>
  <c r="M1022" i="13" s="1"/>
  <c r="M1023" i="13" s="1"/>
  <c r="M1024" i="13" s="1"/>
  <c r="M1025" i="13" s="1"/>
  <c r="M1026" i="13" s="1"/>
  <c r="M1027" i="13" s="1"/>
  <c r="M1028" i="13" s="1"/>
  <c r="M1029" i="13" s="1"/>
  <c r="M1030" i="13" s="1"/>
  <c r="M1031" i="13" s="1"/>
  <c r="M1032" i="13" s="1"/>
  <c r="M1033" i="13" s="1"/>
  <c r="M1034" i="13" s="1"/>
  <c r="M1035" i="13" s="1"/>
  <c r="M1036" i="13" s="1"/>
  <c r="M1037" i="13" s="1"/>
  <c r="M1038" i="13" s="1"/>
  <c r="M1039" i="13" s="1"/>
  <c r="M1040" i="13" s="1"/>
  <c r="M1041" i="13" s="1"/>
  <c r="M1042" i="13" s="1"/>
  <c r="M1043" i="13" s="1"/>
  <c r="M1044" i="13" s="1"/>
  <c r="M1045" i="13" s="1"/>
  <c r="M1046" i="13" s="1"/>
  <c r="M1047" i="13" s="1"/>
  <c r="M1048" i="13" s="1"/>
  <c r="M1049" i="13" s="1"/>
  <c r="M1050" i="13" s="1"/>
  <c r="M1051" i="13" s="1"/>
  <c r="M1052" i="13" s="1"/>
  <c r="M1053" i="13" s="1"/>
  <c r="M1054" i="13" s="1"/>
  <c r="M1055" i="13" s="1"/>
  <c r="M1056" i="13" s="1"/>
  <c r="M1057" i="13" s="1"/>
  <c r="M1058" i="13" s="1"/>
  <c r="M1059" i="13" s="1"/>
  <c r="M1060" i="13" s="1"/>
  <c r="M1061" i="13" s="1"/>
  <c r="M1062" i="13" s="1"/>
  <c r="M1063" i="13" s="1"/>
  <c r="M1064" i="13" s="1"/>
  <c r="M1065" i="13" s="1"/>
  <c r="M1066" i="13" s="1"/>
  <c r="M1067" i="13" s="1"/>
  <c r="M1068" i="13" s="1"/>
  <c r="M1069" i="13" s="1"/>
  <c r="M1070" i="13" s="1"/>
  <c r="M1071" i="13" s="1"/>
  <c r="M1072" i="13" s="1"/>
  <c r="M1073" i="13" s="1"/>
  <c r="M1074" i="13" s="1"/>
  <c r="M1075" i="13" s="1"/>
  <c r="M1076" i="13" s="1"/>
  <c r="M1077" i="13" s="1"/>
  <c r="M1078" i="13" s="1"/>
  <c r="M1079" i="13" s="1"/>
  <c r="M1080" i="13" s="1"/>
  <c r="M1081" i="13" s="1"/>
  <c r="M1082" i="13" s="1"/>
  <c r="M1083" i="13" s="1"/>
  <c r="M1084" i="13" s="1"/>
  <c r="M1085" i="13" s="1"/>
  <c r="M1086" i="13" s="1"/>
  <c r="M1087" i="13" s="1"/>
  <c r="M1088" i="13" s="1"/>
  <c r="M1089" i="13" s="1"/>
  <c r="M1090" i="13" s="1"/>
  <c r="M1091" i="13" s="1"/>
  <c r="M1092" i="13" s="1"/>
  <c r="M1093" i="13" s="1"/>
  <c r="M1094" i="13" s="1"/>
  <c r="M1095" i="13" s="1"/>
  <c r="M1096" i="13" s="1"/>
  <c r="M1097" i="13" s="1"/>
  <c r="M1098" i="13" s="1"/>
  <c r="M1099" i="13" s="1"/>
  <c r="M1100" i="13" s="1"/>
  <c r="M1101" i="13" s="1"/>
  <c r="M1102" i="13" s="1"/>
  <c r="M1103" i="13" s="1"/>
  <c r="M1104" i="13" s="1"/>
  <c r="M1105" i="13" s="1"/>
  <c r="M1106" i="13" s="1"/>
  <c r="M1107" i="13" s="1"/>
  <c r="M1108" i="13" s="1"/>
  <c r="M1109" i="13" s="1"/>
  <c r="M1110" i="13" s="1"/>
  <c r="M1111" i="13" s="1"/>
  <c r="M1112" i="13" s="1"/>
  <c r="M1113" i="13" s="1"/>
  <c r="M1114" i="13" s="1"/>
  <c r="M1115" i="13" s="1"/>
  <c r="M1116" i="13" s="1"/>
  <c r="M1117" i="13" s="1"/>
  <c r="M1118" i="13" s="1"/>
  <c r="M1119" i="13" s="1"/>
  <c r="M1120" i="13" s="1"/>
  <c r="M1121" i="13" s="1"/>
  <c r="M1122" i="13" s="1"/>
  <c r="M1123" i="13" s="1"/>
  <c r="M1124" i="13" s="1"/>
  <c r="M1125" i="13" s="1"/>
  <c r="M1126" i="13" s="1"/>
  <c r="M1127" i="13" s="1"/>
  <c r="M1128" i="13" s="1"/>
  <c r="M1129" i="13" s="1"/>
  <c r="M1130" i="13" s="1"/>
  <c r="M1131" i="13" s="1"/>
  <c r="M1132" i="13" s="1"/>
  <c r="M1133" i="13" s="1"/>
  <c r="M1134" i="13" s="1"/>
  <c r="M1135" i="13" s="1"/>
  <c r="M1136" i="13" s="1"/>
  <c r="M1137" i="13" s="1"/>
  <c r="M1138" i="13" s="1"/>
  <c r="M1139" i="13" s="1"/>
  <c r="M1140" i="13" s="1"/>
  <c r="M1141" i="13" s="1"/>
  <c r="M1142" i="13" s="1"/>
  <c r="M1143" i="13" s="1"/>
  <c r="M1144" i="13" s="1"/>
  <c r="M1145" i="13" s="1"/>
  <c r="M1146" i="13" s="1"/>
  <c r="M1147" i="13" s="1"/>
  <c r="M1148" i="13" s="1"/>
  <c r="M1149" i="13" s="1"/>
  <c r="M1150" i="13" s="1"/>
  <c r="M1151" i="13" s="1"/>
  <c r="M1152" i="13" s="1"/>
  <c r="M1153" i="13" s="1"/>
  <c r="M1154" i="13" s="1"/>
  <c r="M1155" i="13" s="1"/>
  <c r="M1156" i="13" s="1"/>
  <c r="M1157" i="13" s="1"/>
  <c r="M1158" i="13" s="1"/>
  <c r="M1159" i="13" s="1"/>
  <c r="M1160" i="13" s="1"/>
  <c r="M1161" i="13" s="1"/>
  <c r="M1162" i="13" s="1"/>
  <c r="M1163" i="13" s="1"/>
  <c r="M1164" i="13" s="1"/>
  <c r="M1165" i="13" s="1"/>
  <c r="M1166" i="13" s="1"/>
  <c r="M1167" i="13" s="1"/>
  <c r="M1168" i="13" s="1"/>
  <c r="M1169" i="13" s="1"/>
  <c r="M1170" i="13" s="1"/>
  <c r="M1171" i="13" s="1"/>
  <c r="M1172" i="13" s="1"/>
  <c r="M1173" i="13" s="1"/>
  <c r="M1174" i="13" s="1"/>
  <c r="M1175" i="13" s="1"/>
  <c r="M1176" i="13" s="1"/>
  <c r="M1177" i="13" s="1"/>
  <c r="M1178" i="13" s="1"/>
  <c r="M1179" i="13" s="1"/>
  <c r="M1180" i="13" s="1"/>
  <c r="M1181" i="13" s="1"/>
  <c r="M1182" i="13" s="1"/>
  <c r="M1183" i="13" s="1"/>
  <c r="M1184" i="13" s="1"/>
  <c r="M1185" i="13" s="1"/>
  <c r="M1186" i="13" s="1"/>
  <c r="M1187" i="13" s="1"/>
  <c r="M1188" i="13" s="1"/>
  <c r="M1189" i="13" s="1"/>
  <c r="M1190" i="13" s="1"/>
  <c r="M1191" i="13" s="1"/>
  <c r="M1192" i="13" s="1"/>
  <c r="M1193" i="13" s="1"/>
  <c r="M1194" i="13" s="1"/>
  <c r="M1195" i="13" s="1"/>
  <c r="M1196" i="13" s="1"/>
  <c r="M1197" i="13" s="1"/>
  <c r="M1198" i="13" s="1"/>
  <c r="M1199" i="13" s="1"/>
  <c r="M1200" i="13" s="1"/>
  <c r="M1201" i="13" s="1"/>
  <c r="M1202" i="13" s="1"/>
  <c r="M1203" i="13" s="1"/>
  <c r="M1204" i="13" s="1"/>
  <c r="M1205" i="13" s="1"/>
  <c r="M1206" i="13" s="1"/>
  <c r="M1207" i="13" s="1"/>
  <c r="M1208" i="13" s="1"/>
  <c r="M1209" i="13" s="1"/>
  <c r="M1210" i="13" s="1"/>
  <c r="M1211" i="13" s="1"/>
  <c r="M1212" i="13" s="1"/>
  <c r="M1213" i="13" s="1"/>
  <c r="M1214" i="13" s="1"/>
  <c r="M1215" i="13" s="1"/>
  <c r="M1216" i="13" s="1"/>
  <c r="M1217" i="13" s="1"/>
  <c r="M1218" i="13" s="1"/>
  <c r="M1219" i="13" s="1"/>
  <c r="M1220" i="13" s="1"/>
  <c r="M1221" i="13" s="1"/>
  <c r="M1222" i="13" s="1"/>
  <c r="M1223" i="13" s="1"/>
  <c r="M1224" i="13" s="1"/>
  <c r="M1225" i="13" s="1"/>
  <c r="M1226" i="13" s="1"/>
  <c r="M1227" i="13" s="1"/>
  <c r="M1228" i="13" s="1"/>
  <c r="M1229" i="13" s="1"/>
  <c r="M1230" i="13" s="1"/>
  <c r="M1231" i="13" s="1"/>
  <c r="M1232" i="13" s="1"/>
  <c r="M1233" i="13" s="1"/>
  <c r="M1234" i="13" s="1"/>
  <c r="M1235" i="13" s="1"/>
  <c r="M1236" i="13" s="1"/>
  <c r="M1237" i="13" s="1"/>
  <c r="M1238" i="13" s="1"/>
  <c r="M1239" i="13" s="1"/>
  <c r="M1240" i="13" s="1"/>
  <c r="M1241" i="13" s="1"/>
  <c r="M1242" i="13" s="1"/>
  <c r="M1243" i="13" s="1"/>
  <c r="M1244" i="13" s="1"/>
  <c r="M1245" i="13" s="1"/>
  <c r="M1246" i="13" s="1"/>
  <c r="M1247" i="13" s="1"/>
  <c r="M1248" i="13" s="1"/>
  <c r="M1249" i="13" s="1"/>
  <c r="M1250" i="13" s="1"/>
  <c r="M1251" i="13" s="1"/>
  <c r="M1252" i="13" s="1"/>
  <c r="M1253" i="13" s="1"/>
  <c r="M1254" i="13" s="1"/>
  <c r="M1255" i="13" s="1"/>
  <c r="M1256" i="13" s="1"/>
  <c r="M1257" i="13" s="1"/>
  <c r="M1258" i="13" s="1"/>
  <c r="M1259" i="13" s="1"/>
  <c r="M1260" i="13" s="1"/>
  <c r="M1261" i="13" s="1"/>
  <c r="M1262" i="13" s="1"/>
  <c r="M1263" i="13" s="1"/>
  <c r="M1264" i="13" s="1"/>
  <c r="M1265" i="13" s="1"/>
  <c r="M1266" i="13" s="1"/>
  <c r="M1267" i="13" s="1"/>
  <c r="M1268" i="13" s="1"/>
  <c r="M1269" i="13" s="1"/>
  <c r="M1270" i="13" s="1"/>
  <c r="M1271" i="13" s="1"/>
  <c r="M1272" i="13" s="1"/>
  <c r="M1273" i="13" s="1"/>
  <c r="M1274" i="13" s="1"/>
  <c r="M1275" i="13" s="1"/>
  <c r="M1276" i="13" s="1"/>
  <c r="M1277" i="13" s="1"/>
  <c r="M1278" i="13" s="1"/>
  <c r="M1279" i="13" s="1"/>
  <c r="M1280" i="13" s="1"/>
  <c r="M1281" i="13" s="1"/>
  <c r="M1282" i="13" s="1"/>
  <c r="M1283" i="13" s="1"/>
  <c r="M1284" i="13" s="1"/>
  <c r="M1285" i="13" s="1"/>
  <c r="M1286" i="13" s="1"/>
  <c r="M1287" i="13" s="1"/>
  <c r="M1288" i="13" s="1"/>
  <c r="M1289" i="13" s="1"/>
  <c r="M1290" i="13" s="1"/>
  <c r="M1291" i="13" s="1"/>
  <c r="M1292" i="13" s="1"/>
  <c r="M1293" i="13" s="1"/>
  <c r="M1294" i="13" s="1"/>
  <c r="M1295" i="13" s="1"/>
  <c r="M1296" i="13" s="1"/>
  <c r="M1297" i="13" s="1"/>
  <c r="M1298" i="13" s="1"/>
  <c r="M1299" i="13" s="1"/>
  <c r="M1300" i="13" s="1"/>
  <c r="M1301" i="13" s="1"/>
  <c r="M1302" i="13" s="1"/>
  <c r="M1303" i="13" s="1"/>
  <c r="M1304" i="13" s="1"/>
  <c r="M1305" i="13" s="1"/>
  <c r="M1306" i="13" s="1"/>
  <c r="M1307" i="13" s="1"/>
  <c r="M1308" i="13" s="1"/>
  <c r="M1309" i="13" s="1"/>
  <c r="M1310" i="13" s="1"/>
  <c r="M1311" i="13" s="1"/>
  <c r="M1312" i="13" s="1"/>
  <c r="M1313" i="13" s="1"/>
  <c r="M1314" i="13" s="1"/>
  <c r="M1315" i="13" s="1"/>
  <c r="M1316" i="13" s="1"/>
  <c r="M1317" i="13" s="1"/>
  <c r="M1318" i="13" s="1"/>
  <c r="M1319" i="13" s="1"/>
  <c r="M1320" i="13" s="1"/>
  <c r="M1321" i="13" s="1"/>
  <c r="M1322" i="13" s="1"/>
  <c r="M1323" i="13" s="1"/>
  <c r="M1324" i="13" s="1"/>
  <c r="M1325" i="13" s="1"/>
  <c r="M1326" i="13" s="1"/>
  <c r="M1327" i="13" s="1"/>
  <c r="M1328" i="13" s="1"/>
  <c r="M1329" i="13" s="1"/>
  <c r="M1330" i="13" s="1"/>
  <c r="M1331" i="13" s="1"/>
  <c r="M1332" i="13" s="1"/>
  <c r="M1333" i="13" s="1"/>
  <c r="M1334" i="13" s="1"/>
  <c r="M1335" i="13" s="1"/>
  <c r="M1336" i="13" s="1"/>
  <c r="M1337" i="13" s="1"/>
  <c r="M1338" i="13" s="1"/>
  <c r="M1339" i="13" s="1"/>
  <c r="M1340" i="13" s="1"/>
  <c r="M1341" i="13" s="1"/>
  <c r="M1342" i="13" s="1"/>
  <c r="M1343" i="13" s="1"/>
  <c r="M1344" i="13" s="1"/>
  <c r="M1345" i="13" s="1"/>
  <c r="M1346" i="13" s="1"/>
  <c r="M1347" i="13" s="1"/>
  <c r="M1348" i="13" s="1"/>
  <c r="M1349" i="13" s="1"/>
  <c r="M1350" i="13" s="1"/>
  <c r="M1351" i="13" s="1"/>
  <c r="M1352" i="13" s="1"/>
  <c r="M1353" i="13" s="1"/>
  <c r="M1354" i="13" s="1"/>
  <c r="M1355" i="13" s="1"/>
  <c r="M1356" i="13" s="1"/>
  <c r="M1357" i="13" s="1"/>
  <c r="M1358" i="13" s="1"/>
  <c r="M1359" i="13" s="1"/>
  <c r="M1360" i="13" s="1"/>
  <c r="M1361" i="13" s="1"/>
  <c r="M1362" i="13" s="1"/>
  <c r="M1363" i="13" s="1"/>
  <c r="M1364" i="13" s="1"/>
  <c r="M1365" i="13" s="1"/>
  <c r="M1366" i="13" s="1"/>
  <c r="M1367" i="13" s="1"/>
  <c r="M1368" i="13" s="1"/>
  <c r="M1369" i="13" s="1"/>
  <c r="M1370" i="13" s="1"/>
  <c r="M1371" i="13" s="1"/>
  <c r="M1372" i="13" s="1"/>
  <c r="M1373" i="13" s="1"/>
  <c r="M1374" i="13" s="1"/>
  <c r="M1375" i="13" s="1"/>
  <c r="M1376" i="13" s="1"/>
  <c r="M1377" i="13" s="1"/>
  <c r="M1378" i="13" s="1"/>
  <c r="M1379" i="13" s="1"/>
  <c r="M1380" i="13" s="1"/>
  <c r="M1381" i="13" s="1"/>
  <c r="M1382" i="13" s="1"/>
  <c r="M1383" i="13" s="1"/>
  <c r="M1384" i="13" s="1"/>
  <c r="M1385" i="13" s="1"/>
  <c r="M1386" i="13" s="1"/>
  <c r="M1387" i="13" s="1"/>
  <c r="M1388" i="13" s="1"/>
  <c r="M1389" i="13" s="1"/>
  <c r="M1390" i="13" s="1"/>
  <c r="M1391" i="13" s="1"/>
  <c r="M1392" i="13" s="1"/>
  <c r="M1393" i="13" s="1"/>
  <c r="M1394" i="13" s="1"/>
  <c r="M1395" i="13" s="1"/>
  <c r="M1396" i="13" s="1"/>
  <c r="M1397" i="13" s="1"/>
  <c r="M1398" i="13" s="1"/>
  <c r="M1399" i="13" s="1"/>
  <c r="M1400" i="13" s="1"/>
  <c r="M1401" i="13" s="1"/>
  <c r="M1402" i="13" s="1"/>
  <c r="M1403" i="13" s="1"/>
  <c r="M1404" i="13" s="1"/>
  <c r="M1405" i="13" s="1"/>
  <c r="M1406" i="13" s="1"/>
  <c r="M1407" i="13" s="1"/>
  <c r="M1408" i="13" s="1"/>
  <c r="M1409" i="13" s="1"/>
  <c r="M1410" i="13" s="1"/>
  <c r="M1411" i="13" s="1"/>
  <c r="M1412" i="13" s="1"/>
  <c r="M1413" i="13" s="1"/>
  <c r="M1414" i="13" s="1"/>
  <c r="M1415" i="13" s="1"/>
  <c r="M1416" i="13" s="1"/>
  <c r="M1417" i="13" s="1"/>
  <c r="M1418" i="13" s="1"/>
  <c r="M1419" i="13" s="1"/>
  <c r="M1420" i="13" s="1"/>
  <c r="M1421" i="13" s="1"/>
  <c r="M1422" i="13" s="1"/>
  <c r="M1423" i="13" s="1"/>
  <c r="M1424" i="13" s="1"/>
  <c r="M1425" i="13" s="1"/>
  <c r="M1426" i="13" s="1"/>
  <c r="M1427" i="13" s="1"/>
  <c r="M1428" i="13" s="1"/>
  <c r="M1429" i="13" s="1"/>
  <c r="M1430" i="13" s="1"/>
  <c r="M1431" i="13" s="1"/>
  <c r="M1432" i="13" s="1"/>
  <c r="M1433" i="13" s="1"/>
  <c r="M1434" i="13" s="1"/>
  <c r="M1435" i="13" s="1"/>
  <c r="M1436" i="13" s="1"/>
  <c r="M1437" i="13" s="1"/>
  <c r="M1438" i="13" s="1"/>
  <c r="M1439" i="13" s="1"/>
  <c r="M1440" i="13" s="1"/>
  <c r="M1441" i="13" s="1"/>
  <c r="M1442" i="13" s="1"/>
  <c r="M1443" i="13" s="1"/>
  <c r="M1444" i="13" s="1"/>
  <c r="M1445" i="13" s="1"/>
  <c r="M1446" i="13" s="1"/>
  <c r="M1447" i="13" s="1"/>
  <c r="M1448" i="13" s="1"/>
  <c r="M1449" i="13" s="1"/>
  <c r="M1450" i="13" s="1"/>
  <c r="M1451" i="13" s="1"/>
  <c r="M1452" i="13" s="1"/>
  <c r="M1453" i="13" s="1"/>
  <c r="M1454" i="13" s="1"/>
  <c r="M1455" i="13" s="1"/>
  <c r="M1456" i="13" s="1"/>
  <c r="M1457" i="13" s="1"/>
  <c r="M1458" i="13" s="1"/>
  <c r="M1459" i="13" s="1"/>
  <c r="M1460" i="13" s="1"/>
  <c r="M1461" i="13" s="1"/>
  <c r="M1462" i="13" s="1"/>
  <c r="M1463" i="13" s="1"/>
  <c r="M1464" i="13" s="1"/>
  <c r="M1465" i="13" s="1"/>
  <c r="M1466" i="13" s="1"/>
  <c r="M1467" i="13" s="1"/>
  <c r="M1468" i="13" s="1"/>
  <c r="M1469" i="13" s="1"/>
  <c r="M1470" i="13" s="1"/>
  <c r="M1471" i="13" s="1"/>
  <c r="M1472" i="13" s="1"/>
  <c r="M1473" i="13" s="1"/>
  <c r="M1474" i="13" s="1"/>
  <c r="M1475" i="13" s="1"/>
  <c r="M1476" i="13" s="1"/>
  <c r="M1477" i="13" s="1"/>
  <c r="M1478" i="13" s="1"/>
  <c r="M1479" i="13" s="1"/>
  <c r="M1480" i="13" s="1"/>
  <c r="M1481" i="13" s="1"/>
  <c r="M1482" i="13" s="1"/>
  <c r="M1483" i="13" s="1"/>
  <c r="M1484" i="13" s="1"/>
  <c r="M1485" i="13" s="1"/>
  <c r="M1486" i="13" s="1"/>
  <c r="M1487" i="13" s="1"/>
  <c r="M1488" i="13" s="1"/>
  <c r="M1489" i="13" s="1"/>
  <c r="M1490" i="13" s="1"/>
  <c r="M1491" i="13" s="1"/>
  <c r="M1492" i="13" s="1"/>
  <c r="M1493" i="13" s="1"/>
  <c r="M1494" i="13" s="1"/>
  <c r="M1495" i="13" s="1"/>
  <c r="M1496" i="13" s="1"/>
  <c r="M1497" i="13" s="1"/>
  <c r="M1498" i="13" s="1"/>
  <c r="M1499" i="13" s="1"/>
  <c r="M1500" i="13" s="1"/>
  <c r="M1501" i="13" s="1"/>
  <c r="M1502" i="13" s="1"/>
  <c r="M1503" i="13" s="1"/>
  <c r="M1504" i="13" s="1"/>
  <c r="M1505" i="13" s="1"/>
  <c r="M1506" i="13" s="1"/>
  <c r="M1507" i="13" s="1"/>
  <c r="M1508" i="13" s="1"/>
  <c r="M1509" i="13" s="1"/>
  <c r="M1510" i="13" s="1"/>
  <c r="M1511" i="13" s="1"/>
  <c r="M1512" i="13" s="1"/>
  <c r="M1513" i="13" s="1"/>
  <c r="M1514" i="13" s="1"/>
  <c r="M1515" i="13" s="1"/>
  <c r="M1516" i="13" s="1"/>
  <c r="M1517" i="13" s="1"/>
  <c r="M1518" i="13" s="1"/>
  <c r="M1519" i="13" s="1"/>
  <c r="M1520" i="13" s="1"/>
  <c r="M1521" i="13" s="1"/>
  <c r="M1522" i="13" s="1"/>
  <c r="M1523" i="13" s="1"/>
  <c r="M1524" i="13" s="1"/>
  <c r="M1525" i="13" s="1"/>
  <c r="M1526" i="13" s="1"/>
  <c r="M1527" i="13" s="1"/>
  <c r="M1528" i="13" s="1"/>
  <c r="M1529" i="13" s="1"/>
  <c r="M1530" i="13" s="1"/>
  <c r="M1531" i="13" s="1"/>
  <c r="M1532" i="13" s="1"/>
  <c r="M1533" i="13" s="1"/>
  <c r="M1534" i="13" s="1"/>
  <c r="M1535" i="13" s="1"/>
  <c r="M1536" i="13" s="1"/>
  <c r="M1537" i="13" s="1"/>
  <c r="M1538" i="13" s="1"/>
  <c r="M1539" i="13" s="1"/>
  <c r="M1540" i="13" s="1"/>
  <c r="M1541" i="13" s="1"/>
  <c r="M1542" i="13" s="1"/>
  <c r="M1543" i="13" s="1"/>
  <c r="M1544" i="13" s="1"/>
  <c r="M1545" i="13" s="1"/>
  <c r="M1546" i="13" s="1"/>
  <c r="M1547" i="13" s="1"/>
  <c r="M1548" i="13" s="1"/>
  <c r="M1549" i="13" s="1"/>
  <c r="M1550" i="13" s="1"/>
  <c r="M1551" i="13" s="1"/>
  <c r="M1552" i="13" s="1"/>
  <c r="M1553" i="13" s="1"/>
  <c r="M1554" i="13" s="1"/>
  <c r="M1555" i="13" s="1"/>
  <c r="M1556" i="13" s="1"/>
  <c r="M1557" i="13" s="1"/>
  <c r="M1558" i="13" s="1"/>
  <c r="M1559" i="13" s="1"/>
  <c r="M1560" i="13" s="1"/>
  <c r="M1561" i="13" s="1"/>
  <c r="M1562" i="13" s="1"/>
  <c r="M1563" i="13" s="1"/>
  <c r="M1564" i="13" s="1"/>
  <c r="M1565" i="13" s="1"/>
  <c r="M1566" i="13" s="1"/>
  <c r="M1567" i="13" s="1"/>
  <c r="M1568" i="13" s="1"/>
  <c r="M1569" i="13" s="1"/>
  <c r="M1570" i="13" s="1"/>
  <c r="M1571" i="13" s="1"/>
  <c r="M1572" i="13" s="1"/>
  <c r="M1573" i="13" s="1"/>
  <c r="M1574" i="13" s="1"/>
  <c r="M1575" i="13" s="1"/>
  <c r="M1576" i="13" s="1"/>
  <c r="M1577" i="13" s="1"/>
  <c r="M1578" i="13" s="1"/>
  <c r="M1579" i="13" s="1"/>
  <c r="M1580" i="13" s="1"/>
  <c r="M1581" i="13" s="1"/>
  <c r="M1582" i="13" s="1"/>
  <c r="M1583" i="13" s="1"/>
  <c r="M1584" i="13" s="1"/>
  <c r="M1585" i="13" s="1"/>
  <c r="M1586" i="13" s="1"/>
  <c r="M1587" i="13" s="1"/>
  <c r="M1588" i="13" s="1"/>
  <c r="M1589" i="13" s="1"/>
  <c r="M1590" i="13" s="1"/>
  <c r="M1591" i="13" s="1"/>
  <c r="M1592" i="13" s="1"/>
  <c r="M1593" i="13" s="1"/>
  <c r="M1594" i="13" s="1"/>
  <c r="M1595" i="13" s="1"/>
  <c r="M1596" i="13" s="1"/>
  <c r="M1597" i="13" s="1"/>
  <c r="M1598" i="13" s="1"/>
  <c r="M1599" i="13" s="1"/>
  <c r="M1600" i="13" s="1"/>
  <c r="M1601" i="13" s="1"/>
  <c r="M1602" i="13" s="1"/>
  <c r="M1603" i="13" s="1"/>
  <c r="M1604" i="13" s="1"/>
  <c r="M1605" i="13" s="1"/>
  <c r="M1606" i="13" s="1"/>
  <c r="M1607" i="13" s="1"/>
  <c r="M1608" i="13" s="1"/>
  <c r="M1609" i="13" s="1"/>
  <c r="M1610" i="13" s="1"/>
  <c r="M1611" i="13" s="1"/>
  <c r="M1612" i="13" s="1"/>
  <c r="M1613" i="13" s="1"/>
  <c r="M1614" i="13" s="1"/>
  <c r="M1615" i="13" s="1"/>
  <c r="M1616" i="13" s="1"/>
  <c r="M1617" i="13" s="1"/>
  <c r="M1618" i="13" s="1"/>
  <c r="M1619" i="13" s="1"/>
  <c r="M1620" i="13" s="1"/>
  <c r="M1621" i="13" s="1"/>
  <c r="M1622" i="13" s="1"/>
  <c r="M1623" i="13" s="1"/>
  <c r="M1624" i="13" s="1"/>
  <c r="M1625" i="13" s="1"/>
  <c r="M1626" i="13" s="1"/>
  <c r="M1627" i="13" s="1"/>
  <c r="M1628" i="13" s="1"/>
  <c r="M1629" i="13" s="1"/>
  <c r="M1630" i="13" s="1"/>
  <c r="M1631" i="13" s="1"/>
  <c r="M1632" i="13" s="1"/>
  <c r="M1633" i="13" s="1"/>
  <c r="M1634" i="13" s="1"/>
  <c r="M1635" i="13" s="1"/>
  <c r="M1636" i="13" s="1"/>
  <c r="M1637" i="13" s="1"/>
  <c r="M1638" i="13" s="1"/>
  <c r="M1639" i="13" s="1"/>
  <c r="M1640" i="13" s="1"/>
  <c r="M1641" i="13" s="1"/>
  <c r="M1642" i="13" s="1"/>
  <c r="M1643" i="13" s="1"/>
  <c r="M1644" i="13" s="1"/>
  <c r="M1645" i="13" s="1"/>
  <c r="M1646" i="13" s="1"/>
  <c r="M1647" i="13" s="1"/>
  <c r="M1648" i="13" s="1"/>
  <c r="M1649" i="13" s="1"/>
  <c r="M1650" i="13" s="1"/>
  <c r="M1651" i="13" s="1"/>
  <c r="M1652" i="13" s="1"/>
  <c r="M1653" i="13" s="1"/>
  <c r="M1654" i="13" s="1"/>
  <c r="M1655" i="13" s="1"/>
  <c r="M1656" i="13" s="1"/>
  <c r="M1657" i="13" s="1"/>
  <c r="M1658" i="13" s="1"/>
  <c r="M1659" i="13" s="1"/>
  <c r="M1660" i="13" s="1"/>
  <c r="M1661" i="13" s="1"/>
  <c r="M1662" i="13" s="1"/>
  <c r="M1663" i="13" s="1"/>
  <c r="M1664" i="13" s="1"/>
  <c r="M1665" i="13" s="1"/>
  <c r="M1666" i="13" s="1"/>
  <c r="M1667" i="13" s="1"/>
  <c r="M1668" i="13" s="1"/>
  <c r="M1669" i="13" s="1"/>
  <c r="M1670" i="13" s="1"/>
  <c r="M1671" i="13" s="1"/>
  <c r="M1672" i="13" s="1"/>
  <c r="M1673" i="13" s="1"/>
  <c r="M1674" i="13" s="1"/>
  <c r="M1675" i="13" s="1"/>
  <c r="M1676" i="13" s="1"/>
  <c r="M1677" i="13" s="1"/>
  <c r="M1678" i="13" s="1"/>
  <c r="M1679" i="13" s="1"/>
  <c r="M1680" i="13" s="1"/>
  <c r="M1681" i="13" s="1"/>
  <c r="M1682" i="13" s="1"/>
  <c r="M1683" i="13" s="1"/>
  <c r="M1684" i="13" s="1"/>
  <c r="M1685" i="13" s="1"/>
  <c r="M1686" i="13" s="1"/>
  <c r="M1687" i="13" s="1"/>
  <c r="M1688" i="13" s="1"/>
  <c r="M1689" i="13" s="1"/>
  <c r="M1690" i="13" s="1"/>
  <c r="M1691" i="13" s="1"/>
  <c r="M1692" i="13" s="1"/>
  <c r="M1693" i="13" s="1"/>
  <c r="M1694" i="13" s="1"/>
  <c r="M1695" i="13" s="1"/>
  <c r="M1696" i="13" s="1"/>
  <c r="M1697" i="13" s="1"/>
  <c r="M1698" i="13" s="1"/>
  <c r="M1699" i="13" s="1"/>
  <c r="M1700" i="13" s="1"/>
  <c r="M1701" i="13" s="1"/>
  <c r="M1702" i="13" s="1"/>
  <c r="M1703" i="13" s="1"/>
  <c r="M1704" i="13" s="1"/>
  <c r="M1705" i="13" s="1"/>
  <c r="M1706" i="13" s="1"/>
  <c r="M1707" i="13" s="1"/>
  <c r="M1708" i="13" s="1"/>
  <c r="M1709" i="13" s="1"/>
  <c r="M1710" i="13" s="1"/>
  <c r="M1711" i="13" s="1"/>
  <c r="M1712" i="13" s="1"/>
  <c r="M1713" i="13" s="1"/>
  <c r="M1714" i="13" s="1"/>
  <c r="M1715" i="13" s="1"/>
  <c r="M1716" i="13" s="1"/>
  <c r="M1717" i="13" s="1"/>
  <c r="M1718" i="13" s="1"/>
  <c r="M1719" i="13" s="1"/>
  <c r="M1720" i="13" s="1"/>
  <c r="M1721" i="13" s="1"/>
  <c r="M1722" i="13" s="1"/>
  <c r="M1723" i="13" s="1"/>
  <c r="M1724" i="13" s="1"/>
  <c r="M1725" i="13" s="1"/>
  <c r="M1726" i="13" s="1"/>
  <c r="M1727" i="13" s="1"/>
  <c r="M1728" i="13" s="1"/>
  <c r="M1729" i="13" s="1"/>
  <c r="M1730" i="13" s="1"/>
  <c r="M1731" i="13" s="1"/>
  <c r="M1732" i="13" s="1"/>
  <c r="M1733" i="13" s="1"/>
  <c r="M1734" i="13" s="1"/>
  <c r="M1735" i="13" s="1"/>
  <c r="M1736" i="13" s="1"/>
  <c r="M1737" i="13" s="1"/>
  <c r="M1738" i="13" s="1"/>
  <c r="M1739" i="13" s="1"/>
  <c r="M1740" i="13" s="1"/>
  <c r="M1741" i="13" s="1"/>
  <c r="M1742" i="13" s="1"/>
  <c r="M1743" i="13" s="1"/>
  <c r="M1744" i="13" s="1"/>
  <c r="M1745" i="13" s="1"/>
  <c r="M1746" i="13" s="1"/>
  <c r="M1747" i="13" s="1"/>
  <c r="M1748" i="13" s="1"/>
  <c r="M1749" i="13" s="1"/>
  <c r="M1750" i="13" s="1"/>
  <c r="M1751" i="13" s="1"/>
  <c r="M1752" i="13" s="1"/>
  <c r="M1753" i="13" s="1"/>
  <c r="M1754" i="13" s="1"/>
  <c r="M1755" i="13" s="1"/>
  <c r="M1756" i="13" s="1"/>
  <c r="M1757" i="13" s="1"/>
  <c r="M1758" i="13" s="1"/>
  <c r="M1759" i="13" s="1"/>
  <c r="M1760" i="13" s="1"/>
  <c r="M1761" i="13" s="1"/>
  <c r="M1762" i="13" s="1"/>
  <c r="M1763" i="13" s="1"/>
  <c r="M1764" i="13" s="1"/>
  <c r="M1765" i="13" s="1"/>
  <c r="M1766" i="13" s="1"/>
  <c r="M1767" i="13" s="1"/>
  <c r="M1768" i="13" s="1"/>
  <c r="M1769" i="13" s="1"/>
  <c r="M1770" i="13" s="1"/>
  <c r="M1771" i="13" s="1"/>
  <c r="M1772" i="13" s="1"/>
  <c r="M1773" i="13" s="1"/>
  <c r="M1774" i="13" s="1"/>
  <c r="M1775" i="13" s="1"/>
  <c r="M1776" i="13" s="1"/>
  <c r="M1777" i="13" s="1"/>
  <c r="M1778" i="13" s="1"/>
  <c r="M1779" i="13" s="1"/>
  <c r="M1780" i="13" s="1"/>
  <c r="M1781" i="13" s="1"/>
  <c r="M1782" i="13" s="1"/>
  <c r="M1783" i="13" s="1"/>
  <c r="M1784" i="13" s="1"/>
  <c r="M1785" i="13" s="1"/>
  <c r="M1786" i="13" s="1"/>
  <c r="M1787" i="13" s="1"/>
  <c r="M1788" i="13" s="1"/>
  <c r="M1789" i="13" s="1"/>
  <c r="M1790" i="13" s="1"/>
  <c r="M1791" i="13" s="1"/>
  <c r="M1792" i="13" s="1"/>
  <c r="M1793" i="13" s="1"/>
  <c r="M1794" i="13" s="1"/>
  <c r="M1795" i="13" s="1"/>
  <c r="M1796" i="13" s="1"/>
  <c r="M1797" i="13" s="1"/>
  <c r="M1798" i="13" s="1"/>
  <c r="M1799" i="13" s="1"/>
  <c r="M1800" i="13" s="1"/>
  <c r="M1801" i="13" s="1"/>
  <c r="M1802" i="13" s="1"/>
  <c r="M1803" i="13" s="1"/>
  <c r="M1804" i="13" s="1"/>
  <c r="M1805" i="13" s="1"/>
  <c r="M1806" i="13" s="1"/>
  <c r="M1807" i="13" s="1"/>
  <c r="M1808" i="13" s="1"/>
  <c r="M1809" i="13" s="1"/>
  <c r="M1810" i="13" s="1"/>
  <c r="M1811" i="13" s="1"/>
  <c r="M1812" i="13" s="1"/>
  <c r="M1813" i="13" s="1"/>
  <c r="M1814" i="13" s="1"/>
  <c r="M1815" i="13" s="1"/>
  <c r="M1816" i="13" s="1"/>
  <c r="M1817" i="13" s="1"/>
  <c r="M1818" i="13" s="1"/>
  <c r="M1819" i="13" s="1"/>
  <c r="M1820" i="13" s="1"/>
  <c r="M1821" i="13" s="1"/>
  <c r="M1822" i="13" s="1"/>
  <c r="M1823" i="13" s="1"/>
  <c r="M1824" i="13" s="1"/>
  <c r="M1825" i="13" s="1"/>
  <c r="M1826" i="13" s="1"/>
  <c r="M1827" i="13" s="1"/>
  <c r="M1828" i="13" s="1"/>
  <c r="M1829" i="13" s="1"/>
  <c r="M1830" i="13" s="1"/>
  <c r="M1831" i="13" s="1"/>
  <c r="M1832" i="13" s="1"/>
  <c r="M1833" i="13" s="1"/>
  <c r="M1834" i="13" s="1"/>
  <c r="M1835" i="13" s="1"/>
  <c r="M1836" i="13" s="1"/>
  <c r="M1837" i="13" s="1"/>
  <c r="M1838" i="13" s="1"/>
  <c r="M1839" i="13" s="1"/>
  <c r="M1840" i="13" s="1"/>
  <c r="M1841" i="13" s="1"/>
  <c r="M1842" i="13" s="1"/>
  <c r="M1843" i="13" s="1"/>
  <c r="M1844" i="13" s="1"/>
  <c r="M1845" i="13" s="1"/>
  <c r="M1846" i="13" s="1"/>
  <c r="M1847" i="13" s="1"/>
  <c r="M1848" i="13" s="1"/>
  <c r="M1849" i="13" s="1"/>
  <c r="M1850" i="13" s="1"/>
  <c r="M1851" i="13" s="1"/>
  <c r="M1852" i="13" s="1"/>
  <c r="M1853" i="13" s="1"/>
  <c r="M1854" i="13" s="1"/>
  <c r="M1855" i="13" s="1"/>
  <c r="M1856" i="13" s="1"/>
  <c r="M1857" i="13" s="1"/>
  <c r="M1858" i="13" s="1"/>
  <c r="M1859" i="13" s="1"/>
  <c r="M1860" i="13" s="1"/>
  <c r="M1861" i="13" s="1"/>
  <c r="M1862" i="13" s="1"/>
  <c r="M1863" i="13" s="1"/>
  <c r="M1864" i="13" s="1"/>
  <c r="M1865" i="13" s="1"/>
  <c r="M1866" i="13" s="1"/>
  <c r="M1867" i="13" s="1"/>
  <c r="M1868" i="13" s="1"/>
  <c r="M1869" i="13" s="1"/>
  <c r="M1870" i="13" s="1"/>
  <c r="M1871" i="13" s="1"/>
  <c r="M1872" i="13" s="1"/>
  <c r="M1873" i="13" s="1"/>
  <c r="M1874" i="13" s="1"/>
  <c r="M1875" i="13" s="1"/>
  <c r="M1876" i="13" s="1"/>
  <c r="M1877" i="13" s="1"/>
  <c r="M1878" i="13" s="1"/>
  <c r="M1879" i="13" s="1"/>
  <c r="M1880" i="13" s="1"/>
  <c r="M1881" i="13" s="1"/>
  <c r="M1882" i="13" s="1"/>
  <c r="M1883" i="13" s="1"/>
  <c r="M1884" i="13" s="1"/>
  <c r="M1885" i="13" s="1"/>
  <c r="M1886" i="13" s="1"/>
  <c r="M1887" i="13" s="1"/>
  <c r="M1888" i="13" s="1"/>
  <c r="M1889" i="13" s="1"/>
  <c r="M1890" i="13" s="1"/>
  <c r="M1891" i="13" s="1"/>
  <c r="M1892" i="13" s="1"/>
  <c r="M1893" i="13" s="1"/>
  <c r="M1894" i="13" s="1"/>
  <c r="M1895" i="13" s="1"/>
  <c r="M1896" i="13" s="1"/>
  <c r="M1897" i="13" s="1"/>
  <c r="M1898" i="13" s="1"/>
  <c r="M1899" i="13" s="1"/>
  <c r="M1900" i="13" s="1"/>
  <c r="M1901" i="13" s="1"/>
  <c r="M1902" i="13" s="1"/>
  <c r="M1903" i="13" s="1"/>
  <c r="M1904" i="13" s="1"/>
  <c r="M1905" i="13" s="1"/>
  <c r="M1906" i="13" s="1"/>
  <c r="M1907" i="13" s="1"/>
  <c r="M1908" i="13" s="1"/>
  <c r="M1909" i="13" s="1"/>
  <c r="M1910" i="13" s="1"/>
  <c r="M1911" i="13" s="1"/>
  <c r="M1912" i="13" s="1"/>
  <c r="M1913" i="13" s="1"/>
  <c r="M1914" i="13" s="1"/>
  <c r="M1915" i="13" s="1"/>
  <c r="M1916" i="13" s="1"/>
  <c r="M1917" i="13" s="1"/>
  <c r="M1918" i="13" s="1"/>
  <c r="M1919" i="13" s="1"/>
  <c r="M1920" i="13" s="1"/>
  <c r="M1921" i="13" s="1"/>
  <c r="M1922" i="13" s="1"/>
  <c r="M1923" i="13" s="1"/>
  <c r="M1924" i="13" s="1"/>
  <c r="M1925" i="13" s="1"/>
  <c r="M1926" i="13" s="1"/>
  <c r="M1927" i="13" s="1"/>
  <c r="M1928" i="13" s="1"/>
  <c r="M1929" i="13" s="1"/>
  <c r="M1930" i="13" s="1"/>
  <c r="M1931" i="13" s="1"/>
  <c r="M1932" i="13" s="1"/>
  <c r="M1933" i="13" s="1"/>
  <c r="M1934" i="13" s="1"/>
  <c r="M1935" i="13" s="1"/>
  <c r="M1936" i="13" s="1"/>
  <c r="M1937" i="13" s="1"/>
  <c r="M1938" i="13" s="1"/>
  <c r="M1939" i="13" s="1"/>
  <c r="M1940" i="13" s="1"/>
  <c r="M1941" i="13" s="1"/>
  <c r="M1942" i="13" s="1"/>
  <c r="M1943" i="13" s="1"/>
  <c r="M1944" i="13" s="1"/>
  <c r="M1945" i="13" s="1"/>
  <c r="M1946" i="13" s="1"/>
  <c r="M1947" i="13" s="1"/>
  <c r="M1948" i="13" s="1"/>
  <c r="M1949" i="13" s="1"/>
  <c r="M1950" i="13" s="1"/>
  <c r="M1951" i="13" s="1"/>
  <c r="M1952" i="13" s="1"/>
  <c r="M1953" i="13" s="1"/>
  <c r="M1954" i="13" s="1"/>
  <c r="M1955" i="13" s="1"/>
  <c r="M1956" i="13" s="1"/>
  <c r="M1957" i="13" s="1"/>
  <c r="M1958" i="13" s="1"/>
  <c r="M1959" i="13" s="1"/>
  <c r="M1960" i="13" s="1"/>
  <c r="M1961" i="13" s="1"/>
  <c r="M1962" i="13" s="1"/>
  <c r="M1963" i="13" s="1"/>
  <c r="M1964" i="13" s="1"/>
  <c r="M1965" i="13" s="1"/>
  <c r="M1966" i="13" s="1"/>
  <c r="M1967" i="13" s="1"/>
  <c r="M1968" i="13" s="1"/>
  <c r="M1969" i="13" s="1"/>
  <c r="M1970" i="13" s="1"/>
  <c r="M1971" i="13" s="1"/>
  <c r="M1972" i="13" s="1"/>
  <c r="M1973" i="13" s="1"/>
  <c r="M1974" i="13" s="1"/>
  <c r="M1975" i="13" s="1"/>
  <c r="M1976" i="13" s="1"/>
  <c r="M1977" i="13" s="1"/>
  <c r="M1978" i="13" s="1"/>
  <c r="M1979" i="13" s="1"/>
  <c r="M1980" i="13" s="1"/>
  <c r="M1981" i="13" s="1"/>
  <c r="M1982" i="13" s="1"/>
  <c r="M1983" i="13" s="1"/>
  <c r="M1984" i="13" s="1"/>
  <c r="M1985" i="13" s="1"/>
  <c r="M1986" i="13" s="1"/>
  <c r="M1987" i="13" s="1"/>
  <c r="M1988" i="13" s="1"/>
  <c r="M1989" i="13" s="1"/>
  <c r="M1990" i="13" s="1"/>
  <c r="M1991" i="13" s="1"/>
  <c r="M1992" i="13" s="1"/>
  <c r="M1993" i="13" s="1"/>
  <c r="M1994" i="13" s="1"/>
  <c r="M1995" i="13" s="1"/>
  <c r="M1996" i="13" s="1"/>
  <c r="M1997" i="13" s="1"/>
  <c r="M1998" i="13" s="1"/>
  <c r="M1999" i="13" s="1"/>
  <c r="M2000" i="13" s="1"/>
  <c r="M2001" i="13" s="1"/>
  <c r="M2002" i="13" s="1"/>
  <c r="M2003" i="13" s="1"/>
  <c r="M2004" i="13" s="1"/>
  <c r="M2005" i="13" s="1"/>
  <c r="M2006" i="13" s="1"/>
  <c r="M2007" i="13" s="1"/>
  <c r="M2008" i="13" s="1"/>
  <c r="M2009" i="13" s="1"/>
  <c r="M2010" i="13" s="1"/>
  <c r="M2011" i="13" s="1"/>
  <c r="M2012" i="13" s="1"/>
  <c r="M2013" i="13" s="1"/>
  <c r="M2014" i="13" s="1"/>
  <c r="M2015" i="13" s="1"/>
  <c r="M2016" i="13" s="1"/>
  <c r="M2017" i="13" s="1"/>
  <c r="M2018" i="13" s="1"/>
  <c r="M2019" i="13" s="1"/>
  <c r="M2020" i="13" s="1"/>
  <c r="M2021" i="13" s="1"/>
  <c r="M2022" i="13" s="1"/>
  <c r="M2023" i="13" s="1"/>
  <c r="M2024" i="13" s="1"/>
  <c r="M2025" i="13" s="1"/>
  <c r="M2026" i="13" s="1"/>
  <c r="M2027" i="13" s="1"/>
  <c r="M2028" i="13" s="1"/>
  <c r="M2029" i="13" s="1"/>
  <c r="M2030" i="13" s="1"/>
  <c r="M2031" i="13" s="1"/>
  <c r="M2032" i="13" s="1"/>
  <c r="M2033" i="13" s="1"/>
  <c r="M2034" i="13" s="1"/>
  <c r="M2035" i="13" s="1"/>
  <c r="M2036" i="13" s="1"/>
  <c r="M2037" i="13" s="1"/>
  <c r="M2038" i="13" s="1"/>
  <c r="M2039" i="13" s="1"/>
  <c r="M2040" i="13" s="1"/>
  <c r="M2041" i="13" s="1"/>
  <c r="M2042" i="13" s="1"/>
  <c r="M2043" i="13" s="1"/>
  <c r="M2044" i="13" s="1"/>
  <c r="M2045" i="13" s="1"/>
  <c r="M2046" i="13" s="1"/>
  <c r="M2047" i="13" s="1"/>
  <c r="M2048" i="13" s="1"/>
  <c r="M2049" i="13" s="1"/>
  <c r="M2050" i="13" s="1"/>
  <c r="M2051" i="13" s="1"/>
  <c r="M2052" i="13" s="1"/>
  <c r="M2053" i="13" s="1"/>
  <c r="M2054" i="13" s="1"/>
  <c r="M2055" i="13" s="1"/>
  <c r="M2056" i="13" s="1"/>
  <c r="M2057" i="13" s="1"/>
  <c r="M2058" i="13" s="1"/>
  <c r="M2059" i="13" s="1"/>
  <c r="M2060" i="13" s="1"/>
  <c r="M2061" i="13" s="1"/>
  <c r="M2062" i="13" s="1"/>
  <c r="M2063" i="13" s="1"/>
  <c r="M2064" i="13" s="1"/>
  <c r="M2065" i="13" s="1"/>
  <c r="M2066" i="13" s="1"/>
  <c r="M2067" i="13" s="1"/>
  <c r="M2068" i="13" s="1"/>
  <c r="M2069" i="13" s="1"/>
  <c r="M2070" i="13" s="1"/>
  <c r="M2071" i="13" s="1"/>
  <c r="M2072" i="13" s="1"/>
  <c r="M2073" i="13" s="1"/>
  <c r="M2074" i="13" s="1"/>
  <c r="M2075" i="13" s="1"/>
  <c r="M2076" i="13" s="1"/>
  <c r="M2077" i="13" s="1"/>
  <c r="M2078" i="13" s="1"/>
  <c r="M2079" i="13" s="1"/>
  <c r="M2080" i="13" s="1"/>
  <c r="M2081" i="13" s="1"/>
  <c r="M2082" i="13" s="1"/>
  <c r="M2083" i="13" s="1"/>
  <c r="M2084" i="13" s="1"/>
  <c r="M2085" i="13" s="1"/>
  <c r="M2086" i="13" s="1"/>
  <c r="M2087" i="13" s="1"/>
  <c r="M2088" i="13" s="1"/>
  <c r="M2089" i="13" s="1"/>
  <c r="M2090" i="13" s="1"/>
  <c r="M2091" i="13" s="1"/>
  <c r="M2092" i="13" s="1"/>
  <c r="M2093" i="13" s="1"/>
  <c r="M2094" i="13" s="1"/>
  <c r="M2095" i="13" s="1"/>
  <c r="M2096" i="13" s="1"/>
  <c r="M2097" i="13" s="1"/>
  <c r="M2098" i="13" s="1"/>
  <c r="M2099" i="13" s="1"/>
  <c r="M2100" i="13" s="1"/>
  <c r="M2101" i="13" s="1"/>
  <c r="M2102" i="13" s="1"/>
  <c r="M2103" i="13" s="1"/>
  <c r="M2104" i="13" s="1"/>
  <c r="M2105" i="13" s="1"/>
  <c r="M2106" i="13" s="1"/>
  <c r="M2107" i="13" s="1"/>
  <c r="M2108" i="13" s="1"/>
  <c r="M2109" i="13" s="1"/>
  <c r="M2110" i="13" s="1"/>
  <c r="M2111" i="13" s="1"/>
  <c r="M2112" i="13" s="1"/>
  <c r="M2113" i="13" s="1"/>
  <c r="M2114" i="13" s="1"/>
  <c r="M2115" i="13" s="1"/>
  <c r="M2116" i="13" s="1"/>
  <c r="M2117" i="13" s="1"/>
  <c r="M2118" i="13" s="1"/>
  <c r="M2119" i="13" s="1"/>
  <c r="M2120" i="13" s="1"/>
  <c r="M2121" i="13" s="1"/>
  <c r="M2122" i="13" s="1"/>
  <c r="M2123" i="13" s="1"/>
  <c r="M2124" i="13" s="1"/>
  <c r="M2125" i="13" s="1"/>
  <c r="M2126" i="13" s="1"/>
  <c r="M2127" i="13" s="1"/>
  <c r="M2128" i="13" s="1"/>
  <c r="M2129" i="13" s="1"/>
  <c r="M2130" i="13" s="1"/>
  <c r="M2131" i="13" s="1"/>
  <c r="M2132" i="13" s="1"/>
  <c r="M2133" i="13" s="1"/>
  <c r="M2134" i="13" s="1"/>
  <c r="M2135" i="13" s="1"/>
  <c r="M2136" i="13" s="1"/>
  <c r="M2137" i="13" s="1"/>
  <c r="M2138" i="13" s="1"/>
  <c r="M2139" i="13" s="1"/>
  <c r="M2140" i="13" s="1"/>
  <c r="M2141" i="13" s="1"/>
  <c r="M2142" i="13" s="1"/>
  <c r="M2143" i="13" s="1"/>
  <c r="M2144" i="13" s="1"/>
  <c r="M2145" i="13" s="1"/>
  <c r="M2146" i="13" s="1"/>
  <c r="M2147" i="13" s="1"/>
  <c r="M2148" i="13" s="1"/>
  <c r="M2149" i="13" s="1"/>
  <c r="M2150" i="13" s="1"/>
  <c r="M2151" i="13" s="1"/>
  <c r="M2152" i="13" s="1"/>
  <c r="M2153" i="13" s="1"/>
  <c r="M2154" i="13" s="1"/>
  <c r="M2155" i="13" s="1"/>
  <c r="M2156" i="13" s="1"/>
  <c r="M2157" i="13" s="1"/>
  <c r="M2158" i="13" s="1"/>
  <c r="M2159" i="13" s="1"/>
  <c r="M2160" i="13" s="1"/>
  <c r="M2161" i="13" s="1"/>
  <c r="M2162" i="13" s="1"/>
  <c r="M2163" i="13" s="1"/>
  <c r="M2164" i="13" s="1"/>
  <c r="M2165" i="13" s="1"/>
  <c r="M2166" i="13" s="1"/>
  <c r="M2167" i="13" s="1"/>
  <c r="M2168" i="13" s="1"/>
  <c r="M2169" i="13" s="1"/>
  <c r="M2170" i="13" s="1"/>
  <c r="M2171" i="13" s="1"/>
  <c r="M2172" i="13" s="1"/>
  <c r="M2173" i="13" s="1"/>
  <c r="M2174" i="13" s="1"/>
  <c r="M2175" i="13" s="1"/>
  <c r="M2176" i="13" s="1"/>
  <c r="M2177" i="13" s="1"/>
  <c r="M2178" i="13" s="1"/>
  <c r="M2179" i="13" s="1"/>
  <c r="M2180" i="13" s="1"/>
  <c r="M2181" i="13" s="1"/>
  <c r="M2182" i="13" s="1"/>
  <c r="M2183" i="13" s="1"/>
  <c r="M2184" i="13" s="1"/>
  <c r="M2185" i="13" s="1"/>
  <c r="M2186" i="13" s="1"/>
  <c r="M2187" i="13" s="1"/>
  <c r="M2188" i="13" s="1"/>
  <c r="M2189" i="13" s="1"/>
  <c r="M2190" i="13" s="1"/>
  <c r="M2191" i="13" s="1"/>
  <c r="M2192" i="13" s="1"/>
  <c r="M2193" i="13" s="1"/>
  <c r="M2194" i="13" s="1"/>
  <c r="M2195" i="13" s="1"/>
  <c r="M2196" i="13" s="1"/>
  <c r="M2197" i="13" s="1"/>
  <c r="M2198" i="13" s="1"/>
  <c r="M2199" i="13" s="1"/>
  <c r="M2200" i="13" s="1"/>
  <c r="M2201" i="13" s="1"/>
  <c r="M2202" i="13" s="1"/>
  <c r="M2203" i="13" s="1"/>
  <c r="M2204" i="13" s="1"/>
  <c r="M2205" i="13" s="1"/>
  <c r="M2206" i="13" s="1"/>
  <c r="M2207" i="13" s="1"/>
  <c r="M2208" i="13" s="1"/>
  <c r="M2209" i="13" s="1"/>
  <c r="M2210" i="13" s="1"/>
  <c r="M2211" i="13" s="1"/>
  <c r="M2212" i="13" s="1"/>
  <c r="M2213" i="13" s="1"/>
  <c r="M2214" i="13" s="1"/>
  <c r="M2215" i="13" s="1"/>
  <c r="M2216" i="13" s="1"/>
  <c r="M2217" i="13" s="1"/>
  <c r="M2218" i="13" s="1"/>
  <c r="M2219" i="13" s="1"/>
  <c r="M2220" i="13" s="1"/>
  <c r="M2221" i="13" s="1"/>
  <c r="M2222" i="13" s="1"/>
  <c r="M2223" i="13" s="1"/>
  <c r="M2224" i="13" s="1"/>
  <c r="M2225" i="13" s="1"/>
  <c r="M2226" i="13" s="1"/>
  <c r="M2227" i="13" s="1"/>
  <c r="M2228" i="13" s="1"/>
  <c r="M2229" i="13" s="1"/>
  <c r="M2230" i="13" s="1"/>
  <c r="M2231" i="13" s="1"/>
  <c r="M2232" i="13" s="1"/>
  <c r="M2233" i="13" s="1"/>
  <c r="M2234" i="13" s="1"/>
  <c r="M2235" i="13" s="1"/>
  <c r="M2236" i="13" s="1"/>
  <c r="M2237" i="13" s="1"/>
  <c r="M2238" i="13" s="1"/>
  <c r="M2239" i="13" s="1"/>
  <c r="M2240" i="13" s="1"/>
  <c r="M2241" i="13" s="1"/>
  <c r="M2242" i="13" s="1"/>
  <c r="M2243" i="13" s="1"/>
  <c r="M2244" i="13" s="1"/>
  <c r="M2245" i="13" s="1"/>
  <c r="M2246" i="13" s="1"/>
  <c r="M2247" i="13" s="1"/>
  <c r="M2248" i="13" s="1"/>
  <c r="M2249" i="13" s="1"/>
  <c r="M2250" i="13" s="1"/>
  <c r="M2251" i="13" s="1"/>
  <c r="M2252" i="13" s="1"/>
  <c r="M2253" i="13" s="1"/>
  <c r="M2254" i="13" s="1"/>
  <c r="M2255" i="13" s="1"/>
  <c r="M2256" i="13" s="1"/>
  <c r="M2257" i="13" s="1"/>
  <c r="M2258" i="13" s="1"/>
  <c r="M2259" i="13" s="1"/>
  <c r="M2260" i="13" s="1"/>
  <c r="M2261" i="13" s="1"/>
  <c r="M2262" i="13" s="1"/>
  <c r="M2263" i="13" s="1"/>
  <c r="M2264" i="13" s="1"/>
  <c r="M2265" i="13" s="1"/>
  <c r="M2266" i="13" s="1"/>
  <c r="M2267" i="13" s="1"/>
  <c r="M2268" i="13" s="1"/>
  <c r="M2269" i="13" s="1"/>
  <c r="M2270" i="13" s="1"/>
  <c r="M2271" i="13" s="1"/>
  <c r="M2272" i="13" s="1"/>
  <c r="M2273" i="13" s="1"/>
  <c r="M2274" i="13" s="1"/>
  <c r="M2275" i="13" s="1"/>
  <c r="M2276" i="13" s="1"/>
  <c r="M2277" i="13" s="1"/>
  <c r="M2278" i="13" s="1"/>
  <c r="M2279" i="13" s="1"/>
  <c r="M2280" i="13" s="1"/>
  <c r="M2281" i="13" s="1"/>
  <c r="M2282" i="13" s="1"/>
  <c r="M2283" i="13" s="1"/>
  <c r="M2284" i="13" s="1"/>
  <c r="M2285" i="13" s="1"/>
  <c r="M2286" i="13" s="1"/>
  <c r="M2287" i="13" s="1"/>
  <c r="M2288" i="13" s="1"/>
  <c r="M2289" i="13" s="1"/>
  <c r="M2290" i="13" s="1"/>
  <c r="M2291" i="13" s="1"/>
  <c r="M2292" i="13" s="1"/>
  <c r="M2293" i="13" s="1"/>
  <c r="M2294" i="13" s="1"/>
  <c r="M2295" i="13" s="1"/>
  <c r="M2296" i="13" s="1"/>
  <c r="M2297" i="13" s="1"/>
  <c r="M2298" i="13" s="1"/>
  <c r="M2299" i="13" s="1"/>
  <c r="M2300" i="13" s="1"/>
  <c r="M2301" i="13" s="1"/>
  <c r="M2302" i="13" s="1"/>
  <c r="M2303" i="13" s="1"/>
  <c r="M2304" i="13" s="1"/>
  <c r="M2305" i="13" s="1"/>
  <c r="M2306" i="13" s="1"/>
  <c r="M2307" i="13" s="1"/>
  <c r="M2308" i="13" s="1"/>
  <c r="M2309" i="13" s="1"/>
  <c r="M2310" i="13" s="1"/>
  <c r="M2311" i="13" s="1"/>
  <c r="M2312" i="13" s="1"/>
  <c r="M2313" i="13" s="1"/>
  <c r="M2314" i="13" s="1"/>
  <c r="M2315" i="13" s="1"/>
  <c r="M2316" i="13" s="1"/>
  <c r="M2317" i="13" s="1"/>
  <c r="M2318" i="13" s="1"/>
  <c r="M2319" i="13" s="1"/>
  <c r="M2320" i="13" s="1"/>
  <c r="M2321" i="13" s="1"/>
  <c r="M2322" i="13" s="1"/>
  <c r="M2323" i="13" s="1"/>
  <c r="M2324" i="13" s="1"/>
  <c r="M2325" i="13" s="1"/>
  <c r="M2326" i="13" s="1"/>
  <c r="M2327" i="13" s="1"/>
  <c r="M2328" i="13" s="1"/>
  <c r="M2329" i="13" s="1"/>
  <c r="M2330" i="13" s="1"/>
  <c r="M2331" i="13" s="1"/>
  <c r="M2332" i="13" s="1"/>
  <c r="M2333" i="13" s="1"/>
  <c r="M2334" i="13" s="1"/>
  <c r="M2335" i="13" s="1"/>
  <c r="M2336" i="13" s="1"/>
  <c r="M2337" i="13" s="1"/>
  <c r="M2338" i="13" s="1"/>
  <c r="M2339" i="13" s="1"/>
  <c r="M2340" i="13" s="1"/>
  <c r="M2341" i="13" s="1"/>
  <c r="M2342" i="13" s="1"/>
  <c r="M2343" i="13" s="1"/>
  <c r="M2344" i="13" s="1"/>
  <c r="M2345" i="13" s="1"/>
  <c r="M2346" i="13" s="1"/>
  <c r="M2347" i="13" s="1"/>
  <c r="M2348" i="13" s="1"/>
  <c r="M2349" i="13" s="1"/>
  <c r="M2350" i="13" s="1"/>
  <c r="M2351" i="13" s="1"/>
  <c r="M2352" i="13" s="1"/>
  <c r="M2353" i="13" s="1"/>
  <c r="M2354" i="13" s="1"/>
  <c r="M2355" i="13" s="1"/>
  <c r="M2356" i="13" s="1"/>
  <c r="M2357" i="13" s="1"/>
  <c r="M2358" i="13" s="1"/>
  <c r="M2359" i="13" s="1"/>
  <c r="M2360" i="13" s="1"/>
  <c r="M2361" i="13" s="1"/>
  <c r="M2362" i="13" s="1"/>
  <c r="M2363" i="13" s="1"/>
  <c r="M2364" i="13" s="1"/>
  <c r="M2365" i="13" s="1"/>
  <c r="M2366" i="13" s="1"/>
  <c r="M2367" i="13" s="1"/>
  <c r="M2368" i="13" s="1"/>
  <c r="M2369" i="13" s="1"/>
  <c r="M2370" i="13" s="1"/>
  <c r="M2371" i="13" s="1"/>
  <c r="M2372" i="13" s="1"/>
  <c r="M2373" i="13" s="1"/>
  <c r="M2374" i="13" s="1"/>
  <c r="M2375" i="13" s="1"/>
  <c r="M2376" i="13" s="1"/>
  <c r="M2377" i="13" s="1"/>
  <c r="M2378" i="13" s="1"/>
  <c r="M2379" i="13" s="1"/>
  <c r="M2380" i="13" s="1"/>
  <c r="M2381" i="13" s="1"/>
  <c r="M2382" i="13" s="1"/>
  <c r="M2383" i="13" s="1"/>
  <c r="M2384" i="13" s="1"/>
  <c r="M2385" i="13" s="1"/>
  <c r="M2386" i="13" s="1"/>
  <c r="M2387" i="13" s="1"/>
  <c r="M2388" i="13" s="1"/>
  <c r="M2389" i="13" s="1"/>
  <c r="M2390" i="13" s="1"/>
  <c r="M2391" i="13" s="1"/>
  <c r="M2392" i="13" s="1"/>
  <c r="M2393" i="13" s="1"/>
  <c r="M2394" i="13" s="1"/>
  <c r="M2395" i="13" s="1"/>
  <c r="M2396" i="13" s="1"/>
  <c r="M2397" i="13" s="1"/>
  <c r="M2398" i="13" s="1"/>
  <c r="M2399" i="13" s="1"/>
  <c r="M2400" i="13" s="1"/>
  <c r="M2401" i="13" s="1"/>
  <c r="M2402" i="13" s="1"/>
  <c r="M2403" i="13" s="1"/>
  <c r="M2404" i="13" s="1"/>
  <c r="M2405" i="13" s="1"/>
  <c r="M2406" i="13" s="1"/>
  <c r="M2407" i="13" s="1"/>
  <c r="M2408" i="13" s="1"/>
  <c r="M2409" i="13" s="1"/>
  <c r="M2410" i="13" s="1"/>
  <c r="M2411" i="13" s="1"/>
  <c r="M2412" i="13" s="1"/>
  <c r="M2413" i="13" s="1"/>
  <c r="M2414" i="13" s="1"/>
  <c r="M2415" i="13" s="1"/>
  <c r="M2416" i="13" s="1"/>
  <c r="M2417" i="13" s="1"/>
  <c r="M2418" i="13" s="1"/>
  <c r="M2419" i="13" s="1"/>
  <c r="M2420" i="13" s="1"/>
  <c r="M2421" i="13" s="1"/>
  <c r="M2422" i="13" s="1"/>
  <c r="M2423" i="13" s="1"/>
  <c r="M2424" i="13" s="1"/>
  <c r="M2425" i="13" s="1"/>
  <c r="M2426" i="13" s="1"/>
  <c r="M2427" i="13" s="1"/>
  <c r="M2428" i="13" s="1"/>
  <c r="M2429" i="13" s="1"/>
  <c r="M2430" i="13" s="1"/>
  <c r="M2431" i="13" s="1"/>
  <c r="M2432" i="13" s="1"/>
  <c r="M2433" i="13" s="1"/>
  <c r="M2434" i="13" s="1"/>
  <c r="M2435" i="13" s="1"/>
  <c r="M2436" i="13" s="1"/>
  <c r="M2437" i="13" s="1"/>
  <c r="M2438" i="13" s="1"/>
  <c r="M2439" i="13" s="1"/>
  <c r="M2440" i="13" s="1"/>
  <c r="M2441" i="13" s="1"/>
  <c r="M2442" i="13" s="1"/>
  <c r="M2443" i="13" s="1"/>
  <c r="M2444" i="13" s="1"/>
  <c r="M2445" i="13" s="1"/>
  <c r="M2446" i="13" s="1"/>
  <c r="M2447" i="13" s="1"/>
  <c r="M2448" i="13" s="1"/>
  <c r="M2449" i="13" s="1"/>
  <c r="M2450" i="13" s="1"/>
  <c r="M2451" i="13" s="1"/>
  <c r="M2452" i="13" s="1"/>
  <c r="M2453" i="13" s="1"/>
  <c r="M2454" i="13" s="1"/>
  <c r="M2455" i="13" s="1"/>
  <c r="M2456" i="13" s="1"/>
  <c r="M2457" i="13" s="1"/>
  <c r="M2458" i="13" s="1"/>
  <c r="M2459" i="13" s="1"/>
  <c r="M2460" i="13" s="1"/>
  <c r="M2461" i="13" s="1"/>
  <c r="M2462" i="13" s="1"/>
  <c r="M2463" i="13" s="1"/>
  <c r="M2464" i="13" s="1"/>
  <c r="M2465" i="13" s="1"/>
  <c r="M2466" i="13" s="1"/>
  <c r="M2467" i="13" s="1"/>
  <c r="M2468" i="13" s="1"/>
  <c r="M2469" i="13" s="1"/>
  <c r="M2470" i="13" s="1"/>
  <c r="M2471" i="13" s="1"/>
  <c r="M2472" i="13" s="1"/>
  <c r="M2473" i="13" s="1"/>
  <c r="M2474" i="13" s="1"/>
  <c r="M2475" i="13" s="1"/>
  <c r="M2476" i="13" s="1"/>
  <c r="M2477" i="13" s="1"/>
  <c r="M2478" i="13" s="1"/>
  <c r="M2479" i="13" s="1"/>
  <c r="M2480" i="13" s="1"/>
  <c r="M2481" i="13" s="1"/>
  <c r="M2482" i="13" s="1"/>
  <c r="M2483" i="13" s="1"/>
  <c r="M2484" i="13" s="1"/>
  <c r="M2485" i="13" s="1"/>
  <c r="M2486" i="13" s="1"/>
  <c r="M2487" i="13" s="1"/>
  <c r="M2488" i="13" s="1"/>
  <c r="M2489" i="13" s="1"/>
  <c r="M2490" i="13" s="1"/>
  <c r="M2491" i="13" s="1"/>
  <c r="M2492" i="13" s="1"/>
  <c r="M2493" i="13" s="1"/>
  <c r="M2494" i="13" s="1"/>
  <c r="M2495" i="13" s="1"/>
  <c r="M2496" i="13" s="1"/>
  <c r="M2497" i="13" s="1"/>
  <c r="M2498" i="13" s="1"/>
  <c r="M2499" i="13" s="1"/>
  <c r="M2500" i="13" s="1"/>
  <c r="M2501" i="13" s="1"/>
  <c r="M2502" i="13" s="1"/>
  <c r="M2503" i="13" s="1"/>
  <c r="M2504" i="13" s="1"/>
  <c r="M2505" i="13" s="1"/>
  <c r="M2506" i="13" s="1"/>
  <c r="M2507" i="13" s="1"/>
  <c r="M2508" i="13" s="1"/>
  <c r="M2509" i="13" s="1"/>
  <c r="M2510" i="13" s="1"/>
  <c r="M2511" i="13" s="1"/>
  <c r="M2512" i="13" s="1"/>
  <c r="M2513" i="13" s="1"/>
  <c r="M2514" i="13" s="1"/>
  <c r="M2515" i="13" s="1"/>
  <c r="M2516" i="13" s="1"/>
  <c r="M2517" i="13" s="1"/>
  <c r="M2518" i="13" s="1"/>
  <c r="M2519" i="13" s="1"/>
  <c r="M2520" i="13" s="1"/>
  <c r="M2521" i="13" s="1"/>
  <c r="M2522" i="13" s="1"/>
  <c r="M2523" i="13" s="1"/>
  <c r="M2524" i="13" s="1"/>
  <c r="M2525" i="13" s="1"/>
  <c r="M2526" i="13" s="1"/>
  <c r="M2527" i="13" s="1"/>
  <c r="M2528" i="13" s="1"/>
  <c r="M2529" i="13" s="1"/>
  <c r="M2530" i="13" s="1"/>
  <c r="M2531" i="13" s="1"/>
  <c r="M2532" i="13" s="1"/>
  <c r="M2533" i="13" s="1"/>
  <c r="M2534" i="13" s="1"/>
  <c r="M2535" i="13" s="1"/>
  <c r="M2536" i="13" s="1"/>
  <c r="M2537" i="13" s="1"/>
  <c r="M2538" i="13" s="1"/>
  <c r="M2539" i="13" s="1"/>
  <c r="M2540" i="13" s="1"/>
  <c r="M2541" i="13" s="1"/>
  <c r="M2542" i="13" s="1"/>
  <c r="M2543" i="13" s="1"/>
  <c r="M2544" i="13" s="1"/>
  <c r="M2545" i="13" s="1"/>
  <c r="M2546" i="13" s="1"/>
  <c r="M2547" i="13" s="1"/>
  <c r="M2548" i="13" s="1"/>
  <c r="M2549" i="13" s="1"/>
  <c r="M2550" i="13" s="1"/>
  <c r="M2551" i="13" s="1"/>
  <c r="M2552" i="13" s="1"/>
  <c r="M2553" i="13" s="1"/>
  <c r="M2554" i="13" s="1"/>
  <c r="M2555" i="13" s="1"/>
  <c r="M2556" i="13" s="1"/>
  <c r="M2557" i="13" s="1"/>
  <c r="M2558" i="13" s="1"/>
  <c r="M2559" i="13" s="1"/>
  <c r="M2560" i="13" s="1"/>
  <c r="M2561" i="13" s="1"/>
  <c r="M2562" i="13" s="1"/>
  <c r="M2563" i="13" s="1"/>
  <c r="M2564" i="13" s="1"/>
  <c r="M2565" i="13" s="1"/>
  <c r="M2566" i="13" s="1"/>
  <c r="M2567" i="13" s="1"/>
  <c r="M2568" i="13" s="1"/>
  <c r="M2569" i="13" s="1"/>
  <c r="M2570" i="13" s="1"/>
  <c r="M2571" i="13" s="1"/>
  <c r="M2572" i="13" s="1"/>
  <c r="M2573" i="13" s="1"/>
  <c r="M2574" i="13" s="1"/>
  <c r="M2575" i="13" s="1"/>
  <c r="M2576" i="13" s="1"/>
  <c r="M2577" i="13" s="1"/>
  <c r="M2578" i="13" s="1"/>
  <c r="M2579" i="13" s="1"/>
  <c r="M2580" i="13" s="1"/>
  <c r="M2581" i="13" s="1"/>
  <c r="M2582" i="13" s="1"/>
  <c r="M2583" i="13" s="1"/>
  <c r="M2584" i="13" s="1"/>
  <c r="M2585" i="13" s="1"/>
  <c r="M2586" i="13" s="1"/>
  <c r="M2587" i="13" s="1"/>
  <c r="M2588" i="13" s="1"/>
  <c r="M2589" i="13" s="1"/>
  <c r="M2590" i="13" s="1"/>
  <c r="M2591" i="13" s="1"/>
  <c r="M2592" i="13" s="1"/>
  <c r="M2593" i="13" s="1"/>
  <c r="M2594" i="13" s="1"/>
  <c r="M2595" i="13" s="1"/>
  <c r="M2596" i="13" s="1"/>
  <c r="M2597" i="13" s="1"/>
  <c r="M2598" i="13" s="1"/>
  <c r="M2599" i="13" s="1"/>
  <c r="M2600" i="13" s="1"/>
  <c r="M2601" i="13" s="1"/>
  <c r="M2602" i="13" s="1"/>
  <c r="M2603" i="13" s="1"/>
  <c r="M2604" i="13" s="1"/>
  <c r="M2605" i="13" s="1"/>
  <c r="M2606" i="13" s="1"/>
  <c r="M2607" i="13" s="1"/>
  <c r="M2608" i="13" s="1"/>
  <c r="M2609" i="13" s="1"/>
  <c r="M2610" i="13" s="1"/>
  <c r="M2611" i="13" s="1"/>
  <c r="M2612" i="13" s="1"/>
  <c r="M2613" i="13" s="1"/>
  <c r="M2614" i="13" s="1"/>
  <c r="M2615" i="13" s="1"/>
  <c r="M2616" i="13" s="1"/>
  <c r="M2617" i="13" s="1"/>
  <c r="M2618" i="13" s="1"/>
  <c r="M2619" i="13" s="1"/>
  <c r="M2620" i="13" s="1"/>
  <c r="M2621" i="13" s="1"/>
  <c r="M2622" i="13" s="1"/>
  <c r="M2623" i="13" s="1"/>
  <c r="M2624" i="13" s="1"/>
  <c r="M2625" i="13" s="1"/>
  <c r="M2626" i="13" s="1"/>
  <c r="M2627" i="13" s="1"/>
  <c r="M2628" i="13" s="1"/>
  <c r="M2629" i="13" s="1"/>
  <c r="M2630" i="13" s="1"/>
  <c r="M2631" i="13" s="1"/>
  <c r="M2632" i="13" s="1"/>
  <c r="M2633" i="13" s="1"/>
  <c r="M2634" i="13" s="1"/>
  <c r="M2635" i="13" s="1"/>
  <c r="M2636" i="13" s="1"/>
  <c r="M2637" i="13" s="1"/>
  <c r="M2638" i="13" s="1"/>
  <c r="M2639" i="13" s="1"/>
  <c r="M2640" i="13" s="1"/>
  <c r="M2641" i="13" s="1"/>
  <c r="M2642" i="13" s="1"/>
  <c r="M2643" i="13" s="1"/>
  <c r="M2644" i="13" s="1"/>
  <c r="M2645" i="13" s="1"/>
  <c r="M2646" i="13" s="1"/>
  <c r="M2647" i="13" s="1"/>
  <c r="M2648" i="13" s="1"/>
  <c r="M2649" i="13" s="1"/>
  <c r="M2650" i="13" s="1"/>
  <c r="M2651" i="13" s="1"/>
  <c r="M2652" i="13" s="1"/>
  <c r="M2653" i="13" s="1"/>
  <c r="M2654" i="13" s="1"/>
  <c r="M2655" i="13" s="1"/>
  <c r="M2656" i="13" s="1"/>
  <c r="M2657" i="13" s="1"/>
  <c r="M2658" i="13" s="1"/>
  <c r="M2659" i="13" s="1"/>
  <c r="M2660" i="13" s="1"/>
  <c r="M2661" i="13" s="1"/>
  <c r="M2662" i="13" s="1"/>
  <c r="M2663" i="13" s="1"/>
  <c r="M2664" i="13" s="1"/>
  <c r="M2665" i="13" s="1"/>
  <c r="M2666" i="13" s="1"/>
  <c r="M2667" i="13" s="1"/>
  <c r="M2668" i="13" s="1"/>
  <c r="M2669" i="13" s="1"/>
  <c r="M2670" i="13" s="1"/>
  <c r="M2671" i="13" s="1"/>
  <c r="M2672" i="13" s="1"/>
  <c r="M2673" i="13" s="1"/>
  <c r="M2674" i="13" s="1"/>
  <c r="M2675" i="13" s="1"/>
  <c r="M2676" i="13" s="1"/>
  <c r="M2677" i="13" s="1"/>
  <c r="M2678" i="13" s="1"/>
  <c r="M2679" i="13" s="1"/>
  <c r="M2680" i="13" s="1"/>
  <c r="M2681" i="13" s="1"/>
  <c r="M2682" i="13" s="1"/>
  <c r="M2683" i="13" s="1"/>
  <c r="M2684" i="13" s="1"/>
  <c r="M2685" i="13" s="1"/>
  <c r="M2686" i="13" s="1"/>
  <c r="M2687" i="13" s="1"/>
  <c r="M2688" i="13" s="1"/>
  <c r="M2689" i="13" s="1"/>
  <c r="M2690" i="13" s="1"/>
  <c r="M2691" i="13" s="1"/>
  <c r="M2692" i="13" s="1"/>
  <c r="M2693" i="13" s="1"/>
  <c r="M2694" i="13" s="1"/>
  <c r="M2695" i="13" s="1"/>
  <c r="M2696" i="13" s="1"/>
  <c r="M2697" i="13" s="1"/>
  <c r="M2698" i="13" s="1"/>
  <c r="M2699" i="13" s="1"/>
  <c r="M2700" i="13" s="1"/>
  <c r="M2701" i="13" s="1"/>
  <c r="M2702" i="13" s="1"/>
  <c r="M2703" i="13" s="1"/>
  <c r="M2704" i="13" s="1"/>
  <c r="M2705" i="13" s="1"/>
  <c r="M2706" i="13" s="1"/>
  <c r="M2707" i="13" s="1"/>
  <c r="M2708" i="13" s="1"/>
  <c r="M2709" i="13" s="1"/>
  <c r="M2710" i="13" s="1"/>
  <c r="M2711" i="13" s="1"/>
  <c r="M2712" i="13" s="1"/>
  <c r="M2713" i="13" s="1"/>
  <c r="M2714" i="13" s="1"/>
  <c r="M2715" i="13" s="1"/>
  <c r="M2716" i="13" s="1"/>
  <c r="M2717" i="13" s="1"/>
  <c r="M2718" i="13" s="1"/>
  <c r="M2719" i="13" s="1"/>
  <c r="M2720" i="13" s="1"/>
  <c r="M2721" i="13" s="1"/>
  <c r="M2722" i="13" s="1"/>
  <c r="M2723" i="13" s="1"/>
  <c r="M2724" i="13" s="1"/>
  <c r="M2725" i="13" s="1"/>
  <c r="M2726" i="13" s="1"/>
  <c r="M2727" i="13" s="1"/>
  <c r="M2728" i="13" s="1"/>
  <c r="M2729" i="13" s="1"/>
  <c r="M2730" i="13" s="1"/>
  <c r="M2731" i="13" s="1"/>
  <c r="M2732" i="13" s="1"/>
  <c r="M2733" i="13" s="1"/>
  <c r="M2734" i="13" s="1"/>
  <c r="M2735" i="13" s="1"/>
  <c r="M2736" i="13" s="1"/>
  <c r="M2737" i="13" s="1"/>
  <c r="M2738" i="13" s="1"/>
  <c r="M2739" i="13" s="1"/>
  <c r="M2740" i="13" s="1"/>
  <c r="M2741" i="13" s="1"/>
  <c r="M2742" i="13" s="1"/>
  <c r="M2743" i="13" s="1"/>
  <c r="M2744" i="13" s="1"/>
  <c r="M2745" i="13" s="1"/>
  <c r="M2746" i="13" s="1"/>
  <c r="M2747" i="13" s="1"/>
  <c r="M2748" i="13" s="1"/>
  <c r="M2749" i="13" s="1"/>
  <c r="M2750" i="13" s="1"/>
  <c r="M2751" i="13" s="1"/>
  <c r="M2752" i="13" s="1"/>
  <c r="M2753" i="13" s="1"/>
  <c r="M2754" i="13" s="1"/>
  <c r="M2755" i="13" s="1"/>
  <c r="M2756" i="13" s="1"/>
  <c r="M2757" i="13" s="1"/>
  <c r="M2758" i="13" s="1"/>
  <c r="M2759" i="13" s="1"/>
  <c r="M2760" i="13" s="1"/>
  <c r="M2761" i="13" s="1"/>
  <c r="M2762" i="13" s="1"/>
  <c r="M2763" i="13" s="1"/>
  <c r="M2764" i="13" s="1"/>
  <c r="M2765" i="13" s="1"/>
  <c r="M2766" i="13" s="1"/>
  <c r="M2767" i="13" s="1"/>
  <c r="M2768" i="13" s="1"/>
  <c r="M2769" i="13" s="1"/>
  <c r="M2770" i="13" s="1"/>
  <c r="M2771" i="13" s="1"/>
  <c r="M2772" i="13" s="1"/>
  <c r="M2773" i="13" s="1"/>
  <c r="M2774" i="13" s="1"/>
  <c r="M2775" i="13" s="1"/>
  <c r="M2776" i="13" s="1"/>
  <c r="M2777" i="13" s="1"/>
  <c r="M2778" i="13" s="1"/>
  <c r="M2779" i="13" s="1"/>
  <c r="M2780" i="13" s="1"/>
  <c r="M2781" i="13" s="1"/>
  <c r="M2782" i="13" s="1"/>
  <c r="M2783" i="13" s="1"/>
  <c r="M2784" i="13" s="1"/>
  <c r="M2785" i="13" s="1"/>
  <c r="M2786" i="13" s="1"/>
  <c r="M2787" i="13" s="1"/>
  <c r="M2788" i="13" s="1"/>
  <c r="M2789" i="13" s="1"/>
  <c r="M2790" i="13" s="1"/>
  <c r="M2791" i="13" s="1"/>
  <c r="M2792" i="13" s="1"/>
  <c r="M2793" i="13" s="1"/>
  <c r="M2794" i="13" s="1"/>
  <c r="M2795" i="13" s="1"/>
  <c r="M2796" i="13" s="1"/>
  <c r="M2797" i="13" s="1"/>
  <c r="M2798" i="13" s="1"/>
  <c r="M2799" i="13" s="1"/>
  <c r="M2800" i="13" s="1"/>
  <c r="M2801" i="13" s="1"/>
  <c r="M2802" i="13" s="1"/>
  <c r="M2803" i="13" s="1"/>
  <c r="M2804" i="13" s="1"/>
  <c r="M2805" i="13" s="1"/>
  <c r="M2806" i="13" s="1"/>
  <c r="M2807" i="13" s="1"/>
  <c r="M2808" i="13" s="1"/>
  <c r="M2809" i="13" s="1"/>
  <c r="M2810" i="13" s="1"/>
  <c r="M2811" i="13" s="1"/>
  <c r="M2812" i="13" s="1"/>
  <c r="M2813" i="13" s="1"/>
  <c r="M2814" i="13" s="1"/>
  <c r="M2815" i="13" s="1"/>
  <c r="M2816" i="13" s="1"/>
  <c r="M2817" i="13" s="1"/>
  <c r="M2818" i="13" s="1"/>
  <c r="M2819" i="13" s="1"/>
  <c r="M2820" i="13" s="1"/>
  <c r="M2821" i="13" s="1"/>
  <c r="M2822" i="13" s="1"/>
  <c r="M2823" i="13" s="1"/>
  <c r="M2824" i="13" s="1"/>
  <c r="M2825" i="13" s="1"/>
  <c r="M2826" i="13" s="1"/>
  <c r="M2827" i="13" s="1"/>
  <c r="M2828" i="13" s="1"/>
  <c r="M2829" i="13" s="1"/>
  <c r="M2830" i="13" s="1"/>
  <c r="M2831" i="13" s="1"/>
  <c r="M2832" i="13" s="1"/>
  <c r="M2833" i="13" s="1"/>
  <c r="M2834" i="13" s="1"/>
  <c r="M2835" i="13" s="1"/>
  <c r="M2836" i="13" s="1"/>
  <c r="M2837" i="13" s="1"/>
  <c r="M2838" i="13" s="1"/>
  <c r="M2839" i="13" s="1"/>
  <c r="M2840" i="13" s="1"/>
  <c r="M2841" i="13" s="1"/>
  <c r="M2842" i="13" s="1"/>
  <c r="M2843" i="13" s="1"/>
  <c r="M2844" i="13" s="1"/>
  <c r="M2845" i="13" s="1"/>
  <c r="M2846" i="13" s="1"/>
  <c r="M2847" i="13" s="1"/>
  <c r="M2848" i="13" s="1"/>
  <c r="M2849" i="13" s="1"/>
  <c r="M2850" i="13" s="1"/>
  <c r="M2851" i="13" s="1"/>
  <c r="M2852" i="13" s="1"/>
  <c r="M2853" i="13" s="1"/>
  <c r="M2854" i="13" s="1"/>
  <c r="M2855" i="13" s="1"/>
  <c r="M2856" i="13" s="1"/>
  <c r="M2857" i="13" s="1"/>
  <c r="M2858" i="13" s="1"/>
  <c r="M2859" i="13" s="1"/>
  <c r="M2860" i="13" s="1"/>
  <c r="M2861" i="13" s="1"/>
  <c r="M2862" i="13" s="1"/>
  <c r="M2863" i="13" s="1"/>
  <c r="M2864" i="13" s="1"/>
  <c r="M2865" i="13" s="1"/>
  <c r="M2866" i="13" s="1"/>
  <c r="M2867" i="13" s="1"/>
  <c r="M2868" i="13" s="1"/>
  <c r="M2869" i="13" s="1"/>
  <c r="M2870" i="13" s="1"/>
  <c r="M2871" i="13" s="1"/>
  <c r="M2872" i="13" s="1"/>
  <c r="M2873" i="13" s="1"/>
  <c r="M2874" i="13" s="1"/>
  <c r="M2875" i="13" s="1"/>
  <c r="M2876" i="13" s="1"/>
  <c r="M2877" i="13" s="1"/>
  <c r="M2878" i="13" s="1"/>
  <c r="M2879" i="13" s="1"/>
  <c r="M2880" i="13" s="1"/>
  <c r="M2881" i="13" s="1"/>
  <c r="M2882" i="13" s="1"/>
  <c r="M2883" i="13" s="1"/>
  <c r="M2884" i="13" s="1"/>
  <c r="M2885" i="13" s="1"/>
  <c r="M2886" i="13" s="1"/>
  <c r="M2887" i="13" s="1"/>
  <c r="M2888" i="13" s="1"/>
  <c r="M2889" i="13" s="1"/>
  <c r="M2890" i="13" s="1"/>
  <c r="M2891" i="13" s="1"/>
  <c r="M2892" i="13" s="1"/>
  <c r="M2893" i="13" s="1"/>
  <c r="M2894" i="13" s="1"/>
  <c r="M2895" i="13" s="1"/>
  <c r="M2896" i="13" s="1"/>
  <c r="M2897" i="13" s="1"/>
  <c r="M2898" i="13" s="1"/>
  <c r="M2899" i="13" s="1"/>
  <c r="M2900" i="13" s="1"/>
  <c r="M2901" i="13" s="1"/>
  <c r="M2902" i="13" s="1"/>
  <c r="M2903" i="13" s="1"/>
  <c r="M2904" i="13" s="1"/>
  <c r="M2905" i="13" s="1"/>
  <c r="M2906" i="13" s="1"/>
  <c r="M2907" i="13" s="1"/>
  <c r="M2908" i="13" s="1"/>
  <c r="M2909" i="13" s="1"/>
  <c r="M2910" i="13" s="1"/>
  <c r="M2911" i="13" s="1"/>
  <c r="M2912" i="13" s="1"/>
  <c r="M2913" i="13" s="1"/>
  <c r="M2914" i="13" s="1"/>
  <c r="M2915" i="13" s="1"/>
  <c r="M2916" i="13" s="1"/>
  <c r="M2917" i="13" s="1"/>
  <c r="M2918" i="13" s="1"/>
  <c r="M2919" i="13" s="1"/>
  <c r="M2920" i="13" s="1"/>
  <c r="M2921" i="13" s="1"/>
  <c r="M2922" i="13" s="1"/>
  <c r="M2923" i="13" s="1"/>
  <c r="M2924" i="13" s="1"/>
  <c r="M2925" i="13" s="1"/>
  <c r="M2926" i="13" s="1"/>
  <c r="M2927" i="13" s="1"/>
  <c r="M2928" i="13" s="1"/>
  <c r="M2929" i="13" s="1"/>
  <c r="M2930" i="13" s="1"/>
  <c r="M2931" i="13" s="1"/>
  <c r="M2932" i="13" s="1"/>
  <c r="M2933" i="13" s="1"/>
  <c r="M2934" i="13" s="1"/>
  <c r="M2935" i="13" s="1"/>
  <c r="M2936" i="13" s="1"/>
  <c r="M2937" i="13" s="1"/>
  <c r="M2938" i="13" s="1"/>
  <c r="M2939" i="13" s="1"/>
  <c r="M2940" i="13" s="1"/>
  <c r="M2941" i="13" s="1"/>
  <c r="M2942" i="13" s="1"/>
  <c r="M2943" i="13" s="1"/>
  <c r="M2944" i="13" s="1"/>
  <c r="M2945" i="13" s="1"/>
  <c r="M2946" i="13" s="1"/>
  <c r="M2947" i="13" s="1"/>
  <c r="M2948" i="13" s="1"/>
  <c r="M2949" i="13" s="1"/>
  <c r="M2950" i="13" s="1"/>
  <c r="M2951" i="13" s="1"/>
  <c r="M2952" i="13" s="1"/>
  <c r="M2953" i="13" s="1"/>
  <c r="M2954" i="13" s="1"/>
  <c r="M2955" i="13" s="1"/>
  <c r="M2956" i="13" s="1"/>
  <c r="M2957" i="13" s="1"/>
  <c r="M2958" i="13" s="1"/>
  <c r="M2959" i="13" s="1"/>
  <c r="M2960" i="13" s="1"/>
  <c r="M2961" i="13" s="1"/>
  <c r="M2962" i="13" s="1"/>
  <c r="M2963" i="13" s="1"/>
  <c r="M2964" i="13" s="1"/>
  <c r="M2965" i="13" s="1"/>
  <c r="M2966" i="13" s="1"/>
  <c r="M2967" i="13" s="1"/>
  <c r="M2968" i="13" s="1"/>
  <c r="M2969" i="13" s="1"/>
  <c r="M2970" i="13" s="1"/>
  <c r="M2971" i="13" s="1"/>
  <c r="M2972" i="13" s="1"/>
  <c r="M2973" i="13" s="1"/>
  <c r="M2974" i="13" s="1"/>
  <c r="M2975" i="13" s="1"/>
  <c r="M2976" i="13" s="1"/>
  <c r="M2977" i="13" s="1"/>
  <c r="M2978" i="13" s="1"/>
  <c r="M2979" i="13" s="1"/>
  <c r="M2980" i="13" s="1"/>
  <c r="M2981" i="13" s="1"/>
  <c r="M2982" i="13" s="1"/>
  <c r="M2983" i="13" s="1"/>
  <c r="M2984" i="13" s="1"/>
  <c r="M2985" i="13" s="1"/>
  <c r="M2986" i="13" s="1"/>
  <c r="M2987" i="13" s="1"/>
  <c r="M2988" i="13" s="1"/>
  <c r="M2989" i="13" s="1"/>
  <c r="M2990" i="13" s="1"/>
  <c r="M2991" i="13" s="1"/>
  <c r="M2992" i="13" s="1"/>
  <c r="M2993" i="13" s="1"/>
  <c r="M2994" i="13" s="1"/>
  <c r="M2995" i="13" s="1"/>
  <c r="M2996" i="13" s="1"/>
  <c r="M2997" i="13" s="1"/>
  <c r="M2998" i="13" s="1"/>
  <c r="M2999" i="13" s="1"/>
  <c r="M3000" i="13" s="1"/>
  <c r="M3001" i="13" s="1"/>
  <c r="M3002" i="13" s="1"/>
  <c r="M3003" i="13" s="1"/>
  <c r="M3004" i="13" s="1"/>
  <c r="M3005" i="13" s="1"/>
  <c r="M3006" i="13" s="1"/>
  <c r="M3007" i="13" s="1"/>
  <c r="M3008" i="13" s="1"/>
  <c r="M3009" i="13" s="1"/>
  <c r="M3010" i="13" s="1"/>
  <c r="M3011" i="13" s="1"/>
  <c r="M3012" i="13" s="1"/>
  <c r="M3013" i="13" s="1"/>
  <c r="M3014" i="13" s="1"/>
  <c r="M3015" i="13" s="1"/>
  <c r="M3016" i="13" s="1"/>
  <c r="M3017" i="13" s="1"/>
  <c r="M3018" i="13" s="1"/>
  <c r="M3019" i="13" s="1"/>
  <c r="M3020" i="13" s="1"/>
  <c r="M3021" i="13" s="1"/>
  <c r="M3022" i="13" s="1"/>
  <c r="M3023" i="13" s="1"/>
  <c r="M3024" i="13" s="1"/>
  <c r="M3025" i="13" s="1"/>
  <c r="M3026" i="13" s="1"/>
  <c r="M3027" i="13" s="1"/>
  <c r="M3028" i="13" s="1"/>
  <c r="M3029" i="13" s="1"/>
  <c r="M3030" i="13" s="1"/>
  <c r="M3031" i="13" s="1"/>
  <c r="M3032" i="13" s="1"/>
  <c r="M3033" i="13" s="1"/>
  <c r="M3034" i="13" s="1"/>
  <c r="M3035" i="13" s="1"/>
  <c r="M3036" i="13" s="1"/>
  <c r="M3037" i="13" s="1"/>
  <c r="M3038" i="13" s="1"/>
  <c r="M3039" i="13" s="1"/>
  <c r="M3040" i="13" s="1"/>
  <c r="M3041" i="13" s="1"/>
  <c r="M3042" i="13" s="1"/>
  <c r="M3043" i="13" s="1"/>
  <c r="M3044" i="13" s="1"/>
  <c r="M3045" i="13" s="1"/>
  <c r="M3046" i="13" s="1"/>
  <c r="M3047" i="13" s="1"/>
  <c r="M3048" i="13" s="1"/>
  <c r="M3049" i="13" s="1"/>
  <c r="M3050" i="13" s="1"/>
  <c r="M3051" i="13" s="1"/>
  <c r="M3052" i="13" s="1"/>
  <c r="M3053" i="13" s="1"/>
  <c r="M3054" i="13" s="1"/>
  <c r="M3055" i="13" s="1"/>
  <c r="M3056" i="13" s="1"/>
  <c r="M3057" i="13" s="1"/>
  <c r="M3058" i="13" s="1"/>
  <c r="M3059" i="13" s="1"/>
  <c r="M3060" i="13" s="1"/>
  <c r="M3061" i="13" s="1"/>
  <c r="M3062" i="13" s="1"/>
  <c r="M3063" i="13" s="1"/>
  <c r="M3064" i="13" s="1"/>
  <c r="M3065" i="13" s="1"/>
  <c r="M3066" i="13" s="1"/>
  <c r="M3067" i="13" s="1"/>
  <c r="M3068" i="13" s="1"/>
  <c r="M3069" i="13" s="1"/>
  <c r="M3070" i="13" s="1"/>
  <c r="M3071" i="13" s="1"/>
  <c r="M3072" i="13" s="1"/>
  <c r="M3073" i="13" s="1"/>
  <c r="M3074" i="13" s="1"/>
  <c r="M3075" i="13" s="1"/>
  <c r="M3076" i="13" s="1"/>
  <c r="M3077" i="13" s="1"/>
  <c r="M3078" i="13" s="1"/>
  <c r="M3079" i="13" s="1"/>
  <c r="M3080" i="13" s="1"/>
  <c r="M3081" i="13" s="1"/>
  <c r="M3082" i="13" s="1"/>
  <c r="M3083" i="13" s="1"/>
  <c r="M3084" i="13" s="1"/>
  <c r="M3085" i="13" s="1"/>
  <c r="M3086" i="13" s="1"/>
  <c r="M3087" i="13" s="1"/>
  <c r="M3088" i="13" s="1"/>
  <c r="M3089" i="13" s="1"/>
  <c r="M3090" i="13" s="1"/>
  <c r="M3091" i="13" s="1"/>
  <c r="M3092" i="13" s="1"/>
  <c r="M3093" i="13" s="1"/>
  <c r="M3094" i="13" s="1"/>
  <c r="M3095" i="13" s="1"/>
  <c r="M3096" i="13" s="1"/>
  <c r="M3097" i="13" s="1"/>
  <c r="M3098" i="13" s="1"/>
  <c r="M3099" i="13" s="1"/>
  <c r="M3100" i="13" s="1"/>
  <c r="M3101" i="13" s="1"/>
  <c r="M3102" i="13" s="1"/>
  <c r="M3103" i="13" s="1"/>
  <c r="M3104" i="13" s="1"/>
  <c r="M3105" i="13" s="1"/>
  <c r="M3106" i="13" s="1"/>
  <c r="M3107" i="13" s="1"/>
  <c r="M3108" i="13" s="1"/>
  <c r="M3109" i="13" s="1"/>
  <c r="M3110" i="13" s="1"/>
  <c r="M3111" i="13" s="1"/>
  <c r="M3112" i="13" s="1"/>
  <c r="M3113" i="13" s="1"/>
  <c r="M3114" i="13" s="1"/>
  <c r="M3115" i="13" s="1"/>
  <c r="M3116" i="13" s="1"/>
  <c r="M3117" i="13" s="1"/>
  <c r="M3118" i="13" s="1"/>
  <c r="M3119" i="13" s="1"/>
  <c r="M3120" i="13" s="1"/>
  <c r="M3121" i="13" s="1"/>
  <c r="M3122" i="13" s="1"/>
  <c r="M3123" i="13" s="1"/>
  <c r="M3124" i="13" s="1"/>
  <c r="M3125" i="13" s="1"/>
  <c r="M3126" i="13" s="1"/>
  <c r="M3127" i="13" s="1"/>
  <c r="M3128" i="13" s="1"/>
  <c r="M3129" i="13" s="1"/>
  <c r="M3130" i="13" s="1"/>
  <c r="M3131" i="13" s="1"/>
  <c r="M3132" i="13" s="1"/>
  <c r="M3133" i="13" s="1"/>
  <c r="M3134" i="13" s="1"/>
  <c r="M3135" i="13" s="1"/>
  <c r="M3136" i="13" s="1"/>
  <c r="M3137" i="13" s="1"/>
  <c r="M3138" i="13" s="1"/>
  <c r="M3139" i="13" s="1"/>
  <c r="M3140" i="13" s="1"/>
  <c r="M3141" i="13" s="1"/>
  <c r="M3142" i="13" s="1"/>
  <c r="M3143" i="13" s="1"/>
  <c r="M3144" i="13" s="1"/>
  <c r="M3145" i="13" s="1"/>
  <c r="M3146" i="13" s="1"/>
  <c r="M3147" i="13" s="1"/>
  <c r="M3148" i="13" s="1"/>
  <c r="M3149" i="13" s="1"/>
  <c r="M3150" i="13" s="1"/>
  <c r="M3151" i="13" s="1"/>
  <c r="M3152" i="13" s="1"/>
  <c r="M3153" i="13" s="1"/>
  <c r="M3154" i="13" s="1"/>
  <c r="M3155" i="13" s="1"/>
  <c r="M3156" i="13" s="1"/>
  <c r="M3157" i="13" s="1"/>
  <c r="M3158" i="13" s="1"/>
  <c r="M3159" i="13" s="1"/>
  <c r="M3160" i="13" s="1"/>
  <c r="M3161" i="13" s="1"/>
  <c r="M3162" i="13" s="1"/>
  <c r="M3163" i="13" s="1"/>
  <c r="M3164" i="13" s="1"/>
  <c r="M3165" i="13" s="1"/>
  <c r="M3166" i="13" s="1"/>
  <c r="M3167" i="13" s="1"/>
  <c r="M3168" i="13" s="1"/>
  <c r="M3169" i="13" s="1"/>
  <c r="M3170" i="13" s="1"/>
  <c r="M3171" i="13" s="1"/>
  <c r="M3172" i="13" s="1"/>
  <c r="M3173" i="13" s="1"/>
  <c r="M3174" i="13" s="1"/>
  <c r="M3175" i="13" s="1"/>
  <c r="M3176" i="13" s="1"/>
  <c r="M3177" i="13" s="1"/>
  <c r="M3178" i="13" s="1"/>
  <c r="M3179" i="13" s="1"/>
  <c r="M3180" i="13" s="1"/>
  <c r="M3181" i="13" s="1"/>
  <c r="M3182" i="13" s="1"/>
  <c r="M3183" i="13" s="1"/>
  <c r="M3184" i="13" s="1"/>
  <c r="M3185" i="13" s="1"/>
  <c r="M3186" i="13" s="1"/>
  <c r="M3187" i="13" s="1"/>
  <c r="M3188" i="13" s="1"/>
  <c r="M3189" i="13" s="1"/>
  <c r="M3190" i="13" s="1"/>
  <c r="M3191" i="13" s="1"/>
  <c r="M3192" i="13" s="1"/>
  <c r="M3193" i="13" s="1"/>
  <c r="M3194" i="13" s="1"/>
  <c r="M3195" i="13" s="1"/>
  <c r="M3196" i="13" s="1"/>
  <c r="M3197" i="13" s="1"/>
  <c r="M3198" i="13" s="1"/>
  <c r="M3199" i="13" s="1"/>
  <c r="M3200" i="13" s="1"/>
  <c r="M3201" i="13" s="1"/>
  <c r="M3202" i="13" s="1"/>
  <c r="M3203" i="13" s="1"/>
  <c r="M3204" i="13" s="1"/>
  <c r="M3205" i="13" s="1"/>
  <c r="M3206" i="13" s="1"/>
  <c r="M3207" i="13" s="1"/>
  <c r="M3208" i="13" s="1"/>
  <c r="M3209" i="13" s="1"/>
  <c r="M3210" i="13" s="1"/>
  <c r="M3211" i="13" s="1"/>
  <c r="M3212" i="13" s="1"/>
  <c r="M3213" i="13" s="1"/>
  <c r="M3214" i="13" s="1"/>
  <c r="M3215" i="13" s="1"/>
  <c r="M3216" i="13" s="1"/>
  <c r="M3217" i="13" s="1"/>
  <c r="M3218" i="13" s="1"/>
  <c r="M3219" i="13" s="1"/>
  <c r="M3220" i="13" s="1"/>
  <c r="M3221" i="13" s="1"/>
  <c r="M3222" i="13" s="1"/>
  <c r="M3223" i="13" s="1"/>
  <c r="M3224" i="13" s="1"/>
  <c r="M3225" i="13" s="1"/>
  <c r="M3226" i="13" s="1"/>
  <c r="M3227" i="13" s="1"/>
  <c r="M3228" i="13" s="1"/>
  <c r="M3229" i="13" s="1"/>
  <c r="M3230" i="13" s="1"/>
  <c r="M3231" i="13" s="1"/>
  <c r="M3232" i="13" s="1"/>
  <c r="M3233" i="13" s="1"/>
  <c r="M3234" i="13" s="1"/>
  <c r="M3235" i="13" s="1"/>
  <c r="M3236" i="13" s="1"/>
  <c r="M3237" i="13" s="1"/>
  <c r="M3238" i="13" s="1"/>
  <c r="M3239" i="13" s="1"/>
  <c r="M3240" i="13" s="1"/>
  <c r="M3241" i="13" s="1"/>
  <c r="M3242" i="13" s="1"/>
  <c r="M3243" i="13" s="1"/>
  <c r="M3244" i="13" s="1"/>
  <c r="M3245" i="13" s="1"/>
  <c r="M3246" i="13" s="1"/>
  <c r="M3247" i="13" s="1"/>
  <c r="M3248" i="13" s="1"/>
  <c r="M3249" i="13" s="1"/>
  <c r="M3250" i="13" s="1"/>
  <c r="M3251" i="13" s="1"/>
  <c r="M3252" i="13" s="1"/>
  <c r="M3253" i="13" s="1"/>
  <c r="M3254" i="13" s="1"/>
  <c r="M3255" i="13" s="1"/>
  <c r="M3256" i="13" s="1"/>
  <c r="M3257" i="13" s="1"/>
  <c r="M3258" i="13" s="1"/>
  <c r="M3259" i="13" s="1"/>
  <c r="M3260" i="13" s="1"/>
  <c r="M3261" i="13" s="1"/>
  <c r="M3262" i="13" s="1"/>
  <c r="M3263" i="13" s="1"/>
  <c r="M3264" i="13" s="1"/>
  <c r="M3265" i="13" s="1"/>
  <c r="M3266" i="13" s="1"/>
  <c r="M3267" i="13" s="1"/>
  <c r="M3268" i="13" s="1"/>
  <c r="M3269" i="13" s="1"/>
  <c r="M3270" i="13" s="1"/>
  <c r="M3271" i="13" s="1"/>
  <c r="M3272" i="13" s="1"/>
  <c r="M3273" i="13" s="1"/>
  <c r="M3274" i="13" s="1"/>
  <c r="M3275" i="13" s="1"/>
  <c r="M3276" i="13" s="1"/>
  <c r="M3277" i="13" s="1"/>
  <c r="M3278" i="13" s="1"/>
  <c r="M3279" i="13" s="1"/>
  <c r="M3280" i="13" s="1"/>
  <c r="M3281" i="13" s="1"/>
  <c r="M3282" i="13" s="1"/>
  <c r="M3283" i="13" s="1"/>
  <c r="M3284" i="13" s="1"/>
  <c r="M3285" i="13" s="1"/>
  <c r="M3286" i="13" s="1"/>
  <c r="M3287" i="13" s="1"/>
  <c r="M3288" i="13" s="1"/>
  <c r="M3289" i="13" s="1"/>
  <c r="M3290" i="13" s="1"/>
  <c r="M3291" i="13" s="1"/>
  <c r="M3292" i="13" s="1"/>
  <c r="M3293" i="13" s="1"/>
  <c r="M3294" i="13" s="1"/>
  <c r="M3295" i="13" s="1"/>
  <c r="M3296" i="13" s="1"/>
  <c r="M3297" i="13" s="1"/>
  <c r="M3298" i="13" s="1"/>
  <c r="M3299" i="13" s="1"/>
  <c r="M3300" i="13" s="1"/>
  <c r="M3301" i="13" s="1"/>
  <c r="M3302" i="13" s="1"/>
  <c r="M3303" i="13" s="1"/>
  <c r="M3304" i="13" s="1"/>
  <c r="M3305" i="13" s="1"/>
  <c r="M3306" i="13" s="1"/>
  <c r="M3307" i="13" s="1"/>
  <c r="M3308" i="13" s="1"/>
  <c r="M3309" i="13" s="1"/>
  <c r="M3310" i="13" s="1"/>
  <c r="M3311" i="13" s="1"/>
  <c r="M3312" i="13" s="1"/>
  <c r="M3313" i="13" s="1"/>
  <c r="M3314" i="13" s="1"/>
  <c r="M3315" i="13" s="1"/>
  <c r="M3316" i="13" s="1"/>
  <c r="M3317" i="13" s="1"/>
  <c r="M3318" i="13" s="1"/>
  <c r="M3319" i="13" s="1"/>
  <c r="M3320" i="13" s="1"/>
  <c r="M3321" i="13" s="1"/>
  <c r="M3322" i="13" s="1"/>
  <c r="M3323" i="13" s="1"/>
  <c r="M3324" i="13" s="1"/>
  <c r="M3325" i="13" s="1"/>
  <c r="M3326" i="13" s="1"/>
  <c r="M3327" i="13" s="1"/>
  <c r="M3328" i="13" s="1"/>
  <c r="M3329" i="13" s="1"/>
  <c r="M3330" i="13" s="1"/>
  <c r="M3331" i="13" s="1"/>
  <c r="M3332" i="13" s="1"/>
  <c r="M3333" i="13" s="1"/>
  <c r="M3334" i="13" s="1"/>
  <c r="M3335" i="13" s="1"/>
  <c r="M3336" i="13" s="1"/>
  <c r="M3337" i="13" s="1"/>
  <c r="M3338" i="13" s="1"/>
  <c r="M3339" i="13" s="1"/>
  <c r="M3340" i="13" s="1"/>
  <c r="M3341" i="13" s="1"/>
  <c r="M3342" i="13" s="1"/>
  <c r="M3343" i="13" s="1"/>
  <c r="M3344" i="13" s="1"/>
  <c r="M3345" i="13" s="1"/>
  <c r="M3346" i="13" s="1"/>
  <c r="M3347" i="13" s="1"/>
  <c r="M3348" i="13" s="1"/>
  <c r="M3349" i="13" s="1"/>
  <c r="M3350" i="13" s="1"/>
  <c r="M3351" i="13" s="1"/>
  <c r="M3352" i="13" s="1"/>
  <c r="M3353" i="13" s="1"/>
  <c r="M3354" i="13" s="1"/>
  <c r="M3355" i="13" s="1"/>
  <c r="M3356" i="13" s="1"/>
  <c r="M3357" i="13" s="1"/>
  <c r="M3358" i="13" s="1"/>
  <c r="M3359" i="13" s="1"/>
  <c r="M3360" i="13" s="1"/>
  <c r="M3361" i="13" s="1"/>
  <c r="M3362" i="13" s="1"/>
  <c r="M3363" i="13" s="1"/>
  <c r="M3364" i="13" s="1"/>
  <c r="M3365" i="13" s="1"/>
  <c r="M3366" i="13" s="1"/>
  <c r="M3367" i="13" s="1"/>
  <c r="M3368" i="13" s="1"/>
  <c r="M3369" i="13" s="1"/>
  <c r="M3370" i="13" s="1"/>
  <c r="M3371" i="13" s="1"/>
  <c r="M3372" i="13" s="1"/>
  <c r="M3373" i="13" s="1"/>
  <c r="M3374" i="13" s="1"/>
  <c r="M3375" i="13" s="1"/>
  <c r="M3376" i="13" s="1"/>
  <c r="M3377" i="13" s="1"/>
  <c r="M3378" i="13" s="1"/>
  <c r="M3379" i="13" s="1"/>
  <c r="M3380" i="13" s="1"/>
  <c r="M3381" i="13" s="1"/>
  <c r="M3382" i="13" s="1"/>
  <c r="M3383" i="13" s="1"/>
  <c r="M3384" i="13" s="1"/>
  <c r="M3385" i="13" s="1"/>
  <c r="M3386" i="13" s="1"/>
  <c r="M3387" i="13" s="1"/>
  <c r="M3388" i="13" s="1"/>
  <c r="M3389" i="13" s="1"/>
  <c r="M3390" i="13" s="1"/>
  <c r="M3391" i="13" s="1"/>
  <c r="M3392" i="13" s="1"/>
  <c r="M3393" i="13" s="1"/>
  <c r="M3394" i="13" s="1"/>
  <c r="M3395" i="13" s="1"/>
  <c r="M3396" i="13" s="1"/>
  <c r="M3397" i="13" s="1"/>
  <c r="M3398" i="13" s="1"/>
  <c r="M3399" i="13" s="1"/>
  <c r="M3400" i="13" s="1"/>
  <c r="M3401" i="13" s="1"/>
  <c r="M3402" i="13" s="1"/>
  <c r="M3403" i="13" s="1"/>
  <c r="M3404" i="13" s="1"/>
  <c r="M3405" i="13" s="1"/>
  <c r="M3406" i="13" s="1"/>
  <c r="M3407" i="13" s="1"/>
  <c r="M3408" i="13" s="1"/>
  <c r="M3409" i="13" s="1"/>
  <c r="M3410" i="13" s="1"/>
  <c r="M3411" i="13" s="1"/>
  <c r="M3412" i="13" s="1"/>
  <c r="M3413" i="13" s="1"/>
  <c r="M3414" i="13" s="1"/>
  <c r="M3415" i="13" s="1"/>
  <c r="M3416" i="13" s="1"/>
  <c r="M3417" i="13" s="1"/>
  <c r="M3418" i="13" s="1"/>
  <c r="M3419" i="13" s="1"/>
  <c r="M3420" i="13" s="1"/>
  <c r="M3421" i="13" s="1"/>
  <c r="M3422" i="13" s="1"/>
  <c r="M3423" i="13" s="1"/>
  <c r="M3424" i="13" s="1"/>
  <c r="M3425" i="13" s="1"/>
  <c r="M3426" i="13" s="1"/>
  <c r="M3427" i="13" s="1"/>
  <c r="M3428" i="13" s="1"/>
  <c r="M3429" i="13" s="1"/>
  <c r="M3430" i="13" s="1"/>
  <c r="M3431" i="13" s="1"/>
  <c r="M3432" i="13" s="1"/>
  <c r="M3433" i="13" s="1"/>
  <c r="M3434" i="13" s="1"/>
  <c r="M3435" i="13" s="1"/>
  <c r="M3436" i="13" s="1"/>
  <c r="M3437" i="13" s="1"/>
  <c r="M3438" i="13" s="1"/>
  <c r="M3439" i="13" s="1"/>
  <c r="M3440" i="13" s="1"/>
  <c r="M3441" i="13" s="1"/>
  <c r="M3442" i="13" s="1"/>
  <c r="M3443" i="13" s="1"/>
  <c r="M3444" i="13" s="1"/>
  <c r="M3445" i="13" s="1"/>
  <c r="M3446" i="13" s="1"/>
  <c r="M3447" i="13" s="1"/>
  <c r="M3448" i="13" s="1"/>
  <c r="M3449" i="13" s="1"/>
  <c r="M3450" i="13" s="1"/>
  <c r="M3451" i="13" s="1"/>
  <c r="M3452" i="13" s="1"/>
  <c r="M3453" i="13" s="1"/>
  <c r="M3454" i="13" s="1"/>
  <c r="M3455" i="13" s="1"/>
  <c r="M3456" i="13" s="1"/>
  <c r="M3457" i="13" s="1"/>
  <c r="M3458" i="13" s="1"/>
  <c r="M3459" i="13" s="1"/>
  <c r="M3460" i="13" s="1"/>
  <c r="M3461" i="13" s="1"/>
  <c r="M3462" i="13" s="1"/>
  <c r="M3463" i="13" s="1"/>
  <c r="M3464" i="13" s="1"/>
  <c r="M3465" i="13" s="1"/>
  <c r="M3466" i="13" s="1"/>
  <c r="M3467" i="13" s="1"/>
  <c r="M3468" i="13" s="1"/>
  <c r="M3469" i="13" s="1"/>
  <c r="M3470" i="13" s="1"/>
  <c r="M3471" i="13" s="1"/>
  <c r="M3472" i="13" s="1"/>
  <c r="M3473" i="13" s="1"/>
  <c r="M3474" i="13" s="1"/>
  <c r="M3475" i="13" s="1"/>
  <c r="M3476" i="13" s="1"/>
  <c r="M3477" i="13" s="1"/>
  <c r="M3478" i="13" s="1"/>
  <c r="M3479" i="13" s="1"/>
  <c r="M3480" i="13" s="1"/>
  <c r="M3481" i="13" s="1"/>
  <c r="M3482" i="13" s="1"/>
  <c r="M3483" i="13" s="1"/>
  <c r="M3484" i="13" s="1"/>
  <c r="M3485" i="13" s="1"/>
  <c r="M3486" i="13" s="1"/>
  <c r="M3487" i="13" s="1"/>
  <c r="M3488" i="13" s="1"/>
  <c r="M3489" i="13" s="1"/>
  <c r="M3490" i="13" s="1"/>
  <c r="M3491" i="13" s="1"/>
  <c r="M3492" i="13" s="1"/>
  <c r="M3493" i="13" s="1"/>
  <c r="M3494" i="13" s="1"/>
  <c r="M3495" i="13" s="1"/>
  <c r="M3496" i="13" s="1"/>
  <c r="M3497" i="13" s="1"/>
  <c r="M3498" i="13" s="1"/>
  <c r="M3499" i="13" s="1"/>
  <c r="M3500" i="13" s="1"/>
  <c r="M3501" i="13" s="1"/>
  <c r="M3502" i="13" s="1"/>
  <c r="M3503" i="13" s="1"/>
  <c r="M3504" i="13" s="1"/>
  <c r="M3505" i="13" s="1"/>
  <c r="M3506" i="13" s="1"/>
  <c r="M3507" i="13" s="1"/>
  <c r="M3508" i="13" s="1"/>
  <c r="M3509" i="13" s="1"/>
  <c r="M3510" i="13" s="1"/>
  <c r="M3511" i="13" s="1"/>
  <c r="M3512" i="13" s="1"/>
  <c r="M3513" i="13" s="1"/>
  <c r="M3514" i="13" s="1"/>
  <c r="M3515" i="13" s="1"/>
  <c r="M3516" i="13" s="1"/>
  <c r="M3517" i="13" s="1"/>
  <c r="M3518" i="13" s="1"/>
  <c r="M3519" i="13" s="1"/>
  <c r="M3520" i="13" s="1"/>
  <c r="M3521" i="13" s="1"/>
  <c r="M3522" i="13" s="1"/>
  <c r="M3523" i="13" s="1"/>
  <c r="M3524" i="13" s="1"/>
  <c r="M3525" i="13" s="1"/>
  <c r="M3526" i="13" s="1"/>
  <c r="M3527" i="13" s="1"/>
  <c r="M3528" i="13" s="1"/>
  <c r="M3529" i="13" s="1"/>
  <c r="M3530" i="13" s="1"/>
  <c r="M3531" i="13" s="1"/>
  <c r="M3532" i="13" s="1"/>
  <c r="M3533" i="13" s="1"/>
  <c r="M3534" i="13" s="1"/>
  <c r="M3535" i="13" s="1"/>
  <c r="M3536" i="13" s="1"/>
  <c r="M3537" i="13" s="1"/>
  <c r="M3538" i="13" s="1"/>
  <c r="M3539" i="13" s="1"/>
  <c r="M3540" i="13" s="1"/>
  <c r="M3541" i="13" s="1"/>
  <c r="M3542" i="13" s="1"/>
  <c r="M3543" i="13" s="1"/>
  <c r="M3544" i="13" s="1"/>
  <c r="M3545" i="13" s="1"/>
  <c r="M3546" i="13" s="1"/>
  <c r="M3547" i="13" s="1"/>
  <c r="M3548" i="13" s="1"/>
  <c r="M3549" i="13" s="1"/>
  <c r="M3550" i="13" s="1"/>
  <c r="M3551" i="13" s="1"/>
  <c r="M3552" i="13" s="1"/>
  <c r="M3553" i="13" s="1"/>
  <c r="M3554" i="13" s="1"/>
  <c r="M3555" i="13" s="1"/>
  <c r="M3556" i="13" s="1"/>
  <c r="M3557" i="13" s="1"/>
  <c r="M3558" i="13" s="1"/>
  <c r="M3559" i="13" s="1"/>
  <c r="M3560" i="13" s="1"/>
  <c r="M3561" i="13" s="1"/>
  <c r="M3562" i="13" s="1"/>
  <c r="M3563" i="13" s="1"/>
  <c r="M3564" i="13" s="1"/>
  <c r="M3565" i="13" s="1"/>
  <c r="M3566" i="13" s="1"/>
  <c r="M3567" i="13" s="1"/>
  <c r="M3568" i="13" s="1"/>
  <c r="M3569" i="13" s="1"/>
  <c r="M3570" i="13" s="1"/>
  <c r="M3571" i="13" s="1"/>
  <c r="M3572" i="13" s="1"/>
  <c r="M3573" i="13" s="1"/>
  <c r="M3574" i="13" s="1"/>
  <c r="M3575" i="13" s="1"/>
  <c r="M3576" i="13" s="1"/>
  <c r="M3577" i="13" s="1"/>
  <c r="M3578" i="13" s="1"/>
  <c r="M3579" i="13" s="1"/>
  <c r="M3580" i="13" s="1"/>
  <c r="M3581" i="13" s="1"/>
  <c r="M3582" i="13" s="1"/>
  <c r="M3583" i="13" s="1"/>
  <c r="M3584" i="13" s="1"/>
  <c r="M3585" i="13" s="1"/>
  <c r="M3586" i="13" s="1"/>
  <c r="M3587" i="13" s="1"/>
  <c r="M3588" i="13" s="1"/>
  <c r="M3589" i="13" s="1"/>
  <c r="M3590" i="13" s="1"/>
  <c r="M3591" i="13" s="1"/>
  <c r="M3592" i="13" s="1"/>
  <c r="M3593" i="13" s="1"/>
  <c r="M3594" i="13" s="1"/>
  <c r="M3595" i="13" s="1"/>
  <c r="M3596" i="13" s="1"/>
  <c r="M3597" i="13" s="1"/>
  <c r="M3598" i="13" s="1"/>
  <c r="M3599" i="13" s="1"/>
  <c r="M3600" i="13" s="1"/>
  <c r="M3601" i="13" s="1"/>
  <c r="M3602" i="13" s="1"/>
  <c r="M3603" i="13" s="1"/>
  <c r="M3604" i="13" s="1"/>
  <c r="M3605" i="13" s="1"/>
  <c r="M3606" i="13" s="1"/>
  <c r="M3607" i="13" s="1"/>
  <c r="M3608" i="13" s="1"/>
  <c r="M3609" i="13" s="1"/>
  <c r="M3610" i="13" s="1"/>
  <c r="M3611" i="13" s="1"/>
  <c r="M3612" i="13" s="1"/>
  <c r="M3613" i="13" s="1"/>
  <c r="M3614" i="13" s="1"/>
  <c r="M3615" i="13" s="1"/>
  <c r="M3616" i="13" s="1"/>
  <c r="M3617" i="13" s="1"/>
  <c r="M3618" i="13" s="1"/>
  <c r="M3619" i="13" s="1"/>
  <c r="M3620" i="13" s="1"/>
  <c r="M3621" i="13" s="1"/>
  <c r="M3622" i="13" s="1"/>
  <c r="M3623" i="13" s="1"/>
  <c r="M3624" i="13" s="1"/>
  <c r="M3625" i="13" s="1"/>
  <c r="M3626" i="13" s="1"/>
  <c r="M3627" i="13" s="1"/>
  <c r="M3628" i="13" s="1"/>
  <c r="M3629" i="13" s="1"/>
  <c r="M3630" i="13" s="1"/>
  <c r="M3631" i="13" s="1"/>
  <c r="M3632" i="13" s="1"/>
  <c r="M3633" i="13" s="1"/>
  <c r="M3634" i="13" s="1"/>
  <c r="M3635" i="13" s="1"/>
  <c r="M3636" i="13" s="1"/>
  <c r="M3637" i="13" s="1"/>
  <c r="M3638" i="13" s="1"/>
  <c r="M3639" i="13" s="1"/>
  <c r="M3640" i="13" s="1"/>
  <c r="M3641" i="13" s="1"/>
  <c r="M3642" i="13" s="1"/>
  <c r="M3643" i="13" s="1"/>
  <c r="M3644" i="13" s="1"/>
  <c r="M3645" i="13" s="1"/>
  <c r="M3646" i="13" s="1"/>
  <c r="M3647" i="13" s="1"/>
  <c r="M3648" i="13" s="1"/>
  <c r="M3649" i="13" s="1"/>
  <c r="M3650" i="13" s="1"/>
  <c r="M3651" i="13" s="1"/>
  <c r="M3652" i="13" s="1"/>
  <c r="M3653" i="13" s="1"/>
  <c r="M3654" i="13" s="1"/>
  <c r="M3655" i="13" s="1"/>
  <c r="M3656" i="13" s="1"/>
  <c r="M3657" i="13" s="1"/>
  <c r="M3658" i="13" s="1"/>
  <c r="M3659" i="13" s="1"/>
  <c r="M3660" i="13" s="1"/>
  <c r="M3661" i="13" s="1"/>
  <c r="M3662" i="13" s="1"/>
  <c r="M3663" i="13" s="1"/>
  <c r="M3664" i="13" s="1"/>
  <c r="M3665" i="13" s="1"/>
  <c r="M3666" i="13" s="1"/>
  <c r="M3667" i="13" s="1"/>
  <c r="M3668" i="13" s="1"/>
  <c r="M3669" i="13" s="1"/>
  <c r="M3670" i="13" s="1"/>
  <c r="M3671" i="13" s="1"/>
  <c r="M3672" i="13" s="1"/>
  <c r="M3673" i="13" s="1"/>
  <c r="M3674" i="13" s="1"/>
  <c r="M3675" i="13" s="1"/>
  <c r="M3676" i="13" s="1"/>
  <c r="M3677" i="13" s="1"/>
  <c r="M3678" i="13" s="1"/>
  <c r="M3679" i="13" s="1"/>
  <c r="M3680" i="13" s="1"/>
  <c r="M3681" i="13" s="1"/>
  <c r="M3682" i="13" s="1"/>
  <c r="M3683" i="13" s="1"/>
  <c r="M3684" i="13" s="1"/>
  <c r="M3685" i="13" s="1"/>
  <c r="M3686" i="13" s="1"/>
  <c r="M3687" i="13" s="1"/>
  <c r="M3688" i="13" s="1"/>
  <c r="M3689" i="13" s="1"/>
  <c r="M3690" i="13" s="1"/>
  <c r="M3691" i="13" s="1"/>
  <c r="M3692" i="13" s="1"/>
  <c r="M3693" i="13" s="1"/>
  <c r="M3694" i="13" s="1"/>
  <c r="M3695" i="13" s="1"/>
  <c r="M3696" i="13" s="1"/>
  <c r="M3697" i="13" s="1"/>
  <c r="M3698" i="13" s="1"/>
  <c r="M3699" i="13" s="1"/>
  <c r="M3700" i="13" s="1"/>
  <c r="M3701" i="13" s="1"/>
  <c r="M3702" i="13" s="1"/>
  <c r="M3703" i="13" s="1"/>
  <c r="M3704" i="13" s="1"/>
  <c r="M3705" i="13" s="1"/>
  <c r="M3706" i="13" s="1"/>
  <c r="M3707" i="13" s="1"/>
  <c r="M3708" i="13" s="1"/>
  <c r="M3709" i="13" s="1"/>
  <c r="M3710" i="13" s="1"/>
  <c r="M3711" i="13" s="1"/>
  <c r="M3712" i="13" s="1"/>
  <c r="M3713" i="13" s="1"/>
  <c r="M3714" i="13" s="1"/>
  <c r="M3715" i="13" s="1"/>
  <c r="M3716" i="13" s="1"/>
  <c r="M3717" i="13" s="1"/>
  <c r="M3718" i="13" s="1"/>
  <c r="M3719" i="13" s="1"/>
  <c r="M3720" i="13" s="1"/>
  <c r="M3721" i="13" s="1"/>
  <c r="M3722" i="13" s="1"/>
  <c r="M3723" i="13" s="1"/>
  <c r="M3724" i="13" s="1"/>
  <c r="M3725" i="13" s="1"/>
  <c r="M3726" i="13" s="1"/>
  <c r="M3727" i="13" s="1"/>
  <c r="M3728" i="13" s="1"/>
  <c r="M3729" i="13" s="1"/>
  <c r="M3730" i="13" s="1"/>
  <c r="M3731" i="13" s="1"/>
  <c r="M3732" i="13" s="1"/>
  <c r="M3733" i="13" s="1"/>
  <c r="M3734" i="13" s="1"/>
  <c r="M3735" i="13" s="1"/>
  <c r="M3736" i="13" s="1"/>
  <c r="M3737" i="13" s="1"/>
  <c r="M3738" i="13" s="1"/>
  <c r="M3739" i="13" s="1"/>
  <c r="M3740" i="13" s="1"/>
  <c r="M3741" i="13" s="1"/>
  <c r="M3742" i="13" s="1"/>
  <c r="M3743" i="13" s="1"/>
  <c r="M3744" i="13" s="1"/>
  <c r="M3745" i="13" s="1"/>
  <c r="M3746" i="13" s="1"/>
  <c r="M3747" i="13" s="1"/>
  <c r="M3748" i="13" s="1"/>
  <c r="M3749" i="13" s="1"/>
  <c r="M3750" i="13" s="1"/>
  <c r="M3751" i="13" s="1"/>
  <c r="M3752" i="13" s="1"/>
  <c r="M3753" i="13" s="1"/>
  <c r="M3754" i="13" s="1"/>
  <c r="M3755" i="13" s="1"/>
  <c r="M3756" i="13" s="1"/>
  <c r="M3757" i="13" s="1"/>
  <c r="M3758" i="13" s="1"/>
  <c r="M3759" i="13" s="1"/>
  <c r="M3760" i="13" s="1"/>
  <c r="M3761" i="13" s="1"/>
  <c r="M3762" i="13" s="1"/>
  <c r="M3763" i="13" s="1"/>
  <c r="M3764" i="13" s="1"/>
  <c r="M3765" i="13" s="1"/>
  <c r="M3766" i="13" s="1"/>
  <c r="M3767" i="13" s="1"/>
  <c r="M3768" i="13" s="1"/>
  <c r="M3769" i="13" s="1"/>
  <c r="M3770" i="13" s="1"/>
  <c r="M3771" i="13" s="1"/>
  <c r="M3772" i="13" s="1"/>
  <c r="M3773" i="13" s="1"/>
  <c r="M3774" i="13" s="1"/>
  <c r="M3775" i="13" s="1"/>
  <c r="M3776" i="13" s="1"/>
  <c r="M3777" i="13" s="1"/>
  <c r="M3778" i="13" s="1"/>
  <c r="M3779" i="13" s="1"/>
  <c r="M3780" i="13" s="1"/>
  <c r="M3781" i="13" s="1"/>
  <c r="M3782" i="13" s="1"/>
  <c r="M3783" i="13" s="1"/>
  <c r="M3784" i="13" s="1"/>
  <c r="M3785" i="13" s="1"/>
  <c r="M3786" i="13" s="1"/>
  <c r="M3787" i="13" s="1"/>
  <c r="M3788" i="13" s="1"/>
  <c r="M3789" i="13" s="1"/>
  <c r="M3790" i="13" s="1"/>
  <c r="M3791" i="13" s="1"/>
  <c r="M3792" i="13" s="1"/>
  <c r="M3793" i="13" s="1"/>
  <c r="M3794" i="13" s="1"/>
  <c r="M3795" i="13" s="1"/>
  <c r="M3796" i="13" s="1"/>
  <c r="M3797" i="13" s="1"/>
  <c r="M3798" i="13" s="1"/>
  <c r="M3799" i="13" s="1"/>
  <c r="M3800" i="13" s="1"/>
  <c r="M3801" i="13" s="1"/>
  <c r="M3802" i="13" s="1"/>
  <c r="M3803" i="13" s="1"/>
  <c r="M3804" i="13" s="1"/>
  <c r="M3805" i="13" s="1"/>
  <c r="M3806" i="13" s="1"/>
  <c r="M3807" i="13" s="1"/>
  <c r="M3808" i="13" s="1"/>
  <c r="M3809" i="13" s="1"/>
  <c r="M3810" i="13" s="1"/>
  <c r="M3811" i="13" s="1"/>
  <c r="M3812" i="13" s="1"/>
  <c r="M3813" i="13" s="1"/>
  <c r="M3814" i="13" s="1"/>
  <c r="M3815" i="13" s="1"/>
  <c r="M3816" i="13" s="1"/>
  <c r="M3817" i="13" s="1"/>
  <c r="M3818" i="13" s="1"/>
  <c r="M3819" i="13" s="1"/>
  <c r="M3820" i="13" s="1"/>
  <c r="M3821" i="13" s="1"/>
  <c r="M3822" i="13" s="1"/>
  <c r="M3823" i="13" s="1"/>
  <c r="M3824" i="13" s="1"/>
  <c r="M3825" i="13" s="1"/>
  <c r="M3826" i="13" s="1"/>
  <c r="M3827" i="13" s="1"/>
  <c r="M3828" i="13" s="1"/>
  <c r="M3829" i="13" s="1"/>
  <c r="M3830" i="13" s="1"/>
  <c r="M3831" i="13" s="1"/>
  <c r="M3832" i="13" s="1"/>
  <c r="M3833" i="13" s="1"/>
  <c r="M3834" i="13" s="1"/>
  <c r="M3835" i="13" s="1"/>
  <c r="M3836" i="13" s="1"/>
  <c r="M3837" i="13" s="1"/>
  <c r="M3838" i="13" s="1"/>
  <c r="M3839" i="13" s="1"/>
  <c r="M3840" i="13" s="1"/>
  <c r="M3841" i="13" s="1"/>
  <c r="M3842" i="13" s="1"/>
  <c r="M3843" i="13" s="1"/>
  <c r="M3844" i="13" s="1"/>
  <c r="M3845" i="13" s="1"/>
  <c r="M3846" i="13" s="1"/>
  <c r="M3847" i="13" s="1"/>
  <c r="M3848" i="13" s="1"/>
  <c r="M3849" i="13" s="1"/>
  <c r="M3850" i="13" s="1"/>
  <c r="M3851" i="13" s="1"/>
  <c r="M3852" i="13" s="1"/>
  <c r="M3853" i="13" s="1"/>
  <c r="M3854" i="13" s="1"/>
  <c r="M3855" i="13" s="1"/>
  <c r="M3856" i="13" s="1"/>
  <c r="M3857" i="13" s="1"/>
  <c r="M3858" i="13" s="1"/>
  <c r="M3859" i="13" s="1"/>
  <c r="M3860" i="13" s="1"/>
  <c r="M3861" i="13" s="1"/>
  <c r="M3862" i="13" s="1"/>
  <c r="M3863" i="13" s="1"/>
  <c r="M3864" i="13" s="1"/>
  <c r="M3865" i="13" s="1"/>
  <c r="M3866" i="13" s="1"/>
  <c r="M3867" i="13" s="1"/>
  <c r="M3868" i="13" s="1"/>
  <c r="M3869" i="13" s="1"/>
  <c r="M3870" i="13" s="1"/>
  <c r="M3871" i="13" s="1"/>
  <c r="M3872" i="13" s="1"/>
  <c r="M3873" i="13" s="1"/>
  <c r="M3874" i="13" s="1"/>
  <c r="M3875" i="13" s="1"/>
  <c r="M3876" i="13" s="1"/>
  <c r="M3877" i="13" s="1"/>
  <c r="M3878" i="13" s="1"/>
  <c r="M3879" i="13" s="1"/>
  <c r="M3880" i="13" s="1"/>
  <c r="M3881" i="13" s="1"/>
  <c r="M3882" i="13" s="1"/>
  <c r="M3883" i="13" s="1"/>
  <c r="M3884" i="13" s="1"/>
  <c r="M3885" i="13" s="1"/>
  <c r="M3886" i="13" s="1"/>
  <c r="M3887" i="13" s="1"/>
  <c r="M3888" i="13" s="1"/>
  <c r="M3889" i="13" s="1"/>
  <c r="M3890" i="13" s="1"/>
  <c r="M3891" i="13" s="1"/>
  <c r="M3892" i="13" s="1"/>
  <c r="M3893" i="13" s="1"/>
  <c r="M3894" i="13" s="1"/>
  <c r="M3895" i="13" s="1"/>
  <c r="M3896" i="13" s="1"/>
  <c r="M3897" i="13" s="1"/>
  <c r="M3898" i="13" s="1"/>
  <c r="M3899" i="13" s="1"/>
  <c r="M3900" i="13" s="1"/>
  <c r="M3901" i="13" s="1"/>
  <c r="M3902" i="13" s="1"/>
  <c r="M3903" i="13" s="1"/>
  <c r="M3904" i="13" s="1"/>
  <c r="M3905" i="13" s="1"/>
  <c r="M3906" i="13" s="1"/>
  <c r="M3907" i="13" s="1"/>
  <c r="M3908" i="13" s="1"/>
  <c r="M3909" i="13" s="1"/>
  <c r="M3910" i="13" s="1"/>
  <c r="M3911" i="13" s="1"/>
  <c r="M3912" i="13" s="1"/>
  <c r="M3913" i="13" s="1"/>
  <c r="M3914" i="13" s="1"/>
  <c r="M3915" i="13" s="1"/>
  <c r="M3916" i="13" s="1"/>
  <c r="M3917" i="13" s="1"/>
  <c r="M3918" i="13" s="1"/>
  <c r="M3919" i="13" s="1"/>
  <c r="M3920" i="13" s="1"/>
  <c r="M3921" i="13" s="1"/>
  <c r="M3922" i="13" s="1"/>
  <c r="M3923" i="13" s="1"/>
  <c r="M3924" i="13" s="1"/>
  <c r="M3925" i="13" s="1"/>
  <c r="M3926" i="13" s="1"/>
  <c r="M3927" i="13" s="1"/>
  <c r="M3928" i="13" s="1"/>
  <c r="M3929" i="13" s="1"/>
  <c r="M3930" i="13" s="1"/>
  <c r="M3931" i="13" s="1"/>
  <c r="M3932" i="13" s="1"/>
  <c r="M3933" i="13" s="1"/>
  <c r="M3934" i="13" s="1"/>
  <c r="M3935" i="13" s="1"/>
  <c r="M3936" i="13" s="1"/>
  <c r="M3937" i="13" s="1"/>
  <c r="M3938" i="13" s="1"/>
  <c r="M3939" i="13" s="1"/>
  <c r="M3940" i="13" s="1"/>
  <c r="M3941" i="13" s="1"/>
  <c r="M3942" i="13" s="1"/>
  <c r="M3943" i="13" s="1"/>
  <c r="M3944" i="13" s="1"/>
  <c r="M3945" i="13" s="1"/>
  <c r="M3946" i="13" s="1"/>
  <c r="M3947" i="13" s="1"/>
  <c r="M3948" i="13" s="1"/>
  <c r="M3949" i="13" s="1"/>
  <c r="M3950" i="13" s="1"/>
  <c r="M3951" i="13" s="1"/>
  <c r="M3952" i="13" s="1"/>
  <c r="M3953" i="13" s="1"/>
  <c r="M3954" i="13" s="1"/>
  <c r="M3955" i="13" s="1"/>
  <c r="M3956" i="13" s="1"/>
  <c r="M3957" i="13" s="1"/>
  <c r="M3958" i="13" s="1"/>
  <c r="M3959" i="13" s="1"/>
  <c r="M3960" i="13" s="1"/>
  <c r="M3961" i="13" s="1"/>
  <c r="M3962" i="13" s="1"/>
  <c r="M3963" i="13" s="1"/>
  <c r="M3964" i="13" s="1"/>
  <c r="M3965" i="13" s="1"/>
  <c r="M3966" i="13" s="1"/>
  <c r="M3967" i="13" s="1"/>
  <c r="M3968" i="13" s="1"/>
  <c r="M3969" i="13" s="1"/>
  <c r="M3970" i="13" s="1"/>
  <c r="M3971" i="13" s="1"/>
  <c r="M3972" i="13" s="1"/>
  <c r="M3973" i="13" s="1"/>
  <c r="M3974" i="13" s="1"/>
  <c r="M3975" i="13" s="1"/>
  <c r="M3976" i="13" s="1"/>
  <c r="M3977" i="13" s="1"/>
  <c r="M3978" i="13" s="1"/>
  <c r="M3979" i="13" s="1"/>
  <c r="M3980" i="13" s="1"/>
  <c r="M3981" i="13" s="1"/>
  <c r="M3982" i="13" s="1"/>
  <c r="M3983" i="13" s="1"/>
  <c r="M3984" i="13" s="1"/>
  <c r="M3985" i="13" s="1"/>
  <c r="M3986" i="13" s="1"/>
  <c r="M3987" i="13" s="1"/>
  <c r="M3988" i="13" s="1"/>
  <c r="M3989" i="13" s="1"/>
  <c r="M3990" i="13" s="1"/>
  <c r="M3991" i="13" s="1"/>
  <c r="M3992" i="13" s="1"/>
  <c r="M3993" i="13" s="1"/>
  <c r="M3994" i="13" s="1"/>
  <c r="M3995" i="13" s="1"/>
  <c r="M3996" i="13" s="1"/>
  <c r="M3997" i="13" s="1"/>
  <c r="M3998" i="13" s="1"/>
  <c r="M3999" i="13" s="1"/>
  <c r="M4000" i="13" s="1"/>
  <c r="M4001" i="13" s="1"/>
  <c r="M4002" i="13" s="1"/>
  <c r="M4003" i="13" s="1"/>
  <c r="M4004" i="13" s="1"/>
  <c r="M4005" i="13" s="1"/>
  <c r="M4006" i="13" s="1"/>
  <c r="M4007" i="13" s="1"/>
  <c r="M4008" i="13" s="1"/>
  <c r="M4009" i="13" s="1"/>
  <c r="M4010" i="13" s="1"/>
  <c r="M4011" i="13" s="1"/>
  <c r="M4012" i="13" s="1"/>
  <c r="M4013" i="13" s="1"/>
  <c r="M4014" i="13" s="1"/>
  <c r="M4015" i="13" s="1"/>
  <c r="M4016" i="13" s="1"/>
  <c r="M4017" i="13" s="1"/>
  <c r="M4018" i="13" s="1"/>
  <c r="M4019" i="13" s="1"/>
  <c r="M4020" i="13" s="1"/>
  <c r="M4021" i="13" s="1"/>
  <c r="M4022" i="13" s="1"/>
  <c r="M4023" i="13" s="1"/>
  <c r="M4024" i="13" s="1"/>
  <c r="M4025" i="13" s="1"/>
  <c r="M4026" i="13" s="1"/>
  <c r="M4027" i="13" s="1"/>
  <c r="M4028" i="13" s="1"/>
  <c r="M4029" i="13" s="1"/>
  <c r="M4030" i="13" s="1"/>
  <c r="M4031" i="13" s="1"/>
  <c r="M4032" i="13" s="1"/>
  <c r="M4033" i="13" s="1"/>
  <c r="M4034" i="13" s="1"/>
  <c r="M4035" i="13" s="1"/>
  <c r="M4036" i="13" s="1"/>
  <c r="M4037" i="13" s="1"/>
  <c r="M4038" i="13" s="1"/>
  <c r="M4039" i="13" s="1"/>
  <c r="M4040" i="13" s="1"/>
  <c r="M4041" i="13" s="1"/>
  <c r="M4042" i="13" s="1"/>
  <c r="M4043" i="13" s="1"/>
  <c r="M4044" i="13" s="1"/>
  <c r="M4045" i="13" s="1"/>
  <c r="M4046" i="13" s="1"/>
  <c r="M4047" i="13" s="1"/>
  <c r="M4048" i="13" s="1"/>
  <c r="M4049" i="13" s="1"/>
  <c r="M4050" i="13" s="1"/>
  <c r="M4051" i="13" s="1"/>
  <c r="M4052" i="13" s="1"/>
  <c r="M4053" i="13" s="1"/>
  <c r="M4054" i="13" s="1"/>
  <c r="M4055" i="13" s="1"/>
  <c r="M4056" i="13" s="1"/>
  <c r="M4057" i="13" s="1"/>
  <c r="M4058" i="13" s="1"/>
  <c r="M4059" i="13" s="1"/>
  <c r="M4060" i="13" s="1"/>
  <c r="M4061" i="13" s="1"/>
  <c r="M4062" i="13" s="1"/>
  <c r="M4063" i="13" s="1"/>
  <c r="M4064" i="13" s="1"/>
  <c r="M4065" i="13" s="1"/>
  <c r="M4066" i="13" s="1"/>
  <c r="M4067" i="13" s="1"/>
  <c r="M4068" i="13" s="1"/>
  <c r="M4069" i="13" s="1"/>
  <c r="M4070" i="13" s="1"/>
  <c r="M4071" i="13" s="1"/>
  <c r="M4072" i="13" s="1"/>
  <c r="M4073" i="13" s="1"/>
  <c r="M4074" i="13" s="1"/>
  <c r="M4075" i="13" s="1"/>
  <c r="M4076" i="13" s="1"/>
  <c r="M4077" i="13" s="1"/>
  <c r="M4078" i="13" s="1"/>
  <c r="M4079" i="13" s="1"/>
  <c r="M4080" i="13" s="1"/>
  <c r="M4081" i="13" s="1"/>
  <c r="M4082" i="13" s="1"/>
  <c r="M4083" i="13" s="1"/>
  <c r="M4084" i="13" s="1"/>
  <c r="M4085" i="13" s="1"/>
  <c r="M4086" i="13" s="1"/>
  <c r="M4087" i="13" s="1"/>
  <c r="M4088" i="13" s="1"/>
  <c r="M4089" i="13" s="1"/>
  <c r="M4090" i="13" s="1"/>
  <c r="M4091" i="13" s="1"/>
  <c r="M4092" i="13" s="1"/>
  <c r="M4093" i="13" s="1"/>
  <c r="M4094" i="13" s="1"/>
  <c r="M4095" i="13" s="1"/>
  <c r="M4096" i="13" s="1"/>
  <c r="M4097" i="13" s="1"/>
  <c r="M4098" i="13" s="1"/>
  <c r="M4099" i="13" s="1"/>
  <c r="M4100" i="13" s="1"/>
  <c r="M4101" i="13" s="1"/>
  <c r="M4102" i="13" s="1"/>
  <c r="M4103" i="13" s="1"/>
  <c r="M4104" i="13" s="1"/>
  <c r="M4105" i="13" s="1"/>
  <c r="M4106" i="13" s="1"/>
  <c r="M4107" i="13" s="1"/>
  <c r="M4108" i="13" s="1"/>
  <c r="M4109" i="13" s="1"/>
  <c r="M4110" i="13" s="1"/>
  <c r="M4111" i="13" s="1"/>
  <c r="M4112" i="13" s="1"/>
  <c r="M4113" i="13" s="1"/>
  <c r="M4114" i="13" s="1"/>
  <c r="M4115" i="13" s="1"/>
  <c r="M4116" i="13" s="1"/>
  <c r="M4117" i="13" s="1"/>
  <c r="M4118" i="13" s="1"/>
  <c r="M4119" i="13" s="1"/>
  <c r="M4120" i="13" s="1"/>
  <c r="M4121" i="13" s="1"/>
  <c r="M4122" i="13" s="1"/>
  <c r="M4123" i="13" s="1"/>
  <c r="M4124" i="13" s="1"/>
  <c r="M4125" i="13" s="1"/>
  <c r="M4126" i="13" s="1"/>
  <c r="M4127" i="13" s="1"/>
  <c r="M4128" i="13" s="1"/>
  <c r="M4129" i="13" s="1"/>
  <c r="M4130" i="13" s="1"/>
  <c r="M4131" i="13" s="1"/>
  <c r="M4132" i="13" s="1"/>
  <c r="M4133" i="13" s="1"/>
  <c r="M4134" i="13" s="1"/>
  <c r="M4135" i="13" s="1"/>
  <c r="M4136" i="13" s="1"/>
  <c r="M4137" i="13" s="1"/>
  <c r="M4138" i="13" s="1"/>
  <c r="M4139" i="13" s="1"/>
  <c r="M4140" i="13" s="1"/>
  <c r="M4141" i="13" s="1"/>
  <c r="M4142" i="13" s="1"/>
  <c r="M4143" i="13" s="1"/>
  <c r="M4144" i="13" s="1"/>
  <c r="M4145" i="13" s="1"/>
  <c r="M4146" i="13" s="1"/>
  <c r="M4147" i="13" s="1"/>
  <c r="M4148" i="13" s="1"/>
  <c r="M4149" i="13" s="1"/>
  <c r="M4150" i="13" s="1"/>
  <c r="M4151" i="13" s="1"/>
  <c r="M4152" i="13" s="1"/>
  <c r="M4153" i="13" s="1"/>
  <c r="M4154" i="13" s="1"/>
  <c r="M4155" i="13" s="1"/>
  <c r="M4156" i="13" s="1"/>
  <c r="M4157" i="13" s="1"/>
  <c r="M4158" i="13" s="1"/>
  <c r="M4159" i="13" s="1"/>
  <c r="M4160" i="13" s="1"/>
  <c r="M4161" i="13" s="1"/>
  <c r="M4162" i="13" s="1"/>
  <c r="M4163" i="13" s="1"/>
  <c r="M4164" i="13" s="1"/>
  <c r="M4165" i="13" s="1"/>
  <c r="M4166" i="13" s="1"/>
  <c r="M4167" i="13" s="1"/>
  <c r="M4168" i="13" s="1"/>
  <c r="M4169" i="13" s="1"/>
  <c r="M4170" i="13" s="1"/>
  <c r="M4171" i="13" s="1"/>
  <c r="M4172" i="13" s="1"/>
  <c r="M4173" i="13" s="1"/>
  <c r="M4174" i="13" s="1"/>
  <c r="M4175" i="13" s="1"/>
  <c r="M4176" i="13" s="1"/>
  <c r="M4177" i="13" s="1"/>
  <c r="M4178" i="13" s="1"/>
  <c r="M4179" i="13" s="1"/>
  <c r="M4180" i="13" s="1"/>
  <c r="M4181" i="13" s="1"/>
  <c r="M4182" i="13" s="1"/>
  <c r="M4183" i="13" s="1"/>
  <c r="M4184" i="13" s="1"/>
  <c r="M4185" i="13" s="1"/>
  <c r="M4186" i="13" s="1"/>
  <c r="M4187" i="13" s="1"/>
  <c r="M4188" i="13" s="1"/>
  <c r="M4189" i="13" s="1"/>
  <c r="M4190" i="13" s="1"/>
  <c r="M4191" i="13" s="1"/>
  <c r="M4192" i="13" s="1"/>
  <c r="M4193" i="13" s="1"/>
  <c r="M4194" i="13" s="1"/>
  <c r="M4195" i="13" s="1"/>
  <c r="M4196" i="13" s="1"/>
  <c r="M4197" i="13" s="1"/>
  <c r="M4198" i="13" s="1"/>
  <c r="M4199" i="13" s="1"/>
  <c r="M4200" i="13" s="1"/>
  <c r="M4201" i="13" s="1"/>
  <c r="M4202" i="13" s="1"/>
  <c r="M4203" i="13" s="1"/>
  <c r="M4204" i="13" s="1"/>
  <c r="M4205" i="13" s="1"/>
  <c r="M4206" i="13" s="1"/>
  <c r="M4207" i="13" s="1"/>
  <c r="M4208" i="13" s="1"/>
  <c r="M4209" i="13" s="1"/>
  <c r="M4210" i="13" s="1"/>
  <c r="M4211" i="13" s="1"/>
  <c r="M4212" i="13" s="1"/>
  <c r="M4213" i="13" s="1"/>
  <c r="M4214" i="13" s="1"/>
  <c r="M4215" i="13" s="1"/>
  <c r="M4216" i="13" s="1"/>
  <c r="M4217" i="13" s="1"/>
  <c r="M4218" i="13" s="1"/>
  <c r="M4219" i="13" s="1"/>
  <c r="M4220" i="13" s="1"/>
  <c r="M4221" i="13" s="1"/>
  <c r="M4222" i="13" s="1"/>
  <c r="M4223" i="13" s="1"/>
  <c r="M4224" i="13" s="1"/>
  <c r="M4225" i="13" s="1"/>
  <c r="M4226" i="13" s="1"/>
  <c r="M4227" i="13" s="1"/>
  <c r="M4228" i="13" s="1"/>
  <c r="M4229" i="13" s="1"/>
  <c r="M4230" i="13" s="1"/>
  <c r="M4231" i="13" s="1"/>
  <c r="M4232" i="13" s="1"/>
  <c r="M4233" i="13" s="1"/>
  <c r="M4234" i="13" s="1"/>
  <c r="M4235" i="13" s="1"/>
  <c r="M4236" i="13" s="1"/>
  <c r="M4237" i="13" s="1"/>
  <c r="M4238" i="13" s="1"/>
  <c r="M4239" i="13" s="1"/>
  <c r="M4240" i="13" s="1"/>
  <c r="M4241" i="13" s="1"/>
  <c r="M4242" i="13" s="1"/>
  <c r="M4243" i="13" s="1"/>
  <c r="M4244" i="13" s="1"/>
  <c r="M4245" i="13" s="1"/>
  <c r="M4246" i="13" s="1"/>
  <c r="M4247" i="13" s="1"/>
  <c r="M4248" i="13" s="1"/>
  <c r="M4249" i="13" s="1"/>
  <c r="M4250" i="13" s="1"/>
  <c r="M4251" i="13" s="1"/>
  <c r="M4252" i="13" s="1"/>
  <c r="M4253" i="13" s="1"/>
  <c r="M4254" i="13" s="1"/>
  <c r="M4255" i="13" s="1"/>
  <c r="M4256" i="13" s="1"/>
  <c r="M4257" i="13" s="1"/>
  <c r="M4258" i="13" s="1"/>
  <c r="M4259" i="13" s="1"/>
  <c r="M4260" i="13" s="1"/>
  <c r="M4261" i="13" s="1"/>
  <c r="M4262" i="13" s="1"/>
  <c r="M4263" i="13" s="1"/>
  <c r="M4264" i="13" s="1"/>
  <c r="M4265" i="13" s="1"/>
  <c r="M4266" i="13" s="1"/>
  <c r="M4267" i="13" s="1"/>
  <c r="M4268" i="13" s="1"/>
  <c r="M4269" i="13" s="1"/>
  <c r="M4270" i="13" s="1"/>
  <c r="M4271" i="13" s="1"/>
  <c r="M4272" i="13" s="1"/>
  <c r="M4273" i="13" s="1"/>
  <c r="M4274" i="13" s="1"/>
  <c r="M4275" i="13" s="1"/>
  <c r="M4276" i="13" s="1"/>
  <c r="M4277" i="13" s="1"/>
  <c r="M4278" i="13" s="1"/>
  <c r="M4279" i="13" s="1"/>
  <c r="M4280" i="13" s="1"/>
  <c r="M4281" i="13" s="1"/>
  <c r="M4282" i="13" s="1"/>
  <c r="M4283" i="13" s="1"/>
  <c r="M4284" i="13" s="1"/>
  <c r="M4285" i="13" s="1"/>
  <c r="M4286" i="13" s="1"/>
  <c r="M4287" i="13" s="1"/>
  <c r="M4288" i="13" s="1"/>
  <c r="M4289" i="13" s="1"/>
  <c r="M4290" i="13" s="1"/>
  <c r="M4291" i="13" s="1"/>
  <c r="M4292" i="13" s="1"/>
  <c r="M4293" i="13" s="1"/>
  <c r="M4294" i="13" s="1"/>
  <c r="M4295" i="13" s="1"/>
  <c r="M4296" i="13" s="1"/>
  <c r="M4297" i="13" s="1"/>
  <c r="M4298" i="13" s="1"/>
  <c r="M4299" i="13" s="1"/>
  <c r="M4300" i="13" s="1"/>
  <c r="M4301" i="13" s="1"/>
  <c r="M4302" i="13" s="1"/>
  <c r="M4303" i="13" s="1"/>
  <c r="M4304" i="13" s="1"/>
  <c r="M4305" i="13" s="1"/>
  <c r="M4306" i="13" s="1"/>
  <c r="M4307" i="13" s="1"/>
  <c r="M4308" i="13" s="1"/>
  <c r="M4309" i="13" s="1"/>
  <c r="M4310" i="13" s="1"/>
  <c r="M4311" i="13" s="1"/>
  <c r="M4312" i="13" s="1"/>
  <c r="M4313" i="13" s="1"/>
  <c r="M4314" i="13" s="1"/>
  <c r="M4315" i="13" s="1"/>
  <c r="M4316" i="13" s="1"/>
  <c r="M4317" i="13" s="1"/>
  <c r="M4318" i="13" s="1"/>
  <c r="M4319" i="13" s="1"/>
  <c r="M4320" i="13" s="1"/>
  <c r="M4321" i="13" s="1"/>
  <c r="M4322" i="13" s="1"/>
  <c r="M4323" i="13" s="1"/>
  <c r="M4324" i="13" s="1"/>
  <c r="M4325" i="13" s="1"/>
  <c r="M4326" i="13" s="1"/>
  <c r="M4327" i="13" s="1"/>
  <c r="M4328" i="13" s="1"/>
  <c r="M4329" i="13" s="1"/>
  <c r="M4330" i="13" s="1"/>
  <c r="M4331" i="13" s="1"/>
  <c r="M4332" i="13" s="1"/>
  <c r="M4333" i="13" s="1"/>
  <c r="M4334" i="13" s="1"/>
  <c r="M4335" i="13" s="1"/>
  <c r="M4336" i="13" s="1"/>
  <c r="M4337" i="13" s="1"/>
  <c r="M4338" i="13" s="1"/>
  <c r="M4339" i="13" s="1"/>
  <c r="M4340" i="13" s="1"/>
  <c r="M4341" i="13" s="1"/>
  <c r="M4342" i="13" s="1"/>
  <c r="M4343" i="13" s="1"/>
  <c r="M4344" i="13" s="1"/>
  <c r="M4345" i="13" s="1"/>
  <c r="M4346" i="13" s="1"/>
  <c r="M4347" i="13" s="1"/>
  <c r="M4348" i="13" s="1"/>
  <c r="M4349" i="13" s="1"/>
  <c r="M4350" i="13" s="1"/>
  <c r="M4351" i="13" s="1"/>
  <c r="M4352" i="13" s="1"/>
  <c r="M4353" i="13" s="1"/>
  <c r="M4354" i="13" s="1"/>
  <c r="M4355" i="13" s="1"/>
  <c r="M4356" i="13" s="1"/>
  <c r="M4357" i="13" s="1"/>
  <c r="M4358" i="13" s="1"/>
  <c r="M4359" i="13" s="1"/>
  <c r="M4360" i="13" s="1"/>
  <c r="M4361" i="13" s="1"/>
  <c r="M4362" i="13" s="1"/>
  <c r="M4363" i="13" s="1"/>
  <c r="M4364" i="13" s="1"/>
  <c r="M4365" i="13" s="1"/>
  <c r="M4366" i="13" s="1"/>
  <c r="M4367" i="13" s="1"/>
  <c r="M4368" i="13" s="1"/>
  <c r="M4369" i="13" s="1"/>
  <c r="M4370" i="13" s="1"/>
  <c r="M4371" i="13" s="1"/>
  <c r="M4372" i="13" s="1"/>
  <c r="M4373" i="13" s="1"/>
  <c r="M4374" i="13" s="1"/>
  <c r="M4375" i="13" s="1"/>
  <c r="M4376" i="13" s="1"/>
  <c r="M4377" i="13" s="1"/>
  <c r="M4378" i="13" s="1"/>
  <c r="M4379" i="13" s="1"/>
  <c r="M4380" i="13" s="1"/>
  <c r="M4381" i="13" s="1"/>
  <c r="M4382" i="13" s="1"/>
  <c r="M4383" i="13" s="1"/>
  <c r="M4384" i="13" s="1"/>
  <c r="M4385" i="13" s="1"/>
  <c r="M4386" i="13" s="1"/>
  <c r="M4387" i="13" s="1"/>
  <c r="M4388" i="13" s="1"/>
  <c r="M4389" i="13" s="1"/>
  <c r="M4390" i="13" s="1"/>
  <c r="M4391" i="13" s="1"/>
  <c r="M4392" i="13" s="1"/>
  <c r="M4393" i="13" s="1"/>
  <c r="M4394" i="13" s="1"/>
  <c r="M4395" i="13" s="1"/>
  <c r="M4396" i="13" s="1"/>
  <c r="M4397" i="13" s="1"/>
  <c r="M4398" i="13" s="1"/>
  <c r="M4399" i="13" s="1"/>
  <c r="M4400" i="13" s="1"/>
  <c r="M4401" i="13" s="1"/>
  <c r="M4402" i="13" s="1"/>
  <c r="M4403" i="13" s="1"/>
  <c r="M4404" i="13" s="1"/>
  <c r="M4405" i="13" s="1"/>
  <c r="M4406" i="13" s="1"/>
  <c r="M4407" i="13" s="1"/>
  <c r="M4408" i="13" s="1"/>
  <c r="M4409" i="13" s="1"/>
  <c r="M4410" i="13" s="1"/>
  <c r="M4411" i="13" s="1"/>
  <c r="M4412" i="13" s="1"/>
  <c r="M4413" i="13" s="1"/>
  <c r="M4414" i="13" s="1"/>
  <c r="M4415" i="13" s="1"/>
  <c r="M4416" i="13" s="1"/>
  <c r="M4417" i="13" s="1"/>
  <c r="M4418" i="13" s="1"/>
  <c r="M4419" i="13" s="1"/>
  <c r="M4420" i="13" s="1"/>
  <c r="M4421" i="13" s="1"/>
  <c r="M4422" i="13" s="1"/>
  <c r="M4423" i="13" s="1"/>
  <c r="M4424" i="13" s="1"/>
  <c r="M4425" i="13" s="1"/>
  <c r="M4426" i="13" s="1"/>
  <c r="M4427" i="13" s="1"/>
  <c r="M4428" i="13" s="1"/>
  <c r="M4429" i="13" s="1"/>
  <c r="M4430" i="13" s="1"/>
  <c r="M4431" i="13" s="1"/>
  <c r="M4432" i="13" s="1"/>
  <c r="M4433" i="13" s="1"/>
  <c r="M4434" i="13" s="1"/>
  <c r="M4435" i="13" s="1"/>
  <c r="M4436" i="13" s="1"/>
  <c r="M4437" i="13" s="1"/>
  <c r="M4438" i="13" s="1"/>
  <c r="M4439" i="13" s="1"/>
  <c r="M4440" i="13" s="1"/>
  <c r="M4441" i="13" s="1"/>
  <c r="M4442" i="13" s="1"/>
  <c r="M4443" i="13" s="1"/>
  <c r="M4444" i="13" s="1"/>
  <c r="M4445" i="13" s="1"/>
  <c r="M4446" i="13" s="1"/>
  <c r="M4447" i="13" s="1"/>
  <c r="M4448" i="13" s="1"/>
  <c r="M4449" i="13" s="1"/>
  <c r="M4450" i="13" s="1"/>
  <c r="M4451" i="13" s="1"/>
  <c r="M4452" i="13" s="1"/>
  <c r="M4453" i="13" s="1"/>
  <c r="M4454" i="13" s="1"/>
  <c r="M4455" i="13" s="1"/>
  <c r="M4456" i="13" s="1"/>
  <c r="M4457" i="13" s="1"/>
  <c r="M4458" i="13" s="1"/>
  <c r="M4459" i="13" s="1"/>
  <c r="M4460" i="13" s="1"/>
  <c r="M4461" i="13" s="1"/>
  <c r="M4462" i="13" s="1"/>
  <c r="M4463" i="13" s="1"/>
  <c r="M4464" i="13" s="1"/>
  <c r="M4465" i="13" s="1"/>
  <c r="M4466" i="13" s="1"/>
  <c r="M4467" i="13" s="1"/>
  <c r="M4468" i="13" s="1"/>
  <c r="M4469" i="13" s="1"/>
  <c r="M4470" i="13" s="1"/>
  <c r="M4471" i="13" s="1"/>
  <c r="M4472" i="13" s="1"/>
  <c r="M4473" i="13" s="1"/>
  <c r="M4474" i="13" s="1"/>
  <c r="M4475" i="13" s="1"/>
  <c r="M4476" i="13" s="1"/>
  <c r="M4477" i="13" s="1"/>
  <c r="M4478" i="13" s="1"/>
  <c r="M4479" i="13" s="1"/>
  <c r="M4480" i="13" s="1"/>
  <c r="M4481" i="13" s="1"/>
  <c r="M4482" i="13" s="1"/>
  <c r="M4483" i="13" s="1"/>
  <c r="M4484" i="13" s="1"/>
  <c r="M4485" i="13" s="1"/>
  <c r="M4486" i="13" s="1"/>
  <c r="M4487" i="13" s="1"/>
  <c r="M4488" i="13" s="1"/>
  <c r="M4489" i="13" s="1"/>
  <c r="M4490" i="13" s="1"/>
  <c r="M4491" i="13" s="1"/>
  <c r="M4492" i="13" s="1"/>
  <c r="M4493" i="13" s="1"/>
  <c r="M4494" i="13" s="1"/>
  <c r="M4495" i="13" s="1"/>
  <c r="M4496" i="13" s="1"/>
  <c r="M4497" i="13" s="1"/>
  <c r="M4498" i="13" s="1"/>
  <c r="M4499" i="13" s="1"/>
  <c r="M4500" i="13" s="1"/>
  <c r="M4501" i="13" s="1"/>
  <c r="M4502" i="13" s="1"/>
  <c r="M4503" i="13" s="1"/>
  <c r="M4504" i="13" s="1"/>
  <c r="M4505" i="13" s="1"/>
  <c r="M4506" i="13" s="1"/>
  <c r="M4507" i="13" s="1"/>
  <c r="M4508" i="13" s="1"/>
  <c r="M4509" i="13" s="1"/>
  <c r="M4510" i="13" s="1"/>
  <c r="M4511" i="13" s="1"/>
  <c r="M4512" i="13" s="1"/>
  <c r="M4513" i="13" s="1"/>
  <c r="M4514" i="13" s="1"/>
  <c r="M4515" i="13" s="1"/>
  <c r="M4516" i="13" s="1"/>
  <c r="M4517" i="13" s="1"/>
  <c r="M4518" i="13" s="1"/>
  <c r="M4519" i="13" s="1"/>
  <c r="M4520" i="13" s="1"/>
  <c r="M4521" i="13" s="1"/>
  <c r="M4522" i="13" s="1"/>
  <c r="M4523" i="13" s="1"/>
  <c r="M4524" i="13" s="1"/>
  <c r="M4525" i="13" s="1"/>
  <c r="M4526" i="13" s="1"/>
  <c r="M4527" i="13" s="1"/>
  <c r="M4528" i="13" s="1"/>
  <c r="M4529" i="13" s="1"/>
  <c r="M4530" i="13" s="1"/>
  <c r="M4531" i="13" s="1"/>
  <c r="M4532" i="13" s="1"/>
  <c r="M4533" i="13" s="1"/>
  <c r="M4534" i="13" s="1"/>
  <c r="M4535" i="13" s="1"/>
  <c r="M4536" i="13" s="1"/>
  <c r="M4537" i="13" s="1"/>
  <c r="M4538" i="13" s="1"/>
  <c r="M4539" i="13" s="1"/>
  <c r="M4540" i="13" s="1"/>
  <c r="M4541" i="13" s="1"/>
  <c r="M4542" i="13" s="1"/>
  <c r="M4543" i="13" s="1"/>
  <c r="M4544" i="13" s="1"/>
  <c r="M4545" i="13" s="1"/>
  <c r="M4546" i="13" s="1"/>
  <c r="M4547" i="13" s="1"/>
  <c r="M4548" i="13" s="1"/>
  <c r="M4549" i="13" s="1"/>
  <c r="M4550" i="13" s="1"/>
  <c r="M4551" i="13" s="1"/>
  <c r="M4552" i="13" s="1"/>
  <c r="M4553" i="13" s="1"/>
  <c r="M4554" i="13" s="1"/>
  <c r="M4555" i="13" s="1"/>
  <c r="M4556" i="13" s="1"/>
  <c r="M4557" i="13" s="1"/>
  <c r="M4558" i="13" s="1"/>
  <c r="M4559" i="13" s="1"/>
  <c r="M4560" i="13" s="1"/>
  <c r="M4561" i="13" s="1"/>
  <c r="M4562" i="13" s="1"/>
  <c r="M4563" i="13" s="1"/>
  <c r="M4564" i="13" s="1"/>
  <c r="M4565" i="13" s="1"/>
  <c r="M4566" i="13" s="1"/>
  <c r="M4567" i="13" s="1"/>
  <c r="M4568" i="13" s="1"/>
  <c r="M4569" i="13" s="1"/>
  <c r="M4570" i="13" s="1"/>
  <c r="M4571" i="13" s="1"/>
  <c r="M4572" i="13" s="1"/>
  <c r="M4573" i="13" s="1"/>
  <c r="M4574" i="13" s="1"/>
  <c r="M4575" i="13" s="1"/>
  <c r="M4576" i="13" s="1"/>
  <c r="M4577" i="13" s="1"/>
  <c r="M4578" i="13" s="1"/>
  <c r="M4579" i="13" s="1"/>
  <c r="M4580" i="13" s="1"/>
  <c r="M4581" i="13" s="1"/>
  <c r="M4582" i="13" s="1"/>
  <c r="M4583" i="13" s="1"/>
  <c r="M4584" i="13" s="1"/>
  <c r="M4585" i="13" s="1"/>
  <c r="M4586" i="13" s="1"/>
  <c r="M4587" i="13" s="1"/>
  <c r="M4588" i="13" s="1"/>
  <c r="M4589" i="13" s="1"/>
  <c r="M4590" i="13" s="1"/>
  <c r="M4591" i="13" s="1"/>
  <c r="M4592" i="13" s="1"/>
  <c r="M4593" i="13" s="1"/>
  <c r="M4594" i="13" s="1"/>
  <c r="M4595" i="13" s="1"/>
  <c r="M4596" i="13" s="1"/>
  <c r="M4597" i="13" s="1"/>
  <c r="M4598" i="13" s="1"/>
  <c r="M4599" i="13" s="1"/>
  <c r="M4600" i="13" s="1"/>
  <c r="M4601" i="13" s="1"/>
  <c r="M4602" i="13" s="1"/>
  <c r="M4603" i="13" s="1"/>
  <c r="M4604" i="13" s="1"/>
  <c r="M4605" i="13" s="1"/>
  <c r="M4606" i="13" s="1"/>
  <c r="M4607" i="13" s="1"/>
  <c r="M4608" i="13" s="1"/>
  <c r="M4609" i="13" s="1"/>
  <c r="M4610" i="13" s="1"/>
  <c r="M4611" i="13" s="1"/>
  <c r="M4612" i="13" s="1"/>
  <c r="M4613" i="13" s="1"/>
  <c r="M4614" i="13" s="1"/>
  <c r="M4615" i="13" s="1"/>
  <c r="M4616" i="13" s="1"/>
  <c r="M4617" i="13" s="1"/>
  <c r="M4618" i="13" s="1"/>
  <c r="M4619" i="13" s="1"/>
  <c r="M4620" i="13" s="1"/>
  <c r="M4621" i="13" s="1"/>
  <c r="M4622" i="13" s="1"/>
  <c r="M4623" i="13" s="1"/>
  <c r="M4624" i="13" s="1"/>
  <c r="M4625" i="13" s="1"/>
  <c r="M4626" i="13" s="1"/>
  <c r="M4627" i="13" s="1"/>
  <c r="M4628" i="13" s="1"/>
  <c r="M4629" i="13" s="1"/>
  <c r="M4630" i="13" s="1"/>
  <c r="M4631" i="13" s="1"/>
  <c r="M4632" i="13" s="1"/>
  <c r="M4633" i="13" s="1"/>
  <c r="M4634" i="13" s="1"/>
  <c r="M4635" i="13" s="1"/>
  <c r="M4636" i="13" s="1"/>
  <c r="M4637" i="13" s="1"/>
  <c r="M4638" i="13" s="1"/>
  <c r="M4639" i="13" s="1"/>
  <c r="M4640" i="13" s="1"/>
  <c r="M4641" i="13" s="1"/>
  <c r="M4642" i="13" s="1"/>
  <c r="M4643" i="13" s="1"/>
  <c r="M4644" i="13" s="1"/>
  <c r="M4645" i="13" s="1"/>
  <c r="M4646" i="13" s="1"/>
  <c r="M4647" i="13" s="1"/>
  <c r="M4648" i="13" s="1"/>
  <c r="M4649" i="13" s="1"/>
  <c r="M4650" i="13" s="1"/>
  <c r="M4651" i="13" s="1"/>
  <c r="M4652" i="13" s="1"/>
  <c r="M4653" i="13" s="1"/>
  <c r="M4654" i="13" s="1"/>
  <c r="M4655" i="13" s="1"/>
  <c r="M4656" i="13" s="1"/>
  <c r="M4657" i="13" s="1"/>
  <c r="M4658" i="13" s="1"/>
  <c r="M4659" i="13" s="1"/>
  <c r="M4660" i="13" s="1"/>
  <c r="M4661" i="13" s="1"/>
  <c r="M4662" i="13" s="1"/>
  <c r="M4663" i="13" s="1"/>
  <c r="M4664" i="13" s="1"/>
  <c r="M4665" i="13" s="1"/>
  <c r="M4666" i="13" s="1"/>
  <c r="M4667" i="13" s="1"/>
  <c r="M4668" i="13" s="1"/>
  <c r="M4669" i="13" s="1"/>
  <c r="M4670" i="13" s="1"/>
  <c r="M4671" i="13" s="1"/>
  <c r="M4672" i="13" s="1"/>
  <c r="M4673" i="13" s="1"/>
  <c r="M4674" i="13" s="1"/>
  <c r="M4675" i="13" s="1"/>
  <c r="M4676" i="13" s="1"/>
  <c r="M4677" i="13" s="1"/>
  <c r="M4678" i="13" s="1"/>
  <c r="M4679" i="13" s="1"/>
  <c r="M4680" i="13" s="1"/>
  <c r="M4681" i="13" s="1"/>
  <c r="M4682" i="13" s="1"/>
  <c r="M4683" i="13" s="1"/>
  <c r="M4684" i="13" s="1"/>
  <c r="M4685" i="13" s="1"/>
  <c r="M4686" i="13" s="1"/>
  <c r="M4687" i="13" s="1"/>
  <c r="M4688" i="13" s="1"/>
  <c r="M4689" i="13" s="1"/>
  <c r="M4690" i="13" s="1"/>
  <c r="M4691" i="13" s="1"/>
  <c r="M4692" i="13" s="1"/>
  <c r="M4693" i="13" s="1"/>
  <c r="M4694" i="13" s="1"/>
  <c r="M4695" i="13" s="1"/>
  <c r="M4696" i="13" s="1"/>
  <c r="M4697" i="13" s="1"/>
  <c r="M4698" i="13" s="1"/>
  <c r="M4699" i="13" s="1"/>
  <c r="M4700" i="13" s="1"/>
  <c r="M4701" i="13" s="1"/>
  <c r="M4702" i="13" s="1"/>
  <c r="M4703" i="13" s="1"/>
  <c r="M4704" i="13" s="1"/>
  <c r="M4705" i="13" s="1"/>
  <c r="M4706" i="13" s="1"/>
  <c r="M4707" i="13" s="1"/>
  <c r="M4708" i="13" s="1"/>
  <c r="M4709" i="13" s="1"/>
  <c r="M4710" i="13" s="1"/>
  <c r="M4711" i="13" s="1"/>
  <c r="M4712" i="13" s="1"/>
  <c r="M4713" i="13" s="1"/>
  <c r="M4714" i="13" s="1"/>
  <c r="M4715" i="13" s="1"/>
  <c r="M4716" i="13" s="1"/>
  <c r="M4717" i="13" s="1"/>
  <c r="M4718" i="13" s="1"/>
  <c r="M4719" i="13" s="1"/>
  <c r="M4720" i="13" s="1"/>
  <c r="M4721" i="13" s="1"/>
  <c r="M4722" i="13" s="1"/>
  <c r="M4723" i="13" s="1"/>
  <c r="M4724" i="13" s="1"/>
  <c r="M4725" i="13" s="1"/>
  <c r="M4726" i="13" s="1"/>
  <c r="M4727" i="13" s="1"/>
  <c r="M4728" i="13" s="1"/>
  <c r="M4729" i="13" s="1"/>
  <c r="M4730" i="13" s="1"/>
  <c r="M4731" i="13" s="1"/>
  <c r="M4732" i="13" s="1"/>
  <c r="M4733" i="13" s="1"/>
  <c r="M4734" i="13" s="1"/>
  <c r="M4735" i="13" s="1"/>
  <c r="M4736" i="13" s="1"/>
  <c r="M4737" i="13" s="1"/>
  <c r="M4738" i="13" s="1"/>
  <c r="M4739" i="13" s="1"/>
  <c r="M4740" i="13" s="1"/>
  <c r="M4741" i="13" s="1"/>
  <c r="M4742" i="13" s="1"/>
  <c r="M4743" i="13" s="1"/>
  <c r="M4744" i="13" s="1"/>
  <c r="M4745" i="13" s="1"/>
  <c r="M4746" i="13" s="1"/>
  <c r="M4747" i="13" s="1"/>
  <c r="M4748" i="13" s="1"/>
  <c r="M4749" i="13" s="1"/>
  <c r="M4750" i="13" s="1"/>
  <c r="M4751" i="13" s="1"/>
  <c r="M4752" i="13" s="1"/>
  <c r="M4753" i="13" s="1"/>
  <c r="M4754" i="13" s="1"/>
  <c r="M4755" i="13" s="1"/>
  <c r="M4756" i="13" s="1"/>
  <c r="M4757" i="13" s="1"/>
  <c r="M4758" i="13" s="1"/>
  <c r="M4759" i="13" s="1"/>
  <c r="M4760" i="13" s="1"/>
  <c r="M4761" i="13" s="1"/>
  <c r="M4762" i="13" s="1"/>
  <c r="M4763" i="13" s="1"/>
  <c r="M4764" i="13" s="1"/>
  <c r="M4765" i="13" s="1"/>
  <c r="M4766" i="13" s="1"/>
  <c r="M4767" i="13" s="1"/>
  <c r="M4768" i="13" s="1"/>
  <c r="M4769" i="13" s="1"/>
  <c r="M4770" i="13" s="1"/>
  <c r="M4771" i="13" s="1"/>
  <c r="M4772" i="13" s="1"/>
  <c r="M4773" i="13" s="1"/>
  <c r="M4774" i="13" s="1"/>
  <c r="M4775" i="13" s="1"/>
  <c r="M4776" i="13" s="1"/>
  <c r="M4777" i="13" s="1"/>
  <c r="M4778" i="13" s="1"/>
  <c r="M4779" i="13" s="1"/>
  <c r="M4780" i="13" s="1"/>
  <c r="M4781" i="13" s="1"/>
  <c r="M4782" i="13" s="1"/>
  <c r="M4783" i="13" s="1"/>
  <c r="M4784" i="13" s="1"/>
  <c r="M4785" i="13" s="1"/>
  <c r="M4786" i="13" s="1"/>
  <c r="M4787" i="13" s="1"/>
  <c r="M4788" i="13" s="1"/>
  <c r="M4789" i="13" s="1"/>
  <c r="M4790" i="13" s="1"/>
  <c r="M4791" i="13" s="1"/>
  <c r="M4792" i="13" s="1"/>
  <c r="M4793" i="13" s="1"/>
  <c r="M4794" i="13" s="1"/>
  <c r="M4795" i="13" s="1"/>
  <c r="M4796" i="13" s="1"/>
  <c r="M4797" i="13" s="1"/>
  <c r="M4798" i="13" s="1"/>
  <c r="M4799" i="13" s="1"/>
  <c r="M4800" i="13" s="1"/>
  <c r="M4801" i="13" s="1"/>
  <c r="M4802" i="13" s="1"/>
  <c r="M4803" i="13" s="1"/>
  <c r="M4804" i="13" s="1"/>
  <c r="M4805" i="13" s="1"/>
  <c r="M4806" i="13" s="1"/>
  <c r="M4807" i="13" s="1"/>
  <c r="M4808" i="13" s="1"/>
  <c r="M4809" i="13" s="1"/>
  <c r="M4810" i="13" s="1"/>
  <c r="M4811" i="13" s="1"/>
  <c r="M4812" i="13" s="1"/>
  <c r="M4813" i="13" s="1"/>
  <c r="M4814" i="13" s="1"/>
  <c r="M4815" i="13" s="1"/>
  <c r="M4816" i="13" s="1"/>
  <c r="M4817" i="13" s="1"/>
  <c r="M4818" i="13" s="1"/>
  <c r="M4819" i="13" s="1"/>
  <c r="M4820" i="13" s="1"/>
  <c r="M4821" i="13" s="1"/>
  <c r="M4822" i="13" s="1"/>
  <c r="M4823" i="13" s="1"/>
  <c r="M4824" i="13" s="1"/>
  <c r="M4825" i="13" s="1"/>
  <c r="M4826" i="13" s="1"/>
  <c r="M4827" i="13" s="1"/>
  <c r="M4828" i="13" s="1"/>
  <c r="M4829" i="13" s="1"/>
  <c r="M4830" i="13" s="1"/>
  <c r="M4831" i="13" s="1"/>
  <c r="M4832" i="13" s="1"/>
  <c r="M4833" i="13" s="1"/>
  <c r="M4834" i="13" s="1"/>
  <c r="M4835" i="13" s="1"/>
  <c r="M4836" i="13" s="1"/>
  <c r="M4837" i="13" s="1"/>
  <c r="M4838" i="13" s="1"/>
  <c r="M4839" i="13" s="1"/>
  <c r="M4840" i="13" s="1"/>
  <c r="M4841" i="13" s="1"/>
  <c r="M4842" i="13" s="1"/>
  <c r="M4843" i="13" s="1"/>
  <c r="M4844" i="13" s="1"/>
  <c r="M4845" i="13" s="1"/>
  <c r="M4846" i="13" s="1"/>
  <c r="M4847" i="13" s="1"/>
  <c r="M4848" i="13" s="1"/>
  <c r="M4849" i="13" s="1"/>
  <c r="M4850" i="13" s="1"/>
  <c r="M4851" i="13" s="1"/>
  <c r="M4852" i="13" s="1"/>
  <c r="M4853" i="13" s="1"/>
  <c r="M4854" i="13" s="1"/>
  <c r="M4855" i="13" s="1"/>
  <c r="M4856" i="13" s="1"/>
  <c r="M4857" i="13" s="1"/>
  <c r="M4858" i="13" s="1"/>
  <c r="M4859" i="13" s="1"/>
  <c r="M4860" i="13" s="1"/>
  <c r="M4861" i="13" s="1"/>
  <c r="M4862" i="13" s="1"/>
  <c r="M4863" i="13" s="1"/>
  <c r="M4864" i="13" s="1"/>
  <c r="M4865" i="13" s="1"/>
  <c r="M4866" i="13" s="1"/>
  <c r="M4867" i="13" s="1"/>
  <c r="M4868" i="13" s="1"/>
  <c r="M4869" i="13" s="1"/>
  <c r="M4870" i="13" s="1"/>
  <c r="M4871" i="13" s="1"/>
  <c r="M4872" i="13" s="1"/>
  <c r="M4873" i="13" s="1"/>
  <c r="M4874" i="13" s="1"/>
  <c r="M4875" i="13" s="1"/>
  <c r="M4876" i="13" s="1"/>
  <c r="M4877" i="13" s="1"/>
  <c r="M4878" i="13" s="1"/>
  <c r="M4879" i="13" s="1"/>
  <c r="M4880" i="13" s="1"/>
  <c r="M4881" i="13" s="1"/>
  <c r="M4882" i="13" s="1"/>
  <c r="M4883" i="13" s="1"/>
  <c r="M4884" i="13" s="1"/>
  <c r="M4885" i="13" s="1"/>
  <c r="M4886" i="13" s="1"/>
  <c r="M4887" i="13" s="1"/>
  <c r="M4888" i="13" s="1"/>
  <c r="M4889" i="13" s="1"/>
  <c r="M4890" i="13" s="1"/>
  <c r="M4891" i="13" s="1"/>
  <c r="M4892" i="13" s="1"/>
  <c r="M4893" i="13" s="1"/>
  <c r="M4894" i="13" s="1"/>
  <c r="M4895" i="13" s="1"/>
  <c r="M4896" i="13" s="1"/>
  <c r="M4897" i="13" s="1"/>
  <c r="M4898" i="13" s="1"/>
  <c r="M4899" i="13" s="1"/>
  <c r="M4900" i="13" s="1"/>
  <c r="M4901" i="13" s="1"/>
  <c r="M4902" i="13" s="1"/>
  <c r="M4903" i="13" s="1"/>
  <c r="M4904" i="13" s="1"/>
  <c r="M4905" i="13" s="1"/>
  <c r="M4906" i="13" s="1"/>
  <c r="M4907" i="13" s="1"/>
  <c r="M4908" i="13" s="1"/>
  <c r="M4909" i="13" s="1"/>
  <c r="M4910" i="13" s="1"/>
  <c r="M4911" i="13" s="1"/>
  <c r="M4912" i="13" s="1"/>
  <c r="M4913" i="13" s="1"/>
  <c r="M4914" i="13" s="1"/>
  <c r="M4915" i="13" s="1"/>
  <c r="M4916" i="13" s="1"/>
  <c r="M4917" i="13" s="1"/>
  <c r="M4918" i="13" s="1"/>
  <c r="M4919" i="13" s="1"/>
  <c r="M4920" i="13" s="1"/>
  <c r="M4921" i="13" s="1"/>
  <c r="M4922" i="13" s="1"/>
  <c r="M4923" i="13" s="1"/>
  <c r="M4924" i="13" s="1"/>
  <c r="M4925" i="13" s="1"/>
  <c r="M4926" i="13" s="1"/>
  <c r="M4927" i="13" s="1"/>
  <c r="M4928" i="13" s="1"/>
  <c r="M4929" i="13" s="1"/>
  <c r="M4930" i="13" s="1"/>
  <c r="M4931" i="13" s="1"/>
  <c r="M4932" i="13" s="1"/>
  <c r="M4933" i="13" s="1"/>
  <c r="M4934" i="13" s="1"/>
  <c r="M4935" i="13" s="1"/>
  <c r="M4936" i="13" s="1"/>
  <c r="M4937" i="13" s="1"/>
  <c r="M4938" i="13" s="1"/>
  <c r="M4939" i="13" s="1"/>
  <c r="M4940" i="13" s="1"/>
  <c r="M4941" i="13" s="1"/>
  <c r="M4942" i="13" s="1"/>
  <c r="M4943" i="13" s="1"/>
  <c r="M4944" i="13" s="1"/>
  <c r="M4945" i="13" s="1"/>
  <c r="M4946" i="13" s="1"/>
  <c r="M4947" i="13" s="1"/>
  <c r="M4948" i="13" s="1"/>
  <c r="M4949" i="13" s="1"/>
  <c r="M4950" i="13" s="1"/>
  <c r="M4951" i="13" s="1"/>
  <c r="M4952" i="13" s="1"/>
  <c r="M4953" i="13" s="1"/>
  <c r="M4954" i="13" s="1"/>
  <c r="M4955" i="13" s="1"/>
  <c r="M4956" i="13" s="1"/>
  <c r="M4957" i="13" s="1"/>
  <c r="M4958" i="13" s="1"/>
  <c r="M4959" i="13" s="1"/>
  <c r="M4960" i="13" s="1"/>
  <c r="M4961" i="13" s="1"/>
  <c r="M4962" i="13" s="1"/>
  <c r="M4963" i="13" s="1"/>
  <c r="M4964" i="13" s="1"/>
  <c r="M4965" i="13" s="1"/>
  <c r="M4966" i="13" s="1"/>
  <c r="M4967" i="13" s="1"/>
  <c r="M4968" i="13" s="1"/>
  <c r="M4969" i="13" s="1"/>
  <c r="M4970" i="13" s="1"/>
  <c r="M4971" i="13" s="1"/>
  <c r="M4972" i="13" s="1"/>
  <c r="M4973" i="13" s="1"/>
  <c r="M4974" i="13" s="1"/>
  <c r="M4975" i="13" s="1"/>
  <c r="M4976" i="13" s="1"/>
  <c r="M4977" i="13" s="1"/>
  <c r="M4978" i="13" s="1"/>
  <c r="M4979" i="13" s="1"/>
  <c r="M4980" i="13" s="1"/>
  <c r="M4981" i="13" s="1"/>
  <c r="M4982" i="13" s="1"/>
  <c r="M4983" i="13" s="1"/>
  <c r="M4984" i="13" s="1"/>
  <c r="M4985" i="13" s="1"/>
  <c r="M4986" i="13" s="1"/>
  <c r="M4987" i="13" s="1"/>
  <c r="M4988" i="13" s="1"/>
  <c r="M4989" i="13" s="1"/>
  <c r="M4990" i="13" s="1"/>
  <c r="M4991" i="13" s="1"/>
  <c r="M4992" i="13" s="1"/>
  <c r="M4993" i="13" s="1"/>
  <c r="M4994" i="13" s="1"/>
  <c r="M4995" i="13" s="1"/>
  <c r="M4996" i="13" s="1"/>
  <c r="M4997" i="13" s="1"/>
  <c r="M4998" i="13" s="1"/>
  <c r="M4999" i="13" s="1"/>
  <c r="M5000" i="13" s="1"/>
  <c r="M5001" i="13" s="1"/>
  <c r="M5002" i="13" s="1"/>
  <c r="M5003" i="13" s="1"/>
  <c r="M5004" i="13" s="1"/>
  <c r="M5005" i="13" s="1"/>
  <c r="M5006" i="13" s="1"/>
  <c r="M5007" i="13" s="1"/>
  <c r="M5008" i="13" s="1"/>
  <c r="M5009" i="13" s="1"/>
  <c r="M5010" i="13" s="1"/>
  <c r="M5011" i="13" s="1"/>
  <c r="M5012" i="13" s="1"/>
  <c r="M5013" i="13" s="1"/>
  <c r="M5014" i="13" s="1"/>
  <c r="M5015" i="13" s="1"/>
  <c r="M5016" i="13" s="1"/>
  <c r="M5017" i="13" s="1"/>
  <c r="M5018" i="13" s="1"/>
  <c r="M5019" i="13" s="1"/>
  <c r="M5020" i="13" s="1"/>
  <c r="M5021" i="13" s="1"/>
  <c r="M5022" i="13" s="1"/>
  <c r="M5023" i="13" s="1"/>
  <c r="M5024" i="13" s="1"/>
  <c r="M5025" i="13" s="1"/>
  <c r="M5026" i="13" s="1"/>
  <c r="M5027" i="13" s="1"/>
  <c r="M5028" i="13" s="1"/>
  <c r="M5029" i="13" s="1"/>
  <c r="M5030" i="13" s="1"/>
  <c r="M5031" i="13" s="1"/>
  <c r="M5032" i="13" s="1"/>
  <c r="M5033" i="13" s="1"/>
  <c r="M5034" i="13" s="1"/>
  <c r="M5035" i="13" s="1"/>
  <c r="M5036" i="13" s="1"/>
  <c r="M5037" i="13" s="1"/>
  <c r="M5038" i="13" s="1"/>
  <c r="M5039" i="13" s="1"/>
  <c r="M5040" i="13" s="1"/>
  <c r="M5041" i="13" s="1"/>
  <c r="M5042" i="13" s="1"/>
  <c r="M5043" i="13" s="1"/>
  <c r="M5044" i="13" s="1"/>
  <c r="M5045" i="13" s="1"/>
  <c r="M5046" i="13" s="1"/>
  <c r="M5047" i="13" s="1"/>
  <c r="M5048" i="13" s="1"/>
  <c r="M5049" i="13" s="1"/>
  <c r="M5050" i="13" s="1"/>
  <c r="M5051" i="13" s="1"/>
  <c r="M5052" i="13" s="1"/>
  <c r="M5053" i="13" s="1"/>
  <c r="M5054" i="13" s="1"/>
  <c r="M5055" i="13" s="1"/>
  <c r="M5056" i="13" s="1"/>
  <c r="M5057" i="13" s="1"/>
  <c r="M5058" i="13" s="1"/>
  <c r="M5059" i="13" s="1"/>
  <c r="M5060" i="13" s="1"/>
  <c r="M5061" i="13" s="1"/>
  <c r="M5062" i="13" s="1"/>
  <c r="M5063" i="13" s="1"/>
  <c r="M5064" i="13" s="1"/>
  <c r="M5065" i="13" s="1"/>
  <c r="M5066" i="13" s="1"/>
  <c r="M5067" i="13" s="1"/>
  <c r="M5068" i="13" s="1"/>
  <c r="M5069" i="13" s="1"/>
  <c r="M5070" i="13" s="1"/>
  <c r="M5071" i="13" s="1"/>
  <c r="M5072" i="13" s="1"/>
  <c r="M5073" i="13" s="1"/>
  <c r="M5074" i="13" s="1"/>
  <c r="M5075" i="13" s="1"/>
  <c r="M5076" i="13" s="1"/>
  <c r="M5077" i="13" s="1"/>
  <c r="M5078" i="13" s="1"/>
  <c r="M5079" i="13" s="1"/>
  <c r="M5080" i="13" s="1"/>
  <c r="M5081" i="13" s="1"/>
  <c r="M5082" i="13" s="1"/>
  <c r="M5083" i="13" s="1"/>
  <c r="M5084" i="13" s="1"/>
  <c r="M5085" i="13" s="1"/>
  <c r="M5086" i="13" s="1"/>
  <c r="M5087" i="13" s="1"/>
  <c r="M5088" i="13" s="1"/>
  <c r="M5089" i="13" s="1"/>
  <c r="M5090" i="13" s="1"/>
  <c r="M5091" i="13" s="1"/>
  <c r="M5092" i="13" s="1"/>
  <c r="M5093" i="13" s="1"/>
  <c r="M5094" i="13" s="1"/>
  <c r="M5095" i="13" s="1"/>
  <c r="M5096" i="13" s="1"/>
  <c r="M5097" i="13" s="1"/>
  <c r="M5098" i="13" s="1"/>
  <c r="M5099" i="13" s="1"/>
  <c r="M5100" i="13" s="1"/>
  <c r="M5101" i="13" s="1"/>
  <c r="M5102" i="13" s="1"/>
  <c r="M5103" i="13" s="1"/>
  <c r="M5104" i="13" s="1"/>
  <c r="M5105" i="13" s="1"/>
  <c r="M5106" i="13" s="1"/>
  <c r="M5107" i="13" s="1"/>
  <c r="M5108" i="13" s="1"/>
  <c r="M5109" i="13" s="1"/>
  <c r="M5110" i="13" s="1"/>
  <c r="M5111" i="13" s="1"/>
  <c r="M5112" i="13" s="1"/>
  <c r="M5113" i="13" s="1"/>
  <c r="M5114" i="13" s="1"/>
  <c r="M5115" i="13" s="1"/>
  <c r="M5116" i="13" s="1"/>
  <c r="M5117" i="13" s="1"/>
  <c r="M5118" i="13" s="1"/>
  <c r="M5119" i="13" s="1"/>
  <c r="M5120" i="13" s="1"/>
  <c r="M5121" i="13" s="1"/>
  <c r="M5122" i="13" s="1"/>
  <c r="M5123" i="13" s="1"/>
  <c r="M5124" i="13" s="1"/>
  <c r="M5125" i="13" s="1"/>
  <c r="M5126" i="13" s="1"/>
  <c r="M5127" i="13" s="1"/>
  <c r="M5128" i="13" s="1"/>
  <c r="M5129" i="13" s="1"/>
  <c r="M5130" i="13" s="1"/>
  <c r="M5131" i="13" s="1"/>
  <c r="M5132" i="13" s="1"/>
  <c r="M5133" i="13" s="1"/>
  <c r="M5134" i="13" s="1"/>
  <c r="M5135" i="13" s="1"/>
  <c r="M5136" i="13" s="1"/>
  <c r="M5137" i="13" s="1"/>
  <c r="M5138" i="13" s="1"/>
  <c r="M5139" i="13" s="1"/>
  <c r="M5140" i="13" s="1"/>
  <c r="M5141" i="13" s="1"/>
  <c r="M5142" i="13" s="1"/>
  <c r="M5143" i="13" s="1"/>
  <c r="M5144" i="13" s="1"/>
  <c r="M5145" i="13" s="1"/>
  <c r="M5146" i="13" s="1"/>
  <c r="M5147" i="13" s="1"/>
  <c r="M5148" i="13" s="1"/>
  <c r="M5149" i="13" s="1"/>
  <c r="M5150" i="13" s="1"/>
  <c r="M5151" i="13" s="1"/>
  <c r="M5152" i="13" s="1"/>
  <c r="M5153" i="13" s="1"/>
  <c r="M5154" i="13" s="1"/>
  <c r="M5155" i="13" s="1"/>
  <c r="M5156" i="13" s="1"/>
  <c r="M5157" i="13" s="1"/>
  <c r="M5158" i="13" s="1"/>
  <c r="M5159" i="13" s="1"/>
  <c r="M5160" i="13" s="1"/>
  <c r="M5161" i="13" s="1"/>
  <c r="M5162" i="13" s="1"/>
  <c r="M5163" i="13" s="1"/>
  <c r="M5164" i="13" s="1"/>
  <c r="M5165" i="13" s="1"/>
  <c r="M5166" i="13" s="1"/>
  <c r="M5167" i="13" s="1"/>
  <c r="M5168" i="13" s="1"/>
  <c r="M5169" i="13" s="1"/>
  <c r="M5170" i="13" s="1"/>
  <c r="M5171" i="13" s="1"/>
  <c r="M5172" i="13" s="1"/>
  <c r="M5173" i="13" s="1"/>
  <c r="M5174" i="13" s="1"/>
  <c r="M5175" i="13" s="1"/>
  <c r="M5176" i="13" s="1"/>
  <c r="M5177" i="13" s="1"/>
  <c r="M5178" i="13" s="1"/>
  <c r="M5179" i="13" s="1"/>
  <c r="M5180" i="13" s="1"/>
  <c r="M5181" i="13" s="1"/>
  <c r="M5182" i="13" s="1"/>
  <c r="M5183" i="13" s="1"/>
  <c r="M5184" i="13" s="1"/>
  <c r="M5185" i="13" s="1"/>
  <c r="M5186" i="13" s="1"/>
  <c r="M5187" i="13" s="1"/>
  <c r="M5188" i="13" s="1"/>
  <c r="M5189" i="13" s="1"/>
  <c r="M5190" i="13" s="1"/>
  <c r="M5191" i="13" s="1"/>
  <c r="M5192" i="13" s="1"/>
  <c r="M5193" i="13" s="1"/>
  <c r="M5194" i="13" s="1"/>
  <c r="M5195" i="13" s="1"/>
  <c r="M5196" i="13" s="1"/>
  <c r="M5197" i="13" s="1"/>
  <c r="M5198" i="13" s="1"/>
  <c r="M5199" i="13" s="1"/>
  <c r="M5200" i="13" s="1"/>
  <c r="M5201" i="13" s="1"/>
  <c r="M5202" i="13" s="1"/>
  <c r="M5203" i="13" s="1"/>
  <c r="M5204" i="13" s="1"/>
  <c r="M5205" i="13" s="1"/>
  <c r="M5206" i="13" s="1"/>
  <c r="M5207" i="13" s="1"/>
  <c r="M5208" i="13" s="1"/>
  <c r="M5209" i="13" s="1"/>
  <c r="M5210" i="13" s="1"/>
  <c r="M5211" i="13" s="1"/>
  <c r="M5212" i="13" s="1"/>
  <c r="M5213" i="13" s="1"/>
  <c r="M5214" i="13" s="1"/>
  <c r="M5215" i="13" s="1"/>
  <c r="M5216" i="13" s="1"/>
  <c r="M5217" i="13" s="1"/>
  <c r="M5218" i="13" s="1"/>
  <c r="M5219" i="13" s="1"/>
  <c r="M5220" i="13" s="1"/>
  <c r="M5221" i="13" s="1"/>
  <c r="M5222" i="13" s="1"/>
  <c r="M5223" i="13" s="1"/>
  <c r="M5224" i="13" s="1"/>
  <c r="M5225" i="13" s="1"/>
  <c r="M5226" i="13" s="1"/>
  <c r="M5227" i="13" s="1"/>
  <c r="M5228" i="13" s="1"/>
  <c r="M5229" i="13" s="1"/>
  <c r="M5230" i="13" s="1"/>
  <c r="M5231" i="13" s="1"/>
  <c r="M5232" i="13" s="1"/>
  <c r="M5233" i="13" s="1"/>
  <c r="M5234" i="13" s="1"/>
  <c r="M5235" i="13" s="1"/>
  <c r="M5236" i="13" s="1"/>
  <c r="M5237" i="13" s="1"/>
  <c r="M5238" i="13" s="1"/>
  <c r="M5239" i="13" s="1"/>
  <c r="M5240" i="13" s="1"/>
  <c r="M5241" i="13" s="1"/>
  <c r="M5242" i="13" s="1"/>
  <c r="M5243" i="13" s="1"/>
  <c r="M5244" i="13" s="1"/>
  <c r="M5245" i="13" s="1"/>
  <c r="M5246" i="13" s="1"/>
  <c r="M5247" i="13" s="1"/>
  <c r="M5248" i="13" s="1"/>
  <c r="M5249" i="13" s="1"/>
  <c r="M5250" i="13" s="1"/>
  <c r="M5251" i="13" s="1"/>
  <c r="M5252" i="13" s="1"/>
  <c r="M5253" i="13" s="1"/>
  <c r="M5254" i="13" s="1"/>
  <c r="M5255" i="13" s="1"/>
  <c r="M5256" i="13" s="1"/>
  <c r="M5257" i="13" s="1"/>
  <c r="M5258" i="13" s="1"/>
  <c r="M5259" i="13" s="1"/>
  <c r="M5260" i="13" s="1"/>
  <c r="M5261" i="13" s="1"/>
  <c r="M5262" i="13" s="1"/>
  <c r="M5263" i="13" s="1"/>
  <c r="M5264" i="13" s="1"/>
  <c r="M5265" i="13" s="1"/>
  <c r="M5266" i="13" s="1"/>
  <c r="M5267" i="13" s="1"/>
  <c r="M5268" i="13" s="1"/>
  <c r="M5269" i="13" s="1"/>
  <c r="M5270" i="13" s="1"/>
  <c r="M5271" i="13" s="1"/>
  <c r="M5272" i="13" s="1"/>
  <c r="M5273" i="13" s="1"/>
  <c r="M5274" i="13" s="1"/>
  <c r="M5275" i="13" s="1"/>
  <c r="M5276" i="13" s="1"/>
  <c r="M5277" i="13" s="1"/>
  <c r="M5278" i="13" s="1"/>
  <c r="M5279" i="13" s="1"/>
  <c r="M5280" i="13" s="1"/>
  <c r="M5281" i="13" s="1"/>
  <c r="M5282" i="13" s="1"/>
  <c r="M5283" i="13" s="1"/>
  <c r="M5284" i="13" s="1"/>
  <c r="M5285" i="13" s="1"/>
  <c r="M5286" i="13" s="1"/>
  <c r="M5287" i="13" s="1"/>
  <c r="M5288" i="13" s="1"/>
  <c r="M5289" i="13" s="1"/>
  <c r="M5290" i="13" s="1"/>
  <c r="M5291" i="13" s="1"/>
  <c r="M5292" i="13" s="1"/>
  <c r="M5293" i="13" s="1"/>
  <c r="M5294" i="13" s="1"/>
  <c r="M5295" i="13" s="1"/>
  <c r="M5296" i="13" s="1"/>
  <c r="M5297" i="13" s="1"/>
  <c r="M5298" i="13" s="1"/>
  <c r="M5299" i="13" s="1"/>
  <c r="M5300" i="13" s="1"/>
  <c r="M5301" i="13" s="1"/>
  <c r="M5302" i="13" s="1"/>
  <c r="M5303" i="13" s="1"/>
  <c r="M5304" i="13" s="1"/>
  <c r="M5305" i="13" s="1"/>
  <c r="M5306" i="13" s="1"/>
  <c r="M5307" i="13" s="1"/>
  <c r="M5308" i="13" s="1"/>
  <c r="M5309" i="13" s="1"/>
  <c r="M5310" i="13" s="1"/>
  <c r="M5311" i="13" s="1"/>
  <c r="M5312" i="13" s="1"/>
  <c r="M5313" i="13" s="1"/>
  <c r="M5314" i="13" s="1"/>
  <c r="M5315" i="13" s="1"/>
  <c r="M5316" i="13" s="1"/>
  <c r="M5317" i="13" s="1"/>
  <c r="M5318" i="13" s="1"/>
  <c r="M5319" i="13" s="1"/>
  <c r="M5320" i="13" s="1"/>
  <c r="M5321" i="13" s="1"/>
  <c r="M5322" i="13" s="1"/>
  <c r="M5323" i="13" s="1"/>
  <c r="M5324" i="13" s="1"/>
  <c r="M5325" i="13" s="1"/>
  <c r="M5326" i="13" s="1"/>
  <c r="M5327" i="13" s="1"/>
  <c r="M5328" i="13" s="1"/>
  <c r="M5329" i="13" s="1"/>
  <c r="M5330" i="13" s="1"/>
  <c r="M5331" i="13" s="1"/>
  <c r="M5332" i="13" s="1"/>
  <c r="M5333" i="13" s="1"/>
  <c r="M5334" i="13" s="1"/>
  <c r="M5335" i="13" s="1"/>
  <c r="M5336" i="13" s="1"/>
  <c r="M5337" i="13" s="1"/>
  <c r="M5338" i="13" s="1"/>
  <c r="M5339" i="13" s="1"/>
  <c r="M5340" i="13" s="1"/>
  <c r="M5341" i="13" s="1"/>
  <c r="M5342" i="13" s="1"/>
  <c r="M5343" i="13" s="1"/>
  <c r="M5344" i="13" s="1"/>
  <c r="M5345" i="13" s="1"/>
  <c r="M5346" i="13" s="1"/>
  <c r="M5347" i="13" s="1"/>
  <c r="M5348" i="13" s="1"/>
  <c r="M5349" i="13" s="1"/>
  <c r="M5350" i="13" s="1"/>
  <c r="M5351" i="13" s="1"/>
  <c r="M5352" i="13" s="1"/>
  <c r="M5353" i="13" s="1"/>
  <c r="M5354" i="13" s="1"/>
  <c r="M5355" i="13" s="1"/>
  <c r="M5356" i="13" s="1"/>
  <c r="M5357" i="13" s="1"/>
  <c r="M5358" i="13" s="1"/>
  <c r="M5359" i="13" s="1"/>
  <c r="M5360" i="13" s="1"/>
  <c r="M5361" i="13" s="1"/>
  <c r="M5362" i="13" s="1"/>
  <c r="M5363" i="13" s="1"/>
  <c r="M5364" i="13" s="1"/>
  <c r="M5365" i="13" s="1"/>
  <c r="M5366" i="13" s="1"/>
  <c r="M5367" i="13" s="1"/>
  <c r="M5368" i="13" s="1"/>
  <c r="M5369" i="13" s="1"/>
  <c r="M5370" i="13" s="1"/>
  <c r="M5371" i="13" s="1"/>
  <c r="M5372" i="13" s="1"/>
  <c r="M5373" i="13" s="1"/>
  <c r="M5374" i="13" s="1"/>
  <c r="M5375" i="13" s="1"/>
  <c r="M5376" i="13" s="1"/>
  <c r="M5377" i="13" s="1"/>
  <c r="M5378" i="13" s="1"/>
  <c r="M5379" i="13" s="1"/>
  <c r="M5380" i="13" s="1"/>
  <c r="M5381" i="13" s="1"/>
  <c r="M5382" i="13" s="1"/>
  <c r="M5383" i="13" s="1"/>
  <c r="M5384" i="13" s="1"/>
  <c r="M5385" i="13" s="1"/>
  <c r="M5386" i="13" s="1"/>
  <c r="M5387" i="13" s="1"/>
  <c r="M5388" i="13" s="1"/>
  <c r="M5389" i="13" s="1"/>
  <c r="M5390" i="13" s="1"/>
  <c r="M5391" i="13" s="1"/>
  <c r="M5392" i="13" s="1"/>
  <c r="M5393" i="13" s="1"/>
  <c r="M5394" i="13" s="1"/>
  <c r="M5395" i="13" s="1"/>
  <c r="M5396" i="13" s="1"/>
  <c r="M5397" i="13" s="1"/>
  <c r="M5398" i="13" s="1"/>
  <c r="M5399" i="13" s="1"/>
  <c r="M5400" i="13" s="1"/>
  <c r="M5401" i="13" s="1"/>
  <c r="M5402" i="13" s="1"/>
  <c r="M5403" i="13" s="1"/>
  <c r="M5404" i="13" s="1"/>
  <c r="M5405" i="13" s="1"/>
  <c r="M5406" i="13" s="1"/>
  <c r="M5407" i="13" s="1"/>
  <c r="M5408" i="13" s="1"/>
  <c r="M5409" i="13" s="1"/>
  <c r="M5410" i="13" s="1"/>
  <c r="M5411" i="13" s="1"/>
  <c r="M5412" i="13" s="1"/>
  <c r="M5413" i="13" s="1"/>
  <c r="M5414" i="13" s="1"/>
  <c r="M5415" i="13" s="1"/>
  <c r="M5416" i="13" s="1"/>
  <c r="M5417" i="13" s="1"/>
  <c r="M5418" i="13" s="1"/>
  <c r="M5419" i="13" s="1"/>
  <c r="M5420" i="13" s="1"/>
  <c r="M5421" i="13" s="1"/>
  <c r="M5422" i="13" s="1"/>
  <c r="M5423" i="13" s="1"/>
  <c r="M5424" i="13" s="1"/>
  <c r="M5425" i="13" s="1"/>
  <c r="M5426" i="13" s="1"/>
  <c r="M5427" i="13" s="1"/>
  <c r="M5428" i="13" s="1"/>
  <c r="M5429" i="13" s="1"/>
  <c r="M5430" i="13" s="1"/>
  <c r="M5431" i="13" s="1"/>
  <c r="M5432" i="13" s="1"/>
  <c r="M5433" i="13" s="1"/>
  <c r="M5434" i="13" s="1"/>
  <c r="M5435" i="13" s="1"/>
  <c r="M5436" i="13" s="1"/>
  <c r="M5437" i="13" s="1"/>
  <c r="M5438" i="13" s="1"/>
  <c r="M5439" i="13" s="1"/>
  <c r="M5440" i="13" s="1"/>
  <c r="M5441" i="13" s="1"/>
  <c r="M5442" i="13" s="1"/>
  <c r="M5443" i="13" s="1"/>
  <c r="M5444" i="13" s="1"/>
  <c r="M5445" i="13" s="1"/>
  <c r="M5446" i="13" s="1"/>
  <c r="M5447" i="13" s="1"/>
  <c r="M5448" i="13" s="1"/>
  <c r="M5449" i="13" s="1"/>
  <c r="M5450" i="13" s="1"/>
  <c r="M5451" i="13" s="1"/>
  <c r="M5452" i="13" s="1"/>
  <c r="M5453" i="13" s="1"/>
  <c r="M5454" i="13" s="1"/>
  <c r="M5455" i="13" s="1"/>
  <c r="M5456" i="13" s="1"/>
  <c r="M5457" i="13" s="1"/>
  <c r="M5458" i="13" s="1"/>
  <c r="M5459" i="13" s="1"/>
  <c r="M5460" i="13" s="1"/>
  <c r="M5461" i="13" s="1"/>
  <c r="M5462" i="13" s="1"/>
  <c r="M5463" i="13" s="1"/>
  <c r="M5464" i="13" s="1"/>
  <c r="M5465" i="13" s="1"/>
  <c r="M5466" i="13" s="1"/>
  <c r="M5467" i="13" s="1"/>
  <c r="M5468" i="13" s="1"/>
  <c r="M5469" i="13" s="1"/>
  <c r="M5470" i="13" s="1"/>
  <c r="M5471" i="13" s="1"/>
  <c r="M5472" i="13" s="1"/>
  <c r="M5473" i="13" s="1"/>
  <c r="M5474" i="13" s="1"/>
  <c r="M5475" i="13" s="1"/>
  <c r="M5476" i="13" s="1"/>
  <c r="M5477" i="13" s="1"/>
  <c r="M5478" i="13" s="1"/>
  <c r="M5479" i="13" s="1"/>
  <c r="M5480" i="13" s="1"/>
  <c r="M5481" i="13" s="1"/>
  <c r="M5482" i="13" s="1"/>
  <c r="M5483" i="13" s="1"/>
  <c r="M5484" i="13" s="1"/>
  <c r="M5485" i="13" s="1"/>
  <c r="M5486" i="13" s="1"/>
  <c r="M5487" i="13" s="1"/>
  <c r="M5488" i="13" s="1"/>
  <c r="M5489" i="13" s="1"/>
  <c r="M5490" i="13" s="1"/>
  <c r="M5491" i="13" s="1"/>
  <c r="M5492" i="13" s="1"/>
  <c r="M5493" i="13" s="1"/>
  <c r="M5494" i="13" s="1"/>
  <c r="M5495" i="13" s="1"/>
  <c r="M5496" i="13" s="1"/>
  <c r="M5497" i="13" s="1"/>
  <c r="M5498" i="13" s="1"/>
  <c r="M5499" i="13" s="1"/>
  <c r="M5500" i="13" s="1"/>
  <c r="M5501" i="13" s="1"/>
  <c r="M5502" i="13" s="1"/>
  <c r="M5503" i="13" s="1"/>
  <c r="M5504" i="13" s="1"/>
  <c r="M5505" i="13" s="1"/>
  <c r="M5506" i="13" s="1"/>
  <c r="M5507" i="13" s="1"/>
  <c r="M5508" i="13" s="1"/>
  <c r="M5509" i="13" s="1"/>
  <c r="M5510" i="13" s="1"/>
  <c r="M5511" i="13" s="1"/>
  <c r="M5512" i="13" s="1"/>
  <c r="M5513" i="13" s="1"/>
  <c r="M5514" i="13" s="1"/>
  <c r="M5515" i="13" s="1"/>
  <c r="M5516" i="13" s="1"/>
  <c r="M5517" i="13" s="1"/>
  <c r="M5518" i="13" s="1"/>
  <c r="M5519" i="13" s="1"/>
  <c r="M5520" i="13" s="1"/>
  <c r="M5521" i="13" s="1"/>
  <c r="M5522" i="13" s="1"/>
  <c r="M5523" i="13" s="1"/>
  <c r="M5524" i="13" s="1"/>
  <c r="M5525" i="13" s="1"/>
  <c r="M5526" i="13" s="1"/>
  <c r="M5527" i="13" s="1"/>
  <c r="M5528" i="13" s="1"/>
  <c r="M5529" i="13" s="1"/>
  <c r="M5530" i="13" s="1"/>
  <c r="M5531" i="13" s="1"/>
  <c r="M5532" i="13" s="1"/>
  <c r="M5533" i="13" s="1"/>
  <c r="M5534" i="13" s="1"/>
  <c r="M5535" i="13" s="1"/>
  <c r="M5536" i="13" s="1"/>
  <c r="M5537" i="13" s="1"/>
  <c r="M5538" i="13" s="1"/>
  <c r="M5539" i="13" s="1"/>
  <c r="M5540" i="13" s="1"/>
  <c r="M5541" i="13" s="1"/>
  <c r="M5542" i="13" s="1"/>
  <c r="M5543" i="13" s="1"/>
  <c r="M5544" i="13" s="1"/>
  <c r="M5545" i="13" s="1"/>
  <c r="M5546" i="13" s="1"/>
  <c r="M5547" i="13" s="1"/>
  <c r="M5548" i="13" s="1"/>
  <c r="M5549" i="13" s="1"/>
  <c r="M5550" i="13" s="1"/>
  <c r="M5551" i="13" s="1"/>
  <c r="M5552" i="13" s="1"/>
  <c r="M5553" i="13" s="1"/>
  <c r="M5554" i="13" s="1"/>
  <c r="M5555" i="13" s="1"/>
  <c r="M5556" i="13" s="1"/>
  <c r="M5557" i="13" s="1"/>
  <c r="M5558" i="13" s="1"/>
  <c r="M5559" i="13" s="1"/>
  <c r="M5560" i="13" s="1"/>
  <c r="M5561" i="13" s="1"/>
  <c r="M5562" i="13" s="1"/>
  <c r="M5563" i="13" s="1"/>
  <c r="M5564" i="13" s="1"/>
  <c r="M5565" i="13" s="1"/>
  <c r="M5566" i="13" s="1"/>
  <c r="M5567" i="13" s="1"/>
  <c r="M5568" i="13" s="1"/>
  <c r="M5569" i="13" s="1"/>
  <c r="M5570" i="13" s="1"/>
  <c r="M5571" i="13" s="1"/>
  <c r="M5572" i="13" s="1"/>
  <c r="M5573" i="13" s="1"/>
  <c r="M5574" i="13" s="1"/>
  <c r="M5575" i="13" s="1"/>
  <c r="M5576" i="13" s="1"/>
  <c r="M5577" i="13" s="1"/>
  <c r="M5578" i="13" s="1"/>
  <c r="M5579" i="13" s="1"/>
  <c r="M5580" i="13" s="1"/>
  <c r="M5581" i="13" s="1"/>
  <c r="M5582" i="13" s="1"/>
  <c r="M5583" i="13" s="1"/>
  <c r="M5584" i="13" s="1"/>
  <c r="M5585" i="13" s="1"/>
  <c r="M5586" i="13" s="1"/>
  <c r="M5587" i="13" s="1"/>
  <c r="M5588" i="13" s="1"/>
  <c r="M5589" i="13" s="1"/>
  <c r="M5590" i="13" s="1"/>
  <c r="M5591" i="13" s="1"/>
  <c r="M5592" i="13" s="1"/>
  <c r="M5593" i="13" s="1"/>
  <c r="M5594" i="13" s="1"/>
  <c r="M5595" i="13" s="1"/>
  <c r="M5596" i="13" s="1"/>
  <c r="M5597" i="13" s="1"/>
  <c r="M5598" i="13" s="1"/>
  <c r="M5599" i="13" s="1"/>
  <c r="M5600" i="13" s="1"/>
  <c r="M5601" i="13" s="1"/>
  <c r="M5602" i="13" s="1"/>
  <c r="M5603" i="13" s="1"/>
  <c r="M5604" i="13" s="1"/>
  <c r="M5605" i="13" s="1"/>
  <c r="M5606" i="13" s="1"/>
  <c r="M5607" i="13" s="1"/>
  <c r="M5608" i="13" s="1"/>
  <c r="M5609" i="13" s="1"/>
  <c r="M5610" i="13" s="1"/>
  <c r="M5611" i="13" s="1"/>
  <c r="M5612" i="13" s="1"/>
  <c r="M5613" i="13" s="1"/>
  <c r="M5614" i="13" s="1"/>
  <c r="M5615" i="13" s="1"/>
  <c r="M5616" i="13" s="1"/>
  <c r="M5617" i="13" s="1"/>
  <c r="M5618" i="13" s="1"/>
  <c r="M5619" i="13" s="1"/>
  <c r="M5620" i="13" s="1"/>
  <c r="M5621" i="13" s="1"/>
  <c r="M5622" i="13" s="1"/>
  <c r="M5623" i="13" s="1"/>
  <c r="M5624" i="13" s="1"/>
  <c r="M5625" i="13" s="1"/>
  <c r="M5626" i="13" s="1"/>
  <c r="M5627" i="13" s="1"/>
  <c r="M5628" i="13" s="1"/>
  <c r="M5629" i="13" s="1"/>
  <c r="M5630" i="13" s="1"/>
  <c r="M5631" i="13" s="1"/>
  <c r="M5632" i="13" s="1"/>
  <c r="M5633" i="13" s="1"/>
  <c r="M5634" i="13" s="1"/>
  <c r="M5635" i="13" s="1"/>
  <c r="M5636" i="13" s="1"/>
  <c r="M5637" i="13" s="1"/>
  <c r="M5638" i="13" s="1"/>
  <c r="M5639" i="13" s="1"/>
  <c r="M5640" i="13" s="1"/>
  <c r="M5641" i="13" s="1"/>
  <c r="M5642" i="13" s="1"/>
  <c r="M5643" i="13" s="1"/>
  <c r="M5644" i="13" s="1"/>
  <c r="M5645" i="13" s="1"/>
  <c r="M5646" i="13" s="1"/>
  <c r="M5647" i="13" s="1"/>
  <c r="M5648" i="13" s="1"/>
  <c r="M5649" i="13" s="1"/>
  <c r="M5650" i="13" s="1"/>
  <c r="M5651" i="13" s="1"/>
  <c r="M5652" i="13" s="1"/>
  <c r="M5653" i="13" s="1"/>
  <c r="M5654" i="13" s="1"/>
  <c r="M5655" i="13" s="1"/>
  <c r="M5656" i="13" s="1"/>
  <c r="M5657" i="13" s="1"/>
  <c r="M5658" i="13" s="1"/>
  <c r="M5659" i="13" s="1"/>
  <c r="M5660" i="13" s="1"/>
  <c r="M5661" i="13" s="1"/>
  <c r="M5662" i="13" s="1"/>
  <c r="M5663" i="13" s="1"/>
  <c r="M5664" i="13" s="1"/>
  <c r="M5665" i="13" s="1"/>
  <c r="M5666" i="13" s="1"/>
  <c r="M5667" i="13" s="1"/>
  <c r="M5668" i="13" s="1"/>
  <c r="M5669" i="13" s="1"/>
  <c r="M5670" i="13" s="1"/>
  <c r="M5671" i="13" s="1"/>
  <c r="M5672" i="13" s="1"/>
  <c r="M5673" i="13" s="1"/>
  <c r="M5674" i="13" s="1"/>
  <c r="M5675" i="13" s="1"/>
  <c r="M5676" i="13" s="1"/>
  <c r="M5677" i="13" s="1"/>
  <c r="M5678" i="13" s="1"/>
  <c r="M5679" i="13" s="1"/>
  <c r="M5680" i="13" s="1"/>
  <c r="M5681" i="13" s="1"/>
  <c r="M5682" i="13" s="1"/>
  <c r="M5683" i="13" s="1"/>
  <c r="M5684" i="13" s="1"/>
  <c r="M5685" i="13" s="1"/>
  <c r="M5686" i="13" s="1"/>
  <c r="M5687" i="13" s="1"/>
  <c r="M5688" i="13" s="1"/>
  <c r="M5689" i="13" s="1"/>
  <c r="M5690" i="13" s="1"/>
  <c r="M5691" i="13" s="1"/>
  <c r="M5692" i="13" s="1"/>
  <c r="M5693" i="13" s="1"/>
  <c r="M5694" i="13" s="1"/>
  <c r="M5695" i="13" s="1"/>
  <c r="M5696" i="13" s="1"/>
  <c r="M5697" i="13" s="1"/>
  <c r="M5698" i="13" s="1"/>
  <c r="M5699" i="13" s="1"/>
  <c r="M5700" i="13" s="1"/>
  <c r="M5701" i="13" s="1"/>
  <c r="M5702" i="13" s="1"/>
  <c r="M5703" i="13" s="1"/>
  <c r="M5704" i="13" s="1"/>
  <c r="M5705" i="13" s="1"/>
  <c r="M5706" i="13" s="1"/>
  <c r="M5707" i="13" s="1"/>
  <c r="M5708" i="13" s="1"/>
  <c r="M5709" i="13" s="1"/>
  <c r="M5710" i="13" s="1"/>
  <c r="M5711" i="13" s="1"/>
  <c r="M5712" i="13" s="1"/>
  <c r="M5713" i="13" s="1"/>
  <c r="M5714" i="13" s="1"/>
  <c r="M5715" i="13" s="1"/>
  <c r="M5716" i="13" s="1"/>
  <c r="M5717" i="13" s="1"/>
  <c r="M5718" i="13" s="1"/>
  <c r="M5719" i="13" s="1"/>
  <c r="M5720" i="13" s="1"/>
  <c r="M5721" i="13" s="1"/>
  <c r="M5722" i="13" s="1"/>
  <c r="M5723" i="13" s="1"/>
  <c r="M5724" i="13" s="1"/>
  <c r="M5725" i="13" s="1"/>
  <c r="M5726" i="13" s="1"/>
  <c r="M5727" i="13" s="1"/>
  <c r="M5728" i="13" s="1"/>
  <c r="M5729" i="13" s="1"/>
  <c r="M5730" i="13" s="1"/>
  <c r="M5731" i="13" s="1"/>
  <c r="M5732" i="13" s="1"/>
  <c r="M5733" i="13" s="1"/>
  <c r="M5734" i="13" s="1"/>
  <c r="M5735" i="13" s="1"/>
  <c r="M5736" i="13" s="1"/>
  <c r="M5737" i="13" s="1"/>
  <c r="M5738" i="13" s="1"/>
  <c r="M5739" i="13" s="1"/>
  <c r="M5740" i="13" s="1"/>
  <c r="M5741" i="13" s="1"/>
  <c r="M5742" i="13" s="1"/>
  <c r="M5743" i="13" s="1"/>
  <c r="M5744" i="13" s="1"/>
  <c r="M5745" i="13" s="1"/>
  <c r="M5746" i="13" s="1"/>
  <c r="M5747" i="13" s="1"/>
  <c r="M5748" i="13" s="1"/>
  <c r="M5749" i="13" s="1"/>
  <c r="M5750" i="13" s="1"/>
  <c r="M5751" i="13" s="1"/>
  <c r="M5752" i="13" s="1"/>
  <c r="M5753" i="13" s="1"/>
  <c r="M5754" i="13" s="1"/>
  <c r="M5755" i="13" s="1"/>
  <c r="M5756" i="13" s="1"/>
  <c r="M5757" i="13" s="1"/>
  <c r="M5758" i="13" s="1"/>
  <c r="M5759" i="13" s="1"/>
  <c r="M5760" i="13" s="1"/>
  <c r="M5761" i="13" s="1"/>
  <c r="M5762" i="13" s="1"/>
  <c r="M5763" i="13" s="1"/>
  <c r="M5764" i="13" s="1"/>
  <c r="M5765" i="13" s="1"/>
  <c r="M5766" i="13" s="1"/>
  <c r="M5767" i="13" s="1"/>
  <c r="M5768" i="13" s="1"/>
  <c r="M5769" i="13" s="1"/>
  <c r="M5770" i="13" s="1"/>
  <c r="M5771" i="13" s="1"/>
  <c r="M5772" i="13" s="1"/>
  <c r="M5773" i="13" s="1"/>
  <c r="M5774" i="13" s="1"/>
  <c r="M5775" i="13" s="1"/>
  <c r="M5776" i="13" s="1"/>
  <c r="M5777" i="13" s="1"/>
  <c r="M5778" i="13" s="1"/>
  <c r="M5779" i="13" s="1"/>
  <c r="M5780" i="13" s="1"/>
  <c r="M5781" i="13" s="1"/>
  <c r="M5782" i="13" s="1"/>
  <c r="M5783" i="13" s="1"/>
  <c r="M5784" i="13" s="1"/>
  <c r="M5785" i="13" s="1"/>
  <c r="M5786" i="13" s="1"/>
  <c r="M5787" i="13" s="1"/>
  <c r="M5788" i="13" s="1"/>
  <c r="M5789" i="13" s="1"/>
  <c r="M5790" i="13" s="1"/>
  <c r="M5791" i="13" s="1"/>
  <c r="M5792" i="13" s="1"/>
  <c r="M5793" i="13" s="1"/>
  <c r="M5794" i="13" s="1"/>
  <c r="M5795" i="13" s="1"/>
  <c r="M5796" i="13" s="1"/>
  <c r="M5797" i="13" s="1"/>
  <c r="M5798" i="13" s="1"/>
  <c r="M5799" i="13" s="1"/>
  <c r="M5800" i="13" s="1"/>
  <c r="M5801" i="13" s="1"/>
  <c r="M5802" i="13" s="1"/>
  <c r="M5803" i="13" s="1"/>
  <c r="M5804" i="13" s="1"/>
  <c r="M5805" i="13" s="1"/>
  <c r="M5806" i="13" s="1"/>
  <c r="M5807" i="13" s="1"/>
  <c r="M5808" i="13" s="1"/>
  <c r="M5809" i="13" s="1"/>
  <c r="M5810" i="13" s="1"/>
  <c r="M5811" i="13" s="1"/>
  <c r="M5812" i="13" s="1"/>
  <c r="M5813" i="13" s="1"/>
  <c r="M5814" i="13" s="1"/>
  <c r="M5815" i="13" s="1"/>
  <c r="M5816" i="13" s="1"/>
  <c r="M5817" i="13" s="1"/>
  <c r="M5818" i="13" s="1"/>
  <c r="M5819" i="13" s="1"/>
  <c r="M5820" i="13" s="1"/>
  <c r="M5821" i="13" s="1"/>
  <c r="M5822" i="13" s="1"/>
  <c r="M5823" i="13" s="1"/>
  <c r="M5824" i="13" s="1"/>
  <c r="M5825" i="13" s="1"/>
  <c r="M5826" i="13" s="1"/>
  <c r="M5827" i="13" s="1"/>
  <c r="M5828" i="13" s="1"/>
  <c r="M5829" i="13" s="1"/>
  <c r="M5830" i="13" s="1"/>
  <c r="M5831" i="13" s="1"/>
  <c r="M5832" i="13" s="1"/>
  <c r="M5833" i="13" s="1"/>
  <c r="M5834" i="13" s="1"/>
  <c r="M5835" i="13" s="1"/>
  <c r="M5836" i="13" s="1"/>
  <c r="M5837" i="13" s="1"/>
  <c r="M5838" i="13" s="1"/>
  <c r="M5839" i="13" s="1"/>
  <c r="M5840" i="13" s="1"/>
  <c r="M5841" i="13" s="1"/>
  <c r="M5842" i="13" s="1"/>
  <c r="M5843" i="13" s="1"/>
  <c r="M5844" i="13" s="1"/>
  <c r="M5845" i="13" s="1"/>
  <c r="M5846" i="13" s="1"/>
  <c r="M5847" i="13" s="1"/>
  <c r="M5848" i="13" s="1"/>
  <c r="M5849" i="13" s="1"/>
  <c r="M5850" i="13" s="1"/>
  <c r="M5851" i="13" s="1"/>
  <c r="M5852" i="13" s="1"/>
  <c r="M5853" i="13" s="1"/>
  <c r="M5854" i="13" s="1"/>
  <c r="M5855" i="13" s="1"/>
  <c r="M5856" i="13" s="1"/>
  <c r="M5857" i="13" s="1"/>
  <c r="M5858" i="13" s="1"/>
  <c r="M5859" i="13" s="1"/>
  <c r="M5860" i="13" s="1"/>
  <c r="M5861" i="13" s="1"/>
  <c r="M5862" i="13" s="1"/>
  <c r="M5863" i="13" s="1"/>
  <c r="M5864" i="13" s="1"/>
  <c r="M5865" i="13" s="1"/>
  <c r="M5866" i="13" s="1"/>
  <c r="M5867" i="13" s="1"/>
  <c r="M5868" i="13" s="1"/>
  <c r="M5869" i="13" s="1"/>
  <c r="M5870" i="13" s="1"/>
  <c r="M5871" i="13" s="1"/>
  <c r="M5872" i="13" s="1"/>
  <c r="M5873" i="13" s="1"/>
  <c r="M5874" i="13" s="1"/>
  <c r="M5875" i="13" s="1"/>
  <c r="M5876" i="13" s="1"/>
  <c r="M5877" i="13" s="1"/>
  <c r="M5878" i="13" s="1"/>
  <c r="M5879" i="13" s="1"/>
  <c r="M5880" i="13" s="1"/>
  <c r="M5881" i="13" s="1"/>
  <c r="M5882" i="13" s="1"/>
  <c r="M5883" i="13" s="1"/>
  <c r="M5884" i="13" s="1"/>
  <c r="M5885" i="13" s="1"/>
  <c r="M5886" i="13" s="1"/>
  <c r="M5887" i="13" s="1"/>
  <c r="M5888" i="13" s="1"/>
  <c r="M5889" i="13" s="1"/>
  <c r="M5890" i="13" s="1"/>
  <c r="M5891" i="13" s="1"/>
  <c r="M5892" i="13" s="1"/>
  <c r="M5893" i="13" s="1"/>
  <c r="M5894" i="13" s="1"/>
  <c r="M5895" i="13" s="1"/>
  <c r="M5896" i="13" s="1"/>
  <c r="M5897" i="13" s="1"/>
  <c r="M5898" i="13" s="1"/>
  <c r="M5899" i="13" s="1"/>
  <c r="M5900" i="13" s="1"/>
  <c r="M5901" i="13" s="1"/>
  <c r="M5902" i="13" s="1"/>
  <c r="M5903" i="13" s="1"/>
  <c r="M5904" i="13" s="1"/>
  <c r="M5905" i="13" s="1"/>
  <c r="M5906" i="13" s="1"/>
  <c r="M5907" i="13" s="1"/>
  <c r="M5908" i="13" s="1"/>
  <c r="M5909" i="13" s="1"/>
  <c r="M5910" i="13" s="1"/>
  <c r="M5911" i="13" s="1"/>
  <c r="M5912" i="13" s="1"/>
  <c r="M5913" i="13" s="1"/>
  <c r="M5914" i="13" s="1"/>
  <c r="M5915" i="13" s="1"/>
  <c r="M5916" i="13" s="1"/>
  <c r="M5917" i="13" s="1"/>
  <c r="M5918" i="13" s="1"/>
  <c r="M5919" i="13" s="1"/>
  <c r="M5920" i="13" s="1"/>
  <c r="M5921" i="13" s="1"/>
  <c r="M5922" i="13" s="1"/>
  <c r="M5923" i="13" s="1"/>
  <c r="M5924" i="13" s="1"/>
  <c r="M5925" i="13" s="1"/>
  <c r="M5926" i="13" s="1"/>
  <c r="M5927" i="13" s="1"/>
  <c r="M5928" i="13" s="1"/>
  <c r="M5929" i="13" s="1"/>
  <c r="M5930" i="13" s="1"/>
  <c r="M5931" i="13" s="1"/>
  <c r="M5932" i="13" s="1"/>
  <c r="M5933" i="13" s="1"/>
  <c r="M5934" i="13" s="1"/>
  <c r="M5935" i="13" s="1"/>
  <c r="M5936" i="13" s="1"/>
  <c r="M5937" i="13" s="1"/>
  <c r="M5938" i="13" s="1"/>
  <c r="M5939" i="13" s="1"/>
  <c r="M5940" i="13" s="1"/>
  <c r="M5941" i="13" s="1"/>
  <c r="M5942" i="13" s="1"/>
  <c r="M5943" i="13" s="1"/>
  <c r="M5944" i="13" s="1"/>
  <c r="M5945" i="13" s="1"/>
  <c r="M5946" i="13" s="1"/>
  <c r="M5947" i="13" s="1"/>
  <c r="M5948" i="13" s="1"/>
  <c r="M5949" i="13" s="1"/>
  <c r="M5950" i="13" s="1"/>
  <c r="M5951" i="13" s="1"/>
  <c r="M5952" i="13" s="1"/>
  <c r="M5953" i="13" s="1"/>
  <c r="M5954" i="13" s="1"/>
  <c r="M5955" i="13" s="1"/>
  <c r="M5956" i="13" s="1"/>
  <c r="M5957" i="13" s="1"/>
  <c r="M5958" i="13" s="1"/>
  <c r="M5959" i="13" s="1"/>
  <c r="M5960" i="13" s="1"/>
  <c r="M5961" i="13" s="1"/>
  <c r="M5962" i="13" s="1"/>
  <c r="M5963" i="13" s="1"/>
  <c r="M5964" i="13" s="1"/>
  <c r="M5965" i="13" s="1"/>
  <c r="M5966" i="13" s="1"/>
  <c r="M5967" i="13" s="1"/>
  <c r="M5968" i="13" s="1"/>
  <c r="M5969" i="13" s="1"/>
  <c r="M5970" i="13" s="1"/>
  <c r="M5971" i="13" s="1"/>
  <c r="M5972" i="13" s="1"/>
  <c r="M5973" i="13" s="1"/>
  <c r="M5974" i="13" s="1"/>
  <c r="M5975" i="13" s="1"/>
  <c r="M5976" i="13" s="1"/>
  <c r="M5977" i="13" s="1"/>
  <c r="M5978" i="13" s="1"/>
  <c r="M5979" i="13" s="1"/>
  <c r="M5980" i="13" s="1"/>
  <c r="M5981" i="13" s="1"/>
  <c r="M5982" i="13" s="1"/>
  <c r="M5983" i="13" s="1"/>
  <c r="M5984" i="13" s="1"/>
  <c r="M5985" i="13" s="1"/>
  <c r="M5986" i="13" s="1"/>
  <c r="M5987" i="13" s="1"/>
  <c r="M5988" i="13" s="1"/>
  <c r="M5989" i="13" s="1"/>
  <c r="M5990" i="13" s="1"/>
  <c r="M5991" i="13" s="1"/>
  <c r="M5992" i="13" s="1"/>
  <c r="M5993" i="13" s="1"/>
  <c r="M5994" i="13" s="1"/>
  <c r="M5995" i="13" s="1"/>
  <c r="M5996" i="13" s="1"/>
  <c r="M5997" i="13" s="1"/>
  <c r="M5998" i="13" s="1"/>
  <c r="M5999" i="13" s="1"/>
  <c r="M6000" i="13" s="1"/>
  <c r="M6001" i="13" s="1"/>
  <c r="M6002" i="13" s="1"/>
  <c r="M6003" i="13" s="1"/>
  <c r="M6004" i="13" s="1"/>
  <c r="M6005" i="13" s="1"/>
  <c r="M6006" i="13" s="1"/>
  <c r="M6007" i="13" s="1"/>
  <c r="M6008" i="13" s="1"/>
  <c r="M6009" i="13" s="1"/>
  <c r="M6010" i="13" s="1"/>
  <c r="M6011" i="13" s="1"/>
  <c r="M6012" i="13" s="1"/>
  <c r="M6013" i="13" s="1"/>
  <c r="M6014" i="13" s="1"/>
  <c r="M6015" i="13" s="1"/>
  <c r="M6016" i="13" s="1"/>
  <c r="M6017" i="13" s="1"/>
  <c r="M6018" i="13" s="1"/>
  <c r="M6019" i="13" s="1"/>
  <c r="M6020" i="13" s="1"/>
  <c r="M6021" i="13" s="1"/>
  <c r="M6022" i="13" s="1"/>
  <c r="M6023" i="13" s="1"/>
  <c r="M6024" i="13" s="1"/>
  <c r="M6025" i="13" s="1"/>
  <c r="M6026" i="13" s="1"/>
  <c r="M6027" i="13" s="1"/>
  <c r="M6028" i="13" s="1"/>
  <c r="M6029" i="13" s="1"/>
  <c r="M6030" i="13" s="1"/>
  <c r="M6031" i="13" s="1"/>
  <c r="M6032" i="13" s="1"/>
  <c r="M6033" i="13" s="1"/>
  <c r="M6034" i="13" s="1"/>
  <c r="M6035" i="13" s="1"/>
  <c r="M6036" i="13" s="1"/>
  <c r="M6037" i="13" s="1"/>
  <c r="M6038" i="13" s="1"/>
  <c r="M6039" i="13" s="1"/>
  <c r="M6040" i="13" s="1"/>
  <c r="M6041" i="13" s="1"/>
  <c r="M6042" i="13" s="1"/>
  <c r="M6043" i="13" s="1"/>
  <c r="M6044" i="13" s="1"/>
  <c r="M6045" i="13" s="1"/>
  <c r="M6046" i="13" s="1"/>
  <c r="M6047" i="13" s="1"/>
  <c r="M6048" i="13" s="1"/>
  <c r="M6049" i="13" s="1"/>
  <c r="M6050" i="13" s="1"/>
  <c r="M6051" i="13" s="1"/>
  <c r="M6052" i="13" s="1"/>
  <c r="M6053" i="13" s="1"/>
  <c r="M6054" i="13" s="1"/>
  <c r="M6055" i="13" s="1"/>
  <c r="M6056" i="13" s="1"/>
  <c r="M6057" i="13" s="1"/>
  <c r="M6058" i="13" s="1"/>
  <c r="M6059" i="13" s="1"/>
  <c r="M6060" i="13" s="1"/>
  <c r="M6061" i="13" s="1"/>
  <c r="M6062" i="13" s="1"/>
  <c r="M6063" i="13" s="1"/>
  <c r="M6064" i="13" s="1"/>
  <c r="M6065" i="13" s="1"/>
  <c r="M6066" i="13" s="1"/>
  <c r="M6067" i="13" s="1"/>
  <c r="M6068" i="13" s="1"/>
  <c r="M6069" i="13" s="1"/>
  <c r="M6070" i="13" s="1"/>
  <c r="M6071" i="13" s="1"/>
  <c r="M6072" i="13" s="1"/>
  <c r="M6073" i="13" s="1"/>
  <c r="M6074" i="13" s="1"/>
  <c r="M6075" i="13" s="1"/>
  <c r="M6076" i="13" s="1"/>
  <c r="M6077" i="13" s="1"/>
  <c r="M6078" i="13" s="1"/>
  <c r="M6079" i="13" s="1"/>
  <c r="M6080" i="13" s="1"/>
  <c r="M6081" i="13" s="1"/>
  <c r="M6082" i="13" s="1"/>
  <c r="M6083" i="13" s="1"/>
  <c r="M6084" i="13" s="1"/>
  <c r="M6085" i="13" s="1"/>
  <c r="M6086" i="13" s="1"/>
  <c r="M6087" i="13" s="1"/>
  <c r="M6088" i="13" s="1"/>
  <c r="M6089" i="13" s="1"/>
  <c r="M6090" i="13" s="1"/>
  <c r="M6091" i="13" s="1"/>
  <c r="M6092" i="13" s="1"/>
  <c r="M6093" i="13" s="1"/>
  <c r="M6094" i="13" s="1"/>
  <c r="M6095" i="13" s="1"/>
  <c r="M6096" i="13" s="1"/>
  <c r="M6097" i="13" s="1"/>
  <c r="M6098" i="13" s="1"/>
  <c r="M6099" i="13" s="1"/>
  <c r="M6100" i="13" s="1"/>
  <c r="M6101" i="13" s="1"/>
  <c r="M6102" i="13" s="1"/>
  <c r="M6103" i="13" s="1"/>
  <c r="M6104" i="13" s="1"/>
  <c r="M6105" i="13" s="1"/>
  <c r="M6106" i="13" s="1"/>
  <c r="M6107" i="13" s="1"/>
  <c r="M6108" i="13" s="1"/>
  <c r="M6109" i="13" s="1"/>
  <c r="M6110" i="13" s="1"/>
  <c r="M6111" i="13" s="1"/>
  <c r="M6112" i="13" s="1"/>
  <c r="M6113" i="13" s="1"/>
  <c r="M6114" i="13" s="1"/>
  <c r="M6115" i="13" s="1"/>
  <c r="M6116" i="13" s="1"/>
  <c r="M6117" i="13" s="1"/>
  <c r="M6118" i="13" s="1"/>
  <c r="M6119" i="13" s="1"/>
  <c r="M6120" i="13" s="1"/>
  <c r="M6121" i="13" s="1"/>
  <c r="M6122" i="13" s="1"/>
  <c r="M6123" i="13" s="1"/>
  <c r="M6124" i="13" s="1"/>
  <c r="M6125" i="13" s="1"/>
  <c r="M6126" i="13" s="1"/>
  <c r="M6127" i="13" s="1"/>
  <c r="M6128" i="13" s="1"/>
  <c r="M6129" i="13" s="1"/>
  <c r="M6130" i="13" s="1"/>
  <c r="M6131" i="13" s="1"/>
  <c r="M6132" i="13" s="1"/>
  <c r="M6133" i="13" s="1"/>
  <c r="M6134" i="13" s="1"/>
  <c r="M6135" i="13" s="1"/>
  <c r="M6136" i="13" s="1"/>
  <c r="M6137" i="13" s="1"/>
  <c r="M6138" i="13" s="1"/>
  <c r="M6139" i="13" s="1"/>
  <c r="M6140" i="13" s="1"/>
  <c r="M6141" i="13" s="1"/>
  <c r="M6142" i="13" s="1"/>
  <c r="M6143" i="13" s="1"/>
  <c r="M6144" i="13" s="1"/>
  <c r="M6145" i="13" s="1"/>
  <c r="M6146" i="13" s="1"/>
  <c r="M6147" i="13" s="1"/>
  <c r="M6148" i="13" s="1"/>
  <c r="M6149" i="13" s="1"/>
  <c r="M6150" i="13" s="1"/>
  <c r="M6151" i="13" s="1"/>
  <c r="M6152" i="13" s="1"/>
  <c r="M6153" i="13" s="1"/>
  <c r="M6154" i="13" s="1"/>
  <c r="M6155" i="13" s="1"/>
  <c r="M6156" i="13" s="1"/>
  <c r="M6157" i="13" s="1"/>
  <c r="M6158" i="13" s="1"/>
  <c r="M6159" i="13" s="1"/>
  <c r="M6160" i="13" s="1"/>
  <c r="M6161" i="13" s="1"/>
  <c r="M6162" i="13" s="1"/>
  <c r="M6163" i="13" s="1"/>
  <c r="M6164" i="13" s="1"/>
  <c r="M6165" i="13" s="1"/>
  <c r="M6166" i="13" s="1"/>
  <c r="M6167" i="13" s="1"/>
  <c r="M6168" i="13" s="1"/>
  <c r="M6169" i="13" s="1"/>
  <c r="M6170" i="13" s="1"/>
  <c r="M6171" i="13" s="1"/>
  <c r="M6172" i="13" s="1"/>
  <c r="M6173" i="13" s="1"/>
  <c r="M6174" i="13" s="1"/>
  <c r="M6175" i="13" s="1"/>
  <c r="M6176" i="13" s="1"/>
  <c r="M6177" i="13" s="1"/>
  <c r="M6178" i="13" s="1"/>
  <c r="M6179" i="13" s="1"/>
  <c r="M6180" i="13" s="1"/>
  <c r="M6181" i="13" s="1"/>
  <c r="M6182" i="13" s="1"/>
  <c r="M6183" i="13" s="1"/>
  <c r="M6184" i="13" s="1"/>
  <c r="M6185" i="13" s="1"/>
  <c r="M6186" i="13" s="1"/>
  <c r="M6187" i="13" s="1"/>
  <c r="M6188" i="13" s="1"/>
  <c r="M6189" i="13" s="1"/>
  <c r="M6190" i="13" s="1"/>
  <c r="M6191" i="13" s="1"/>
  <c r="M6192" i="13" s="1"/>
  <c r="M6193" i="13" s="1"/>
  <c r="M6194" i="13" s="1"/>
  <c r="M6195" i="13" s="1"/>
  <c r="M6196" i="13" s="1"/>
  <c r="M6197" i="13" s="1"/>
  <c r="M6198" i="13" s="1"/>
  <c r="M6199" i="13" s="1"/>
  <c r="M6200" i="13" s="1"/>
  <c r="M6201" i="13" s="1"/>
  <c r="M6202" i="13" s="1"/>
  <c r="M6203" i="13" s="1"/>
  <c r="M6204" i="13" s="1"/>
  <c r="M6205" i="13" s="1"/>
  <c r="M6206" i="13" s="1"/>
  <c r="M6207" i="13" s="1"/>
  <c r="M6208" i="13" s="1"/>
  <c r="M6209" i="13" s="1"/>
  <c r="M6210" i="13" s="1"/>
  <c r="M6211" i="13" s="1"/>
  <c r="M6212" i="13" s="1"/>
  <c r="M6213" i="13" s="1"/>
  <c r="M6214" i="13" s="1"/>
  <c r="M6215" i="13" s="1"/>
  <c r="M6216" i="13" s="1"/>
  <c r="M6217" i="13" s="1"/>
  <c r="M6218" i="13" s="1"/>
  <c r="M6219" i="13" s="1"/>
  <c r="M6220" i="13" s="1"/>
  <c r="M6221" i="13" s="1"/>
  <c r="M6222" i="13" s="1"/>
  <c r="M6223" i="13" s="1"/>
  <c r="M6224" i="13" s="1"/>
  <c r="M6225" i="13" s="1"/>
  <c r="M6226" i="13" s="1"/>
  <c r="M6227" i="13" s="1"/>
  <c r="M6228" i="13" s="1"/>
  <c r="M6229" i="13" s="1"/>
  <c r="M6230" i="13" s="1"/>
  <c r="M6231" i="13" s="1"/>
  <c r="M6232" i="13" s="1"/>
  <c r="M6233" i="13" s="1"/>
  <c r="M6234" i="13" s="1"/>
  <c r="M6235" i="13" s="1"/>
  <c r="M6236" i="13" s="1"/>
  <c r="M6237" i="13" s="1"/>
  <c r="M6238" i="13" s="1"/>
  <c r="M6239" i="13" s="1"/>
  <c r="M6240" i="13" s="1"/>
  <c r="M6241" i="13" s="1"/>
  <c r="M6242" i="13" s="1"/>
  <c r="M6243" i="13" s="1"/>
  <c r="M6244" i="13" s="1"/>
  <c r="M6245" i="13" s="1"/>
  <c r="M6246" i="13" s="1"/>
  <c r="M6247" i="13" s="1"/>
  <c r="M6248" i="13" s="1"/>
  <c r="M6249" i="13" s="1"/>
  <c r="M6250" i="13" s="1"/>
  <c r="M6251" i="13" s="1"/>
  <c r="M6252" i="13" s="1"/>
  <c r="M6253" i="13" s="1"/>
  <c r="M6254" i="13" s="1"/>
  <c r="M6255" i="13" s="1"/>
  <c r="M6256" i="13" s="1"/>
  <c r="M6257" i="13" s="1"/>
  <c r="M6258" i="13" s="1"/>
  <c r="M6259" i="13" s="1"/>
  <c r="M6260" i="13" s="1"/>
  <c r="M6261" i="13" s="1"/>
  <c r="M6262" i="13" s="1"/>
  <c r="M6263" i="13" s="1"/>
  <c r="M6264" i="13" s="1"/>
  <c r="M6265" i="13" s="1"/>
  <c r="M6266" i="13" s="1"/>
  <c r="M6267" i="13" s="1"/>
  <c r="M6268" i="13" s="1"/>
  <c r="M6269" i="13" s="1"/>
  <c r="M6270" i="13" s="1"/>
  <c r="M6271" i="13" s="1"/>
  <c r="M6272" i="13" s="1"/>
  <c r="M6273" i="13" s="1"/>
  <c r="M6274" i="13" s="1"/>
  <c r="M6275" i="13" s="1"/>
  <c r="M6276" i="13" s="1"/>
  <c r="M6277" i="13" s="1"/>
  <c r="M6278" i="13" s="1"/>
  <c r="M6279" i="13" s="1"/>
  <c r="M6280" i="13" s="1"/>
  <c r="M6281" i="13" s="1"/>
  <c r="M6282" i="13" s="1"/>
  <c r="M6283" i="13" s="1"/>
  <c r="M6284" i="13" s="1"/>
  <c r="M6285" i="13" s="1"/>
  <c r="M6286" i="13" s="1"/>
  <c r="M6287" i="13" s="1"/>
  <c r="M6288" i="13" s="1"/>
  <c r="M6289" i="13" s="1"/>
  <c r="M6290" i="13" s="1"/>
  <c r="M6291" i="13" s="1"/>
  <c r="M6292" i="13" s="1"/>
  <c r="M6293" i="13" s="1"/>
  <c r="M6294" i="13" s="1"/>
  <c r="M6295" i="13" s="1"/>
  <c r="M6296" i="13" s="1"/>
  <c r="M6297" i="13" s="1"/>
  <c r="M6298" i="13" s="1"/>
  <c r="M6299" i="13" s="1"/>
  <c r="M6300" i="13" s="1"/>
  <c r="M6301" i="13" s="1"/>
  <c r="M6302" i="13" s="1"/>
  <c r="M6303" i="13" s="1"/>
  <c r="M6304" i="13" s="1"/>
  <c r="M6305" i="13" s="1"/>
  <c r="M6306" i="13" s="1"/>
  <c r="M6307" i="13" s="1"/>
  <c r="M6308" i="13" s="1"/>
  <c r="M6309" i="13" s="1"/>
  <c r="M6310" i="13" s="1"/>
  <c r="M6311" i="13" s="1"/>
  <c r="M6312" i="13" s="1"/>
  <c r="M6313" i="13" s="1"/>
  <c r="M6314" i="13" s="1"/>
  <c r="M6315" i="13" s="1"/>
  <c r="M6316" i="13" s="1"/>
  <c r="M6317" i="13" s="1"/>
  <c r="M6318" i="13" s="1"/>
  <c r="M6319" i="13" s="1"/>
  <c r="M6320" i="13" s="1"/>
  <c r="M6321" i="13" s="1"/>
  <c r="M6322" i="13" s="1"/>
  <c r="M6323" i="13" s="1"/>
  <c r="M6324" i="13" s="1"/>
  <c r="M6325" i="13" s="1"/>
  <c r="M6326" i="13" s="1"/>
  <c r="M6327" i="13" s="1"/>
  <c r="M6328" i="13" s="1"/>
  <c r="M6329" i="13" s="1"/>
  <c r="M6330" i="13" s="1"/>
  <c r="M6331" i="13" s="1"/>
  <c r="M6332" i="13" s="1"/>
  <c r="M6333" i="13" s="1"/>
  <c r="M6334" i="13" s="1"/>
  <c r="M6335" i="13" s="1"/>
  <c r="M6336" i="13" s="1"/>
  <c r="M6337" i="13" s="1"/>
  <c r="M6338" i="13" s="1"/>
  <c r="M6339" i="13" s="1"/>
  <c r="M6340" i="13" s="1"/>
  <c r="M6341" i="13" s="1"/>
  <c r="M6342" i="13" s="1"/>
  <c r="M6343" i="13" s="1"/>
  <c r="M6344" i="13" s="1"/>
  <c r="M6345" i="13" s="1"/>
  <c r="M6346" i="13" s="1"/>
  <c r="M6347" i="13" s="1"/>
  <c r="M6348" i="13" s="1"/>
  <c r="M6349" i="13" s="1"/>
  <c r="M6350" i="13" s="1"/>
  <c r="M6351" i="13" s="1"/>
  <c r="M6352" i="13" s="1"/>
  <c r="M6353" i="13" s="1"/>
  <c r="M6354" i="13" s="1"/>
  <c r="M6355" i="13" s="1"/>
  <c r="M6356" i="13" s="1"/>
  <c r="M6357" i="13" s="1"/>
  <c r="M6358" i="13" s="1"/>
  <c r="M6359" i="13" s="1"/>
  <c r="M6360" i="13" s="1"/>
  <c r="M6361" i="13" s="1"/>
  <c r="M6362" i="13" s="1"/>
  <c r="M6363" i="13" s="1"/>
  <c r="M6364" i="13" s="1"/>
  <c r="M6365" i="13" s="1"/>
  <c r="M6366" i="13" s="1"/>
  <c r="M6367" i="13" s="1"/>
  <c r="M6368" i="13" s="1"/>
  <c r="M6369" i="13" s="1"/>
  <c r="M6370" i="13" s="1"/>
  <c r="M6371" i="13" s="1"/>
  <c r="M6372" i="13" s="1"/>
  <c r="M6373" i="13" s="1"/>
  <c r="M6374" i="13" s="1"/>
  <c r="M6375" i="13" s="1"/>
  <c r="M6376" i="13" s="1"/>
  <c r="M6377" i="13" s="1"/>
  <c r="M6378" i="13" s="1"/>
  <c r="M6379" i="13" s="1"/>
  <c r="M6380" i="13" s="1"/>
  <c r="M6381" i="13" s="1"/>
  <c r="M6382" i="13" s="1"/>
  <c r="M6383" i="13" s="1"/>
  <c r="M6384" i="13" s="1"/>
  <c r="M6385" i="13" s="1"/>
  <c r="M6386" i="13" s="1"/>
  <c r="M6387" i="13" s="1"/>
  <c r="M6388" i="13" s="1"/>
  <c r="M6389" i="13" s="1"/>
  <c r="M6390" i="13" s="1"/>
  <c r="M6391" i="13" s="1"/>
  <c r="M6392" i="13" s="1"/>
  <c r="M6393" i="13" s="1"/>
  <c r="M6394" i="13" s="1"/>
  <c r="M6395" i="13" s="1"/>
  <c r="M6396" i="13" s="1"/>
  <c r="M6397" i="13" s="1"/>
  <c r="M6398" i="13" s="1"/>
  <c r="M6399" i="13" s="1"/>
  <c r="M6400" i="13" s="1"/>
  <c r="M6401" i="13" s="1"/>
  <c r="M6402" i="13" s="1"/>
  <c r="M6403" i="13" s="1"/>
  <c r="M6404" i="13" s="1"/>
  <c r="M6405" i="13" s="1"/>
  <c r="M6406" i="13" s="1"/>
  <c r="M6407" i="13" s="1"/>
  <c r="M6408" i="13" s="1"/>
  <c r="M6409" i="13" s="1"/>
  <c r="M6410" i="13" s="1"/>
  <c r="M6411" i="13" s="1"/>
  <c r="M6412" i="13" s="1"/>
  <c r="M6413" i="13" s="1"/>
  <c r="M6414" i="13" s="1"/>
  <c r="M6415" i="13" s="1"/>
  <c r="M6416" i="13" s="1"/>
  <c r="M6417" i="13" s="1"/>
  <c r="M6418" i="13" s="1"/>
  <c r="M6419" i="13" s="1"/>
  <c r="M6420" i="13" s="1"/>
  <c r="M6421" i="13" s="1"/>
  <c r="M6422" i="13" s="1"/>
  <c r="M6423" i="13" s="1"/>
  <c r="M6424" i="13" s="1"/>
  <c r="M6425" i="13" s="1"/>
  <c r="M6426" i="13" s="1"/>
  <c r="M6427" i="13" s="1"/>
  <c r="M6428" i="13" s="1"/>
  <c r="M6429" i="13" s="1"/>
  <c r="M6430" i="13" s="1"/>
  <c r="M6431" i="13" s="1"/>
  <c r="M6432" i="13" s="1"/>
  <c r="M6433" i="13" s="1"/>
  <c r="M6434" i="13" s="1"/>
  <c r="M6435" i="13" s="1"/>
  <c r="M6436" i="13" s="1"/>
  <c r="M6437" i="13" s="1"/>
  <c r="M6438" i="13" s="1"/>
  <c r="M6439" i="13" s="1"/>
  <c r="M6440" i="13" s="1"/>
  <c r="M6441" i="13" s="1"/>
  <c r="M6442" i="13" s="1"/>
  <c r="M6443" i="13" s="1"/>
  <c r="M6444" i="13" s="1"/>
  <c r="M6445" i="13" s="1"/>
  <c r="M6446" i="13" s="1"/>
  <c r="M6447" i="13" s="1"/>
  <c r="M6448" i="13" s="1"/>
  <c r="M6449" i="13" s="1"/>
  <c r="M6450" i="13" s="1"/>
  <c r="M6451" i="13" s="1"/>
  <c r="M6452" i="13" s="1"/>
  <c r="M6453" i="13" s="1"/>
  <c r="M6454" i="13" s="1"/>
  <c r="M6455" i="13" s="1"/>
  <c r="M6456" i="13" s="1"/>
  <c r="M6457" i="13" s="1"/>
  <c r="M6458" i="13" s="1"/>
  <c r="M6459" i="13" s="1"/>
  <c r="M6460" i="13" s="1"/>
  <c r="M6461" i="13" s="1"/>
  <c r="M6462" i="13" s="1"/>
  <c r="M6463" i="13" s="1"/>
  <c r="M6464" i="13" s="1"/>
  <c r="M6465" i="13" s="1"/>
  <c r="M6466" i="13" s="1"/>
  <c r="M6467" i="13" s="1"/>
  <c r="M6468" i="13" s="1"/>
  <c r="M6469" i="13" s="1"/>
  <c r="M6470" i="13" s="1"/>
  <c r="M6471" i="13" s="1"/>
  <c r="M6472" i="13" s="1"/>
  <c r="M6473" i="13" s="1"/>
  <c r="M6474" i="13" s="1"/>
  <c r="M6475" i="13" s="1"/>
  <c r="M6476" i="13" s="1"/>
  <c r="M6477" i="13" s="1"/>
  <c r="M6478" i="13" s="1"/>
  <c r="M6479" i="13" s="1"/>
  <c r="M6480" i="13" s="1"/>
  <c r="M6481" i="13" s="1"/>
  <c r="M6482" i="13" s="1"/>
  <c r="M6483" i="13" s="1"/>
  <c r="M6484" i="13" s="1"/>
  <c r="M6485" i="13" s="1"/>
  <c r="M6486" i="13" s="1"/>
  <c r="M6487" i="13" s="1"/>
  <c r="M6488" i="13" s="1"/>
  <c r="M6489" i="13" s="1"/>
  <c r="M6490" i="13" s="1"/>
  <c r="M6491" i="13" s="1"/>
  <c r="M6492" i="13" s="1"/>
  <c r="M6493" i="13" s="1"/>
  <c r="M6494" i="13" s="1"/>
  <c r="M6495" i="13" s="1"/>
  <c r="M6496" i="13" s="1"/>
  <c r="M6497" i="13" s="1"/>
  <c r="M6498" i="13" s="1"/>
  <c r="M6499" i="13" s="1"/>
  <c r="M6500" i="13" s="1"/>
  <c r="M6501" i="13" s="1"/>
  <c r="M6502" i="13" s="1"/>
  <c r="M6503" i="13" s="1"/>
  <c r="M6504" i="13" s="1"/>
  <c r="M6505" i="13" s="1"/>
  <c r="M6506" i="13" s="1"/>
  <c r="M6507" i="13" s="1"/>
  <c r="M6508" i="13" s="1"/>
  <c r="M6509" i="13" s="1"/>
  <c r="M6510" i="13" s="1"/>
  <c r="M6511" i="13" s="1"/>
  <c r="M6512" i="13" s="1"/>
  <c r="M6513" i="13" s="1"/>
  <c r="M6514" i="13" s="1"/>
  <c r="M6515" i="13" s="1"/>
  <c r="M6516" i="13" s="1"/>
  <c r="M6517" i="13" s="1"/>
  <c r="M6518" i="13" s="1"/>
  <c r="M6519" i="13" s="1"/>
  <c r="M6520" i="13" s="1"/>
  <c r="M6521" i="13" s="1"/>
  <c r="M6522" i="13" s="1"/>
  <c r="M6523" i="13" s="1"/>
  <c r="M6524" i="13" s="1"/>
  <c r="M6525" i="13" s="1"/>
  <c r="M6526" i="13" s="1"/>
  <c r="M6527" i="13" s="1"/>
  <c r="M6528" i="13" s="1"/>
  <c r="M6529" i="13" s="1"/>
  <c r="M6530" i="13" s="1"/>
  <c r="M6531" i="13" s="1"/>
  <c r="M6532" i="13" s="1"/>
  <c r="M6533" i="13" s="1"/>
  <c r="M6534" i="13" s="1"/>
  <c r="M6535" i="13" s="1"/>
  <c r="M6536" i="13" s="1"/>
  <c r="M6537" i="13" s="1"/>
  <c r="M6538" i="13" s="1"/>
  <c r="M6539" i="13" s="1"/>
  <c r="M6540" i="13" s="1"/>
  <c r="M6541" i="13" s="1"/>
  <c r="M6542" i="13" s="1"/>
  <c r="M6543" i="13" s="1"/>
  <c r="M6544" i="13" s="1"/>
  <c r="M6545" i="13" s="1"/>
  <c r="M6546" i="13" s="1"/>
  <c r="M6547" i="13" s="1"/>
  <c r="M6548" i="13" s="1"/>
  <c r="M6549" i="13" s="1"/>
  <c r="M6550" i="13" s="1"/>
  <c r="M6551" i="13" s="1"/>
  <c r="M6552" i="13" s="1"/>
  <c r="M6553" i="13" s="1"/>
  <c r="M6554" i="13" s="1"/>
  <c r="M6555" i="13" s="1"/>
  <c r="M6556" i="13" s="1"/>
  <c r="M6557" i="13" s="1"/>
  <c r="M6558" i="13" s="1"/>
  <c r="M6559" i="13" s="1"/>
  <c r="M6560" i="13" s="1"/>
  <c r="M6561" i="13" s="1"/>
  <c r="M6562" i="13" s="1"/>
  <c r="M6563" i="13" s="1"/>
  <c r="M6564" i="13" s="1"/>
  <c r="M6565" i="13" s="1"/>
  <c r="M6566" i="13" s="1"/>
  <c r="M6567" i="13" s="1"/>
  <c r="M6568" i="13" s="1"/>
  <c r="M6569" i="13" s="1"/>
  <c r="M6570" i="13" s="1"/>
  <c r="M6571" i="13" s="1"/>
  <c r="M6572" i="13" s="1"/>
  <c r="M6573" i="13" s="1"/>
  <c r="M6574" i="13" s="1"/>
  <c r="M6575" i="13" s="1"/>
  <c r="M6576" i="13" s="1"/>
  <c r="M6577" i="13" s="1"/>
  <c r="M6578" i="13" s="1"/>
  <c r="M6579" i="13" s="1"/>
  <c r="M6580" i="13" s="1"/>
  <c r="M6581" i="13" s="1"/>
  <c r="M6582" i="13" s="1"/>
  <c r="M6583" i="13" s="1"/>
  <c r="M6584" i="13" s="1"/>
  <c r="M6585" i="13" s="1"/>
  <c r="M6586" i="13" s="1"/>
  <c r="M6587" i="13" s="1"/>
  <c r="M6588" i="13" s="1"/>
  <c r="M6589" i="13" s="1"/>
  <c r="M6590" i="13" s="1"/>
  <c r="M6591" i="13" s="1"/>
  <c r="M6592" i="13" s="1"/>
  <c r="M6593" i="13" s="1"/>
  <c r="M6594" i="13" s="1"/>
  <c r="M6595" i="13" s="1"/>
  <c r="M6596" i="13" s="1"/>
  <c r="M6597" i="13" s="1"/>
  <c r="M6598" i="13" s="1"/>
  <c r="M6599" i="13" s="1"/>
  <c r="M6600" i="13" s="1"/>
  <c r="M6601" i="13" s="1"/>
  <c r="M6602" i="13" s="1"/>
  <c r="M6603" i="13" s="1"/>
  <c r="M6604" i="13" s="1"/>
  <c r="M6605" i="13" s="1"/>
  <c r="M6606" i="13" s="1"/>
  <c r="M6607" i="13" s="1"/>
  <c r="M6608" i="13" s="1"/>
  <c r="M6609" i="13" s="1"/>
  <c r="M6610" i="13" s="1"/>
  <c r="M6611" i="13" s="1"/>
  <c r="M6612" i="13" s="1"/>
  <c r="M6613" i="13" s="1"/>
  <c r="M6614" i="13" s="1"/>
  <c r="M6615" i="13" s="1"/>
  <c r="M6616" i="13" s="1"/>
  <c r="M6617" i="13" s="1"/>
  <c r="M6618" i="13" s="1"/>
  <c r="M6619" i="13" s="1"/>
  <c r="M6620" i="13" s="1"/>
  <c r="M6621" i="13" s="1"/>
  <c r="M6622" i="13" s="1"/>
  <c r="M6623" i="13" s="1"/>
  <c r="M6624" i="13" s="1"/>
  <c r="M6625" i="13" s="1"/>
  <c r="M6626" i="13" s="1"/>
  <c r="M6627" i="13" s="1"/>
  <c r="M6628" i="13" s="1"/>
  <c r="M6629" i="13" s="1"/>
  <c r="M6630" i="13" s="1"/>
  <c r="M6631" i="13" s="1"/>
  <c r="M6632" i="13" s="1"/>
  <c r="M6633" i="13" s="1"/>
  <c r="M6634" i="13" s="1"/>
  <c r="M6635" i="13" s="1"/>
  <c r="M6636" i="13" s="1"/>
  <c r="M6637" i="13" s="1"/>
  <c r="M6638" i="13" s="1"/>
  <c r="M6639" i="13" s="1"/>
  <c r="M6640" i="13" s="1"/>
  <c r="M6641" i="13" s="1"/>
  <c r="M6642" i="13" s="1"/>
  <c r="M6643" i="13" s="1"/>
  <c r="M6644" i="13" s="1"/>
  <c r="M6645" i="13" s="1"/>
  <c r="M6646" i="13" s="1"/>
  <c r="M6647" i="13" s="1"/>
  <c r="M6648" i="13" s="1"/>
  <c r="M6649" i="13" s="1"/>
  <c r="M6650" i="13" s="1"/>
  <c r="M6651" i="13" s="1"/>
  <c r="M6652" i="13" s="1"/>
  <c r="M6653" i="13" s="1"/>
  <c r="M6654" i="13" s="1"/>
  <c r="M6655" i="13" s="1"/>
  <c r="M6656" i="13" s="1"/>
  <c r="M6657" i="13" s="1"/>
  <c r="M6658" i="13" s="1"/>
  <c r="M6659" i="13" s="1"/>
  <c r="M6660" i="13" s="1"/>
  <c r="M6661" i="13" s="1"/>
  <c r="M6662" i="13" s="1"/>
  <c r="M6663" i="13" s="1"/>
  <c r="M6664" i="13" s="1"/>
  <c r="M6665" i="13" s="1"/>
  <c r="M6666" i="13" s="1"/>
  <c r="M6667" i="13" s="1"/>
  <c r="M6668" i="13" s="1"/>
  <c r="M6669" i="13" s="1"/>
  <c r="M6670" i="13" s="1"/>
  <c r="M6671" i="13" s="1"/>
  <c r="M6672" i="13" s="1"/>
  <c r="M6673" i="13" s="1"/>
  <c r="M6674" i="13" s="1"/>
  <c r="M6675" i="13" s="1"/>
  <c r="M6676" i="13" s="1"/>
  <c r="M6677" i="13" s="1"/>
  <c r="M6678" i="13" s="1"/>
  <c r="M6679" i="13" s="1"/>
  <c r="M6680" i="13" s="1"/>
  <c r="M6681" i="13" s="1"/>
  <c r="M6682" i="13" s="1"/>
  <c r="M6683" i="13" s="1"/>
  <c r="M6684" i="13" s="1"/>
  <c r="M6685" i="13" s="1"/>
  <c r="M6686" i="13" s="1"/>
  <c r="M6687" i="13" s="1"/>
  <c r="M6688" i="13" s="1"/>
  <c r="M6689" i="13" s="1"/>
  <c r="M6690" i="13" s="1"/>
  <c r="M6691" i="13" s="1"/>
  <c r="M6692" i="13" s="1"/>
  <c r="M6693" i="13" s="1"/>
  <c r="M6694" i="13" s="1"/>
  <c r="M6695" i="13" s="1"/>
  <c r="M6696" i="13" s="1"/>
  <c r="M6697" i="13" s="1"/>
  <c r="M6698" i="13" s="1"/>
  <c r="M6699" i="13" s="1"/>
  <c r="M6700" i="13" s="1"/>
  <c r="M6701" i="13" s="1"/>
  <c r="M6702" i="13" s="1"/>
  <c r="M6703" i="13" s="1"/>
  <c r="M6704" i="13" s="1"/>
  <c r="M6705" i="13" s="1"/>
  <c r="M6706" i="13" s="1"/>
  <c r="M6707" i="13" s="1"/>
  <c r="M6708" i="13" s="1"/>
  <c r="M6709" i="13" s="1"/>
  <c r="M6710" i="13" s="1"/>
  <c r="M6711" i="13" s="1"/>
  <c r="M6712" i="13" s="1"/>
  <c r="M6713" i="13" s="1"/>
  <c r="M6714" i="13" s="1"/>
  <c r="M6715" i="13" s="1"/>
  <c r="M6716" i="13" s="1"/>
  <c r="M6717" i="13" s="1"/>
  <c r="M6718" i="13" s="1"/>
  <c r="M6719" i="13" s="1"/>
  <c r="M6720" i="13" s="1"/>
  <c r="M6721" i="13" s="1"/>
  <c r="M6722" i="13" s="1"/>
  <c r="M6723" i="13" s="1"/>
  <c r="M6724" i="13" s="1"/>
  <c r="M6725" i="13" s="1"/>
  <c r="M6726" i="13" s="1"/>
  <c r="M6727" i="13" s="1"/>
  <c r="M6728" i="13" s="1"/>
  <c r="M6729" i="13" s="1"/>
  <c r="M6730" i="13" s="1"/>
  <c r="M6731" i="13" s="1"/>
  <c r="M6732" i="13" s="1"/>
  <c r="M6733" i="13" s="1"/>
  <c r="M6734" i="13" s="1"/>
  <c r="M6735" i="13" s="1"/>
  <c r="M6736" i="13" s="1"/>
  <c r="M6737" i="13" s="1"/>
  <c r="M6738" i="13" s="1"/>
  <c r="M6739" i="13" s="1"/>
  <c r="M6740" i="13" s="1"/>
  <c r="M6741" i="13" s="1"/>
  <c r="M6742" i="13" s="1"/>
  <c r="M6743" i="13" s="1"/>
  <c r="M6744" i="13" s="1"/>
  <c r="M6745" i="13" s="1"/>
  <c r="M6746" i="13" s="1"/>
  <c r="M6747" i="13" s="1"/>
  <c r="M6748" i="13" s="1"/>
  <c r="M6749" i="13" s="1"/>
  <c r="M6750" i="13" s="1"/>
  <c r="M6751" i="13" s="1"/>
  <c r="M6752" i="13" s="1"/>
  <c r="M6753" i="13" s="1"/>
  <c r="M6754" i="13" s="1"/>
  <c r="M6755" i="13" s="1"/>
  <c r="M6756" i="13" s="1"/>
  <c r="M6757" i="13" s="1"/>
  <c r="M6758" i="13" s="1"/>
  <c r="M6759" i="13" s="1"/>
  <c r="M6760" i="13" s="1"/>
  <c r="M6761" i="13" s="1"/>
  <c r="M6762" i="13" s="1"/>
  <c r="M6763" i="13" s="1"/>
  <c r="M6764" i="13" s="1"/>
  <c r="M6765" i="13" s="1"/>
  <c r="M6766" i="13" s="1"/>
  <c r="M6767" i="13" s="1"/>
  <c r="M6768" i="13" s="1"/>
  <c r="M6769" i="13" s="1"/>
  <c r="M6770" i="13" s="1"/>
  <c r="M6771" i="13" s="1"/>
  <c r="M6772" i="13" s="1"/>
  <c r="M6773" i="13" s="1"/>
  <c r="M6774" i="13" s="1"/>
  <c r="M6775" i="13" s="1"/>
  <c r="M6776" i="13" s="1"/>
  <c r="M6777" i="13" s="1"/>
  <c r="M6778" i="13" s="1"/>
  <c r="M6779" i="13" s="1"/>
  <c r="M6780" i="13" s="1"/>
  <c r="M6781" i="13" s="1"/>
  <c r="M6782" i="13" s="1"/>
  <c r="M6783" i="13" s="1"/>
  <c r="M6784" i="13" s="1"/>
  <c r="M6785" i="13" s="1"/>
  <c r="M6786" i="13" s="1"/>
  <c r="M6787" i="13" s="1"/>
  <c r="M6788" i="13" s="1"/>
  <c r="M6789" i="13" s="1"/>
  <c r="M6790" i="13" s="1"/>
  <c r="M6791" i="13" s="1"/>
  <c r="M6792" i="13" s="1"/>
  <c r="M6793" i="13" s="1"/>
  <c r="M6794" i="13" s="1"/>
  <c r="M6795" i="13" s="1"/>
  <c r="M6796" i="13" s="1"/>
  <c r="M6797" i="13" s="1"/>
  <c r="M6798" i="13" s="1"/>
  <c r="M6799" i="13" s="1"/>
  <c r="M6800" i="13" s="1"/>
  <c r="M6801" i="13" s="1"/>
  <c r="M6802" i="13" s="1"/>
  <c r="M6803" i="13" s="1"/>
  <c r="M6804" i="13" s="1"/>
  <c r="M6805" i="13" s="1"/>
  <c r="M6806" i="13" s="1"/>
  <c r="M6807" i="13" s="1"/>
  <c r="M6808" i="13" s="1"/>
  <c r="M6809" i="13" s="1"/>
  <c r="M6810" i="13" s="1"/>
  <c r="M6811" i="13" s="1"/>
  <c r="M6812" i="13" s="1"/>
  <c r="M6813" i="13" s="1"/>
  <c r="M6814" i="13" s="1"/>
  <c r="M6815" i="13" s="1"/>
  <c r="M6816" i="13" s="1"/>
  <c r="M6817" i="13" s="1"/>
  <c r="M6818" i="13" s="1"/>
  <c r="M6819" i="13" s="1"/>
  <c r="M6820" i="13" s="1"/>
  <c r="M6821" i="13" s="1"/>
  <c r="M6822" i="13" s="1"/>
  <c r="M6823" i="13" s="1"/>
  <c r="M6824" i="13" s="1"/>
  <c r="M6825" i="13" s="1"/>
  <c r="M6826" i="13" s="1"/>
  <c r="M6827" i="13" s="1"/>
  <c r="M6828" i="13" s="1"/>
  <c r="M6829" i="13" s="1"/>
  <c r="M6830" i="13" s="1"/>
  <c r="M6831" i="13" s="1"/>
  <c r="M6832" i="13" s="1"/>
  <c r="M6833" i="13" s="1"/>
  <c r="M6834" i="13" s="1"/>
  <c r="M6835" i="13" s="1"/>
  <c r="M6836" i="13" s="1"/>
  <c r="M6837" i="13" s="1"/>
  <c r="M6838" i="13" s="1"/>
  <c r="M6839" i="13" s="1"/>
  <c r="M6840" i="13" s="1"/>
  <c r="M6841" i="13" s="1"/>
  <c r="M6842" i="13" s="1"/>
  <c r="M6843" i="13" s="1"/>
  <c r="M6844" i="13" s="1"/>
  <c r="M6845" i="13" s="1"/>
  <c r="M6846" i="13" s="1"/>
  <c r="M6847" i="13" s="1"/>
  <c r="M6848" i="13" s="1"/>
  <c r="M6849" i="13" s="1"/>
  <c r="M6850" i="13" s="1"/>
  <c r="M6851" i="13" s="1"/>
  <c r="M6852" i="13" s="1"/>
  <c r="M6853" i="13" s="1"/>
  <c r="M6854" i="13" s="1"/>
  <c r="M6855" i="13" s="1"/>
  <c r="M6856" i="13" s="1"/>
  <c r="M6857" i="13" s="1"/>
  <c r="M6858" i="13" s="1"/>
  <c r="M6859" i="13" s="1"/>
  <c r="M6860" i="13" s="1"/>
  <c r="M6861" i="13" s="1"/>
  <c r="M6862" i="13" s="1"/>
  <c r="M6863" i="13" s="1"/>
  <c r="M6864" i="13" s="1"/>
  <c r="M6865" i="13" s="1"/>
  <c r="M6866" i="13" s="1"/>
  <c r="M6867" i="13" s="1"/>
  <c r="M6868" i="13" s="1"/>
  <c r="M6869" i="13" s="1"/>
  <c r="M6870" i="13" s="1"/>
  <c r="M6871" i="13" s="1"/>
  <c r="M6872" i="13" s="1"/>
  <c r="M6873" i="13" s="1"/>
  <c r="M6874" i="13" s="1"/>
  <c r="M6875" i="13" s="1"/>
  <c r="M6876" i="13" s="1"/>
  <c r="M6877" i="13" s="1"/>
  <c r="M6878" i="13" s="1"/>
  <c r="M6879" i="13" s="1"/>
  <c r="M6880" i="13" s="1"/>
  <c r="M6881" i="13" s="1"/>
  <c r="M6882" i="13" s="1"/>
  <c r="M6883" i="13" s="1"/>
  <c r="M6884" i="13" s="1"/>
  <c r="M6885" i="13" s="1"/>
  <c r="M6886" i="13" s="1"/>
  <c r="M6887" i="13" s="1"/>
  <c r="M6888" i="13" s="1"/>
  <c r="M6889" i="13" s="1"/>
  <c r="M6890" i="13" s="1"/>
  <c r="M6891" i="13" s="1"/>
  <c r="M6892" i="13" s="1"/>
  <c r="M6893" i="13" s="1"/>
  <c r="M6894" i="13" s="1"/>
  <c r="M6895" i="13" s="1"/>
  <c r="M6896" i="13" s="1"/>
  <c r="M6897" i="13" s="1"/>
  <c r="M6898" i="13" s="1"/>
  <c r="M6899" i="13" s="1"/>
  <c r="M6900" i="13" s="1"/>
  <c r="M6901" i="13" s="1"/>
  <c r="M6902" i="13" s="1"/>
  <c r="M6903" i="13" s="1"/>
  <c r="M6904" i="13" s="1"/>
  <c r="M6905" i="13" s="1"/>
  <c r="M6906" i="13" s="1"/>
  <c r="M6907" i="13" s="1"/>
  <c r="M6908" i="13" s="1"/>
  <c r="M6909" i="13" s="1"/>
  <c r="M6910" i="13" s="1"/>
  <c r="M6911" i="13" s="1"/>
  <c r="M6912" i="13" s="1"/>
  <c r="M6913" i="13" s="1"/>
  <c r="M6914" i="13" s="1"/>
  <c r="M6915" i="13" s="1"/>
  <c r="M6916" i="13" s="1"/>
  <c r="M6917" i="13" s="1"/>
  <c r="M6918" i="13" s="1"/>
  <c r="M6919" i="13" s="1"/>
  <c r="M6920" i="13" s="1"/>
  <c r="M6921" i="13" s="1"/>
  <c r="M6922" i="13" s="1"/>
  <c r="M6923" i="13" s="1"/>
  <c r="M6924" i="13" s="1"/>
  <c r="M6925" i="13" s="1"/>
  <c r="M6926" i="13" s="1"/>
  <c r="M6927" i="13" s="1"/>
  <c r="M6928" i="13" s="1"/>
  <c r="M6929" i="13" s="1"/>
  <c r="M6930" i="13" s="1"/>
  <c r="M6931" i="13" s="1"/>
  <c r="M6932" i="13" s="1"/>
  <c r="M6933" i="13" s="1"/>
  <c r="M6934" i="13" s="1"/>
  <c r="M6935" i="13" s="1"/>
  <c r="M6936" i="13" s="1"/>
  <c r="M6937" i="13" s="1"/>
  <c r="M6938" i="13" s="1"/>
  <c r="M6939" i="13" s="1"/>
  <c r="M6940" i="13" s="1"/>
  <c r="M6941" i="13" s="1"/>
  <c r="M6942" i="13" s="1"/>
  <c r="M6943" i="13" s="1"/>
  <c r="M6944" i="13" s="1"/>
  <c r="M6945" i="13" s="1"/>
  <c r="M6946" i="13" s="1"/>
  <c r="M6947" i="13" s="1"/>
  <c r="M6948" i="13" s="1"/>
  <c r="M6949" i="13" s="1"/>
  <c r="M6950" i="13" s="1"/>
  <c r="M6951" i="13" s="1"/>
  <c r="M6952" i="13" s="1"/>
  <c r="M6953" i="13" s="1"/>
  <c r="M6954" i="13" s="1"/>
  <c r="M6955" i="13" s="1"/>
  <c r="M6956" i="13" s="1"/>
  <c r="M6957" i="13" s="1"/>
  <c r="M6958" i="13" s="1"/>
  <c r="M6959" i="13" s="1"/>
  <c r="M6960" i="13" s="1"/>
  <c r="M6961" i="13" s="1"/>
  <c r="M6962" i="13" s="1"/>
  <c r="M6963" i="13" s="1"/>
  <c r="M6964" i="13" s="1"/>
  <c r="M6965" i="13" s="1"/>
  <c r="M6966" i="13" s="1"/>
  <c r="M6967" i="13" s="1"/>
  <c r="M6968" i="13" s="1"/>
  <c r="M6969" i="13" s="1"/>
  <c r="M6970" i="13" s="1"/>
  <c r="M6971" i="13" s="1"/>
  <c r="M6972" i="13" s="1"/>
  <c r="M6973" i="13" s="1"/>
  <c r="M6974" i="13" s="1"/>
  <c r="M6975" i="13" s="1"/>
  <c r="M6976" i="13" s="1"/>
  <c r="M6977" i="13" s="1"/>
  <c r="M6978" i="13" s="1"/>
  <c r="M6979" i="13" s="1"/>
  <c r="M6980" i="13" s="1"/>
  <c r="M6981" i="13" s="1"/>
  <c r="M6982" i="13" s="1"/>
  <c r="M6983" i="13" s="1"/>
  <c r="M6984" i="13" s="1"/>
  <c r="M6985" i="13" s="1"/>
  <c r="M6986" i="13" s="1"/>
  <c r="M6987" i="13" s="1"/>
  <c r="M6988" i="13" s="1"/>
  <c r="M6989" i="13" s="1"/>
  <c r="M6990" i="13" s="1"/>
  <c r="M6991" i="13" s="1"/>
  <c r="M6992" i="13" s="1"/>
  <c r="M6993" i="13" s="1"/>
  <c r="M6994" i="13" s="1"/>
  <c r="M6995" i="13" s="1"/>
  <c r="M6996" i="13" s="1"/>
  <c r="M6997" i="13" s="1"/>
  <c r="M6998" i="13" s="1"/>
  <c r="M6999" i="13" s="1"/>
  <c r="M7000" i="13" s="1"/>
  <c r="M7001" i="13" s="1"/>
  <c r="M7002" i="13" s="1"/>
  <c r="M7003" i="13" s="1"/>
  <c r="M7004" i="13" s="1"/>
  <c r="M7005" i="13" s="1"/>
  <c r="M7006" i="13" s="1"/>
  <c r="M7007" i="13" s="1"/>
  <c r="M7008" i="13" s="1"/>
  <c r="M7009" i="13" s="1"/>
  <c r="M7010" i="13" s="1"/>
  <c r="M7011" i="13" s="1"/>
  <c r="M7012" i="13" s="1"/>
  <c r="M7013" i="13" s="1"/>
  <c r="M7014" i="13" s="1"/>
  <c r="M7015" i="13" s="1"/>
  <c r="M7016" i="13" s="1"/>
  <c r="M7017" i="13" s="1"/>
  <c r="M7018" i="13" s="1"/>
  <c r="M7019" i="13" s="1"/>
  <c r="M7020" i="13" s="1"/>
  <c r="M7021" i="13" s="1"/>
  <c r="M7022" i="13" s="1"/>
  <c r="M7023" i="13" s="1"/>
  <c r="M7024" i="13" s="1"/>
  <c r="M7025" i="13" s="1"/>
  <c r="M7026" i="13" s="1"/>
  <c r="M7027" i="13" s="1"/>
  <c r="M7028" i="13" s="1"/>
  <c r="M7029" i="13" s="1"/>
  <c r="M7030" i="13" s="1"/>
  <c r="M7031" i="13" s="1"/>
  <c r="M7032" i="13" s="1"/>
  <c r="M7033" i="13" s="1"/>
  <c r="M7034" i="13" s="1"/>
  <c r="M7035" i="13" s="1"/>
  <c r="M7036" i="13" s="1"/>
  <c r="M7037" i="13" s="1"/>
  <c r="M7038" i="13" s="1"/>
  <c r="M7039" i="13" s="1"/>
  <c r="M7040" i="13" s="1"/>
  <c r="M7041" i="13" s="1"/>
  <c r="M7042" i="13" s="1"/>
  <c r="M7043" i="13" s="1"/>
  <c r="M7044" i="13" s="1"/>
  <c r="M7045" i="13" s="1"/>
  <c r="M7046" i="13" s="1"/>
  <c r="M7047" i="13" s="1"/>
  <c r="M7048" i="13" s="1"/>
  <c r="M7049" i="13" s="1"/>
  <c r="M7050" i="13" s="1"/>
  <c r="M7051" i="13" s="1"/>
  <c r="M7052" i="13" s="1"/>
  <c r="M7053" i="13" s="1"/>
  <c r="M7054" i="13" s="1"/>
  <c r="M7055" i="13" s="1"/>
  <c r="M7056" i="13" s="1"/>
  <c r="M7057" i="13" s="1"/>
  <c r="M7058" i="13" s="1"/>
  <c r="M7059" i="13" s="1"/>
  <c r="M7060" i="13" s="1"/>
  <c r="M7061" i="13" s="1"/>
  <c r="M7062" i="13" s="1"/>
  <c r="M7063" i="13" s="1"/>
  <c r="M7064" i="13" s="1"/>
  <c r="M7065" i="13" s="1"/>
  <c r="M7066" i="13" s="1"/>
  <c r="M7067" i="13" s="1"/>
  <c r="M7068" i="13" s="1"/>
  <c r="M7069" i="13" s="1"/>
  <c r="M7070" i="13" s="1"/>
  <c r="M7071" i="13" s="1"/>
  <c r="M7072" i="13" s="1"/>
  <c r="M7073" i="13" s="1"/>
  <c r="M7074" i="13" s="1"/>
  <c r="M7075" i="13" s="1"/>
  <c r="M7076" i="13" s="1"/>
  <c r="M7077" i="13" s="1"/>
  <c r="M7078" i="13" s="1"/>
  <c r="M7079" i="13" s="1"/>
  <c r="M7080" i="13" s="1"/>
  <c r="M7081" i="13" s="1"/>
  <c r="M7082" i="13" s="1"/>
  <c r="M7083" i="13" s="1"/>
  <c r="M7084" i="13" s="1"/>
  <c r="M7085" i="13" s="1"/>
  <c r="M7086" i="13" s="1"/>
  <c r="M7087" i="13" s="1"/>
  <c r="M7088" i="13" s="1"/>
  <c r="M7089" i="13" s="1"/>
  <c r="M7090" i="13" s="1"/>
  <c r="M7091" i="13" s="1"/>
  <c r="M7092" i="13" s="1"/>
  <c r="M7093" i="13" s="1"/>
  <c r="M7094" i="13" s="1"/>
  <c r="M7095" i="13" s="1"/>
  <c r="M7096" i="13" s="1"/>
  <c r="M7097" i="13" s="1"/>
  <c r="M7098" i="13" s="1"/>
  <c r="M7099" i="13" s="1"/>
  <c r="M7100" i="13" s="1"/>
  <c r="M7101" i="13" s="1"/>
  <c r="M7102" i="13" s="1"/>
  <c r="M7103" i="13" s="1"/>
  <c r="M7104" i="13" s="1"/>
  <c r="M7105" i="13" s="1"/>
  <c r="M7106" i="13" s="1"/>
  <c r="M7107" i="13" s="1"/>
  <c r="M7108" i="13" s="1"/>
  <c r="M7109" i="13" s="1"/>
  <c r="M7110" i="13" s="1"/>
  <c r="M7111" i="13" s="1"/>
  <c r="M7112" i="13" s="1"/>
  <c r="M7113" i="13" s="1"/>
  <c r="M7114" i="13" s="1"/>
  <c r="M7115" i="13" s="1"/>
  <c r="M7116" i="13" s="1"/>
  <c r="M7117" i="13" s="1"/>
  <c r="M7118" i="13" s="1"/>
  <c r="M7119" i="13" s="1"/>
  <c r="M7120" i="13" s="1"/>
  <c r="M7121" i="13" s="1"/>
  <c r="M7122" i="13" s="1"/>
  <c r="M7123" i="13" s="1"/>
  <c r="M7124" i="13" s="1"/>
  <c r="M7125" i="13" s="1"/>
  <c r="M7126" i="13" s="1"/>
  <c r="M7127" i="13" s="1"/>
  <c r="M7128" i="13" s="1"/>
  <c r="M7129" i="13" s="1"/>
  <c r="M7130" i="13" s="1"/>
  <c r="M7131" i="13" s="1"/>
  <c r="M7132" i="13" s="1"/>
  <c r="M7133" i="13" s="1"/>
  <c r="M7134" i="13" s="1"/>
  <c r="M7135" i="13" s="1"/>
  <c r="M7136" i="13" s="1"/>
  <c r="M7137" i="13" s="1"/>
  <c r="M7138" i="13" s="1"/>
  <c r="M7139" i="13" s="1"/>
  <c r="M7140" i="13" s="1"/>
  <c r="M7141" i="13" s="1"/>
  <c r="M7142" i="13" s="1"/>
  <c r="M7143" i="13" s="1"/>
  <c r="M7144" i="13" s="1"/>
  <c r="M7145" i="13" s="1"/>
  <c r="M7146" i="13" s="1"/>
  <c r="M7147" i="13" s="1"/>
  <c r="M7148" i="13" s="1"/>
  <c r="M7149" i="13" s="1"/>
  <c r="M7150" i="13" s="1"/>
  <c r="M7151" i="13" s="1"/>
  <c r="M7152" i="13" s="1"/>
  <c r="M7153" i="13" s="1"/>
  <c r="M7154" i="13" s="1"/>
  <c r="M7155" i="13" s="1"/>
  <c r="M7156" i="13" s="1"/>
  <c r="M7157" i="13" s="1"/>
  <c r="M7158" i="13" s="1"/>
  <c r="M7159" i="13" s="1"/>
  <c r="M7160" i="13" s="1"/>
  <c r="M7161" i="13" s="1"/>
  <c r="M7162" i="13" s="1"/>
  <c r="M7163" i="13" s="1"/>
  <c r="M7164" i="13" s="1"/>
  <c r="M7165" i="13" s="1"/>
  <c r="M7166" i="13" s="1"/>
  <c r="M7167" i="13" s="1"/>
  <c r="M7168" i="13" s="1"/>
  <c r="M7169" i="13" s="1"/>
  <c r="M7170" i="13" s="1"/>
  <c r="M7171" i="13" s="1"/>
  <c r="M7172" i="13" s="1"/>
  <c r="M7173" i="13" s="1"/>
  <c r="M7174" i="13" s="1"/>
  <c r="M7175" i="13" s="1"/>
  <c r="M7176" i="13" s="1"/>
  <c r="M7177" i="13" s="1"/>
  <c r="M7178" i="13" s="1"/>
  <c r="M7179" i="13" s="1"/>
  <c r="M7180" i="13" s="1"/>
  <c r="M7181" i="13" s="1"/>
  <c r="M7182" i="13" s="1"/>
  <c r="M7183" i="13" s="1"/>
  <c r="M7184" i="13" s="1"/>
  <c r="M7185" i="13" s="1"/>
  <c r="M7186" i="13" s="1"/>
  <c r="M7187" i="13" s="1"/>
  <c r="M7188" i="13" s="1"/>
  <c r="M7189" i="13" s="1"/>
  <c r="M7190" i="13" s="1"/>
  <c r="M7191" i="13" s="1"/>
  <c r="M7192" i="13" s="1"/>
  <c r="M7193" i="13" s="1"/>
  <c r="M7194" i="13" s="1"/>
  <c r="M7195" i="13" s="1"/>
  <c r="M7196" i="13" s="1"/>
  <c r="M7197" i="13" s="1"/>
  <c r="M7198" i="13" s="1"/>
  <c r="M7199" i="13" s="1"/>
  <c r="M7200" i="13" s="1"/>
  <c r="M7201" i="13" s="1"/>
  <c r="M7202" i="13" s="1"/>
  <c r="M7203" i="13" s="1"/>
  <c r="M7204" i="13" s="1"/>
  <c r="M7205" i="13" s="1"/>
  <c r="M7206" i="13" s="1"/>
  <c r="M7207" i="13" s="1"/>
  <c r="M7208" i="13" s="1"/>
  <c r="M7209" i="13" s="1"/>
  <c r="M7210" i="13" s="1"/>
  <c r="M7211" i="13" s="1"/>
  <c r="M7212" i="13" s="1"/>
  <c r="M7213" i="13" s="1"/>
  <c r="M7214" i="13" s="1"/>
  <c r="M7215" i="13" s="1"/>
  <c r="M7216" i="13" s="1"/>
  <c r="M7217" i="13" s="1"/>
  <c r="M7218" i="13" s="1"/>
  <c r="M7219" i="13" s="1"/>
  <c r="M7220" i="13" s="1"/>
  <c r="M7221" i="13" s="1"/>
  <c r="M7222" i="13" s="1"/>
  <c r="M7223" i="13" s="1"/>
  <c r="M7224" i="13" s="1"/>
  <c r="M7225" i="13" s="1"/>
  <c r="M7226" i="13" s="1"/>
  <c r="M7227" i="13" s="1"/>
  <c r="M7228" i="13" s="1"/>
  <c r="M7229" i="13" s="1"/>
  <c r="M7230" i="13" s="1"/>
  <c r="M7231" i="13" s="1"/>
  <c r="M7232" i="13" s="1"/>
  <c r="M7233" i="13" s="1"/>
  <c r="M7234" i="13" s="1"/>
  <c r="M7235" i="13" s="1"/>
  <c r="M7236" i="13" s="1"/>
  <c r="M7237" i="13" s="1"/>
  <c r="M7238" i="13" s="1"/>
  <c r="M7239" i="13" s="1"/>
  <c r="M7240" i="13" s="1"/>
  <c r="M7241" i="13" s="1"/>
  <c r="M7242" i="13" s="1"/>
  <c r="M7243" i="13" s="1"/>
  <c r="M7244" i="13" s="1"/>
  <c r="M7245" i="13" s="1"/>
  <c r="M7246" i="13" s="1"/>
  <c r="M7247" i="13" s="1"/>
  <c r="M7248" i="13" s="1"/>
  <c r="M7249" i="13" s="1"/>
  <c r="M7250" i="13" s="1"/>
  <c r="M7251" i="13" s="1"/>
  <c r="M7252" i="13" s="1"/>
  <c r="M7253" i="13" s="1"/>
  <c r="M7254" i="13" s="1"/>
  <c r="M7255" i="13" s="1"/>
  <c r="M7256" i="13" s="1"/>
  <c r="M7257" i="13" s="1"/>
  <c r="M7258" i="13" s="1"/>
  <c r="M7259" i="13" s="1"/>
  <c r="M7260" i="13" s="1"/>
  <c r="M7261" i="13" s="1"/>
  <c r="M7262" i="13" s="1"/>
  <c r="M7263" i="13" s="1"/>
  <c r="M7264" i="13" s="1"/>
  <c r="M7265" i="13" s="1"/>
  <c r="M7266" i="13" s="1"/>
  <c r="M7267" i="13" s="1"/>
  <c r="M7268" i="13" s="1"/>
  <c r="M7269" i="13" s="1"/>
  <c r="M7270" i="13" s="1"/>
  <c r="M7271" i="13" s="1"/>
  <c r="M7272" i="13" s="1"/>
  <c r="M7273" i="13" s="1"/>
  <c r="M7274" i="13" s="1"/>
  <c r="M7275" i="13" s="1"/>
  <c r="M7276" i="13" s="1"/>
  <c r="M7277" i="13" s="1"/>
  <c r="M7278" i="13" s="1"/>
  <c r="M7279" i="13" s="1"/>
  <c r="M7280" i="13" s="1"/>
  <c r="M7281" i="13" s="1"/>
  <c r="M7282" i="13" s="1"/>
  <c r="M7283" i="13" s="1"/>
  <c r="M7284" i="13" s="1"/>
  <c r="M7285" i="13" s="1"/>
  <c r="M7286" i="13" s="1"/>
  <c r="M7287" i="13" s="1"/>
  <c r="M7288" i="13" s="1"/>
  <c r="M7289" i="13" s="1"/>
  <c r="M7290" i="13" s="1"/>
  <c r="M7291" i="13" s="1"/>
  <c r="M7292" i="13" s="1"/>
  <c r="M7293" i="13" s="1"/>
  <c r="M7294" i="13" s="1"/>
  <c r="M7295" i="13" s="1"/>
  <c r="M7296" i="13" s="1"/>
  <c r="M7297" i="13" s="1"/>
  <c r="M7298" i="13" s="1"/>
  <c r="M7299" i="13" s="1"/>
  <c r="M7300" i="13" s="1"/>
  <c r="M7301" i="13" s="1"/>
  <c r="M7302" i="13" s="1"/>
  <c r="M7303" i="13" s="1"/>
  <c r="M7304" i="13" s="1"/>
  <c r="M7305" i="13" s="1"/>
  <c r="M7306" i="13" s="1"/>
  <c r="M7307" i="13" s="1"/>
  <c r="M7308" i="13" s="1"/>
  <c r="M7309" i="13" s="1"/>
  <c r="M7310" i="13" s="1"/>
  <c r="M7311" i="13" s="1"/>
  <c r="M7312" i="13" s="1"/>
  <c r="M7313" i="13" s="1"/>
  <c r="M7314" i="13" s="1"/>
  <c r="M7315" i="13" s="1"/>
  <c r="M7316" i="13" s="1"/>
  <c r="M7317" i="13" s="1"/>
  <c r="M7318" i="13" s="1"/>
  <c r="M7319" i="13" s="1"/>
  <c r="M7320" i="13" s="1"/>
  <c r="M7321" i="13" s="1"/>
  <c r="M7322" i="13" s="1"/>
  <c r="M7323" i="13" s="1"/>
  <c r="M7324" i="13" s="1"/>
  <c r="M7325" i="13" s="1"/>
  <c r="M7326" i="13" s="1"/>
  <c r="M7327" i="13" s="1"/>
  <c r="M7328" i="13" s="1"/>
  <c r="M7329" i="13" s="1"/>
  <c r="M7330" i="13" s="1"/>
  <c r="M7331" i="13" s="1"/>
  <c r="M7332" i="13" s="1"/>
  <c r="M7333" i="13" s="1"/>
  <c r="M7334" i="13" s="1"/>
  <c r="M7335" i="13" s="1"/>
  <c r="M7336" i="13" s="1"/>
  <c r="M7337" i="13" s="1"/>
  <c r="M7338" i="13" s="1"/>
  <c r="M7339" i="13" s="1"/>
  <c r="M7340" i="13" s="1"/>
  <c r="M7341" i="13" s="1"/>
  <c r="M7342" i="13" s="1"/>
  <c r="M7343" i="13" s="1"/>
  <c r="M7344" i="13" s="1"/>
  <c r="M7345" i="13" s="1"/>
  <c r="M7346" i="13" s="1"/>
  <c r="M7347" i="13" s="1"/>
  <c r="M7348" i="13" s="1"/>
  <c r="M7349" i="13" s="1"/>
  <c r="M7350" i="13" s="1"/>
  <c r="M7351" i="13" s="1"/>
  <c r="M7352" i="13" s="1"/>
  <c r="M7353" i="13" s="1"/>
  <c r="M7354" i="13" s="1"/>
  <c r="M7355" i="13" s="1"/>
  <c r="M7356" i="13" s="1"/>
  <c r="M7357" i="13" s="1"/>
  <c r="M7358" i="13" s="1"/>
  <c r="M7359" i="13" s="1"/>
  <c r="M7360" i="13" s="1"/>
  <c r="M7361" i="13" s="1"/>
  <c r="M7362" i="13" s="1"/>
  <c r="M7363" i="13" s="1"/>
  <c r="M7364" i="13" s="1"/>
  <c r="M7365" i="13" s="1"/>
  <c r="M7366" i="13" s="1"/>
  <c r="M7367" i="13" s="1"/>
  <c r="M7368" i="13" s="1"/>
  <c r="M7369" i="13" s="1"/>
  <c r="M7370" i="13" s="1"/>
  <c r="M7371" i="13" s="1"/>
  <c r="M7372" i="13" s="1"/>
  <c r="M7373" i="13" s="1"/>
  <c r="M7374" i="13" s="1"/>
  <c r="M7375" i="13" s="1"/>
  <c r="M7376" i="13" s="1"/>
  <c r="M7377" i="13" s="1"/>
  <c r="M7378" i="13" s="1"/>
  <c r="M7379" i="13" s="1"/>
  <c r="M7380" i="13" s="1"/>
  <c r="M7381" i="13" s="1"/>
  <c r="M7382" i="13" s="1"/>
  <c r="M7383" i="13" s="1"/>
  <c r="M7384" i="13" s="1"/>
  <c r="M7385" i="13" s="1"/>
  <c r="M7386" i="13" s="1"/>
  <c r="M7387" i="13" s="1"/>
  <c r="M7388" i="13" s="1"/>
  <c r="M7389" i="13" s="1"/>
  <c r="M7390" i="13" s="1"/>
  <c r="M7391" i="13" s="1"/>
  <c r="M7392" i="13" s="1"/>
  <c r="M7393" i="13" s="1"/>
  <c r="M7394" i="13" s="1"/>
  <c r="M7395" i="13" s="1"/>
  <c r="M7396" i="13" s="1"/>
  <c r="M7397" i="13" s="1"/>
  <c r="M7398" i="13" s="1"/>
  <c r="M7399" i="13" s="1"/>
  <c r="M7400" i="13" s="1"/>
  <c r="M7401" i="13" s="1"/>
  <c r="M7402" i="13" s="1"/>
  <c r="M7403" i="13" s="1"/>
  <c r="M7404" i="13" s="1"/>
  <c r="M7405" i="13" s="1"/>
  <c r="M7406" i="13" s="1"/>
  <c r="M7407" i="13" s="1"/>
  <c r="M7408" i="13" s="1"/>
  <c r="M7409" i="13" s="1"/>
  <c r="M7410" i="13" s="1"/>
  <c r="M7411" i="13" s="1"/>
  <c r="M7412" i="13" s="1"/>
  <c r="M7413" i="13" s="1"/>
  <c r="M7414" i="13" s="1"/>
  <c r="M7415" i="13" s="1"/>
  <c r="M7416" i="13" s="1"/>
  <c r="M7417" i="13" s="1"/>
  <c r="M7418" i="13" s="1"/>
  <c r="M7419" i="13" s="1"/>
  <c r="M7420" i="13" s="1"/>
  <c r="M7421" i="13" s="1"/>
  <c r="M7422" i="13" s="1"/>
  <c r="M7423" i="13" s="1"/>
  <c r="M7424" i="13" s="1"/>
  <c r="M7425" i="13" s="1"/>
  <c r="M7426" i="13" s="1"/>
  <c r="M7427" i="13" s="1"/>
  <c r="M7428" i="13" s="1"/>
  <c r="M7429" i="13" s="1"/>
  <c r="M7430" i="13" s="1"/>
  <c r="M7431" i="13" s="1"/>
  <c r="M7432" i="13" s="1"/>
  <c r="M7433" i="13" s="1"/>
  <c r="M7434" i="13" s="1"/>
  <c r="M7435" i="13" s="1"/>
  <c r="M7436" i="13" s="1"/>
  <c r="M7437" i="13" s="1"/>
  <c r="M7438" i="13" s="1"/>
  <c r="M7439" i="13" s="1"/>
  <c r="M7440" i="13" s="1"/>
  <c r="M7441" i="13" s="1"/>
  <c r="M7442" i="13" s="1"/>
  <c r="M7443" i="13" s="1"/>
  <c r="M7444" i="13" s="1"/>
  <c r="M7445" i="13" s="1"/>
  <c r="M7446" i="13" s="1"/>
  <c r="M7447" i="13" s="1"/>
  <c r="M7448" i="13" s="1"/>
  <c r="M7449" i="13" s="1"/>
  <c r="M7450" i="13" s="1"/>
  <c r="M7451" i="13" s="1"/>
  <c r="M7452" i="13" s="1"/>
  <c r="M7453" i="13" s="1"/>
  <c r="M7454" i="13" s="1"/>
  <c r="M7455" i="13" s="1"/>
  <c r="M7456" i="13" s="1"/>
  <c r="M7457" i="13" s="1"/>
  <c r="M7458" i="13" s="1"/>
  <c r="M7459" i="13" s="1"/>
  <c r="M7460" i="13" s="1"/>
  <c r="M7461" i="13" s="1"/>
  <c r="M7462" i="13" s="1"/>
  <c r="M7463" i="13" s="1"/>
  <c r="M7464" i="13" s="1"/>
  <c r="M7465" i="13" s="1"/>
  <c r="M7466" i="13" s="1"/>
  <c r="M7467" i="13" s="1"/>
  <c r="M7468" i="13" s="1"/>
  <c r="M7469" i="13" s="1"/>
  <c r="M7470" i="13" s="1"/>
  <c r="M7471" i="13" s="1"/>
  <c r="M7472" i="13" s="1"/>
  <c r="M7473" i="13" s="1"/>
  <c r="M7474" i="13" s="1"/>
  <c r="M7475" i="13" s="1"/>
  <c r="M7476" i="13" s="1"/>
  <c r="M7477" i="13" s="1"/>
  <c r="M7478" i="13" s="1"/>
  <c r="M7479" i="13" s="1"/>
  <c r="M7480" i="13" s="1"/>
  <c r="M7481" i="13" s="1"/>
  <c r="M7482" i="13" s="1"/>
  <c r="M7483" i="13" s="1"/>
  <c r="M7484" i="13" s="1"/>
  <c r="M7485" i="13" s="1"/>
  <c r="M7486" i="13" s="1"/>
  <c r="M7487" i="13" s="1"/>
  <c r="M7488" i="13" s="1"/>
  <c r="M7489" i="13" s="1"/>
  <c r="M7490" i="13" s="1"/>
  <c r="M7491" i="13" s="1"/>
  <c r="M7492" i="13" s="1"/>
  <c r="M7493" i="13" s="1"/>
  <c r="M7494" i="13" s="1"/>
  <c r="M7495" i="13" s="1"/>
  <c r="M7496" i="13" s="1"/>
  <c r="M7497" i="13" s="1"/>
  <c r="M7498" i="13" s="1"/>
  <c r="M7499" i="13" s="1"/>
  <c r="M7500" i="13" s="1"/>
  <c r="M7501" i="13" s="1"/>
  <c r="M7502" i="13" s="1"/>
  <c r="M7503" i="13" s="1"/>
  <c r="M7504" i="13" s="1"/>
  <c r="M7505" i="13" s="1"/>
  <c r="M7506" i="13" s="1"/>
  <c r="M7507" i="13" s="1"/>
  <c r="M7508" i="13" s="1"/>
  <c r="M7509" i="13" s="1"/>
  <c r="M7510" i="13" s="1"/>
  <c r="M7511" i="13" s="1"/>
  <c r="M7512" i="13" s="1"/>
  <c r="M7513" i="13" s="1"/>
  <c r="M7514" i="13" s="1"/>
  <c r="M7515" i="13" s="1"/>
  <c r="M7516" i="13" s="1"/>
  <c r="M7517" i="13" s="1"/>
  <c r="M7518" i="13" s="1"/>
  <c r="M7519" i="13" s="1"/>
  <c r="M7520" i="13" s="1"/>
  <c r="M7521" i="13" s="1"/>
  <c r="M7522" i="13" s="1"/>
  <c r="M7523" i="13" s="1"/>
  <c r="M7524" i="13" s="1"/>
  <c r="M7525" i="13" s="1"/>
  <c r="M7526" i="13" s="1"/>
  <c r="M7527" i="13" s="1"/>
  <c r="M7528" i="13" s="1"/>
  <c r="M7529" i="13" s="1"/>
  <c r="M7530" i="13" s="1"/>
  <c r="M7531" i="13" s="1"/>
  <c r="M7532" i="13" s="1"/>
  <c r="M7533" i="13" s="1"/>
  <c r="M7534" i="13" s="1"/>
  <c r="M7535" i="13" s="1"/>
  <c r="M7536" i="13" s="1"/>
  <c r="M7537" i="13" s="1"/>
  <c r="M7538" i="13" s="1"/>
  <c r="M7539" i="13" s="1"/>
  <c r="M7540" i="13" s="1"/>
  <c r="M7541" i="13" s="1"/>
  <c r="M7542" i="13" s="1"/>
  <c r="M7543" i="13" s="1"/>
  <c r="M7544" i="13" s="1"/>
  <c r="M7545" i="13" s="1"/>
  <c r="M7546" i="13" s="1"/>
  <c r="M7547" i="13" s="1"/>
  <c r="M7548" i="13" s="1"/>
  <c r="M7549" i="13" s="1"/>
  <c r="M7550" i="13" s="1"/>
  <c r="M7551" i="13" s="1"/>
  <c r="M7552" i="13" s="1"/>
  <c r="M7553" i="13" s="1"/>
  <c r="M7554" i="13" s="1"/>
  <c r="M7555" i="13" s="1"/>
  <c r="M7556" i="13" s="1"/>
  <c r="M7557" i="13" s="1"/>
  <c r="M7558" i="13" s="1"/>
  <c r="M7559" i="13" s="1"/>
  <c r="M7560" i="13" s="1"/>
  <c r="M7561" i="13" s="1"/>
  <c r="M7562" i="13" s="1"/>
  <c r="M7563" i="13" s="1"/>
  <c r="M7564" i="13" s="1"/>
  <c r="M7565" i="13" s="1"/>
  <c r="M7566" i="13" s="1"/>
  <c r="M7567" i="13" s="1"/>
  <c r="M7568" i="13" s="1"/>
  <c r="M7569" i="13" s="1"/>
  <c r="M7570" i="13" s="1"/>
  <c r="M7571" i="13" s="1"/>
  <c r="M7572" i="13" s="1"/>
  <c r="M7573" i="13" s="1"/>
  <c r="M7574" i="13" s="1"/>
  <c r="M7575" i="13" s="1"/>
  <c r="M7576" i="13" s="1"/>
  <c r="M7577" i="13" s="1"/>
  <c r="M7578" i="13" s="1"/>
  <c r="M7579" i="13" s="1"/>
  <c r="M7580" i="13" s="1"/>
  <c r="M7581" i="13" s="1"/>
  <c r="M7582" i="13" s="1"/>
  <c r="M7583" i="13" s="1"/>
  <c r="M7584" i="13" s="1"/>
  <c r="M7585" i="13" s="1"/>
  <c r="M7586" i="13" s="1"/>
  <c r="M7587" i="13" s="1"/>
  <c r="M7588" i="13" s="1"/>
  <c r="M7589" i="13" s="1"/>
  <c r="M7590" i="13" s="1"/>
  <c r="M7591" i="13" s="1"/>
  <c r="M7592" i="13" s="1"/>
  <c r="M7593" i="13" s="1"/>
  <c r="M7594" i="13" s="1"/>
  <c r="M7595" i="13" s="1"/>
  <c r="M7596" i="13" s="1"/>
  <c r="M7597" i="13" s="1"/>
  <c r="M7598" i="13" s="1"/>
  <c r="M7599" i="13" s="1"/>
  <c r="M7600" i="13" s="1"/>
  <c r="M7601" i="13" s="1"/>
  <c r="M7602" i="13" s="1"/>
  <c r="M7603" i="13" s="1"/>
  <c r="M7604" i="13" s="1"/>
  <c r="M7605" i="13" s="1"/>
  <c r="M7606" i="13" s="1"/>
  <c r="M7607" i="13" s="1"/>
  <c r="M7608" i="13" s="1"/>
  <c r="M7609" i="13" s="1"/>
  <c r="M7610" i="13" s="1"/>
  <c r="M7611" i="13" s="1"/>
  <c r="M7612" i="13" s="1"/>
  <c r="M7613" i="13" s="1"/>
  <c r="M7614" i="13" s="1"/>
  <c r="M7615" i="13" s="1"/>
  <c r="M7616" i="13" s="1"/>
  <c r="M7617" i="13" s="1"/>
  <c r="M7618" i="13" s="1"/>
  <c r="M7619" i="13" s="1"/>
  <c r="M7620" i="13" s="1"/>
  <c r="M7621" i="13" s="1"/>
  <c r="M7622" i="13" s="1"/>
  <c r="M7623" i="13" s="1"/>
  <c r="M7624" i="13" s="1"/>
  <c r="M7625" i="13" s="1"/>
  <c r="M7626" i="13" s="1"/>
  <c r="M7627" i="13" s="1"/>
  <c r="M7628" i="13" s="1"/>
  <c r="M7629" i="13" s="1"/>
  <c r="M7630" i="13" s="1"/>
  <c r="M7631" i="13" s="1"/>
  <c r="M7632" i="13" s="1"/>
  <c r="M7633" i="13" s="1"/>
  <c r="M7634" i="13" s="1"/>
  <c r="M7635" i="13" s="1"/>
  <c r="M7636" i="13" s="1"/>
  <c r="M7637" i="13" s="1"/>
  <c r="M7638" i="13" s="1"/>
  <c r="M7639" i="13" s="1"/>
  <c r="M7640" i="13" s="1"/>
  <c r="M7641" i="13" s="1"/>
  <c r="M7642" i="13" s="1"/>
  <c r="M7643" i="13" s="1"/>
  <c r="M7644" i="13" s="1"/>
  <c r="M7645" i="13" s="1"/>
  <c r="M7646" i="13" s="1"/>
  <c r="M7647" i="13" s="1"/>
  <c r="M7648" i="13" s="1"/>
  <c r="M7649" i="13" s="1"/>
  <c r="M7650" i="13" s="1"/>
  <c r="M7651" i="13" s="1"/>
  <c r="M7652" i="13" s="1"/>
  <c r="M7653" i="13" s="1"/>
  <c r="M7654" i="13" s="1"/>
  <c r="M7655" i="13" s="1"/>
  <c r="M7656" i="13" s="1"/>
  <c r="M7657" i="13" s="1"/>
  <c r="M7658" i="13" s="1"/>
  <c r="M7659" i="13" s="1"/>
  <c r="M7660" i="13" s="1"/>
  <c r="M7661" i="13" s="1"/>
  <c r="M7662" i="13" s="1"/>
  <c r="M7663" i="13" s="1"/>
  <c r="M7664" i="13" s="1"/>
  <c r="M7665" i="13" s="1"/>
  <c r="M7666" i="13" s="1"/>
  <c r="M7667" i="13" s="1"/>
  <c r="M7668" i="13" s="1"/>
  <c r="M7669" i="13" s="1"/>
  <c r="M7670" i="13" s="1"/>
  <c r="M7671" i="13" s="1"/>
  <c r="M7672" i="13" s="1"/>
  <c r="M7673" i="13" s="1"/>
  <c r="M7674" i="13" s="1"/>
  <c r="M7675" i="13" s="1"/>
  <c r="M7676" i="13" s="1"/>
  <c r="M7677" i="13" s="1"/>
  <c r="M7678" i="13" s="1"/>
  <c r="M7679" i="13" s="1"/>
  <c r="M7680" i="13" s="1"/>
  <c r="M7681" i="13" s="1"/>
  <c r="M7682" i="13" s="1"/>
  <c r="M7683" i="13" s="1"/>
  <c r="M7684" i="13" s="1"/>
  <c r="M7685" i="13" s="1"/>
  <c r="M7686" i="13" s="1"/>
  <c r="M7687" i="13" s="1"/>
  <c r="M7688" i="13" s="1"/>
  <c r="M7689" i="13" s="1"/>
  <c r="M7690" i="13" s="1"/>
  <c r="M7691" i="13" s="1"/>
  <c r="M7692" i="13" s="1"/>
  <c r="M7693" i="13" s="1"/>
  <c r="M7694" i="13" s="1"/>
  <c r="M7695" i="13" s="1"/>
  <c r="M7696" i="13" s="1"/>
  <c r="M7697" i="13" s="1"/>
  <c r="M7698" i="13" s="1"/>
  <c r="M7699" i="13" s="1"/>
  <c r="M7700" i="13" s="1"/>
  <c r="M7701" i="13" s="1"/>
  <c r="M7702" i="13" s="1"/>
  <c r="M7703" i="13" s="1"/>
  <c r="M7704" i="13" s="1"/>
  <c r="M7705" i="13" s="1"/>
  <c r="M7706" i="13" s="1"/>
  <c r="M7707" i="13" s="1"/>
  <c r="M7708" i="13" s="1"/>
  <c r="M7709" i="13" s="1"/>
  <c r="M7710" i="13" s="1"/>
  <c r="M7711" i="13" s="1"/>
  <c r="M7712" i="13" s="1"/>
  <c r="M7713" i="13" s="1"/>
  <c r="M7714" i="13" s="1"/>
  <c r="M7715" i="13" s="1"/>
  <c r="M7716" i="13" s="1"/>
  <c r="M7717" i="13" s="1"/>
  <c r="M7718" i="13" s="1"/>
  <c r="M7719" i="13" s="1"/>
  <c r="M7720" i="13" s="1"/>
  <c r="M7721" i="13" s="1"/>
  <c r="M7722" i="13" s="1"/>
  <c r="M7723" i="13" s="1"/>
  <c r="M7724" i="13" s="1"/>
  <c r="M7725" i="13" s="1"/>
  <c r="M7726" i="13" s="1"/>
  <c r="M7727" i="13" s="1"/>
  <c r="M7728" i="13" s="1"/>
  <c r="M7729" i="13" s="1"/>
  <c r="M7730" i="13" s="1"/>
  <c r="M7731" i="13" s="1"/>
  <c r="M7732" i="13" s="1"/>
  <c r="M7733" i="13" s="1"/>
  <c r="M7734" i="13" s="1"/>
  <c r="M7735" i="13" s="1"/>
  <c r="M7736" i="13" s="1"/>
  <c r="M7737" i="13" s="1"/>
  <c r="M7738" i="13" s="1"/>
  <c r="M7739" i="13" s="1"/>
  <c r="M7740" i="13" s="1"/>
  <c r="M7741" i="13" s="1"/>
  <c r="M7742" i="13" s="1"/>
  <c r="M7743" i="13" s="1"/>
  <c r="M7744" i="13" s="1"/>
  <c r="M7745" i="13" s="1"/>
  <c r="M7746" i="13" s="1"/>
  <c r="M7747" i="13" s="1"/>
  <c r="M7748" i="13" s="1"/>
  <c r="M7749" i="13" s="1"/>
  <c r="M7750" i="13" s="1"/>
  <c r="M7751" i="13" s="1"/>
  <c r="M7752" i="13" s="1"/>
  <c r="M7753" i="13" s="1"/>
  <c r="M7754" i="13" s="1"/>
  <c r="M7755" i="13" s="1"/>
  <c r="M7756" i="13" s="1"/>
  <c r="M7757" i="13" s="1"/>
  <c r="M7758" i="13" s="1"/>
  <c r="M7759" i="13" s="1"/>
  <c r="M7760" i="13" s="1"/>
  <c r="M7761" i="13" s="1"/>
  <c r="M7762" i="13" s="1"/>
  <c r="M7763" i="13" s="1"/>
  <c r="M7764" i="13" s="1"/>
  <c r="M7765" i="13" s="1"/>
  <c r="M7766" i="13" s="1"/>
  <c r="M7767" i="13" s="1"/>
  <c r="M7768" i="13" s="1"/>
  <c r="M7769" i="13" s="1"/>
  <c r="M7770" i="13" s="1"/>
  <c r="M7771" i="13" s="1"/>
  <c r="M7772" i="13" s="1"/>
  <c r="M7773" i="13" s="1"/>
  <c r="M7774" i="13" s="1"/>
  <c r="M7775" i="13" s="1"/>
  <c r="M7776" i="13" s="1"/>
  <c r="M7777" i="13" s="1"/>
  <c r="M7778" i="13" s="1"/>
  <c r="M7779" i="13" s="1"/>
  <c r="M7780" i="13" s="1"/>
  <c r="M7781" i="13" s="1"/>
  <c r="M7782" i="13" s="1"/>
  <c r="M7783" i="13" s="1"/>
  <c r="M7784" i="13" s="1"/>
  <c r="M7785" i="13" s="1"/>
  <c r="M7786" i="13" s="1"/>
  <c r="M7787" i="13" s="1"/>
  <c r="M7788" i="13" s="1"/>
  <c r="M7789" i="13" s="1"/>
  <c r="M7790" i="13" s="1"/>
  <c r="M7791" i="13" s="1"/>
  <c r="M7792" i="13" s="1"/>
  <c r="M7793" i="13" s="1"/>
  <c r="M7794" i="13" s="1"/>
  <c r="M7795" i="13" s="1"/>
  <c r="M7796" i="13" s="1"/>
  <c r="M7797" i="13" s="1"/>
  <c r="M7798" i="13" s="1"/>
  <c r="M7799" i="13" s="1"/>
  <c r="M7800" i="13" s="1"/>
  <c r="M7801" i="13" s="1"/>
  <c r="M7802" i="13" s="1"/>
  <c r="M7803" i="13" s="1"/>
  <c r="M7804" i="13" s="1"/>
  <c r="M7805" i="13" s="1"/>
  <c r="M7806" i="13" s="1"/>
  <c r="M7807" i="13" s="1"/>
  <c r="M7808" i="13" s="1"/>
  <c r="M7809" i="13" s="1"/>
  <c r="M7810" i="13" s="1"/>
  <c r="M7811" i="13" s="1"/>
  <c r="M7812" i="13" s="1"/>
  <c r="M7813" i="13" s="1"/>
  <c r="M7814" i="13" s="1"/>
  <c r="M7815" i="13" s="1"/>
  <c r="M7816" i="13" s="1"/>
  <c r="M7817" i="13" s="1"/>
  <c r="M7818" i="13" s="1"/>
  <c r="M7819" i="13" s="1"/>
  <c r="M7820" i="13" s="1"/>
  <c r="M7821" i="13" s="1"/>
  <c r="M7822" i="13" s="1"/>
  <c r="M7823" i="13" s="1"/>
  <c r="M7824" i="13" s="1"/>
  <c r="M7825" i="13" s="1"/>
  <c r="M7826" i="13" s="1"/>
  <c r="M7827" i="13" s="1"/>
  <c r="M7828" i="13" s="1"/>
  <c r="M7829" i="13" s="1"/>
  <c r="M7830" i="13" s="1"/>
  <c r="M7831" i="13" s="1"/>
  <c r="M7832" i="13" s="1"/>
  <c r="M7833" i="13" s="1"/>
  <c r="M7834" i="13" s="1"/>
  <c r="M7835" i="13" s="1"/>
  <c r="M7836" i="13" s="1"/>
  <c r="M7837" i="13" s="1"/>
  <c r="M7838" i="13" s="1"/>
  <c r="M7839" i="13" s="1"/>
  <c r="M7840" i="13" s="1"/>
  <c r="M7841" i="13" s="1"/>
  <c r="M7842" i="13" s="1"/>
  <c r="M7843" i="13" s="1"/>
  <c r="M7844" i="13" s="1"/>
  <c r="M7845" i="13" s="1"/>
  <c r="M7846" i="13" s="1"/>
  <c r="M7847" i="13" s="1"/>
  <c r="M7848" i="13" s="1"/>
  <c r="M7849" i="13" s="1"/>
  <c r="M7850" i="13" s="1"/>
  <c r="M7851" i="13" s="1"/>
  <c r="M7852" i="13" s="1"/>
  <c r="M7853" i="13" s="1"/>
  <c r="M7854" i="13" s="1"/>
  <c r="M7855" i="13" s="1"/>
  <c r="M7856" i="13" s="1"/>
  <c r="M7857" i="13" s="1"/>
  <c r="M7858" i="13" s="1"/>
  <c r="M7859" i="13" s="1"/>
  <c r="M7860" i="13" s="1"/>
  <c r="M7861" i="13" s="1"/>
  <c r="M7862" i="13" s="1"/>
  <c r="M7863" i="13" s="1"/>
  <c r="M7864" i="13" s="1"/>
  <c r="M7865" i="13" s="1"/>
  <c r="M7866" i="13" s="1"/>
  <c r="M7867" i="13" s="1"/>
  <c r="M7868" i="13" s="1"/>
  <c r="M7869" i="13" s="1"/>
  <c r="M7870" i="13" s="1"/>
  <c r="M7871" i="13" s="1"/>
  <c r="M7872" i="13" s="1"/>
  <c r="M7873" i="13" s="1"/>
  <c r="M7874" i="13" s="1"/>
  <c r="M7875" i="13" s="1"/>
  <c r="M7876" i="13" s="1"/>
  <c r="M7877" i="13" s="1"/>
  <c r="M7878" i="13" s="1"/>
  <c r="M7879" i="13" s="1"/>
  <c r="M7880" i="13" s="1"/>
  <c r="M7881" i="13" s="1"/>
  <c r="M7882" i="13" s="1"/>
  <c r="M7883" i="13" s="1"/>
  <c r="M7884" i="13" s="1"/>
  <c r="M7885" i="13" s="1"/>
  <c r="M7886" i="13" s="1"/>
  <c r="M7887" i="13" s="1"/>
  <c r="M7888" i="13" s="1"/>
  <c r="M7889" i="13" s="1"/>
  <c r="M7890" i="13" s="1"/>
  <c r="M7891" i="13" s="1"/>
  <c r="M7892" i="13" s="1"/>
  <c r="M7893" i="13" s="1"/>
  <c r="M7894" i="13" s="1"/>
  <c r="M7895" i="13" s="1"/>
  <c r="M7896" i="13" s="1"/>
  <c r="M7897" i="13" s="1"/>
  <c r="M7898" i="13" s="1"/>
  <c r="M7899" i="13" s="1"/>
  <c r="M7900" i="13" s="1"/>
  <c r="M7901" i="13" s="1"/>
  <c r="M7902" i="13" s="1"/>
  <c r="M7903" i="13" s="1"/>
  <c r="M7904" i="13" s="1"/>
  <c r="M7905" i="13" s="1"/>
  <c r="M7906" i="13" s="1"/>
  <c r="M7907" i="13" s="1"/>
  <c r="M7908" i="13" s="1"/>
  <c r="M7909" i="13" s="1"/>
  <c r="M7910" i="13" s="1"/>
  <c r="M7911" i="13" s="1"/>
  <c r="M7912" i="13" s="1"/>
  <c r="M7913" i="13" s="1"/>
  <c r="M7914" i="13" s="1"/>
  <c r="M7915" i="13" s="1"/>
  <c r="M7916" i="13" s="1"/>
  <c r="M7917" i="13" s="1"/>
  <c r="M7918" i="13" s="1"/>
  <c r="M7919" i="13" s="1"/>
  <c r="M7920" i="13" s="1"/>
  <c r="M7921" i="13" s="1"/>
  <c r="M7922" i="13" s="1"/>
  <c r="M7923" i="13" s="1"/>
  <c r="M7924" i="13" s="1"/>
  <c r="M7925" i="13" s="1"/>
  <c r="M7926" i="13" s="1"/>
  <c r="M7927" i="13" s="1"/>
  <c r="M7928" i="13" s="1"/>
  <c r="M7929" i="13" s="1"/>
  <c r="M7930" i="13" s="1"/>
  <c r="M7931" i="13" s="1"/>
  <c r="M7932" i="13" s="1"/>
  <c r="M7933" i="13" s="1"/>
  <c r="M7934" i="13" s="1"/>
  <c r="M7935" i="13" s="1"/>
  <c r="M7936" i="13" s="1"/>
  <c r="M7937" i="13" s="1"/>
  <c r="M7938" i="13" s="1"/>
  <c r="M7939" i="13" s="1"/>
  <c r="M7940" i="13" s="1"/>
  <c r="M7941" i="13" s="1"/>
  <c r="M7942" i="13" s="1"/>
  <c r="M7943" i="13" s="1"/>
  <c r="M7944" i="13" s="1"/>
  <c r="M7945" i="13" s="1"/>
  <c r="M7946" i="13" s="1"/>
  <c r="M7947" i="13" s="1"/>
  <c r="M7948" i="13" s="1"/>
  <c r="M7949" i="13" s="1"/>
  <c r="M7950" i="13" s="1"/>
  <c r="M7951" i="13" s="1"/>
  <c r="M7952" i="13" s="1"/>
  <c r="M7953" i="13" s="1"/>
  <c r="M7954" i="13" s="1"/>
  <c r="M7955" i="13" s="1"/>
  <c r="M7956" i="13" s="1"/>
  <c r="M7957" i="13" s="1"/>
  <c r="M7958" i="13" s="1"/>
  <c r="M7959" i="13" s="1"/>
  <c r="M7960" i="13" s="1"/>
  <c r="M7961" i="13" s="1"/>
  <c r="M7962" i="13" s="1"/>
  <c r="M7963" i="13" s="1"/>
  <c r="M7964" i="13" s="1"/>
  <c r="M7965" i="13" s="1"/>
  <c r="M7966" i="13" s="1"/>
  <c r="M7967" i="13" s="1"/>
  <c r="M7968" i="13" s="1"/>
  <c r="M7969" i="13" s="1"/>
  <c r="M7970" i="13" s="1"/>
  <c r="M7971" i="13" s="1"/>
  <c r="M7972" i="13" s="1"/>
  <c r="M7973" i="13" s="1"/>
  <c r="M7974" i="13" s="1"/>
  <c r="M7975" i="13" s="1"/>
  <c r="M7976" i="13" s="1"/>
  <c r="M7977" i="13" s="1"/>
  <c r="M7978" i="13" s="1"/>
  <c r="M7979" i="13" s="1"/>
  <c r="M7980" i="13" s="1"/>
  <c r="M7981" i="13" s="1"/>
  <c r="M7982" i="13" s="1"/>
  <c r="M7983" i="13" s="1"/>
  <c r="M7984" i="13" s="1"/>
  <c r="M7985" i="13" s="1"/>
  <c r="M7986" i="13" s="1"/>
  <c r="M7987" i="13" s="1"/>
  <c r="M7988" i="13" s="1"/>
  <c r="M7989" i="13" s="1"/>
  <c r="M7990" i="13" s="1"/>
  <c r="M7991" i="13" s="1"/>
  <c r="M7992" i="13" s="1"/>
  <c r="M7993" i="13" s="1"/>
  <c r="M7994" i="13" s="1"/>
  <c r="M7995" i="13" s="1"/>
  <c r="M7996" i="13" s="1"/>
  <c r="M7997" i="13" s="1"/>
  <c r="M7998" i="13" s="1"/>
  <c r="M7999" i="13" s="1"/>
  <c r="M8000" i="13" s="1"/>
  <c r="M8001" i="13" s="1"/>
  <c r="M8002" i="13" s="1"/>
  <c r="M8003" i="13" s="1"/>
  <c r="M8004" i="13" s="1"/>
  <c r="M8005" i="13" s="1"/>
  <c r="M8006" i="13" s="1"/>
  <c r="M8007" i="13" s="1"/>
  <c r="M8008" i="13" s="1"/>
  <c r="M8009" i="13" s="1"/>
  <c r="M8010" i="13" s="1"/>
  <c r="M8011" i="13" s="1"/>
  <c r="M8012" i="13" s="1"/>
  <c r="M8013" i="13" s="1"/>
  <c r="M8014" i="13" s="1"/>
  <c r="M8015" i="13" s="1"/>
  <c r="M8016" i="13" s="1"/>
  <c r="M8017" i="13" s="1"/>
  <c r="M8018" i="13" s="1"/>
  <c r="M8019" i="13" s="1"/>
  <c r="M8020" i="13" s="1"/>
  <c r="M8021" i="13" s="1"/>
  <c r="M8022" i="13" s="1"/>
  <c r="M8023" i="13" s="1"/>
  <c r="M8024" i="13" s="1"/>
  <c r="M8025" i="13" s="1"/>
  <c r="M8026" i="13" s="1"/>
  <c r="M8027" i="13" s="1"/>
  <c r="M8028" i="13" s="1"/>
  <c r="M8029" i="13" s="1"/>
  <c r="M8030" i="13" s="1"/>
  <c r="M8031" i="13" s="1"/>
  <c r="M8032" i="13" s="1"/>
  <c r="M8033" i="13" s="1"/>
  <c r="M8034" i="13" s="1"/>
  <c r="M8035" i="13" s="1"/>
  <c r="M8036" i="13" s="1"/>
  <c r="M8037" i="13" s="1"/>
  <c r="M8038" i="13" s="1"/>
  <c r="M8039" i="13" s="1"/>
  <c r="M8040" i="13" s="1"/>
  <c r="M8041" i="13" s="1"/>
  <c r="M8042" i="13" s="1"/>
  <c r="M8043" i="13" s="1"/>
  <c r="M8044" i="13" s="1"/>
  <c r="M8045" i="13" s="1"/>
  <c r="M8046" i="13" s="1"/>
  <c r="M8047" i="13" s="1"/>
  <c r="M8048" i="13" s="1"/>
  <c r="M8049" i="13" s="1"/>
  <c r="M8050" i="13" s="1"/>
  <c r="M8051" i="13" s="1"/>
  <c r="M8052" i="13" s="1"/>
  <c r="M8053" i="13" s="1"/>
  <c r="M8054" i="13" s="1"/>
  <c r="M8055" i="13" s="1"/>
  <c r="M8056" i="13" s="1"/>
  <c r="M8057" i="13" s="1"/>
  <c r="M8058" i="13" s="1"/>
  <c r="M8059" i="13" s="1"/>
  <c r="M8060" i="13" s="1"/>
  <c r="M8061" i="13" s="1"/>
  <c r="M8062" i="13" s="1"/>
  <c r="M8063" i="13" s="1"/>
  <c r="M8064" i="13" s="1"/>
  <c r="M8065" i="13" s="1"/>
  <c r="M8066" i="13" s="1"/>
  <c r="M8067" i="13" s="1"/>
  <c r="M8068" i="13" s="1"/>
  <c r="M8069" i="13" s="1"/>
  <c r="M8070" i="13" s="1"/>
  <c r="M8071" i="13" s="1"/>
  <c r="M8072" i="13" s="1"/>
  <c r="M8073" i="13" s="1"/>
  <c r="M8074" i="13" s="1"/>
  <c r="M8075" i="13" s="1"/>
  <c r="M8076" i="13" s="1"/>
  <c r="M8077" i="13" s="1"/>
  <c r="M8078" i="13" s="1"/>
  <c r="M8079" i="13" s="1"/>
  <c r="M8080" i="13" s="1"/>
  <c r="M8081" i="13" s="1"/>
  <c r="M8082" i="13" s="1"/>
  <c r="M8083" i="13" s="1"/>
  <c r="M8084" i="13" s="1"/>
  <c r="M8085" i="13" s="1"/>
  <c r="M8086" i="13" s="1"/>
  <c r="M8087" i="13" s="1"/>
  <c r="M8088" i="13" s="1"/>
  <c r="M8089" i="13" s="1"/>
  <c r="M8090" i="13" s="1"/>
  <c r="M8091" i="13" s="1"/>
  <c r="M8092" i="13" s="1"/>
  <c r="M8093" i="13" s="1"/>
  <c r="M8094" i="13" s="1"/>
  <c r="M8095" i="13" s="1"/>
  <c r="M8096" i="13" s="1"/>
  <c r="M8097" i="13" s="1"/>
  <c r="M8098" i="13" s="1"/>
  <c r="M8099" i="13" s="1"/>
  <c r="M8100" i="13" s="1"/>
  <c r="M8101" i="13" s="1"/>
  <c r="M8102" i="13" s="1"/>
  <c r="M8103" i="13" s="1"/>
  <c r="M8104" i="13" s="1"/>
  <c r="M8105" i="13" s="1"/>
  <c r="M8106" i="13" s="1"/>
  <c r="M8107" i="13" s="1"/>
  <c r="M8108" i="13" s="1"/>
  <c r="M8109" i="13" s="1"/>
  <c r="M8110" i="13" s="1"/>
  <c r="M8111" i="13" s="1"/>
  <c r="M8112" i="13" s="1"/>
  <c r="M8113" i="13" s="1"/>
  <c r="M8114" i="13" s="1"/>
  <c r="M8115" i="13" s="1"/>
  <c r="M8116" i="13" s="1"/>
  <c r="M8117" i="13" s="1"/>
  <c r="M8118" i="13" s="1"/>
  <c r="M8119" i="13" s="1"/>
  <c r="M8120" i="13" s="1"/>
  <c r="M8121" i="13" s="1"/>
  <c r="M8122" i="13" s="1"/>
  <c r="M8123" i="13" s="1"/>
  <c r="M8124" i="13" s="1"/>
  <c r="M8125" i="13" s="1"/>
  <c r="M8126" i="13" s="1"/>
  <c r="M8127" i="13" s="1"/>
  <c r="M8128" i="13" s="1"/>
  <c r="M8129" i="13" s="1"/>
  <c r="M8130" i="13" s="1"/>
  <c r="M8131" i="13" s="1"/>
  <c r="M8132" i="13" s="1"/>
  <c r="M8133" i="13" s="1"/>
  <c r="M8134" i="13" s="1"/>
  <c r="M8135" i="13" s="1"/>
  <c r="M8136" i="13" s="1"/>
  <c r="M8137" i="13" s="1"/>
  <c r="M8138" i="13" s="1"/>
  <c r="M8139" i="13" s="1"/>
  <c r="M8140" i="13" s="1"/>
  <c r="M8141" i="13" s="1"/>
  <c r="M8142" i="13" s="1"/>
  <c r="M8143" i="13" s="1"/>
  <c r="M8144" i="13" s="1"/>
  <c r="M8145" i="13" s="1"/>
  <c r="M8146" i="13" s="1"/>
  <c r="M8147" i="13" s="1"/>
  <c r="M8148" i="13" s="1"/>
  <c r="M8149" i="13" s="1"/>
  <c r="M8150" i="13" s="1"/>
  <c r="M8151" i="13" s="1"/>
  <c r="M8152" i="13" s="1"/>
  <c r="M8153" i="13" s="1"/>
  <c r="M8154" i="13" s="1"/>
  <c r="M8155" i="13" s="1"/>
  <c r="M8156" i="13" s="1"/>
  <c r="M8157" i="13" s="1"/>
  <c r="M8158" i="13" s="1"/>
  <c r="M8159" i="13" s="1"/>
  <c r="M8160" i="13" s="1"/>
  <c r="M8161" i="13" s="1"/>
  <c r="M8162" i="13" s="1"/>
  <c r="M8163" i="13" s="1"/>
  <c r="M8164" i="13" s="1"/>
  <c r="M8165" i="13" s="1"/>
  <c r="M8166" i="13" s="1"/>
  <c r="M8167" i="13" s="1"/>
  <c r="M8168" i="13" s="1"/>
  <c r="M8169" i="13" s="1"/>
  <c r="M8170" i="13" s="1"/>
  <c r="M8171" i="13" s="1"/>
  <c r="M8172" i="13" s="1"/>
  <c r="M8173" i="13" s="1"/>
  <c r="M8174" i="13" s="1"/>
  <c r="M8175" i="13" s="1"/>
  <c r="M8176" i="13" s="1"/>
  <c r="M8177" i="13" s="1"/>
  <c r="M8178" i="13" s="1"/>
  <c r="M8179" i="13" s="1"/>
  <c r="M8180" i="13" s="1"/>
  <c r="M8181" i="13" s="1"/>
  <c r="M8182" i="13" s="1"/>
  <c r="M8183" i="13" s="1"/>
  <c r="M8184" i="13" s="1"/>
  <c r="M8185" i="13" s="1"/>
  <c r="M8186" i="13" s="1"/>
  <c r="M8187" i="13" s="1"/>
  <c r="M8188" i="13" s="1"/>
  <c r="M8189" i="13" s="1"/>
  <c r="M8190" i="13" s="1"/>
  <c r="M8191" i="13" s="1"/>
  <c r="M8192" i="13" s="1"/>
  <c r="M8193" i="13" s="1"/>
  <c r="M8194" i="13" s="1"/>
  <c r="M8195" i="13" s="1"/>
  <c r="M8196" i="13" s="1"/>
  <c r="M8197" i="13" s="1"/>
  <c r="M8198" i="13" s="1"/>
  <c r="M8199" i="13" s="1"/>
  <c r="M8200" i="13" s="1"/>
  <c r="M8201" i="13" s="1"/>
  <c r="M8202" i="13" s="1"/>
  <c r="M8203" i="13" s="1"/>
  <c r="M8204" i="13" s="1"/>
  <c r="M8205" i="13" s="1"/>
  <c r="M8206" i="13" s="1"/>
  <c r="M8207" i="13" s="1"/>
  <c r="M8208" i="13" s="1"/>
  <c r="M8209" i="13" s="1"/>
  <c r="M8210" i="13" s="1"/>
  <c r="M8211" i="13" s="1"/>
  <c r="M8212" i="13" s="1"/>
  <c r="M8213" i="13" s="1"/>
  <c r="M8214" i="13" s="1"/>
  <c r="M8215" i="13" s="1"/>
  <c r="M8216" i="13" s="1"/>
  <c r="M8217" i="13" s="1"/>
  <c r="M8218" i="13" s="1"/>
  <c r="M8219" i="13" s="1"/>
  <c r="M8220" i="13" s="1"/>
  <c r="M8221" i="13" s="1"/>
  <c r="M8222" i="13" s="1"/>
  <c r="M8223" i="13" s="1"/>
  <c r="M8224" i="13" s="1"/>
  <c r="M8225" i="13" s="1"/>
  <c r="M8226" i="13" s="1"/>
  <c r="M8227" i="13" s="1"/>
  <c r="M8228" i="13" s="1"/>
  <c r="M8229" i="13" s="1"/>
  <c r="M8230" i="13" s="1"/>
  <c r="M8231" i="13" s="1"/>
  <c r="M8232" i="13" s="1"/>
  <c r="M8233" i="13" s="1"/>
  <c r="M8234" i="13" s="1"/>
  <c r="M8235" i="13" s="1"/>
  <c r="M8236" i="13" s="1"/>
  <c r="M8237" i="13" s="1"/>
  <c r="M8238" i="13" s="1"/>
  <c r="M8239" i="13" s="1"/>
  <c r="M8240" i="13" s="1"/>
  <c r="M8241" i="13" s="1"/>
  <c r="M8242" i="13" s="1"/>
  <c r="M8243" i="13" s="1"/>
  <c r="M8244" i="13" s="1"/>
  <c r="M8245" i="13" s="1"/>
  <c r="M8246" i="13" s="1"/>
  <c r="M8247" i="13" s="1"/>
  <c r="M8248" i="13" s="1"/>
  <c r="M8249" i="13" s="1"/>
  <c r="M8250" i="13" s="1"/>
  <c r="M8251" i="13" s="1"/>
  <c r="M8252" i="13" s="1"/>
  <c r="M8253" i="13" s="1"/>
  <c r="M8254" i="13" s="1"/>
  <c r="M8255" i="13" s="1"/>
  <c r="M8256" i="13" s="1"/>
  <c r="M8257" i="13" s="1"/>
  <c r="M8258" i="13" s="1"/>
  <c r="M8259" i="13" s="1"/>
  <c r="M8260" i="13" s="1"/>
  <c r="M8261" i="13" s="1"/>
  <c r="M8262" i="13" s="1"/>
  <c r="M8263" i="13" s="1"/>
  <c r="M8264" i="13" s="1"/>
  <c r="M8265" i="13" s="1"/>
  <c r="M8266" i="13" s="1"/>
  <c r="M8267" i="13" s="1"/>
  <c r="M8268" i="13" s="1"/>
  <c r="M8269" i="13" s="1"/>
  <c r="M8270" i="13" s="1"/>
  <c r="M8271" i="13" s="1"/>
  <c r="M8272" i="13" s="1"/>
  <c r="M8273" i="13" s="1"/>
  <c r="M8274" i="13" s="1"/>
  <c r="M8275" i="13" s="1"/>
  <c r="M8276" i="13" s="1"/>
  <c r="M8277" i="13" s="1"/>
  <c r="M8278" i="13" s="1"/>
  <c r="M8279" i="13" s="1"/>
  <c r="M8280" i="13" s="1"/>
  <c r="M8281" i="13" s="1"/>
  <c r="M8282" i="13" s="1"/>
  <c r="M8283" i="13" s="1"/>
  <c r="M8284" i="13" s="1"/>
  <c r="M8285" i="13" s="1"/>
  <c r="M8286" i="13" s="1"/>
  <c r="M8287" i="13" s="1"/>
  <c r="M8288" i="13" s="1"/>
  <c r="M8289" i="13" s="1"/>
  <c r="M8290" i="13" s="1"/>
  <c r="M8291" i="13" s="1"/>
  <c r="M8292" i="13" s="1"/>
  <c r="M8293" i="13" s="1"/>
  <c r="M8294" i="13" s="1"/>
  <c r="M8295" i="13" s="1"/>
  <c r="M8296" i="13" s="1"/>
  <c r="M8297" i="13" s="1"/>
  <c r="M8298" i="13" s="1"/>
  <c r="M8299" i="13" s="1"/>
  <c r="M8300" i="13" s="1"/>
  <c r="M8301" i="13" s="1"/>
  <c r="M8302" i="13" s="1"/>
  <c r="M8303" i="13" s="1"/>
  <c r="M8304" i="13" s="1"/>
  <c r="M8305" i="13" s="1"/>
  <c r="M8306" i="13" s="1"/>
  <c r="M8307" i="13" s="1"/>
  <c r="M8308" i="13" s="1"/>
  <c r="M8309" i="13" s="1"/>
  <c r="M8310" i="13" s="1"/>
  <c r="M8311" i="13" s="1"/>
  <c r="M8312" i="13" s="1"/>
  <c r="M8313" i="13" s="1"/>
  <c r="M8314" i="13" s="1"/>
  <c r="M8315" i="13" s="1"/>
  <c r="M8316" i="13" s="1"/>
  <c r="M8317" i="13" s="1"/>
  <c r="M8318" i="13" s="1"/>
  <c r="M8319" i="13" s="1"/>
  <c r="M8320" i="13" s="1"/>
  <c r="M8321" i="13" s="1"/>
  <c r="M8322" i="13" s="1"/>
  <c r="M8323" i="13" s="1"/>
  <c r="M8324" i="13" s="1"/>
  <c r="M8325" i="13" s="1"/>
  <c r="M8326" i="13" s="1"/>
  <c r="M8327" i="13" s="1"/>
  <c r="M8328" i="13" s="1"/>
  <c r="M8329" i="13" s="1"/>
  <c r="M8330" i="13" s="1"/>
  <c r="M8331" i="13" s="1"/>
  <c r="M8332" i="13" s="1"/>
  <c r="M8333" i="13" s="1"/>
  <c r="M8334" i="13" s="1"/>
  <c r="M8335" i="13" s="1"/>
  <c r="M8336" i="13" s="1"/>
  <c r="M8337" i="13" s="1"/>
  <c r="M8338" i="13" s="1"/>
  <c r="M8339" i="13" s="1"/>
  <c r="M8340" i="13" s="1"/>
  <c r="M8341" i="13" s="1"/>
  <c r="M8342" i="13" s="1"/>
  <c r="M8343" i="13" s="1"/>
  <c r="M8344" i="13" s="1"/>
  <c r="M8345" i="13" s="1"/>
  <c r="M8346" i="13" s="1"/>
  <c r="M8347" i="13" s="1"/>
  <c r="M8348" i="13" s="1"/>
  <c r="M8349" i="13" s="1"/>
  <c r="M8350" i="13" s="1"/>
  <c r="M8351" i="13" s="1"/>
  <c r="M8352" i="13" s="1"/>
  <c r="M8353" i="13" s="1"/>
  <c r="M8354" i="13" s="1"/>
  <c r="M8355" i="13" s="1"/>
  <c r="M8356" i="13" s="1"/>
  <c r="M8357" i="13" s="1"/>
  <c r="M8358" i="13" s="1"/>
  <c r="M8359" i="13" s="1"/>
  <c r="M8360" i="13" s="1"/>
  <c r="M8361" i="13" s="1"/>
  <c r="M8362" i="13" s="1"/>
  <c r="M8363" i="13" s="1"/>
  <c r="M8364" i="13" s="1"/>
  <c r="M8365" i="13" s="1"/>
  <c r="M8366" i="13" s="1"/>
  <c r="M8367" i="13" s="1"/>
  <c r="M8368" i="13" s="1"/>
  <c r="M8369" i="13" s="1"/>
  <c r="M8370" i="13" s="1"/>
  <c r="M8371" i="13" s="1"/>
  <c r="M8372" i="13" s="1"/>
  <c r="M8373" i="13" s="1"/>
  <c r="M8374" i="13" s="1"/>
  <c r="M8375" i="13" s="1"/>
  <c r="M8376" i="13" s="1"/>
  <c r="M8377" i="13" s="1"/>
  <c r="M8378" i="13" s="1"/>
  <c r="M8379" i="13" s="1"/>
  <c r="M8380" i="13" s="1"/>
  <c r="M8381" i="13" s="1"/>
  <c r="M8382" i="13" s="1"/>
  <c r="M8383" i="13" s="1"/>
  <c r="M8384" i="13" s="1"/>
  <c r="M8385" i="13" s="1"/>
  <c r="M8386" i="13" s="1"/>
  <c r="M8387" i="13" s="1"/>
  <c r="M8388" i="13" s="1"/>
  <c r="M8389" i="13" s="1"/>
  <c r="M8390" i="13" s="1"/>
  <c r="M8391" i="13" s="1"/>
  <c r="M8392" i="13" s="1"/>
  <c r="M8393" i="13" s="1"/>
  <c r="M8394" i="13" s="1"/>
  <c r="M8395" i="13" s="1"/>
  <c r="M8396" i="13" s="1"/>
  <c r="M8397" i="13" s="1"/>
  <c r="M8398" i="13" s="1"/>
  <c r="M8399" i="13" s="1"/>
  <c r="M8400" i="13" s="1"/>
  <c r="M8401" i="13" s="1"/>
  <c r="M8402" i="13" s="1"/>
  <c r="M8403" i="13" s="1"/>
  <c r="M8404" i="13" s="1"/>
  <c r="M8405" i="13" s="1"/>
  <c r="M8406" i="13" s="1"/>
  <c r="M8407" i="13" s="1"/>
  <c r="M8408" i="13" s="1"/>
  <c r="M8409" i="13" s="1"/>
  <c r="M8410" i="13" s="1"/>
  <c r="M8411" i="13" s="1"/>
  <c r="M8412" i="13" s="1"/>
  <c r="M8413" i="13" s="1"/>
  <c r="M8414" i="13" s="1"/>
  <c r="M8415" i="13" s="1"/>
  <c r="M8416" i="13" s="1"/>
  <c r="M8417" i="13" s="1"/>
  <c r="M8418" i="13" s="1"/>
  <c r="M8419" i="13" s="1"/>
  <c r="M8420" i="13" s="1"/>
  <c r="M8421" i="13" s="1"/>
  <c r="M8422" i="13" s="1"/>
  <c r="M8423" i="13" s="1"/>
  <c r="M8424" i="13" s="1"/>
  <c r="M8425" i="13" s="1"/>
  <c r="M8426" i="13" s="1"/>
  <c r="M8427" i="13" s="1"/>
  <c r="M8428" i="13" s="1"/>
  <c r="M8429" i="13" s="1"/>
  <c r="M8430" i="13" s="1"/>
  <c r="M8431" i="13" s="1"/>
  <c r="M8432" i="13" s="1"/>
  <c r="M8433" i="13" s="1"/>
  <c r="M8434" i="13" s="1"/>
  <c r="M8435" i="13" s="1"/>
  <c r="M8436" i="13" s="1"/>
  <c r="M8437" i="13" s="1"/>
  <c r="M8438" i="13" s="1"/>
  <c r="M8439" i="13" s="1"/>
  <c r="M8440" i="13" s="1"/>
  <c r="M8441" i="13" s="1"/>
  <c r="M8442" i="13" s="1"/>
  <c r="M8443" i="13" s="1"/>
  <c r="M8444" i="13" s="1"/>
  <c r="M8445" i="13" s="1"/>
  <c r="M8446" i="13" s="1"/>
  <c r="M8447" i="13" s="1"/>
  <c r="M8448" i="13" s="1"/>
  <c r="M8449" i="13" s="1"/>
  <c r="M8450" i="13" s="1"/>
  <c r="M8451" i="13" s="1"/>
  <c r="M8452" i="13" s="1"/>
  <c r="M8453" i="13" s="1"/>
  <c r="M8454" i="13" s="1"/>
  <c r="M8455" i="13" s="1"/>
  <c r="M8456" i="13" s="1"/>
  <c r="M8457" i="13" s="1"/>
  <c r="M8458" i="13" s="1"/>
  <c r="M8459" i="13" s="1"/>
  <c r="M8460" i="13" s="1"/>
  <c r="M8461" i="13" s="1"/>
  <c r="M8462" i="13" s="1"/>
  <c r="M8463" i="13" s="1"/>
  <c r="M8464" i="13" s="1"/>
  <c r="M8465" i="13" s="1"/>
  <c r="M8466" i="13" s="1"/>
  <c r="M8467" i="13" s="1"/>
  <c r="M8468" i="13" s="1"/>
  <c r="M8469" i="13" s="1"/>
  <c r="M8470" i="13" s="1"/>
  <c r="M8471" i="13" s="1"/>
  <c r="M8472" i="13" s="1"/>
  <c r="M8473" i="13" s="1"/>
  <c r="M8474" i="13" s="1"/>
  <c r="M8475" i="13" s="1"/>
  <c r="M8476" i="13" s="1"/>
  <c r="M8477" i="13" s="1"/>
  <c r="M8478" i="13" s="1"/>
  <c r="M8479" i="13" s="1"/>
  <c r="M8480" i="13" s="1"/>
  <c r="M8481" i="13" s="1"/>
  <c r="M8482" i="13" s="1"/>
  <c r="M8483" i="13" s="1"/>
  <c r="M8484" i="13" s="1"/>
  <c r="M8485" i="13" s="1"/>
  <c r="M8486" i="13" s="1"/>
  <c r="M8487" i="13" s="1"/>
  <c r="M8488" i="13" s="1"/>
  <c r="M8489" i="13" s="1"/>
  <c r="M8490" i="13" s="1"/>
  <c r="M8491" i="13" s="1"/>
  <c r="M8492" i="13" s="1"/>
  <c r="M8493" i="13" s="1"/>
  <c r="M8494" i="13" s="1"/>
  <c r="M8495" i="13" s="1"/>
  <c r="M8496" i="13" s="1"/>
  <c r="M8497" i="13" s="1"/>
  <c r="M8498" i="13" s="1"/>
  <c r="M8499" i="13" s="1"/>
  <c r="M8500" i="13" s="1"/>
  <c r="M8501" i="13" s="1"/>
  <c r="M8502" i="13" s="1"/>
  <c r="M8503" i="13" s="1"/>
  <c r="M8504" i="13" s="1"/>
  <c r="M8505" i="13" s="1"/>
  <c r="M8506" i="13" s="1"/>
  <c r="M8507" i="13" s="1"/>
  <c r="M8508" i="13" s="1"/>
  <c r="M8509" i="13" s="1"/>
  <c r="M8510" i="13" s="1"/>
  <c r="M8511" i="13" s="1"/>
  <c r="M8512" i="13" s="1"/>
  <c r="M8513" i="13" s="1"/>
  <c r="M8514" i="13" s="1"/>
  <c r="M8515" i="13" s="1"/>
  <c r="M8516" i="13" s="1"/>
  <c r="M8517" i="13" s="1"/>
  <c r="M8518" i="13" s="1"/>
  <c r="M8519" i="13" s="1"/>
  <c r="M8520" i="13" s="1"/>
  <c r="M8521" i="13" s="1"/>
  <c r="M8522" i="13" s="1"/>
  <c r="M8523" i="13" s="1"/>
  <c r="M8524" i="13" s="1"/>
  <c r="M8525" i="13" s="1"/>
  <c r="M8526" i="13" s="1"/>
  <c r="M8527" i="13" s="1"/>
  <c r="M8528" i="13" s="1"/>
  <c r="M8529" i="13" s="1"/>
  <c r="M8530" i="13" s="1"/>
  <c r="M8531" i="13" s="1"/>
  <c r="M8532" i="13" s="1"/>
  <c r="M8533" i="13" s="1"/>
  <c r="M8534" i="13" s="1"/>
  <c r="M8535" i="13" s="1"/>
  <c r="M8536" i="13" s="1"/>
  <c r="M8537" i="13" s="1"/>
  <c r="M8538" i="13" s="1"/>
  <c r="M8539" i="13" s="1"/>
  <c r="M8540" i="13" s="1"/>
  <c r="M8541" i="13" s="1"/>
  <c r="M8542" i="13" s="1"/>
  <c r="M8543" i="13" s="1"/>
  <c r="M8544" i="13" s="1"/>
  <c r="M8545" i="13" s="1"/>
  <c r="M8546" i="13" s="1"/>
  <c r="M8547" i="13" s="1"/>
  <c r="M8548" i="13" s="1"/>
  <c r="M8549" i="13" s="1"/>
  <c r="M8550" i="13" s="1"/>
  <c r="M8551" i="13" s="1"/>
  <c r="M8552" i="13" s="1"/>
  <c r="M8553" i="13" s="1"/>
  <c r="M8554" i="13" s="1"/>
  <c r="M8555" i="13" s="1"/>
  <c r="M8556" i="13" s="1"/>
  <c r="M8557" i="13" s="1"/>
  <c r="M8558" i="13" s="1"/>
  <c r="M8559" i="13" s="1"/>
  <c r="M8560" i="13" s="1"/>
  <c r="M8561" i="13" s="1"/>
  <c r="M8562" i="13" s="1"/>
  <c r="M8563" i="13" s="1"/>
  <c r="M8564" i="13" s="1"/>
  <c r="M8565" i="13" s="1"/>
  <c r="M8566" i="13" s="1"/>
  <c r="M8567" i="13" s="1"/>
  <c r="M8568" i="13" s="1"/>
  <c r="M8569" i="13" s="1"/>
  <c r="M8570" i="13" s="1"/>
  <c r="M8571" i="13" s="1"/>
  <c r="M8572" i="13" s="1"/>
  <c r="M8573" i="13" s="1"/>
  <c r="M8574" i="13" s="1"/>
  <c r="M8575" i="13" s="1"/>
  <c r="M8576" i="13" s="1"/>
  <c r="M8577" i="13" s="1"/>
  <c r="M8578" i="13" s="1"/>
  <c r="M8579" i="13" s="1"/>
  <c r="M8580" i="13" s="1"/>
  <c r="M8581" i="13" s="1"/>
  <c r="M8582" i="13" s="1"/>
  <c r="M8583" i="13" s="1"/>
  <c r="M8584" i="13" s="1"/>
  <c r="M8585" i="13" s="1"/>
  <c r="M8586" i="13" s="1"/>
  <c r="M8587" i="13" s="1"/>
  <c r="M8588" i="13" s="1"/>
  <c r="M8589" i="13" s="1"/>
  <c r="M8590" i="13" s="1"/>
  <c r="M8591" i="13" s="1"/>
  <c r="M8592" i="13" s="1"/>
  <c r="M8593" i="13" s="1"/>
  <c r="M8594" i="13" s="1"/>
  <c r="M8595" i="13" s="1"/>
  <c r="M8596" i="13" s="1"/>
  <c r="M8597" i="13" s="1"/>
  <c r="M8598" i="13" s="1"/>
  <c r="M8599" i="13" s="1"/>
  <c r="M8600" i="13" s="1"/>
  <c r="M8601" i="13" s="1"/>
  <c r="M8602" i="13" s="1"/>
  <c r="M8603" i="13" s="1"/>
  <c r="M8604" i="13" s="1"/>
  <c r="M8605" i="13" s="1"/>
  <c r="M8606" i="13" s="1"/>
  <c r="M8607" i="13" s="1"/>
  <c r="M8608" i="13" s="1"/>
  <c r="M8609" i="13" s="1"/>
  <c r="M8610" i="13" s="1"/>
  <c r="M8611" i="13" s="1"/>
  <c r="M8612" i="13" s="1"/>
  <c r="M8613" i="13" s="1"/>
  <c r="M8614" i="13" s="1"/>
  <c r="M8615" i="13" s="1"/>
  <c r="M8616" i="13" s="1"/>
  <c r="M8617" i="13" s="1"/>
  <c r="M8618" i="13" s="1"/>
  <c r="M8619" i="13" s="1"/>
  <c r="M8620" i="13" s="1"/>
  <c r="M8621" i="13" s="1"/>
  <c r="M8622" i="13" s="1"/>
  <c r="M8623" i="13" s="1"/>
  <c r="M8624" i="13" s="1"/>
  <c r="M8625" i="13" s="1"/>
  <c r="M8626" i="13" s="1"/>
  <c r="M8627" i="13" s="1"/>
  <c r="M8628" i="13" s="1"/>
  <c r="M8629" i="13" s="1"/>
  <c r="M8630" i="13" s="1"/>
  <c r="M8631" i="13" s="1"/>
  <c r="M8632" i="13" s="1"/>
  <c r="M8633" i="13" s="1"/>
  <c r="M8634" i="13" s="1"/>
  <c r="M8635" i="13" s="1"/>
  <c r="M8636" i="13" s="1"/>
  <c r="M8637" i="13" s="1"/>
  <c r="M8638" i="13" s="1"/>
  <c r="M8639" i="13" s="1"/>
  <c r="M8640" i="13" s="1"/>
  <c r="M8641" i="13" s="1"/>
  <c r="M8642" i="13" s="1"/>
  <c r="M8643" i="13" s="1"/>
  <c r="M8644" i="13" s="1"/>
  <c r="M8645" i="13" s="1"/>
  <c r="M8646" i="13" s="1"/>
  <c r="M8647" i="13" s="1"/>
  <c r="M8648" i="13" s="1"/>
  <c r="M8649" i="13" s="1"/>
  <c r="M8650" i="13" s="1"/>
  <c r="M8651" i="13" s="1"/>
  <c r="M8652" i="13" s="1"/>
  <c r="M8653" i="13" s="1"/>
  <c r="M8654" i="13" s="1"/>
  <c r="M8655" i="13" s="1"/>
  <c r="M8656" i="13" s="1"/>
  <c r="M8657" i="13" s="1"/>
  <c r="M8658" i="13" s="1"/>
  <c r="M8659" i="13" s="1"/>
  <c r="M8660" i="13" s="1"/>
  <c r="M8661" i="13" s="1"/>
  <c r="M8662" i="13" s="1"/>
  <c r="M8663" i="13" s="1"/>
  <c r="M8664" i="13" s="1"/>
  <c r="M8665" i="13" s="1"/>
  <c r="M8666" i="13" s="1"/>
  <c r="M8667" i="13" s="1"/>
  <c r="M8668" i="13" s="1"/>
  <c r="M8669" i="13" s="1"/>
  <c r="M8670" i="13" s="1"/>
  <c r="M8671" i="13" s="1"/>
  <c r="M8672" i="13" s="1"/>
  <c r="M8673" i="13" s="1"/>
  <c r="M8674" i="13" s="1"/>
  <c r="M8675" i="13" s="1"/>
  <c r="M8676" i="13" s="1"/>
  <c r="M8677" i="13" s="1"/>
  <c r="M8678" i="13" s="1"/>
  <c r="M8679" i="13" s="1"/>
  <c r="M8680" i="13" s="1"/>
  <c r="M8681" i="13" s="1"/>
  <c r="M8682" i="13" s="1"/>
  <c r="M8683" i="13" s="1"/>
  <c r="M8684" i="13" s="1"/>
  <c r="M8685" i="13" s="1"/>
  <c r="M8686" i="13" s="1"/>
  <c r="M8687" i="13" s="1"/>
  <c r="M8688" i="13" s="1"/>
  <c r="M8689" i="13" s="1"/>
  <c r="M8690" i="13" s="1"/>
  <c r="M8691" i="13" s="1"/>
  <c r="M8692" i="13" s="1"/>
  <c r="M8693" i="13" s="1"/>
  <c r="M8694" i="13" s="1"/>
  <c r="M8695" i="13" s="1"/>
  <c r="M8696" i="13" s="1"/>
  <c r="M8697" i="13" s="1"/>
  <c r="M8698" i="13" s="1"/>
  <c r="M8699" i="13" s="1"/>
  <c r="M8700" i="13" s="1"/>
  <c r="M8701" i="13" s="1"/>
  <c r="M8702" i="13" s="1"/>
  <c r="M8703" i="13" s="1"/>
  <c r="M8704" i="13" s="1"/>
  <c r="M8705" i="13" s="1"/>
  <c r="M8706" i="13" s="1"/>
  <c r="M8707" i="13" s="1"/>
  <c r="M8708" i="13" s="1"/>
  <c r="M8709" i="13" s="1"/>
  <c r="M8710" i="13" s="1"/>
  <c r="M8711" i="13" s="1"/>
  <c r="M8712" i="13" s="1"/>
  <c r="M8713" i="13" s="1"/>
  <c r="M8714" i="13" s="1"/>
  <c r="M8715" i="13" s="1"/>
  <c r="M8716" i="13" s="1"/>
  <c r="M8717" i="13" s="1"/>
  <c r="M8718" i="13" s="1"/>
  <c r="M8719" i="13" s="1"/>
  <c r="M8720" i="13" s="1"/>
  <c r="M8721" i="13" s="1"/>
  <c r="M8722" i="13" s="1"/>
  <c r="M8723" i="13" s="1"/>
  <c r="M8724" i="13" s="1"/>
  <c r="M8725" i="13" s="1"/>
  <c r="M8726" i="13" s="1"/>
  <c r="M8727" i="13" s="1"/>
  <c r="M8728" i="13" s="1"/>
  <c r="M8729" i="13" s="1"/>
  <c r="M8730" i="13" s="1"/>
  <c r="M8731" i="13" s="1"/>
  <c r="M8732" i="13" s="1"/>
  <c r="M8733" i="13" s="1"/>
  <c r="M8734" i="13" s="1"/>
  <c r="M8735" i="13" s="1"/>
  <c r="M8736" i="13" s="1"/>
  <c r="M8737" i="13" s="1"/>
  <c r="M8738" i="13" s="1"/>
  <c r="M8739" i="13" s="1"/>
  <c r="M8740" i="13" s="1"/>
  <c r="M8741" i="13" s="1"/>
  <c r="M8742" i="13" s="1"/>
  <c r="M8743" i="13" s="1"/>
  <c r="M8744" i="13" s="1"/>
  <c r="M8745" i="13" s="1"/>
  <c r="M8746" i="13" s="1"/>
  <c r="M8747" i="13" s="1"/>
  <c r="M8748" i="13" s="1"/>
  <c r="M8749" i="13" s="1"/>
  <c r="M8750" i="13" s="1"/>
  <c r="M8751" i="13" s="1"/>
  <c r="M8752" i="13" s="1"/>
  <c r="M8753" i="13" s="1"/>
  <c r="M8754" i="13" s="1"/>
  <c r="M8755" i="13" s="1"/>
  <c r="M8756" i="13" s="1"/>
  <c r="M8757" i="13" s="1"/>
  <c r="M8758" i="13" s="1"/>
  <c r="M8759" i="13" s="1"/>
  <c r="M8760" i="13" s="1"/>
  <c r="M8761" i="13" s="1"/>
  <c r="M8762" i="13" s="1"/>
  <c r="M8763" i="13" s="1"/>
  <c r="M8764" i="13" s="1"/>
  <c r="M8765" i="13" s="1"/>
  <c r="M8766" i="13" s="1"/>
  <c r="M8767" i="13" s="1"/>
  <c r="M8768" i="13" s="1"/>
  <c r="M8769" i="13" s="1"/>
  <c r="M8770" i="13" s="1"/>
  <c r="M8771" i="13" s="1"/>
  <c r="M8772" i="13" s="1"/>
  <c r="M8773" i="13" s="1"/>
  <c r="M8774" i="13" s="1"/>
  <c r="M8775" i="13" s="1"/>
  <c r="M8776" i="13" s="1"/>
  <c r="M8777" i="13" s="1"/>
  <c r="M8778" i="13" s="1"/>
  <c r="M8779" i="13" s="1"/>
  <c r="M8780" i="13" s="1"/>
  <c r="M8781" i="13" s="1"/>
  <c r="M8782" i="13" s="1"/>
  <c r="M8783" i="13" s="1"/>
  <c r="M8784" i="13" s="1"/>
  <c r="M8785" i="13" s="1"/>
  <c r="M8786" i="13" s="1"/>
  <c r="M8787" i="13" s="1"/>
  <c r="M8788" i="13" s="1"/>
  <c r="M8789" i="13" s="1"/>
  <c r="M8790" i="13" s="1"/>
  <c r="M8791" i="13" s="1"/>
  <c r="M8792" i="13" s="1"/>
  <c r="M8793" i="13" s="1"/>
  <c r="M8794" i="13" s="1"/>
  <c r="M8795" i="13" s="1"/>
  <c r="M8796" i="13" s="1"/>
  <c r="M8797" i="13" s="1"/>
  <c r="M8798" i="13" s="1"/>
  <c r="M8799" i="13" s="1"/>
  <c r="M8800" i="13" s="1"/>
  <c r="M8801" i="13" s="1"/>
  <c r="M8802" i="13" s="1"/>
  <c r="M8803" i="13" s="1"/>
  <c r="M8804" i="13" s="1"/>
  <c r="M8805" i="13" s="1"/>
  <c r="M8806" i="13" s="1"/>
  <c r="M8807" i="13" s="1"/>
  <c r="M8808" i="13" s="1"/>
  <c r="M8809" i="13" s="1"/>
  <c r="M8810" i="13" s="1"/>
  <c r="M8811" i="13" s="1"/>
  <c r="M8812" i="13" s="1"/>
  <c r="M8813" i="13" s="1"/>
  <c r="M8814" i="13" s="1"/>
  <c r="M8815" i="13" s="1"/>
  <c r="M8816" i="13" s="1"/>
  <c r="M8817" i="13" s="1"/>
  <c r="M8818" i="13" s="1"/>
  <c r="M8819" i="13" s="1"/>
  <c r="M8820" i="13" s="1"/>
  <c r="M8821" i="13" s="1"/>
  <c r="M8822" i="13" s="1"/>
  <c r="M8823" i="13" s="1"/>
  <c r="M8824" i="13" s="1"/>
  <c r="M8825" i="13" s="1"/>
  <c r="M8826" i="13" s="1"/>
  <c r="M8827" i="13" s="1"/>
  <c r="M8828" i="13" s="1"/>
  <c r="M8829" i="13" s="1"/>
  <c r="M8830" i="13" s="1"/>
  <c r="M8831" i="13" s="1"/>
  <c r="M8832" i="13" s="1"/>
  <c r="M8833" i="13" s="1"/>
  <c r="M8834" i="13" s="1"/>
  <c r="M8835" i="13" s="1"/>
  <c r="M8836" i="13" s="1"/>
  <c r="M8837" i="13" s="1"/>
  <c r="M8838" i="13" s="1"/>
  <c r="M8839" i="13" s="1"/>
  <c r="M8840" i="13" s="1"/>
  <c r="M8841" i="13" s="1"/>
  <c r="M8842" i="13" s="1"/>
  <c r="M8843" i="13" s="1"/>
  <c r="M8844" i="13" s="1"/>
  <c r="M8845" i="13" s="1"/>
  <c r="M8846" i="13" s="1"/>
  <c r="M8847" i="13" s="1"/>
  <c r="M8848" i="13" s="1"/>
  <c r="M8849" i="13" s="1"/>
  <c r="M8850" i="13" s="1"/>
  <c r="M8851" i="13" s="1"/>
  <c r="M8852" i="13" s="1"/>
  <c r="M8853" i="13" s="1"/>
  <c r="M8854" i="13" s="1"/>
  <c r="M8855" i="13" s="1"/>
  <c r="M8856" i="13" s="1"/>
  <c r="M8857" i="13" s="1"/>
  <c r="M8858" i="13" s="1"/>
  <c r="M8859" i="13" s="1"/>
  <c r="M8860" i="13" s="1"/>
  <c r="M8861" i="13" s="1"/>
  <c r="M8862" i="13" s="1"/>
  <c r="M8863" i="13" s="1"/>
  <c r="M8864" i="13" s="1"/>
  <c r="M8865" i="13" s="1"/>
  <c r="M8866" i="13" s="1"/>
  <c r="M8867" i="13" s="1"/>
  <c r="M8868" i="13" s="1"/>
  <c r="M8869" i="13" s="1"/>
  <c r="M8870" i="13" s="1"/>
  <c r="M8871" i="13" s="1"/>
  <c r="M8872" i="13" s="1"/>
  <c r="M8873" i="13" s="1"/>
  <c r="M8874" i="13" s="1"/>
  <c r="M8875" i="13" s="1"/>
  <c r="M8876" i="13" s="1"/>
  <c r="M8877" i="13" s="1"/>
  <c r="M8878" i="13" s="1"/>
  <c r="M8879" i="13" s="1"/>
  <c r="M8880" i="13" s="1"/>
  <c r="M8881" i="13" s="1"/>
  <c r="M8882" i="13" s="1"/>
  <c r="M8883" i="13" s="1"/>
  <c r="M8884" i="13" s="1"/>
  <c r="M8885" i="13" s="1"/>
  <c r="M8886" i="13" s="1"/>
  <c r="M8887" i="13" s="1"/>
  <c r="M8888" i="13" s="1"/>
  <c r="M8889" i="13" s="1"/>
  <c r="M8890" i="13" s="1"/>
  <c r="M8891" i="13" s="1"/>
  <c r="M8892" i="13" s="1"/>
  <c r="M8893" i="13" s="1"/>
  <c r="M8894" i="13" s="1"/>
  <c r="M8895" i="13" s="1"/>
  <c r="M8896" i="13" s="1"/>
  <c r="M8897" i="13" s="1"/>
  <c r="M8898" i="13" s="1"/>
  <c r="M8899" i="13" s="1"/>
  <c r="M8900" i="13" s="1"/>
  <c r="M8901" i="13" s="1"/>
  <c r="M8902" i="13" s="1"/>
  <c r="M8903" i="13" s="1"/>
  <c r="M8904" i="13" s="1"/>
  <c r="M8905" i="13" s="1"/>
  <c r="M8906" i="13" s="1"/>
  <c r="M8907" i="13" s="1"/>
  <c r="M8908" i="13" s="1"/>
  <c r="M8909" i="13" s="1"/>
  <c r="M8910" i="13" s="1"/>
  <c r="M8911" i="13" s="1"/>
  <c r="M8912" i="13" s="1"/>
  <c r="M8913" i="13" s="1"/>
  <c r="M8914" i="13" s="1"/>
  <c r="M8915" i="13" s="1"/>
  <c r="M8916" i="13" s="1"/>
  <c r="M8917" i="13" s="1"/>
  <c r="M8918" i="13" s="1"/>
  <c r="M8919" i="13" s="1"/>
  <c r="M8920" i="13" s="1"/>
  <c r="M8921" i="13" s="1"/>
  <c r="M8922" i="13" s="1"/>
  <c r="M8923" i="13" s="1"/>
  <c r="M8924" i="13" s="1"/>
  <c r="M8925" i="13" s="1"/>
  <c r="M8926" i="13" s="1"/>
  <c r="M8927" i="13" s="1"/>
  <c r="M8928" i="13" s="1"/>
  <c r="M8929" i="13" s="1"/>
  <c r="M8930" i="13" s="1"/>
  <c r="M8931" i="13" s="1"/>
  <c r="M8932" i="13" s="1"/>
  <c r="M8933" i="13" s="1"/>
  <c r="M8934" i="13" s="1"/>
  <c r="M8935" i="13" s="1"/>
  <c r="M8936" i="13" s="1"/>
  <c r="M8937" i="13" s="1"/>
  <c r="M8938" i="13" s="1"/>
  <c r="M8939" i="13" s="1"/>
  <c r="M8940" i="13" s="1"/>
  <c r="M8941" i="13" s="1"/>
  <c r="M8942" i="13" s="1"/>
  <c r="M8943" i="13" s="1"/>
  <c r="M8944" i="13" s="1"/>
  <c r="M8945" i="13" s="1"/>
  <c r="M8946" i="13" s="1"/>
  <c r="M8947" i="13" s="1"/>
  <c r="M8948" i="13" s="1"/>
  <c r="M8949" i="13" s="1"/>
  <c r="M8950" i="13" s="1"/>
  <c r="M8951" i="13" s="1"/>
  <c r="M8952" i="13" s="1"/>
  <c r="M8953" i="13" s="1"/>
  <c r="M8954" i="13" s="1"/>
  <c r="M8955" i="13" s="1"/>
  <c r="M8956" i="13" s="1"/>
  <c r="M8957" i="13" s="1"/>
  <c r="M8958" i="13" s="1"/>
  <c r="M8959" i="13" s="1"/>
  <c r="M8960" i="13" s="1"/>
  <c r="M8961" i="13" s="1"/>
  <c r="M8962" i="13" s="1"/>
  <c r="M8963" i="13" s="1"/>
  <c r="M8964" i="13" s="1"/>
  <c r="M8965" i="13" s="1"/>
  <c r="M8966" i="13" s="1"/>
  <c r="M8967" i="13" s="1"/>
  <c r="M8968" i="13" s="1"/>
  <c r="M8969" i="13" s="1"/>
  <c r="M8970" i="13" s="1"/>
  <c r="M8971" i="13" s="1"/>
  <c r="M8972" i="13" s="1"/>
  <c r="M8973" i="13" s="1"/>
  <c r="M8974" i="13" s="1"/>
  <c r="M8975" i="13" s="1"/>
  <c r="M8976" i="13" s="1"/>
  <c r="M8977" i="13" s="1"/>
  <c r="M8978" i="13" s="1"/>
  <c r="M8979" i="13" s="1"/>
  <c r="M8980" i="13" s="1"/>
  <c r="M8981" i="13" s="1"/>
  <c r="M8982" i="13" s="1"/>
  <c r="M8983" i="13" s="1"/>
  <c r="M8984" i="13" s="1"/>
  <c r="M8985" i="13" s="1"/>
  <c r="M8986" i="13" s="1"/>
  <c r="M8987" i="13" s="1"/>
  <c r="M8988" i="13" s="1"/>
  <c r="M8989" i="13" s="1"/>
  <c r="M8990" i="13" s="1"/>
  <c r="M8991" i="13" s="1"/>
  <c r="M8992" i="13" s="1"/>
  <c r="M8993" i="13" s="1"/>
  <c r="M8994" i="13" s="1"/>
  <c r="M8995" i="13" s="1"/>
  <c r="M8996" i="13" s="1"/>
  <c r="M8997" i="13" s="1"/>
  <c r="M8998" i="13" s="1"/>
  <c r="M8999" i="13" s="1"/>
  <c r="M9000" i="13" s="1"/>
  <c r="M9001" i="13" s="1"/>
  <c r="M9002" i="13" s="1"/>
  <c r="M9003" i="13" s="1"/>
  <c r="M9004" i="13" s="1"/>
  <c r="M9005" i="13" s="1"/>
  <c r="M9006" i="13" s="1"/>
  <c r="M9007" i="13" s="1"/>
  <c r="M9008" i="13" s="1"/>
  <c r="M9009" i="13" s="1"/>
  <c r="M9010" i="13" s="1"/>
  <c r="M9011" i="13" s="1"/>
  <c r="M9012" i="13" s="1"/>
  <c r="M9013" i="13" s="1"/>
  <c r="M9014" i="13" s="1"/>
  <c r="M9015" i="13" s="1"/>
  <c r="M9016" i="13" s="1"/>
  <c r="M9017" i="13" s="1"/>
  <c r="M9018" i="13" s="1"/>
  <c r="M9019" i="13" s="1"/>
  <c r="M9020" i="13" s="1"/>
  <c r="M9021" i="13" s="1"/>
  <c r="M9022" i="13" s="1"/>
  <c r="M9023" i="13" s="1"/>
  <c r="M9024" i="13" s="1"/>
  <c r="M9025" i="13" s="1"/>
  <c r="M9026" i="13" s="1"/>
  <c r="M9027" i="13" s="1"/>
  <c r="M9028" i="13" s="1"/>
  <c r="M9029" i="13" s="1"/>
  <c r="M9030" i="13" s="1"/>
  <c r="M9031" i="13" s="1"/>
  <c r="M9032" i="13" s="1"/>
  <c r="M9033" i="13" s="1"/>
  <c r="M9034" i="13" s="1"/>
  <c r="M9035" i="13" s="1"/>
  <c r="M9036" i="13" s="1"/>
  <c r="M9037" i="13" s="1"/>
  <c r="M9038" i="13" s="1"/>
  <c r="M9039" i="13" s="1"/>
  <c r="M9040" i="13" s="1"/>
  <c r="M9041" i="13" s="1"/>
  <c r="M9042" i="13" s="1"/>
  <c r="M9043" i="13" s="1"/>
  <c r="M9044" i="13" s="1"/>
  <c r="M9045" i="13" s="1"/>
  <c r="M9046" i="13" s="1"/>
  <c r="M9047" i="13" s="1"/>
  <c r="M9048" i="13" s="1"/>
  <c r="M9049" i="13" s="1"/>
  <c r="M9050" i="13" s="1"/>
  <c r="M9051" i="13" s="1"/>
  <c r="M9052" i="13" s="1"/>
  <c r="M9053" i="13" s="1"/>
  <c r="M9054" i="13" s="1"/>
  <c r="M9055" i="13" s="1"/>
  <c r="M9056" i="13" s="1"/>
  <c r="M9057" i="13" s="1"/>
  <c r="M9058" i="13" s="1"/>
  <c r="M9059" i="13" s="1"/>
  <c r="M9060" i="13" s="1"/>
  <c r="M9061" i="13" s="1"/>
  <c r="M9062" i="13" s="1"/>
  <c r="M9063" i="13" s="1"/>
  <c r="M9064" i="13" s="1"/>
  <c r="M9065" i="13" s="1"/>
  <c r="M9066" i="13" s="1"/>
  <c r="M9067" i="13" s="1"/>
  <c r="M9068" i="13" s="1"/>
  <c r="M9069" i="13" s="1"/>
  <c r="M9070" i="13" s="1"/>
  <c r="M9071" i="13" s="1"/>
  <c r="M9072" i="13" s="1"/>
  <c r="M9073" i="13" s="1"/>
  <c r="M9074" i="13" s="1"/>
  <c r="M9075" i="13" s="1"/>
  <c r="M9076" i="13" s="1"/>
  <c r="M9077" i="13" s="1"/>
  <c r="M9078" i="13" s="1"/>
  <c r="M9079" i="13" s="1"/>
  <c r="M9080" i="13" s="1"/>
  <c r="M9081" i="13" s="1"/>
  <c r="M9082" i="13" s="1"/>
  <c r="M9083" i="13" s="1"/>
  <c r="M9084" i="13" s="1"/>
  <c r="M9085" i="13" s="1"/>
  <c r="M9086" i="13" s="1"/>
  <c r="M9087" i="13" s="1"/>
  <c r="M9088" i="13" s="1"/>
  <c r="M9089" i="13" s="1"/>
  <c r="M9090" i="13" s="1"/>
  <c r="M9091" i="13" s="1"/>
  <c r="M9092" i="13" s="1"/>
  <c r="M9093" i="13" s="1"/>
  <c r="M9094" i="13" s="1"/>
  <c r="M9095" i="13" s="1"/>
  <c r="M9096" i="13" s="1"/>
  <c r="M9097" i="13" s="1"/>
  <c r="M9098" i="13" s="1"/>
  <c r="M9099" i="13" s="1"/>
  <c r="M9100" i="13" s="1"/>
  <c r="M9101" i="13" s="1"/>
  <c r="M9102" i="13" s="1"/>
  <c r="M9103" i="13" s="1"/>
  <c r="M9104" i="13" s="1"/>
  <c r="M9105" i="13" s="1"/>
  <c r="M9106" i="13" s="1"/>
  <c r="M9107" i="13" s="1"/>
  <c r="M9108" i="13" s="1"/>
  <c r="M9109" i="13" s="1"/>
  <c r="M9110" i="13" s="1"/>
  <c r="M9111" i="13" s="1"/>
  <c r="M9112" i="13" s="1"/>
  <c r="M9113" i="13" s="1"/>
  <c r="M9114" i="13" s="1"/>
  <c r="M9115" i="13" s="1"/>
  <c r="M9116" i="13" s="1"/>
  <c r="M9117" i="13" s="1"/>
  <c r="M9118" i="13" s="1"/>
  <c r="M9119" i="13" s="1"/>
  <c r="M9120" i="13" s="1"/>
  <c r="M9121" i="13" s="1"/>
  <c r="M9122" i="13" s="1"/>
  <c r="M9123" i="13" s="1"/>
  <c r="M9124" i="13" s="1"/>
  <c r="M9125" i="13" s="1"/>
  <c r="M9126" i="13" s="1"/>
  <c r="M9127" i="13" s="1"/>
  <c r="M9128" i="13" s="1"/>
  <c r="M9129" i="13" s="1"/>
  <c r="M9130" i="13" s="1"/>
  <c r="M9131" i="13" s="1"/>
  <c r="M9132" i="13" s="1"/>
  <c r="M9133" i="13" s="1"/>
  <c r="M9134" i="13" s="1"/>
  <c r="M9135" i="13" s="1"/>
  <c r="M9136" i="13" s="1"/>
  <c r="M9137" i="13" s="1"/>
  <c r="M9138" i="13" s="1"/>
  <c r="M9139" i="13" s="1"/>
  <c r="M9140" i="13" s="1"/>
  <c r="M9141" i="13" s="1"/>
  <c r="M9142" i="13" s="1"/>
  <c r="M9143" i="13" s="1"/>
  <c r="M9144" i="13" s="1"/>
  <c r="M9145" i="13" s="1"/>
  <c r="M9146" i="13" s="1"/>
  <c r="M9147" i="13" s="1"/>
  <c r="M9148" i="13" s="1"/>
  <c r="M9149" i="13" s="1"/>
  <c r="M9150" i="13" s="1"/>
  <c r="M9151" i="13" s="1"/>
  <c r="M9152" i="13" s="1"/>
  <c r="M9153" i="13" s="1"/>
  <c r="M9154" i="13" s="1"/>
  <c r="M9155" i="13" s="1"/>
  <c r="M9156" i="13" s="1"/>
  <c r="M9157" i="13" s="1"/>
  <c r="M9158" i="13" s="1"/>
  <c r="M9159" i="13" s="1"/>
  <c r="M9160" i="13" s="1"/>
  <c r="M9161" i="13" s="1"/>
  <c r="M9162" i="13" s="1"/>
  <c r="M9163" i="13" s="1"/>
  <c r="M9164" i="13" s="1"/>
  <c r="M9165" i="13" s="1"/>
  <c r="M9166" i="13" s="1"/>
  <c r="M9167" i="13" s="1"/>
  <c r="M9168" i="13" s="1"/>
  <c r="M9169" i="13" s="1"/>
  <c r="M9170" i="13" s="1"/>
  <c r="M9171" i="13" s="1"/>
  <c r="M9172" i="13" s="1"/>
  <c r="M9173" i="13" s="1"/>
  <c r="M9174" i="13" s="1"/>
  <c r="M9175" i="13" s="1"/>
  <c r="M9176" i="13" s="1"/>
  <c r="M9177" i="13" s="1"/>
  <c r="M9178" i="13" s="1"/>
  <c r="M9179" i="13" s="1"/>
  <c r="M9180" i="13" s="1"/>
  <c r="M9181" i="13" s="1"/>
  <c r="M9182" i="13" s="1"/>
  <c r="M9183" i="13" s="1"/>
  <c r="M9184" i="13" s="1"/>
  <c r="M9185" i="13" s="1"/>
  <c r="M9186" i="13" s="1"/>
  <c r="M9187" i="13" s="1"/>
  <c r="M9188" i="13" s="1"/>
  <c r="M9189" i="13" s="1"/>
  <c r="M9190" i="13" s="1"/>
  <c r="M9191" i="13" s="1"/>
  <c r="M9192" i="13" s="1"/>
  <c r="M9193" i="13" s="1"/>
  <c r="M9194" i="13" s="1"/>
  <c r="M9195" i="13" s="1"/>
  <c r="M9196" i="13" s="1"/>
  <c r="M9197" i="13" s="1"/>
  <c r="M9198" i="13" s="1"/>
  <c r="M9199" i="13" s="1"/>
  <c r="M9200" i="13" s="1"/>
  <c r="M9201" i="13" s="1"/>
  <c r="M9202" i="13" s="1"/>
  <c r="M9203" i="13" s="1"/>
  <c r="M9204" i="13" s="1"/>
  <c r="M9205" i="13" s="1"/>
  <c r="M9206" i="13" s="1"/>
  <c r="M9207" i="13" s="1"/>
  <c r="M9208" i="13" s="1"/>
  <c r="M9209" i="13" s="1"/>
  <c r="M9210" i="13" s="1"/>
  <c r="M9211" i="13" s="1"/>
  <c r="M9212" i="13" s="1"/>
  <c r="M9213" i="13" s="1"/>
  <c r="M9214" i="13" s="1"/>
  <c r="M9215" i="13" s="1"/>
  <c r="M9216" i="13" s="1"/>
  <c r="M9217" i="13" s="1"/>
  <c r="M9218" i="13" s="1"/>
  <c r="M9219" i="13" s="1"/>
  <c r="M9220" i="13" s="1"/>
  <c r="M9221" i="13" s="1"/>
  <c r="M9222" i="13" s="1"/>
  <c r="M9223" i="13" s="1"/>
  <c r="M9224" i="13" s="1"/>
  <c r="M9225" i="13" s="1"/>
  <c r="M9226" i="13" s="1"/>
  <c r="M9227" i="13" s="1"/>
  <c r="M9228" i="13" s="1"/>
  <c r="M9229" i="13" s="1"/>
  <c r="M9230" i="13" s="1"/>
  <c r="M9231" i="13" s="1"/>
  <c r="M9232" i="13" s="1"/>
  <c r="M9233" i="13" s="1"/>
  <c r="M9234" i="13" s="1"/>
  <c r="M9235" i="13" s="1"/>
  <c r="M9236" i="13" s="1"/>
  <c r="M9237" i="13" s="1"/>
  <c r="M9238" i="13" s="1"/>
  <c r="M9239" i="13" s="1"/>
  <c r="M9240" i="13" s="1"/>
  <c r="M9241" i="13" s="1"/>
  <c r="M9242" i="13" s="1"/>
  <c r="M9243" i="13" s="1"/>
  <c r="M9244" i="13" s="1"/>
  <c r="M9245" i="13" s="1"/>
  <c r="M9246" i="13" s="1"/>
  <c r="M9247" i="13" s="1"/>
  <c r="M9248" i="13" s="1"/>
  <c r="M9249" i="13" s="1"/>
  <c r="M9250" i="13" s="1"/>
  <c r="M9251" i="13" s="1"/>
  <c r="M9252" i="13" s="1"/>
  <c r="M9253" i="13" s="1"/>
  <c r="M9254" i="13" s="1"/>
  <c r="M9255" i="13" s="1"/>
  <c r="M9256" i="13" s="1"/>
  <c r="M9257" i="13" s="1"/>
  <c r="M9258" i="13" s="1"/>
  <c r="M9259" i="13" s="1"/>
  <c r="M9260" i="13" s="1"/>
  <c r="M9261" i="13" s="1"/>
  <c r="M9262" i="13" s="1"/>
  <c r="M9263" i="13" s="1"/>
  <c r="M9264" i="13" s="1"/>
  <c r="M9265" i="13" s="1"/>
  <c r="M9266" i="13" s="1"/>
  <c r="M9267" i="13" s="1"/>
  <c r="M9268" i="13" s="1"/>
  <c r="M9269" i="13" s="1"/>
  <c r="M9270" i="13" s="1"/>
  <c r="M9271" i="13" s="1"/>
  <c r="M9272" i="13" s="1"/>
  <c r="M9273" i="13" s="1"/>
  <c r="M9274" i="13" s="1"/>
  <c r="M9275" i="13" s="1"/>
  <c r="M9276" i="13" s="1"/>
  <c r="M9277" i="13" s="1"/>
  <c r="M9278" i="13" s="1"/>
  <c r="M9279" i="13" s="1"/>
  <c r="M9280" i="13" s="1"/>
  <c r="M9281" i="13" s="1"/>
  <c r="M9282" i="13" s="1"/>
  <c r="M9283" i="13" s="1"/>
  <c r="M9284" i="13" s="1"/>
  <c r="M9285" i="13" s="1"/>
  <c r="M9286" i="13" s="1"/>
  <c r="M9287" i="13" s="1"/>
  <c r="M9288" i="13" s="1"/>
  <c r="M9289" i="13" s="1"/>
  <c r="M9290" i="13" s="1"/>
  <c r="M9291" i="13" s="1"/>
  <c r="M9292" i="13" s="1"/>
  <c r="M9293" i="13" s="1"/>
  <c r="M9294" i="13" s="1"/>
  <c r="M9295" i="13" s="1"/>
  <c r="M9296" i="13" s="1"/>
  <c r="M9297" i="13" s="1"/>
  <c r="M9298" i="13" s="1"/>
  <c r="M9299" i="13" s="1"/>
  <c r="M9300" i="13" s="1"/>
  <c r="M9301" i="13" s="1"/>
  <c r="M9302" i="13" s="1"/>
  <c r="M9303" i="13" s="1"/>
  <c r="M9304" i="13" s="1"/>
  <c r="M9305" i="13" s="1"/>
  <c r="M9306" i="13" s="1"/>
  <c r="M9307" i="13" s="1"/>
  <c r="M9308" i="13" s="1"/>
  <c r="M9309" i="13" s="1"/>
  <c r="M9310" i="13" s="1"/>
  <c r="M9311" i="13" s="1"/>
  <c r="M9312" i="13" s="1"/>
  <c r="M9313" i="13" s="1"/>
  <c r="M9314" i="13" s="1"/>
  <c r="M9315" i="13" s="1"/>
  <c r="M9316" i="13" s="1"/>
  <c r="M9317" i="13" s="1"/>
  <c r="M9318" i="13" s="1"/>
  <c r="M9319" i="13" s="1"/>
  <c r="M9320" i="13" s="1"/>
  <c r="M9321" i="13" s="1"/>
  <c r="M9322" i="13" s="1"/>
  <c r="M9323" i="13" s="1"/>
  <c r="M9324" i="13" s="1"/>
  <c r="M9325" i="13" s="1"/>
  <c r="M9326" i="13" s="1"/>
  <c r="M9327" i="13" s="1"/>
  <c r="M9328" i="13" s="1"/>
  <c r="M9329" i="13" s="1"/>
  <c r="M9330" i="13" s="1"/>
  <c r="M9331" i="13" s="1"/>
  <c r="M9332" i="13" s="1"/>
  <c r="M9333" i="13" s="1"/>
  <c r="M9334" i="13" s="1"/>
  <c r="M9335" i="13" s="1"/>
  <c r="M9336" i="13" s="1"/>
  <c r="M9337" i="13" s="1"/>
  <c r="M9338" i="13" s="1"/>
  <c r="M9339" i="13" s="1"/>
  <c r="M9340" i="13" s="1"/>
  <c r="M9341" i="13" s="1"/>
  <c r="M9342" i="13" s="1"/>
  <c r="M9343" i="13" s="1"/>
  <c r="M9344" i="13" s="1"/>
  <c r="M9345" i="13" s="1"/>
  <c r="M9346" i="13" s="1"/>
  <c r="M9347" i="13" s="1"/>
  <c r="M9348" i="13" s="1"/>
  <c r="M9349" i="13" s="1"/>
  <c r="M9350" i="13" s="1"/>
  <c r="M9351" i="13" s="1"/>
  <c r="M9352" i="13" s="1"/>
  <c r="M9353" i="13" s="1"/>
  <c r="M9354" i="13" s="1"/>
  <c r="M9355" i="13" s="1"/>
  <c r="M9356" i="13" s="1"/>
  <c r="M9357" i="13" s="1"/>
  <c r="M9358" i="13" s="1"/>
  <c r="M9359" i="13" s="1"/>
  <c r="M9360" i="13" s="1"/>
  <c r="M9361" i="13" s="1"/>
  <c r="M9362" i="13" s="1"/>
  <c r="M9363" i="13" s="1"/>
  <c r="M9364" i="13" s="1"/>
  <c r="M9365" i="13" s="1"/>
  <c r="M9366" i="13" s="1"/>
  <c r="M9367" i="13" s="1"/>
  <c r="M9368" i="13" s="1"/>
  <c r="M9369" i="13" s="1"/>
  <c r="M9370" i="13" s="1"/>
  <c r="M9371" i="13" s="1"/>
  <c r="M9372" i="13" s="1"/>
  <c r="M9373" i="13" s="1"/>
  <c r="M9374" i="13" s="1"/>
  <c r="M9375" i="13" s="1"/>
  <c r="M9376" i="13" s="1"/>
  <c r="M9377" i="13" s="1"/>
  <c r="M9378" i="13" s="1"/>
  <c r="M9379" i="13" s="1"/>
  <c r="M9380" i="13" s="1"/>
  <c r="M9381" i="13" s="1"/>
  <c r="M9382" i="13" s="1"/>
  <c r="M9383" i="13" s="1"/>
  <c r="M9384" i="13" s="1"/>
  <c r="M9385" i="13" s="1"/>
  <c r="M9386" i="13" s="1"/>
  <c r="M9387" i="13" s="1"/>
  <c r="M9388" i="13" s="1"/>
  <c r="M9389" i="13" s="1"/>
  <c r="M9390" i="13" s="1"/>
  <c r="M9391" i="13" s="1"/>
  <c r="M9392" i="13" s="1"/>
  <c r="M9393" i="13" s="1"/>
  <c r="M9394" i="13" s="1"/>
  <c r="M9395" i="13" s="1"/>
  <c r="M9396" i="13" s="1"/>
  <c r="M9397" i="13" s="1"/>
  <c r="M9398" i="13" s="1"/>
  <c r="M9399" i="13" s="1"/>
  <c r="M9400" i="13" s="1"/>
  <c r="M9401" i="13" s="1"/>
  <c r="M9402" i="13" s="1"/>
  <c r="M9403" i="13" s="1"/>
  <c r="M9404" i="13" s="1"/>
  <c r="M9405" i="13" s="1"/>
  <c r="M9406" i="13" s="1"/>
  <c r="M9407" i="13" s="1"/>
  <c r="M9408" i="13" s="1"/>
  <c r="M9409" i="13" s="1"/>
  <c r="M9410" i="13" s="1"/>
  <c r="M9411" i="13" s="1"/>
  <c r="M9412" i="13" s="1"/>
  <c r="M9413" i="13" s="1"/>
  <c r="M9414" i="13" s="1"/>
  <c r="M9415" i="13" s="1"/>
  <c r="M9416" i="13" s="1"/>
  <c r="M9417" i="13" s="1"/>
  <c r="M9418" i="13" s="1"/>
  <c r="M9419" i="13" s="1"/>
  <c r="M9420" i="13" s="1"/>
  <c r="M9421" i="13" s="1"/>
  <c r="M9422" i="13" s="1"/>
  <c r="M9423" i="13" s="1"/>
  <c r="M9424" i="13" s="1"/>
  <c r="M9425" i="13" s="1"/>
  <c r="M9426" i="13" s="1"/>
  <c r="M9427" i="13" s="1"/>
  <c r="M9428" i="13" s="1"/>
  <c r="M9429" i="13" s="1"/>
  <c r="M9430" i="13" s="1"/>
  <c r="M9431" i="13" s="1"/>
  <c r="M9432" i="13" s="1"/>
  <c r="M9433" i="13" s="1"/>
  <c r="M9434" i="13" s="1"/>
  <c r="M9435" i="13" s="1"/>
  <c r="M9436" i="13" s="1"/>
  <c r="M9437" i="13" s="1"/>
  <c r="M9438" i="13" s="1"/>
  <c r="M9439" i="13" s="1"/>
  <c r="M9440" i="13" s="1"/>
  <c r="M9441" i="13" s="1"/>
  <c r="M9442" i="13" s="1"/>
  <c r="M9443" i="13" s="1"/>
  <c r="M9444" i="13" s="1"/>
  <c r="M9445" i="13" s="1"/>
  <c r="M9446" i="13" s="1"/>
  <c r="M9447" i="13" s="1"/>
  <c r="M9448" i="13" s="1"/>
  <c r="M9449" i="13" s="1"/>
  <c r="M9450" i="13" s="1"/>
  <c r="M9451" i="13" s="1"/>
  <c r="M9452" i="13" s="1"/>
  <c r="M9453" i="13" s="1"/>
  <c r="M9454" i="13" s="1"/>
  <c r="M9455" i="13" s="1"/>
  <c r="M9456" i="13" s="1"/>
  <c r="M9457" i="13" s="1"/>
  <c r="M9458" i="13" s="1"/>
  <c r="M9459" i="13" s="1"/>
  <c r="M9460" i="13" s="1"/>
  <c r="M9461" i="13" s="1"/>
  <c r="M9462" i="13" s="1"/>
  <c r="M9463" i="13" s="1"/>
  <c r="M9464" i="13" s="1"/>
  <c r="M9465" i="13" s="1"/>
  <c r="M9466" i="13" s="1"/>
  <c r="M9467" i="13" s="1"/>
  <c r="M9468" i="13" s="1"/>
  <c r="M9469" i="13" s="1"/>
  <c r="M9470" i="13" s="1"/>
  <c r="M9471" i="13" s="1"/>
  <c r="M9472" i="13" s="1"/>
  <c r="M9473" i="13" s="1"/>
  <c r="M9474" i="13" s="1"/>
  <c r="M9475" i="13" s="1"/>
  <c r="M9476" i="13" s="1"/>
  <c r="M9477" i="13" s="1"/>
  <c r="M9478" i="13" s="1"/>
  <c r="M9479" i="13" s="1"/>
  <c r="M9480" i="13" s="1"/>
  <c r="M9481" i="13" s="1"/>
  <c r="M9482" i="13" s="1"/>
  <c r="M9483" i="13" s="1"/>
  <c r="M9484" i="13" s="1"/>
  <c r="M9485" i="13" s="1"/>
  <c r="M9486" i="13" s="1"/>
  <c r="M9487" i="13" s="1"/>
  <c r="M9488" i="13" s="1"/>
  <c r="M9489" i="13" s="1"/>
  <c r="M9490" i="13" s="1"/>
  <c r="M9491" i="13" s="1"/>
  <c r="M9492" i="13" s="1"/>
  <c r="M9493" i="13" s="1"/>
  <c r="M9494" i="13" s="1"/>
  <c r="M9495" i="13" s="1"/>
  <c r="M9496" i="13" s="1"/>
  <c r="M9497" i="13" s="1"/>
  <c r="M9498" i="13" s="1"/>
  <c r="M9499" i="13" s="1"/>
  <c r="M9500" i="13" s="1"/>
  <c r="M9501" i="13" s="1"/>
  <c r="M9502" i="13" s="1"/>
  <c r="M9503" i="13" s="1"/>
  <c r="M9504" i="13" s="1"/>
  <c r="M9505" i="13" s="1"/>
  <c r="M9506" i="13" s="1"/>
  <c r="M9507" i="13" s="1"/>
  <c r="M9508" i="13" s="1"/>
  <c r="M9509" i="13" s="1"/>
  <c r="M9510" i="13" s="1"/>
  <c r="M9511" i="13" s="1"/>
  <c r="M9512" i="13" s="1"/>
  <c r="M9513" i="13" s="1"/>
  <c r="M9514" i="13" s="1"/>
  <c r="M9515" i="13" s="1"/>
  <c r="M9516" i="13" s="1"/>
  <c r="M9517" i="13" s="1"/>
  <c r="M9518" i="13" s="1"/>
  <c r="M9519" i="13" s="1"/>
  <c r="M9520" i="13" s="1"/>
  <c r="M9521" i="13" s="1"/>
  <c r="M9522" i="13" s="1"/>
  <c r="M9523" i="13" s="1"/>
  <c r="M9524" i="13" s="1"/>
  <c r="M9525" i="13" s="1"/>
  <c r="M9526" i="13" s="1"/>
  <c r="M9527" i="13" s="1"/>
  <c r="M9528" i="13" s="1"/>
  <c r="M9529" i="13" s="1"/>
  <c r="M9530" i="13" s="1"/>
  <c r="M9531" i="13" s="1"/>
  <c r="M9532" i="13" s="1"/>
  <c r="M9533" i="13" s="1"/>
  <c r="M9534" i="13" s="1"/>
  <c r="M9535" i="13" s="1"/>
  <c r="M9536" i="13" s="1"/>
  <c r="M9537" i="13" s="1"/>
  <c r="M9538" i="13" s="1"/>
  <c r="M9539" i="13" s="1"/>
  <c r="M9540" i="13" s="1"/>
  <c r="M9541" i="13" s="1"/>
  <c r="M9542" i="13" s="1"/>
  <c r="M9543" i="13" s="1"/>
  <c r="M9544" i="13" s="1"/>
  <c r="M9545" i="13" s="1"/>
  <c r="M9546" i="13" s="1"/>
  <c r="M9547" i="13" s="1"/>
  <c r="M9548" i="13" s="1"/>
  <c r="M9549" i="13" s="1"/>
  <c r="M9550" i="13" s="1"/>
  <c r="M9551" i="13" s="1"/>
  <c r="M9552" i="13" s="1"/>
  <c r="M9553" i="13" s="1"/>
  <c r="M9554" i="13" s="1"/>
  <c r="M9555" i="13" s="1"/>
  <c r="M9556" i="13" s="1"/>
  <c r="M9557" i="13" s="1"/>
  <c r="M9558" i="13" s="1"/>
  <c r="M9559" i="13" s="1"/>
  <c r="M9560" i="13" s="1"/>
  <c r="M9561" i="13" s="1"/>
  <c r="M9562" i="13" s="1"/>
  <c r="M9563" i="13" s="1"/>
  <c r="M9564" i="13" s="1"/>
  <c r="M9565" i="13" s="1"/>
  <c r="M9566" i="13" s="1"/>
  <c r="M9567" i="13" s="1"/>
  <c r="M9568" i="13" s="1"/>
  <c r="M9569" i="13" s="1"/>
  <c r="M9570" i="13" s="1"/>
  <c r="M9571" i="13" s="1"/>
  <c r="M9572" i="13" s="1"/>
  <c r="M9573" i="13" s="1"/>
  <c r="M9574" i="13" s="1"/>
  <c r="M9575" i="13" s="1"/>
  <c r="M9576" i="13" s="1"/>
  <c r="M9577" i="13" s="1"/>
  <c r="M9578" i="13" s="1"/>
  <c r="M9579" i="13" s="1"/>
  <c r="M9580" i="13" s="1"/>
  <c r="M9581" i="13" s="1"/>
  <c r="M9582" i="13" s="1"/>
  <c r="M9583" i="13" s="1"/>
  <c r="M9584" i="13" s="1"/>
  <c r="M9585" i="13" s="1"/>
  <c r="M9586" i="13" s="1"/>
  <c r="M9587" i="13" s="1"/>
  <c r="M9588" i="13" s="1"/>
  <c r="M9589" i="13" s="1"/>
  <c r="M9590" i="13" s="1"/>
  <c r="M9591" i="13" s="1"/>
  <c r="M9592" i="13" s="1"/>
  <c r="M9593" i="13" s="1"/>
  <c r="M9594" i="13" s="1"/>
  <c r="M9595" i="13" s="1"/>
  <c r="M9596" i="13" s="1"/>
  <c r="M9597" i="13" s="1"/>
  <c r="M9598" i="13" s="1"/>
  <c r="M9599" i="13" s="1"/>
  <c r="M9600" i="13" s="1"/>
  <c r="M9601" i="13" s="1"/>
  <c r="M9602" i="13" s="1"/>
  <c r="M9603" i="13" s="1"/>
  <c r="M9604" i="13" s="1"/>
  <c r="M9605" i="13" s="1"/>
  <c r="M9606" i="13" s="1"/>
  <c r="M9607" i="13" s="1"/>
  <c r="M9608" i="13" s="1"/>
  <c r="M9609" i="13" s="1"/>
  <c r="M9610" i="13" s="1"/>
  <c r="M9611" i="13" s="1"/>
  <c r="M9612" i="13" s="1"/>
  <c r="M9613" i="13" s="1"/>
  <c r="M9614" i="13" s="1"/>
  <c r="M9615" i="13" s="1"/>
  <c r="M9616" i="13" s="1"/>
  <c r="M9617" i="13" s="1"/>
  <c r="M9618" i="13" s="1"/>
  <c r="M9619" i="13" s="1"/>
  <c r="M9620" i="13" s="1"/>
  <c r="M9621" i="13" s="1"/>
  <c r="M9622" i="13" s="1"/>
  <c r="M9623" i="13" s="1"/>
  <c r="M9624" i="13" s="1"/>
  <c r="M9625" i="13" s="1"/>
  <c r="M9626" i="13" s="1"/>
  <c r="M9627" i="13" s="1"/>
  <c r="M9628" i="13" s="1"/>
  <c r="M9629" i="13" s="1"/>
  <c r="M9630" i="13" s="1"/>
  <c r="M9631" i="13" s="1"/>
  <c r="M9632" i="13" s="1"/>
  <c r="M9633" i="13" s="1"/>
  <c r="M9634" i="13" s="1"/>
  <c r="M9635" i="13" s="1"/>
  <c r="M9636" i="13" s="1"/>
  <c r="M9637" i="13" s="1"/>
  <c r="M9638" i="13" s="1"/>
  <c r="M9639" i="13" s="1"/>
  <c r="M9640" i="13" s="1"/>
  <c r="M9641" i="13" s="1"/>
  <c r="M9642" i="13" s="1"/>
  <c r="M9643" i="13" s="1"/>
  <c r="M9644" i="13" s="1"/>
  <c r="M9645" i="13" s="1"/>
  <c r="M9646" i="13" s="1"/>
  <c r="M9647" i="13" s="1"/>
  <c r="M9648" i="13" s="1"/>
  <c r="M9649" i="13" s="1"/>
  <c r="M9650" i="13" s="1"/>
  <c r="M9651" i="13" s="1"/>
  <c r="M9652" i="13" s="1"/>
  <c r="M9653" i="13" s="1"/>
  <c r="M9654" i="13" s="1"/>
  <c r="M9655" i="13" s="1"/>
  <c r="M9656" i="13" s="1"/>
  <c r="M9657" i="13" s="1"/>
  <c r="M9658" i="13" s="1"/>
  <c r="M9659" i="13" s="1"/>
  <c r="M9660" i="13" s="1"/>
  <c r="M9661" i="13" s="1"/>
  <c r="M9662" i="13" s="1"/>
  <c r="M9663" i="13" s="1"/>
  <c r="M9664" i="13" s="1"/>
  <c r="M9665" i="13" s="1"/>
  <c r="M9666" i="13" s="1"/>
  <c r="M9667" i="13" s="1"/>
  <c r="M9668" i="13" s="1"/>
  <c r="M9669" i="13" s="1"/>
  <c r="M9670" i="13" s="1"/>
  <c r="M9671" i="13" s="1"/>
  <c r="M9672" i="13" s="1"/>
  <c r="M9673" i="13" s="1"/>
  <c r="M9674" i="13" s="1"/>
  <c r="M9675" i="13" s="1"/>
  <c r="M9676" i="13" s="1"/>
  <c r="M9677" i="13" s="1"/>
  <c r="M9678" i="13" s="1"/>
  <c r="M9679" i="13" s="1"/>
  <c r="M9680" i="13" s="1"/>
  <c r="M9681" i="13" s="1"/>
  <c r="M9682" i="13" s="1"/>
  <c r="M9683" i="13" s="1"/>
  <c r="M9684" i="13" s="1"/>
  <c r="M9685" i="13" s="1"/>
  <c r="M9686" i="13" s="1"/>
  <c r="M9687" i="13" s="1"/>
  <c r="M9688" i="13" s="1"/>
  <c r="M9689" i="13" s="1"/>
  <c r="M9690" i="13" s="1"/>
  <c r="M9691" i="13" s="1"/>
  <c r="M9692" i="13" s="1"/>
  <c r="M9693" i="13" s="1"/>
  <c r="M9694" i="13" s="1"/>
  <c r="M9695" i="13" s="1"/>
  <c r="M9696" i="13" s="1"/>
  <c r="M9697" i="13" s="1"/>
  <c r="M9698" i="13" s="1"/>
  <c r="M9699" i="13" s="1"/>
  <c r="M9700" i="13" s="1"/>
  <c r="M9701" i="13" s="1"/>
  <c r="M9702" i="13" s="1"/>
  <c r="M9703" i="13" s="1"/>
  <c r="M9704" i="13" s="1"/>
  <c r="M9705" i="13" s="1"/>
  <c r="M9706" i="13" s="1"/>
  <c r="M9707" i="13" s="1"/>
  <c r="M9708" i="13" s="1"/>
  <c r="M9709" i="13" s="1"/>
  <c r="M9710" i="13" s="1"/>
  <c r="M9711" i="13" s="1"/>
  <c r="M9712" i="13" s="1"/>
  <c r="M9713" i="13" s="1"/>
  <c r="M9714" i="13" s="1"/>
  <c r="M9715" i="13" s="1"/>
  <c r="M9716" i="13" s="1"/>
  <c r="M9717" i="13" s="1"/>
  <c r="M9718" i="13" s="1"/>
  <c r="M9719" i="13" s="1"/>
  <c r="M9720" i="13" s="1"/>
  <c r="M9721" i="13" s="1"/>
  <c r="M9722" i="13" s="1"/>
  <c r="M9723" i="13" s="1"/>
  <c r="M9724" i="13" s="1"/>
  <c r="M9725" i="13" s="1"/>
  <c r="M9726" i="13" s="1"/>
  <c r="M9727" i="13" s="1"/>
  <c r="M9728" i="13" s="1"/>
  <c r="M9729" i="13" s="1"/>
  <c r="M9730" i="13" s="1"/>
  <c r="M9731" i="13" s="1"/>
  <c r="M9732" i="13" s="1"/>
  <c r="M9733" i="13" s="1"/>
  <c r="M9734" i="13" s="1"/>
  <c r="M9735" i="13" s="1"/>
  <c r="M9736" i="13" s="1"/>
  <c r="M9737" i="13" s="1"/>
  <c r="M9738" i="13" s="1"/>
  <c r="M9739" i="13" s="1"/>
  <c r="M9740" i="13" s="1"/>
  <c r="M9741" i="13" s="1"/>
  <c r="M9742" i="13" s="1"/>
  <c r="M9743" i="13" s="1"/>
  <c r="M9744" i="13" s="1"/>
  <c r="M9745" i="13" s="1"/>
  <c r="M9746" i="13" s="1"/>
  <c r="M9747" i="13" s="1"/>
  <c r="M9748" i="13" s="1"/>
  <c r="M9749" i="13" s="1"/>
  <c r="M9750" i="13" s="1"/>
  <c r="M9751" i="13" s="1"/>
  <c r="M9752" i="13" s="1"/>
  <c r="M9753" i="13" s="1"/>
  <c r="M9754" i="13" s="1"/>
  <c r="M9755" i="13" s="1"/>
  <c r="M9756" i="13" s="1"/>
  <c r="M9757" i="13" s="1"/>
  <c r="M9758" i="13" s="1"/>
  <c r="M9759" i="13" s="1"/>
  <c r="M9760" i="13" s="1"/>
  <c r="M9761" i="13" s="1"/>
  <c r="M9762" i="13" s="1"/>
  <c r="M9763" i="13" s="1"/>
  <c r="M9764" i="13" s="1"/>
  <c r="M9765" i="13" s="1"/>
  <c r="M9766" i="13" s="1"/>
  <c r="M9767" i="13" s="1"/>
  <c r="M9768" i="13" s="1"/>
  <c r="M9769" i="13" s="1"/>
  <c r="M9770" i="13" s="1"/>
  <c r="M9771" i="13" s="1"/>
  <c r="M9772" i="13" s="1"/>
  <c r="M9773" i="13" s="1"/>
  <c r="M9774" i="13" s="1"/>
  <c r="M9775" i="13" s="1"/>
  <c r="M9776" i="13" s="1"/>
  <c r="M9777" i="13" s="1"/>
  <c r="M9778" i="13" s="1"/>
  <c r="M9779" i="13" s="1"/>
  <c r="M9780" i="13" s="1"/>
  <c r="M9781" i="13" s="1"/>
  <c r="M9782" i="13" s="1"/>
  <c r="M9783" i="13" s="1"/>
  <c r="M9784" i="13" s="1"/>
  <c r="M9785" i="13" s="1"/>
  <c r="M9786" i="13" s="1"/>
  <c r="M9787" i="13" s="1"/>
  <c r="M9788" i="13" s="1"/>
  <c r="M9789" i="13" s="1"/>
  <c r="M9790" i="13" s="1"/>
  <c r="M9791" i="13" s="1"/>
  <c r="M9792" i="13" s="1"/>
  <c r="M9793" i="13" s="1"/>
  <c r="M9794" i="13" s="1"/>
  <c r="M9795" i="13" s="1"/>
  <c r="M9796" i="13" s="1"/>
  <c r="M9797" i="13" s="1"/>
  <c r="M9798" i="13" s="1"/>
  <c r="M9799" i="13" s="1"/>
  <c r="M9800" i="13" s="1"/>
  <c r="M9801" i="13" s="1"/>
  <c r="M9802" i="13" s="1"/>
  <c r="M9803" i="13" s="1"/>
  <c r="M9804" i="13" s="1"/>
  <c r="M9805" i="13" s="1"/>
  <c r="M9806" i="13" s="1"/>
  <c r="M9807" i="13" s="1"/>
  <c r="M9808" i="13" s="1"/>
  <c r="M9809" i="13" s="1"/>
  <c r="M9810" i="13" s="1"/>
  <c r="M9811" i="13" s="1"/>
  <c r="M9812" i="13" s="1"/>
  <c r="M9813" i="13" s="1"/>
  <c r="M9814" i="13" s="1"/>
  <c r="M9815" i="13" s="1"/>
  <c r="M9816" i="13" s="1"/>
  <c r="M9817" i="13" s="1"/>
  <c r="M9818" i="13" s="1"/>
  <c r="M9819" i="13" s="1"/>
  <c r="M9820" i="13" s="1"/>
  <c r="M9821" i="13" s="1"/>
  <c r="M9822" i="13" s="1"/>
  <c r="M9823" i="13" s="1"/>
  <c r="M9824" i="13" s="1"/>
  <c r="M9825" i="13" s="1"/>
  <c r="M9826" i="13" s="1"/>
  <c r="M9827" i="13" s="1"/>
  <c r="M9828" i="13" s="1"/>
  <c r="M9829" i="13" s="1"/>
  <c r="M9830" i="13" s="1"/>
  <c r="M9831" i="13" s="1"/>
  <c r="M9832" i="13" s="1"/>
  <c r="M9833" i="13" s="1"/>
  <c r="M9834" i="13" s="1"/>
  <c r="M9835" i="13" s="1"/>
  <c r="M9836" i="13" s="1"/>
  <c r="M9837" i="13" s="1"/>
  <c r="M9838" i="13" s="1"/>
  <c r="M9839" i="13" s="1"/>
  <c r="M9840" i="13" s="1"/>
  <c r="M9841" i="13" s="1"/>
  <c r="M9842" i="13" s="1"/>
  <c r="M9843" i="13" s="1"/>
  <c r="M9844" i="13" s="1"/>
  <c r="M9845" i="13" s="1"/>
  <c r="M9846" i="13" s="1"/>
  <c r="M9847" i="13" s="1"/>
  <c r="M9848" i="13" s="1"/>
  <c r="M9849" i="13" s="1"/>
  <c r="M9850" i="13" s="1"/>
  <c r="M9851" i="13" s="1"/>
  <c r="M9852" i="13" s="1"/>
  <c r="M9853" i="13" s="1"/>
  <c r="M9854" i="13" s="1"/>
  <c r="M9855" i="13" s="1"/>
  <c r="M9856" i="13" s="1"/>
  <c r="M9857" i="13" s="1"/>
  <c r="M9858" i="13" s="1"/>
  <c r="M9859" i="13" s="1"/>
  <c r="M9860" i="13" s="1"/>
  <c r="M9861" i="13" s="1"/>
  <c r="M9862" i="13" s="1"/>
  <c r="M9863" i="13" s="1"/>
  <c r="M9864" i="13" s="1"/>
  <c r="M9865" i="13" s="1"/>
  <c r="M9866" i="13" s="1"/>
  <c r="M9867" i="13" s="1"/>
  <c r="M9868" i="13" s="1"/>
  <c r="M9869" i="13" s="1"/>
  <c r="M9870" i="13" s="1"/>
  <c r="M9871" i="13" s="1"/>
  <c r="M9872" i="13" s="1"/>
  <c r="M9873" i="13" s="1"/>
  <c r="M9874" i="13" s="1"/>
  <c r="M9875" i="13" s="1"/>
  <c r="M9876" i="13" s="1"/>
  <c r="M9877" i="13" s="1"/>
  <c r="M9878" i="13" s="1"/>
  <c r="M9879" i="13" s="1"/>
  <c r="M9880" i="13" s="1"/>
  <c r="M9881" i="13" s="1"/>
  <c r="M9882" i="13" s="1"/>
  <c r="M9883" i="13" s="1"/>
  <c r="M9884" i="13" s="1"/>
  <c r="M9885" i="13" s="1"/>
  <c r="M9886" i="13" s="1"/>
  <c r="M9887" i="13" s="1"/>
  <c r="M9888" i="13" s="1"/>
  <c r="M9889" i="13" s="1"/>
  <c r="M9890" i="13" s="1"/>
  <c r="M9891" i="13" s="1"/>
  <c r="M9892" i="13" s="1"/>
  <c r="M9893" i="13" s="1"/>
  <c r="M9894" i="13" s="1"/>
  <c r="M9895" i="13" s="1"/>
  <c r="M9896" i="13" s="1"/>
  <c r="M9897" i="13" s="1"/>
  <c r="M9898" i="13" s="1"/>
  <c r="M9899" i="13" s="1"/>
  <c r="M9900" i="13" s="1"/>
  <c r="M9901" i="13" s="1"/>
  <c r="M9902" i="13" s="1"/>
  <c r="M9903" i="13" s="1"/>
  <c r="M9904" i="13" s="1"/>
  <c r="M9905" i="13" s="1"/>
  <c r="M9906" i="13" s="1"/>
  <c r="M9907" i="13" s="1"/>
  <c r="M9908" i="13" s="1"/>
  <c r="M9909" i="13" s="1"/>
  <c r="M9910" i="13" s="1"/>
  <c r="M9911" i="13" s="1"/>
  <c r="M9912" i="13" s="1"/>
  <c r="M9913" i="13" s="1"/>
  <c r="M9914" i="13" s="1"/>
  <c r="M9915" i="13" s="1"/>
  <c r="M9916" i="13" s="1"/>
  <c r="M9917" i="13" s="1"/>
  <c r="M9918" i="13" s="1"/>
  <c r="M9919" i="13" s="1"/>
  <c r="M9920" i="13" s="1"/>
  <c r="M9921" i="13" s="1"/>
  <c r="M9922" i="13" s="1"/>
  <c r="M9923" i="13" s="1"/>
  <c r="M9924" i="13" s="1"/>
  <c r="M9925" i="13" s="1"/>
  <c r="M9926" i="13" s="1"/>
  <c r="M9927" i="13" s="1"/>
  <c r="M9928" i="13" s="1"/>
  <c r="M9929" i="13" s="1"/>
  <c r="M9930" i="13" s="1"/>
  <c r="M9931" i="13" s="1"/>
  <c r="M9932" i="13" s="1"/>
  <c r="M9933" i="13" s="1"/>
  <c r="M9934" i="13" s="1"/>
  <c r="M9935" i="13" s="1"/>
  <c r="M9936" i="13" s="1"/>
  <c r="M9937" i="13" s="1"/>
  <c r="M9938" i="13" s="1"/>
  <c r="M9939" i="13" s="1"/>
  <c r="M9940" i="13" s="1"/>
  <c r="M9941" i="13" s="1"/>
  <c r="M9942" i="13" s="1"/>
  <c r="M9943" i="13" s="1"/>
  <c r="M9944" i="13" s="1"/>
  <c r="M9945" i="13" s="1"/>
  <c r="M9946" i="13" s="1"/>
  <c r="M9947" i="13" s="1"/>
  <c r="M9948" i="13" s="1"/>
  <c r="M9949" i="13" s="1"/>
  <c r="M9950" i="13" s="1"/>
  <c r="M9951" i="13" s="1"/>
  <c r="M9952" i="13" s="1"/>
  <c r="M9953" i="13" s="1"/>
  <c r="M9954" i="13" s="1"/>
  <c r="M9955" i="13" s="1"/>
  <c r="M9956" i="13" s="1"/>
  <c r="M9957" i="13" s="1"/>
  <c r="M9958" i="13" s="1"/>
  <c r="M9959" i="13" s="1"/>
  <c r="M9960" i="13" s="1"/>
  <c r="M9961" i="13" s="1"/>
  <c r="M9962" i="13" s="1"/>
  <c r="M9963" i="13" s="1"/>
  <c r="M9964" i="13" s="1"/>
  <c r="M9965" i="13" s="1"/>
  <c r="M9966" i="13" s="1"/>
  <c r="M9967" i="13" s="1"/>
  <c r="M9968" i="13" s="1"/>
  <c r="M9969" i="13" s="1"/>
  <c r="M9970" i="13" s="1"/>
  <c r="M9971" i="13" s="1"/>
  <c r="M9972" i="13" s="1"/>
  <c r="M9973" i="13" s="1"/>
  <c r="M9974" i="13" s="1"/>
  <c r="M9975" i="13" s="1"/>
  <c r="M9976" i="13" s="1"/>
  <c r="M9977" i="13" s="1"/>
  <c r="M9978" i="13" s="1"/>
  <c r="M9979" i="13" s="1"/>
  <c r="M9980" i="13" s="1"/>
  <c r="M9981" i="13" s="1"/>
  <c r="M9982" i="13" s="1"/>
  <c r="M9983" i="13" s="1"/>
  <c r="M9984" i="13" s="1"/>
  <c r="M9985" i="13" s="1"/>
  <c r="M9986" i="13" s="1"/>
  <c r="M9987" i="13" s="1"/>
  <c r="M9988" i="13" s="1"/>
  <c r="M9989" i="13" s="1"/>
  <c r="M9990" i="13" s="1"/>
  <c r="M9991" i="13" s="1"/>
  <c r="M9992" i="13" s="1"/>
  <c r="M9993" i="13" s="1"/>
  <c r="M9994" i="13" s="1"/>
  <c r="M9995" i="13" s="1"/>
  <c r="M9996" i="13" s="1"/>
  <c r="M9997" i="13" s="1"/>
  <c r="M9998" i="13" s="1"/>
  <c r="M9999" i="13" s="1"/>
  <c r="M10000" i="13" s="1"/>
  <c r="M10001" i="13" s="1"/>
  <c r="M10002" i="13" s="1"/>
  <c r="M10003" i="13" s="1"/>
  <c r="M10004" i="13" s="1"/>
  <c r="M10005" i="13" s="1"/>
  <c r="M10006" i="13" s="1"/>
  <c r="M10007" i="13" s="1"/>
  <c r="M10008" i="13" s="1"/>
  <c r="M10009" i="13" s="1"/>
  <c r="M10010" i="13" s="1"/>
  <c r="M10011" i="13" s="1"/>
  <c r="M10012" i="13" s="1"/>
  <c r="M10013" i="13" s="1"/>
  <c r="M10014" i="13" s="1"/>
  <c r="M10015" i="13" s="1"/>
  <c r="M10016" i="13" s="1"/>
  <c r="M10017" i="13" s="1"/>
  <c r="M10018" i="13" s="1"/>
  <c r="M10019" i="13" s="1"/>
  <c r="M10020" i="13" s="1"/>
  <c r="M10021" i="13" s="1"/>
  <c r="M10022" i="13" s="1"/>
  <c r="M10023" i="13" s="1"/>
  <c r="M10024" i="13" s="1"/>
  <c r="M10025" i="13" s="1"/>
  <c r="M10026" i="13" s="1"/>
  <c r="M10027" i="13" s="1"/>
  <c r="M10028" i="13" s="1"/>
  <c r="M10029" i="13" s="1"/>
  <c r="M10030" i="13" s="1"/>
  <c r="M10031" i="13" s="1"/>
  <c r="M10032" i="13" s="1"/>
  <c r="M10033" i="13" s="1"/>
  <c r="M10034" i="13" s="1"/>
  <c r="M10035" i="13" s="1"/>
  <c r="M10036" i="13" s="1"/>
  <c r="M10037" i="13" s="1"/>
  <c r="M10038" i="13" s="1"/>
  <c r="M10039" i="13" s="1"/>
  <c r="M10040" i="13" s="1"/>
  <c r="M10041" i="13" s="1"/>
  <c r="M10042" i="13" s="1"/>
  <c r="M10043" i="13" s="1"/>
  <c r="M10044" i="13" s="1"/>
  <c r="M10045" i="13" s="1"/>
  <c r="M10046" i="13" s="1"/>
  <c r="M10047" i="13" s="1"/>
  <c r="M10048" i="13" s="1"/>
  <c r="M10049" i="13" s="1"/>
  <c r="M10050" i="13" s="1"/>
  <c r="M10051" i="13" s="1"/>
  <c r="M10052" i="13" s="1"/>
  <c r="M10053" i="13" s="1"/>
  <c r="M10054" i="13" s="1"/>
  <c r="M10055" i="13" s="1"/>
  <c r="M10056" i="13" s="1"/>
  <c r="M10057" i="13" s="1"/>
  <c r="M10058" i="13" s="1"/>
  <c r="M10059" i="13" s="1"/>
  <c r="M10060" i="13" s="1"/>
  <c r="M10061" i="13" s="1"/>
  <c r="M10062" i="13" s="1"/>
  <c r="M10063" i="13" s="1"/>
  <c r="M10064" i="13" s="1"/>
  <c r="M10065" i="13" s="1"/>
  <c r="M10066" i="13" s="1"/>
  <c r="M10067" i="13" s="1"/>
  <c r="M10068" i="13" s="1"/>
  <c r="M10069" i="13" s="1"/>
  <c r="M10070" i="13" s="1"/>
  <c r="M10071" i="13" s="1"/>
  <c r="M10072" i="13" s="1"/>
  <c r="M10073" i="13" s="1"/>
  <c r="M10074" i="13" s="1"/>
  <c r="M10075" i="13" s="1"/>
  <c r="M10076" i="13" s="1"/>
  <c r="M10077" i="13" s="1"/>
  <c r="M10078" i="13" s="1"/>
  <c r="M10079" i="13" s="1"/>
  <c r="M10080" i="13" s="1"/>
  <c r="M10081" i="13" s="1"/>
  <c r="M10082" i="13" s="1"/>
  <c r="M10083" i="13" s="1"/>
  <c r="M10084" i="13" s="1"/>
  <c r="M10085" i="13" s="1"/>
  <c r="M10086" i="13" s="1"/>
  <c r="M10087" i="13" s="1"/>
  <c r="M10088" i="13" s="1"/>
  <c r="M10089" i="13" s="1"/>
  <c r="M10090" i="13" s="1"/>
  <c r="M10091" i="13" s="1"/>
  <c r="M10092" i="13" s="1"/>
  <c r="M10093" i="13" s="1"/>
  <c r="M10094" i="13" s="1"/>
  <c r="M10095" i="13" s="1"/>
  <c r="M10096" i="13" s="1"/>
  <c r="M10097" i="13" s="1"/>
  <c r="M10098" i="13" s="1"/>
  <c r="M10099" i="13" s="1"/>
  <c r="M10100" i="13" s="1"/>
  <c r="M10101" i="13" s="1"/>
  <c r="M10102" i="13" s="1"/>
  <c r="M10103" i="13" s="1"/>
  <c r="M10104" i="13" s="1"/>
  <c r="M10105" i="13" s="1"/>
  <c r="M10106" i="13" s="1"/>
  <c r="M10107" i="13" s="1"/>
  <c r="M10108" i="13" s="1"/>
  <c r="M10109" i="13" s="1"/>
  <c r="M10110" i="13" s="1"/>
  <c r="M10111" i="13" s="1"/>
  <c r="M10112" i="13" s="1"/>
  <c r="M10113" i="13" s="1"/>
  <c r="M10114" i="13" s="1"/>
  <c r="M10115" i="13" s="1"/>
  <c r="M10116" i="13" s="1"/>
  <c r="M10117" i="13" s="1"/>
  <c r="M10118" i="13" s="1"/>
  <c r="M10119" i="13" s="1"/>
  <c r="M10120" i="13" s="1"/>
  <c r="M10121" i="13" s="1"/>
  <c r="M10122" i="13" s="1"/>
  <c r="M10123" i="13" s="1"/>
  <c r="M10124" i="13" s="1"/>
  <c r="M10125" i="13" s="1"/>
  <c r="M10126" i="13" s="1"/>
  <c r="M10127" i="13" s="1"/>
  <c r="M10128" i="13" s="1"/>
  <c r="M10129" i="13" s="1"/>
  <c r="M10130" i="13" s="1"/>
  <c r="M10131" i="13" s="1"/>
  <c r="M10132" i="13" s="1"/>
  <c r="M10133" i="13" s="1"/>
  <c r="M10134" i="13" s="1"/>
  <c r="M10135" i="13" s="1"/>
  <c r="M10136" i="13" s="1"/>
  <c r="M10137" i="13" s="1"/>
  <c r="M10138" i="13" s="1"/>
  <c r="M10139" i="13" s="1"/>
  <c r="M10140" i="13" s="1"/>
  <c r="M10141" i="13" s="1"/>
  <c r="M10142" i="13" s="1"/>
  <c r="M10143" i="13" s="1"/>
  <c r="M10144" i="13" s="1"/>
  <c r="M10145" i="13" s="1"/>
  <c r="M10146" i="13" s="1"/>
  <c r="M10147" i="13" s="1"/>
  <c r="M10148" i="13" s="1"/>
  <c r="M10149" i="13" s="1"/>
  <c r="M10150" i="13" s="1"/>
  <c r="M10151" i="13" s="1"/>
  <c r="M10152" i="13" s="1"/>
  <c r="M10153" i="13" s="1"/>
  <c r="M10154" i="13" s="1"/>
  <c r="M10155" i="13" s="1"/>
  <c r="M10156" i="13" s="1"/>
  <c r="M10157" i="13" s="1"/>
  <c r="M10158" i="13" s="1"/>
  <c r="M10159" i="13" s="1"/>
  <c r="M10160" i="13" s="1"/>
  <c r="M10161" i="13" s="1"/>
  <c r="M10162" i="13" s="1"/>
  <c r="M10163" i="13" s="1"/>
  <c r="M10164" i="13" s="1"/>
  <c r="M10165" i="13" s="1"/>
  <c r="M10166" i="13" s="1"/>
  <c r="M10167" i="13" s="1"/>
  <c r="M10168" i="13" s="1"/>
  <c r="M10169" i="13" s="1"/>
  <c r="M10170" i="13" s="1"/>
  <c r="M10171" i="13" s="1"/>
  <c r="M10172" i="13" s="1"/>
  <c r="M10173" i="13" s="1"/>
  <c r="M10174" i="13" s="1"/>
  <c r="M10175" i="13" s="1"/>
  <c r="M10176" i="13" s="1"/>
  <c r="M10177" i="13" s="1"/>
  <c r="M10178" i="13" s="1"/>
  <c r="M10179" i="13" s="1"/>
  <c r="M10180" i="13" s="1"/>
  <c r="M10181" i="13" s="1"/>
  <c r="M10182" i="13" s="1"/>
  <c r="M10183" i="13" s="1"/>
  <c r="M10184" i="13" s="1"/>
  <c r="M10185" i="13" s="1"/>
  <c r="M10186" i="13" s="1"/>
  <c r="M10187" i="13" s="1"/>
  <c r="M10188" i="13" s="1"/>
  <c r="M10189" i="13" s="1"/>
  <c r="M10190" i="13" s="1"/>
  <c r="M10191" i="13" s="1"/>
  <c r="M10192" i="13" s="1"/>
  <c r="M10193" i="13" s="1"/>
  <c r="M10194" i="13" s="1"/>
  <c r="M10195" i="13" s="1"/>
  <c r="M10196" i="13" s="1"/>
  <c r="M10197" i="13" s="1"/>
  <c r="M10198" i="13" s="1"/>
  <c r="M10199" i="13" s="1"/>
  <c r="M10200" i="13" s="1"/>
  <c r="M10201" i="13" s="1"/>
  <c r="M10202" i="13" s="1"/>
  <c r="M10203" i="13" s="1"/>
  <c r="M10204" i="13" s="1"/>
  <c r="M10205" i="13" s="1"/>
  <c r="M10206" i="13" s="1"/>
  <c r="M10207" i="13" s="1"/>
  <c r="M10208" i="13" s="1"/>
  <c r="M10209" i="13" s="1"/>
  <c r="M10210" i="13" s="1"/>
  <c r="M10211" i="13" s="1"/>
  <c r="M10212" i="13" s="1"/>
  <c r="M10213" i="13" s="1"/>
  <c r="M10214" i="13" s="1"/>
  <c r="M10215" i="13" s="1"/>
  <c r="M10216" i="13" s="1"/>
  <c r="M10217" i="13" s="1"/>
  <c r="M10218" i="13" s="1"/>
  <c r="M10219" i="13" s="1"/>
  <c r="M10220" i="13" s="1"/>
  <c r="M10221" i="13" s="1"/>
  <c r="M10222" i="13" s="1"/>
  <c r="M10223" i="13" s="1"/>
  <c r="M10224" i="13" s="1"/>
  <c r="M10225" i="13" s="1"/>
  <c r="M10226" i="13" s="1"/>
  <c r="M10227" i="13" s="1"/>
  <c r="M10228" i="13" s="1"/>
  <c r="M10229" i="13" s="1"/>
  <c r="M10230" i="13" s="1"/>
  <c r="M10231" i="13" s="1"/>
  <c r="M10232" i="13" s="1"/>
  <c r="M10233" i="13" s="1"/>
  <c r="M10234" i="13" s="1"/>
  <c r="M10235" i="13" s="1"/>
  <c r="M10236" i="13" s="1"/>
  <c r="M10237" i="13" s="1"/>
  <c r="M10238" i="13" s="1"/>
  <c r="M10239" i="13" s="1"/>
  <c r="M10240" i="13" s="1"/>
  <c r="M10241" i="13" s="1"/>
  <c r="M10242" i="13" s="1"/>
  <c r="M10243" i="13" s="1"/>
  <c r="M10244" i="13" s="1"/>
  <c r="M10245" i="13" s="1"/>
  <c r="M10246" i="13" s="1"/>
  <c r="M10247" i="13" s="1"/>
  <c r="M10248" i="13" s="1"/>
  <c r="M10249" i="13" s="1"/>
  <c r="M10250" i="13" s="1"/>
  <c r="M10251" i="13" s="1"/>
  <c r="M10252" i="13" s="1"/>
  <c r="M10253" i="13" s="1"/>
  <c r="M10254" i="13" s="1"/>
  <c r="M10255" i="13" s="1"/>
  <c r="M10256" i="13" s="1"/>
  <c r="M10257" i="13" s="1"/>
  <c r="M10258" i="13" s="1"/>
  <c r="M10259" i="13" s="1"/>
  <c r="M10260" i="13" s="1"/>
  <c r="M10261" i="13" s="1"/>
  <c r="M10262" i="13" s="1"/>
  <c r="M10263" i="13" s="1"/>
  <c r="M10264" i="13" s="1"/>
  <c r="M10265" i="13" s="1"/>
  <c r="M10266" i="13" s="1"/>
  <c r="M10267" i="13" s="1"/>
  <c r="M10268" i="13" s="1"/>
  <c r="M10269" i="13" s="1"/>
  <c r="M10270" i="13" s="1"/>
  <c r="M10271" i="13" s="1"/>
  <c r="M10272" i="13" s="1"/>
  <c r="M10273" i="13" s="1"/>
  <c r="M10274" i="13" s="1"/>
  <c r="M10275" i="13" s="1"/>
  <c r="M10276" i="13" s="1"/>
  <c r="M10277" i="13" s="1"/>
  <c r="M10278" i="13" s="1"/>
  <c r="M10279" i="13" s="1"/>
  <c r="M10280" i="13" s="1"/>
  <c r="M10281" i="13" s="1"/>
  <c r="M10282" i="13" s="1"/>
  <c r="M10283" i="13" s="1"/>
  <c r="M10284" i="13" s="1"/>
  <c r="M10285" i="13" s="1"/>
  <c r="M10286" i="13" s="1"/>
  <c r="M10287" i="13" s="1"/>
  <c r="M10288" i="13" s="1"/>
  <c r="M10289" i="13" s="1"/>
  <c r="M10290" i="13" s="1"/>
  <c r="M10291" i="13" s="1"/>
  <c r="M10292" i="13" s="1"/>
  <c r="M10293" i="13" s="1"/>
  <c r="M10294" i="13" s="1"/>
  <c r="M10295" i="13" s="1"/>
  <c r="M10296" i="13" s="1"/>
  <c r="M10297" i="13" s="1"/>
  <c r="M10298" i="13" s="1"/>
  <c r="M10299" i="13" s="1"/>
  <c r="M10300" i="13" s="1"/>
  <c r="M10301" i="13" s="1"/>
  <c r="M10302" i="13" s="1"/>
  <c r="M10303" i="13" s="1"/>
  <c r="M10304" i="13" s="1"/>
  <c r="M10305" i="13" s="1"/>
  <c r="M10306" i="13" s="1"/>
  <c r="M10307" i="13" s="1"/>
  <c r="M10308" i="13" s="1"/>
  <c r="M10309" i="13" s="1"/>
  <c r="M10310" i="13" s="1"/>
  <c r="M10311" i="13" s="1"/>
  <c r="M10312" i="13" s="1"/>
  <c r="M10313" i="13" s="1"/>
  <c r="M10314" i="13" s="1"/>
  <c r="M10315" i="13" s="1"/>
  <c r="M10316" i="13" s="1"/>
  <c r="M10317" i="13" s="1"/>
  <c r="M10318" i="13" s="1"/>
  <c r="M10319" i="13" s="1"/>
  <c r="M10320" i="13" s="1"/>
  <c r="M10321" i="13" s="1"/>
  <c r="M10322" i="13" s="1"/>
  <c r="M10323" i="13" s="1"/>
  <c r="M10324" i="13" s="1"/>
  <c r="M10325" i="13" s="1"/>
  <c r="M10326" i="13" s="1"/>
  <c r="M10327" i="13" s="1"/>
  <c r="M10328" i="13" s="1"/>
  <c r="M10329" i="13" s="1"/>
  <c r="M10330" i="13" s="1"/>
  <c r="M10331" i="13" s="1"/>
  <c r="M10332" i="13" s="1"/>
  <c r="M10333" i="13" s="1"/>
  <c r="M10334" i="13" s="1"/>
  <c r="M10335" i="13" s="1"/>
  <c r="M10336" i="13" s="1"/>
  <c r="M10337" i="13" s="1"/>
  <c r="M10338" i="13" s="1"/>
  <c r="M10339" i="13" s="1"/>
  <c r="M10340" i="13" s="1"/>
  <c r="M10341" i="13" s="1"/>
  <c r="M10342" i="13" s="1"/>
  <c r="M10343" i="13" s="1"/>
  <c r="M10344" i="13" s="1"/>
  <c r="M10345" i="13" s="1"/>
  <c r="M10346" i="13" s="1"/>
  <c r="M10347" i="13" s="1"/>
  <c r="M10348" i="13" s="1"/>
  <c r="M10349" i="13" s="1"/>
  <c r="M10350" i="13" s="1"/>
  <c r="M10351" i="13" s="1"/>
  <c r="M10352" i="13" s="1"/>
  <c r="M10353" i="13" s="1"/>
  <c r="M10354" i="13" s="1"/>
  <c r="M10355" i="13" s="1"/>
  <c r="M10356" i="13" s="1"/>
  <c r="M10357" i="13" s="1"/>
  <c r="M10358" i="13" s="1"/>
  <c r="M10359" i="13" s="1"/>
  <c r="M10360" i="13" s="1"/>
  <c r="M10361" i="13" s="1"/>
  <c r="M10362" i="13" s="1"/>
  <c r="M10363" i="13" s="1"/>
  <c r="M10364" i="13" s="1"/>
  <c r="M10365" i="13" s="1"/>
  <c r="M10366" i="13" s="1"/>
  <c r="M10367" i="13" s="1"/>
  <c r="M10368" i="13" s="1"/>
  <c r="M10369" i="13" s="1"/>
  <c r="M10370" i="13" s="1"/>
  <c r="M10371" i="13" s="1"/>
  <c r="M10372" i="13" s="1"/>
  <c r="M10373" i="13" s="1"/>
  <c r="M10374" i="13" s="1"/>
  <c r="M10375" i="13" s="1"/>
  <c r="M10376" i="13" s="1"/>
  <c r="M10377" i="13" s="1"/>
  <c r="M10378" i="13" s="1"/>
  <c r="M10379" i="13" s="1"/>
  <c r="M10380" i="13" s="1"/>
  <c r="M10381" i="13" s="1"/>
  <c r="M10382" i="13" s="1"/>
  <c r="M10383" i="13" s="1"/>
  <c r="M10384" i="13" s="1"/>
  <c r="M10385" i="13" s="1"/>
  <c r="M10386" i="13" s="1"/>
  <c r="M10387" i="13" s="1"/>
  <c r="M10388" i="13" s="1"/>
  <c r="M10389" i="13" s="1"/>
  <c r="M10390" i="13" s="1"/>
  <c r="M10391" i="13" s="1"/>
  <c r="M10392" i="13" s="1"/>
  <c r="M10393" i="13" s="1"/>
  <c r="M10394" i="13" s="1"/>
  <c r="M10395" i="13" s="1"/>
  <c r="M10396" i="13" s="1"/>
  <c r="M10397" i="13" s="1"/>
  <c r="M10398" i="13" s="1"/>
  <c r="M10399" i="13" s="1"/>
  <c r="M10400" i="13" s="1"/>
  <c r="M10401" i="13" s="1"/>
  <c r="M10402" i="13" s="1"/>
  <c r="M10403" i="13" s="1"/>
  <c r="M10404" i="13" s="1"/>
  <c r="M10405" i="13" s="1"/>
  <c r="M10406" i="13" s="1"/>
  <c r="M10407" i="13" s="1"/>
  <c r="M10408" i="13" s="1"/>
  <c r="M10409" i="13" s="1"/>
  <c r="M10410" i="13" s="1"/>
  <c r="M10411" i="13" s="1"/>
  <c r="M10412" i="13" s="1"/>
  <c r="M10413" i="13" s="1"/>
  <c r="M10414" i="13" s="1"/>
  <c r="M10415" i="13" s="1"/>
  <c r="M10416" i="13" s="1"/>
  <c r="M10417" i="13" s="1"/>
  <c r="M10418" i="13" s="1"/>
  <c r="M10419" i="13" s="1"/>
  <c r="M10420" i="13" s="1"/>
  <c r="M10421" i="13" s="1"/>
  <c r="M10422" i="13" s="1"/>
  <c r="M10423" i="13" s="1"/>
  <c r="M10424" i="13" s="1"/>
  <c r="M10425" i="13" s="1"/>
  <c r="M10426" i="13" s="1"/>
  <c r="M10427" i="13" s="1"/>
  <c r="M10428" i="13" s="1"/>
  <c r="M10429" i="13" s="1"/>
  <c r="M10430" i="13" s="1"/>
  <c r="M10431" i="13" s="1"/>
  <c r="M10432" i="13" s="1"/>
  <c r="M10433" i="13" s="1"/>
  <c r="M10434" i="13" s="1"/>
  <c r="M10435" i="13" s="1"/>
  <c r="M10436" i="13" s="1"/>
  <c r="M10437" i="13" s="1"/>
  <c r="M10438" i="13" s="1"/>
  <c r="M10439" i="13" s="1"/>
  <c r="M10440" i="13" s="1"/>
  <c r="M10441" i="13" s="1"/>
  <c r="M10442" i="13" s="1"/>
  <c r="M10443" i="13" s="1"/>
  <c r="M10444" i="13" s="1"/>
  <c r="M10445" i="13" s="1"/>
  <c r="M10446" i="13" s="1"/>
  <c r="M10447" i="13" s="1"/>
  <c r="M10448" i="13" s="1"/>
  <c r="M10449" i="13" s="1"/>
  <c r="M10450" i="13" s="1"/>
  <c r="M10451" i="13" s="1"/>
  <c r="M10452" i="13" s="1"/>
  <c r="M10453" i="13" s="1"/>
  <c r="M10454" i="13" s="1"/>
  <c r="M10455" i="13" s="1"/>
  <c r="M10456" i="13" s="1"/>
  <c r="M10457" i="13" s="1"/>
  <c r="M10458" i="13" s="1"/>
  <c r="M10459" i="13" s="1"/>
  <c r="M10460" i="13" s="1"/>
  <c r="M10461" i="13" s="1"/>
  <c r="M10462" i="13" s="1"/>
  <c r="M10463" i="13" s="1"/>
  <c r="M10464" i="13" s="1"/>
  <c r="M10465" i="13" s="1"/>
  <c r="M10466" i="13" s="1"/>
  <c r="M10467" i="13" s="1"/>
  <c r="M10468" i="13" s="1"/>
  <c r="M10469" i="13" s="1"/>
  <c r="M10470" i="13" s="1"/>
  <c r="M10471" i="13" s="1"/>
  <c r="M10472" i="13" s="1"/>
  <c r="M10473" i="13" s="1"/>
  <c r="M10474" i="13" s="1"/>
  <c r="M10475" i="13" s="1"/>
  <c r="M10476" i="13" s="1"/>
  <c r="M10477" i="13" s="1"/>
  <c r="M10478" i="13" s="1"/>
  <c r="M10479" i="13" s="1"/>
  <c r="M10480" i="13" s="1"/>
  <c r="M10481" i="13" s="1"/>
  <c r="M10482" i="13" s="1"/>
  <c r="M10483" i="13" s="1"/>
  <c r="M10484" i="13" s="1"/>
  <c r="M10485" i="13" s="1"/>
  <c r="M10486" i="13" s="1"/>
  <c r="M10487" i="13" s="1"/>
  <c r="M10488" i="13" s="1"/>
  <c r="M10489" i="13" s="1"/>
  <c r="M10490" i="13" s="1"/>
  <c r="M10491" i="13" s="1"/>
  <c r="M10492" i="13" s="1"/>
  <c r="M10493" i="13" s="1"/>
  <c r="M10494" i="13" s="1"/>
  <c r="M10495" i="13" s="1"/>
  <c r="M10496" i="13" s="1"/>
  <c r="M10497" i="13" s="1"/>
  <c r="M10498" i="13" s="1"/>
  <c r="M10499" i="13" s="1"/>
  <c r="M10500" i="13" s="1"/>
  <c r="M10501" i="13" s="1"/>
  <c r="M10502" i="13" s="1"/>
  <c r="M10503" i="13" s="1"/>
  <c r="M10504" i="13" s="1"/>
  <c r="M10505" i="13" s="1"/>
  <c r="M10506" i="13" s="1"/>
  <c r="M10507" i="13" s="1"/>
  <c r="M10508" i="13" s="1"/>
  <c r="M10509" i="13" s="1"/>
  <c r="M10510" i="13" s="1"/>
  <c r="M10511" i="13" s="1"/>
  <c r="M10512" i="13" s="1"/>
  <c r="M10513" i="13" s="1"/>
  <c r="M10514" i="13" s="1"/>
  <c r="M10515" i="13" s="1"/>
  <c r="M10516" i="13" s="1"/>
  <c r="M10517" i="13" s="1"/>
  <c r="M10518" i="13" s="1"/>
  <c r="M10519" i="13" s="1"/>
  <c r="M10520" i="13" s="1"/>
  <c r="M10521" i="13" s="1"/>
  <c r="M10522" i="13" s="1"/>
  <c r="M10523" i="13" s="1"/>
  <c r="M10524" i="13" s="1"/>
  <c r="M10525" i="13" s="1"/>
  <c r="M10526" i="13" s="1"/>
  <c r="M10527" i="13" s="1"/>
  <c r="M10528" i="13" s="1"/>
  <c r="M10529" i="13" s="1"/>
  <c r="M10530" i="13" s="1"/>
  <c r="M10531" i="13" s="1"/>
  <c r="M10532" i="13" s="1"/>
  <c r="M10533" i="13" s="1"/>
  <c r="M10534" i="13" s="1"/>
  <c r="M10535" i="13" s="1"/>
  <c r="M10536" i="13" s="1"/>
  <c r="M10537" i="13" s="1"/>
  <c r="M10538" i="13" s="1"/>
  <c r="M10539" i="13" s="1"/>
  <c r="M10540" i="13" s="1"/>
  <c r="M10541" i="13" s="1"/>
  <c r="M10542" i="13" s="1"/>
  <c r="M10543" i="13" s="1"/>
  <c r="M10544" i="13" s="1"/>
  <c r="M10545" i="13" s="1"/>
  <c r="M10546" i="13" s="1"/>
  <c r="M10547" i="13" s="1"/>
  <c r="M10548" i="13" s="1"/>
  <c r="M10549" i="13" s="1"/>
  <c r="M10550" i="13" s="1"/>
  <c r="M10551" i="13" s="1"/>
  <c r="M10552" i="13" s="1"/>
  <c r="M10553" i="13" s="1"/>
  <c r="M10554" i="13" s="1"/>
  <c r="M10555" i="13" s="1"/>
  <c r="M10556" i="13" s="1"/>
  <c r="M10557" i="13" s="1"/>
  <c r="M10558" i="13" s="1"/>
  <c r="M10559" i="13" s="1"/>
  <c r="M10560" i="13" s="1"/>
  <c r="M10561" i="13" s="1"/>
  <c r="M10562" i="13" s="1"/>
  <c r="M10563" i="13" s="1"/>
  <c r="M10564" i="13" s="1"/>
  <c r="M10565" i="13" s="1"/>
  <c r="M10566" i="13" s="1"/>
  <c r="M10567" i="13" s="1"/>
  <c r="M10568" i="13" s="1"/>
  <c r="M10569" i="13" s="1"/>
  <c r="M10570" i="13" s="1"/>
  <c r="M10571" i="13" s="1"/>
  <c r="M10572" i="13" s="1"/>
  <c r="M10573" i="13" s="1"/>
  <c r="M10574" i="13" s="1"/>
  <c r="M10575" i="13" s="1"/>
  <c r="M10576" i="13" s="1"/>
  <c r="M10577" i="13" s="1"/>
  <c r="M10578" i="13" s="1"/>
  <c r="M10579" i="13" s="1"/>
  <c r="M10580" i="13" s="1"/>
  <c r="M10581" i="13" s="1"/>
  <c r="M10582" i="13" s="1"/>
  <c r="M10583" i="13" s="1"/>
  <c r="M10584" i="13" s="1"/>
  <c r="M10585" i="13" s="1"/>
  <c r="M10586" i="13" s="1"/>
  <c r="M10587" i="13" s="1"/>
  <c r="M10588" i="13" s="1"/>
  <c r="M10589" i="13" s="1"/>
  <c r="M10590" i="13" s="1"/>
  <c r="M10591" i="13" s="1"/>
  <c r="M10592" i="13" s="1"/>
  <c r="M10593" i="13" s="1"/>
  <c r="M10594" i="13" s="1"/>
  <c r="M10595" i="13" s="1"/>
  <c r="M10596" i="13" s="1"/>
  <c r="M10597" i="13" s="1"/>
  <c r="M10598" i="13" s="1"/>
  <c r="M10599" i="13" s="1"/>
  <c r="M10600" i="13" s="1"/>
  <c r="M10601" i="13" s="1"/>
  <c r="M10602" i="13" s="1"/>
  <c r="M10603" i="13" s="1"/>
  <c r="M10604" i="13" s="1"/>
  <c r="M10605" i="13" s="1"/>
  <c r="M10606" i="13" s="1"/>
  <c r="M10607" i="13" s="1"/>
  <c r="M10608" i="13" s="1"/>
  <c r="M10609" i="13" s="1"/>
  <c r="M10610" i="13" s="1"/>
  <c r="M10611" i="13" s="1"/>
  <c r="M10612" i="13" s="1"/>
  <c r="M10613" i="13" s="1"/>
  <c r="M10614" i="13" s="1"/>
  <c r="M10615" i="13" s="1"/>
  <c r="M10616" i="13" s="1"/>
  <c r="M10617" i="13" s="1"/>
  <c r="M10618" i="13" s="1"/>
  <c r="M10619" i="13" s="1"/>
  <c r="M10620" i="13" s="1"/>
  <c r="M10621" i="13" s="1"/>
  <c r="M10622" i="13" s="1"/>
  <c r="M10623" i="13" s="1"/>
  <c r="M10624" i="13" s="1"/>
  <c r="M10625" i="13" s="1"/>
  <c r="M10626" i="13" s="1"/>
  <c r="M10627" i="13" s="1"/>
  <c r="M10628" i="13" s="1"/>
  <c r="M10629" i="13" s="1"/>
  <c r="M10630" i="13" s="1"/>
  <c r="M10631" i="13" s="1"/>
  <c r="M10632" i="13" s="1"/>
  <c r="M10633" i="13" s="1"/>
  <c r="M10634" i="13" s="1"/>
  <c r="M10635" i="13" s="1"/>
  <c r="M10636" i="13" s="1"/>
  <c r="M10637" i="13" s="1"/>
  <c r="M10638" i="13" s="1"/>
  <c r="M10639" i="13" s="1"/>
  <c r="M10640" i="13" s="1"/>
  <c r="M10641" i="13" s="1"/>
  <c r="M10642" i="13" s="1"/>
  <c r="M10643" i="13" s="1"/>
  <c r="M10644" i="13" s="1"/>
  <c r="M10645" i="13" s="1"/>
  <c r="M10646" i="13" s="1"/>
  <c r="M10647" i="13" s="1"/>
  <c r="M10648" i="13" s="1"/>
  <c r="M10649" i="13" s="1"/>
  <c r="M10650" i="13" s="1"/>
  <c r="M10651" i="13" s="1"/>
  <c r="M10652" i="13" s="1"/>
  <c r="M10653" i="13" s="1"/>
  <c r="M10654" i="13" s="1"/>
  <c r="M10655" i="13" s="1"/>
  <c r="M10656" i="13" s="1"/>
  <c r="M10657" i="13" s="1"/>
  <c r="M10658" i="13" s="1"/>
  <c r="M10659" i="13" s="1"/>
  <c r="M10660" i="13" s="1"/>
  <c r="M10661" i="13" s="1"/>
  <c r="M10662" i="13" s="1"/>
  <c r="M10663" i="13" s="1"/>
  <c r="M10664" i="13" s="1"/>
  <c r="M10665" i="13" s="1"/>
  <c r="M10666" i="13" s="1"/>
  <c r="M10667" i="13" s="1"/>
  <c r="M10668" i="13" s="1"/>
  <c r="M10669" i="13" s="1"/>
  <c r="M10670" i="13" s="1"/>
  <c r="M10671" i="13" s="1"/>
  <c r="M10672" i="13" s="1"/>
  <c r="M10673" i="13" s="1"/>
  <c r="M10674" i="13" s="1"/>
  <c r="M10675" i="13" s="1"/>
  <c r="M10676" i="13" s="1"/>
  <c r="M10677" i="13" s="1"/>
  <c r="M10678" i="13" s="1"/>
  <c r="M10679" i="13" s="1"/>
  <c r="M10680" i="13" s="1"/>
  <c r="M10681" i="13" s="1"/>
  <c r="M10682" i="13" s="1"/>
  <c r="M10683" i="13" s="1"/>
  <c r="M10684" i="13" s="1"/>
  <c r="M10685" i="13" s="1"/>
  <c r="M10686" i="13" s="1"/>
  <c r="M10687" i="13" s="1"/>
  <c r="M10688" i="13" s="1"/>
  <c r="M10689" i="13" s="1"/>
  <c r="M10690" i="13" s="1"/>
  <c r="M10691" i="13" s="1"/>
  <c r="M10692" i="13" s="1"/>
  <c r="M10693" i="13" s="1"/>
  <c r="M10694" i="13" s="1"/>
  <c r="M10695" i="13" s="1"/>
  <c r="M10696" i="13" s="1"/>
  <c r="M10697" i="13" s="1"/>
  <c r="M10698" i="13" s="1"/>
  <c r="M10699" i="13" s="1"/>
  <c r="M10700" i="13" s="1"/>
  <c r="M10701" i="13" s="1"/>
  <c r="M10702" i="13" s="1"/>
  <c r="M10703" i="13" s="1"/>
  <c r="M10704" i="13" s="1"/>
  <c r="M10705" i="13" s="1"/>
  <c r="M10706" i="13" s="1"/>
  <c r="M10707" i="13" s="1"/>
  <c r="M10708" i="13" s="1"/>
  <c r="M10709" i="13" s="1"/>
  <c r="M10710" i="13" s="1"/>
  <c r="M10711" i="13" s="1"/>
  <c r="M10712" i="13" s="1"/>
  <c r="M10713" i="13" s="1"/>
  <c r="M10714" i="13" s="1"/>
  <c r="M10715" i="13" s="1"/>
  <c r="M10716" i="13" s="1"/>
  <c r="M10717" i="13" s="1"/>
  <c r="M10718" i="13" s="1"/>
  <c r="M10719" i="13" s="1"/>
  <c r="M10720" i="13" s="1"/>
  <c r="M10721" i="13" s="1"/>
  <c r="M10722" i="13" s="1"/>
  <c r="M10723" i="13" s="1"/>
  <c r="M10724" i="13" s="1"/>
  <c r="M10725" i="13" s="1"/>
  <c r="M10726" i="13" s="1"/>
  <c r="M10727" i="13" s="1"/>
  <c r="M10728" i="13" s="1"/>
  <c r="M10729" i="13" s="1"/>
  <c r="M10730" i="13" s="1"/>
  <c r="M10731" i="13" s="1"/>
  <c r="M10732" i="13" s="1"/>
  <c r="M10733" i="13" s="1"/>
  <c r="M10734" i="13" s="1"/>
  <c r="M10735" i="13" s="1"/>
  <c r="M10736" i="13" s="1"/>
  <c r="M10737" i="13" s="1"/>
  <c r="M10738" i="13" s="1"/>
  <c r="M10739" i="13" s="1"/>
  <c r="M10740" i="13" s="1"/>
  <c r="M10741" i="13" s="1"/>
  <c r="M10742" i="13" s="1"/>
  <c r="M10743" i="13" s="1"/>
  <c r="M10744" i="13" s="1"/>
  <c r="M10745" i="13" s="1"/>
  <c r="M10746" i="13" s="1"/>
  <c r="M10747" i="13" s="1"/>
  <c r="M10748" i="13" s="1"/>
  <c r="M10749" i="13" s="1"/>
  <c r="M10750" i="13" s="1"/>
  <c r="M10751" i="13" s="1"/>
  <c r="M10752" i="13" s="1"/>
  <c r="M10753" i="13" s="1"/>
  <c r="M10754" i="13" s="1"/>
  <c r="M10755" i="13" s="1"/>
  <c r="M10756" i="13" s="1"/>
  <c r="M10757" i="13" s="1"/>
  <c r="M10758" i="13" s="1"/>
  <c r="M10759" i="13" s="1"/>
  <c r="M10760" i="13" s="1"/>
  <c r="M10761" i="13" s="1"/>
  <c r="M10762" i="13" s="1"/>
  <c r="M10763" i="13" s="1"/>
  <c r="M10764" i="13" s="1"/>
  <c r="M10765" i="13" s="1"/>
  <c r="M10766" i="13" s="1"/>
  <c r="M10767" i="13" s="1"/>
  <c r="M10768" i="13" s="1"/>
  <c r="M10769" i="13" s="1"/>
  <c r="M10770" i="13" s="1"/>
  <c r="M10771" i="13" s="1"/>
  <c r="M10772" i="13" s="1"/>
  <c r="M10773" i="13" s="1"/>
  <c r="M10774" i="13" s="1"/>
  <c r="M10775" i="13" s="1"/>
  <c r="M10776" i="13" s="1"/>
  <c r="M10777" i="13" s="1"/>
  <c r="M10778" i="13" s="1"/>
  <c r="M10779" i="13" s="1"/>
  <c r="M10780" i="13" s="1"/>
  <c r="M10781" i="13" s="1"/>
  <c r="M10782" i="13" s="1"/>
  <c r="M10783" i="13" s="1"/>
  <c r="M10784" i="13" s="1"/>
  <c r="M10785" i="13" s="1"/>
  <c r="M10786" i="13" s="1"/>
  <c r="M10787" i="13" s="1"/>
  <c r="M10788" i="13" s="1"/>
  <c r="M10789" i="13" s="1"/>
  <c r="M10790" i="13" s="1"/>
  <c r="M10791" i="13" s="1"/>
  <c r="M10792" i="13" s="1"/>
  <c r="M10793" i="13" s="1"/>
  <c r="M10794" i="13" s="1"/>
  <c r="M10795" i="13" s="1"/>
  <c r="M10796" i="13" s="1"/>
  <c r="M10797" i="13" s="1"/>
  <c r="M10798" i="13" s="1"/>
  <c r="M10799" i="13" s="1"/>
  <c r="M10800" i="13" s="1"/>
  <c r="M10801" i="13" s="1"/>
  <c r="M10802" i="13" s="1"/>
  <c r="M10803" i="13" s="1"/>
  <c r="M10804" i="13" s="1"/>
  <c r="M10805" i="13" s="1"/>
  <c r="M10806" i="13" s="1"/>
  <c r="M10807" i="13" s="1"/>
  <c r="M10808" i="13" s="1"/>
  <c r="M10809" i="13" s="1"/>
  <c r="M10810" i="13" s="1"/>
  <c r="M10811" i="13" s="1"/>
  <c r="M10812" i="13" s="1"/>
  <c r="M10813" i="13" s="1"/>
  <c r="M10814" i="13" s="1"/>
  <c r="M10815" i="13" s="1"/>
  <c r="M10816" i="13" s="1"/>
  <c r="M10817" i="13" s="1"/>
  <c r="M10818" i="13" s="1"/>
  <c r="M10819" i="13" s="1"/>
  <c r="M10820" i="13" s="1"/>
  <c r="M10821" i="13" s="1"/>
  <c r="M10822" i="13" s="1"/>
  <c r="M10823" i="13" s="1"/>
  <c r="M10824" i="13" s="1"/>
  <c r="M10825" i="13" s="1"/>
  <c r="M10826" i="13" s="1"/>
  <c r="M10827" i="13" s="1"/>
  <c r="M10828" i="13" s="1"/>
  <c r="M10829" i="13" s="1"/>
  <c r="M10830" i="13" s="1"/>
  <c r="M10831" i="13" s="1"/>
  <c r="M10832" i="13" s="1"/>
  <c r="M10833" i="13" s="1"/>
  <c r="M10834" i="13" s="1"/>
  <c r="M10835" i="13" s="1"/>
  <c r="M10836" i="13" s="1"/>
  <c r="M10837" i="13" s="1"/>
  <c r="M10838" i="13" s="1"/>
  <c r="M10839" i="13" s="1"/>
  <c r="M10840" i="13" s="1"/>
  <c r="M10841" i="13" s="1"/>
  <c r="M10842" i="13" s="1"/>
  <c r="M10843" i="13" s="1"/>
  <c r="M10844" i="13" s="1"/>
  <c r="M10845" i="13" s="1"/>
  <c r="M10846" i="13" s="1"/>
  <c r="M10847" i="13" s="1"/>
  <c r="M10848" i="13" s="1"/>
  <c r="M10849" i="13" s="1"/>
  <c r="M10850" i="13" s="1"/>
  <c r="M10851" i="13" s="1"/>
  <c r="M10852" i="13" s="1"/>
  <c r="M10853" i="13" s="1"/>
  <c r="M10854" i="13" s="1"/>
  <c r="M10855" i="13" s="1"/>
  <c r="M10856" i="13" s="1"/>
  <c r="M10857" i="13" s="1"/>
  <c r="M10858" i="13" s="1"/>
  <c r="M10859" i="13" s="1"/>
  <c r="M10860" i="13" s="1"/>
  <c r="M10861" i="13" s="1"/>
  <c r="M10862" i="13" s="1"/>
  <c r="M10863" i="13" s="1"/>
  <c r="M10864" i="13" s="1"/>
  <c r="M10865" i="13" s="1"/>
  <c r="M10866" i="13" s="1"/>
  <c r="M10867" i="13" s="1"/>
  <c r="M10868" i="13" s="1"/>
  <c r="M10869" i="13" s="1"/>
  <c r="M10870" i="13" s="1"/>
  <c r="M10871" i="13" s="1"/>
  <c r="M10872" i="13" s="1"/>
  <c r="M10873" i="13" s="1"/>
  <c r="M10874" i="13" s="1"/>
  <c r="M10875" i="13" s="1"/>
  <c r="M10876" i="13" s="1"/>
  <c r="M10877" i="13" s="1"/>
  <c r="M10878" i="13" s="1"/>
  <c r="M10879" i="13" s="1"/>
  <c r="M10880" i="13" s="1"/>
  <c r="M10881" i="13" s="1"/>
  <c r="M10882" i="13" s="1"/>
  <c r="M10883" i="13" s="1"/>
  <c r="M10884" i="13" s="1"/>
  <c r="M10885" i="13" s="1"/>
  <c r="M10886" i="13" s="1"/>
  <c r="M10887" i="13" s="1"/>
  <c r="M10888" i="13" s="1"/>
  <c r="M10889" i="13" s="1"/>
  <c r="M10890" i="13" s="1"/>
  <c r="M10891" i="13" s="1"/>
  <c r="M10892" i="13" s="1"/>
  <c r="M10893" i="13" s="1"/>
  <c r="M10894" i="13" s="1"/>
  <c r="M10895" i="13" s="1"/>
  <c r="M10896" i="13" s="1"/>
  <c r="M10897" i="13" s="1"/>
  <c r="M10898" i="13" s="1"/>
  <c r="M10899" i="13" s="1"/>
  <c r="M10900" i="13" s="1"/>
  <c r="M10901" i="13" s="1"/>
  <c r="M10902" i="13" s="1"/>
  <c r="M10903" i="13" s="1"/>
  <c r="M10904" i="13" s="1"/>
  <c r="M10905" i="13" s="1"/>
  <c r="M10906" i="13" s="1"/>
  <c r="M10907" i="13" s="1"/>
  <c r="M10908" i="13" s="1"/>
  <c r="M10909" i="13" s="1"/>
  <c r="M10910" i="13" s="1"/>
  <c r="M10911" i="13" s="1"/>
  <c r="M10912" i="13" s="1"/>
  <c r="M10913" i="13" s="1"/>
  <c r="M10914" i="13" s="1"/>
  <c r="M10915" i="13" s="1"/>
  <c r="M10916" i="13" s="1"/>
  <c r="M10917" i="13" s="1"/>
  <c r="M10918" i="13" s="1"/>
  <c r="M10919" i="13" s="1"/>
  <c r="M10920" i="13" s="1"/>
  <c r="M10921" i="13" s="1"/>
  <c r="M10922" i="13" s="1"/>
  <c r="M10923" i="13" s="1"/>
  <c r="M10924" i="13" s="1"/>
  <c r="M10925" i="13" s="1"/>
  <c r="M10926" i="13" s="1"/>
  <c r="M10927" i="13" s="1"/>
  <c r="M10928" i="13" s="1"/>
  <c r="M10929" i="13" s="1"/>
  <c r="M10930" i="13" s="1"/>
  <c r="M10931" i="13" s="1"/>
  <c r="M10932" i="13" s="1"/>
  <c r="M10933" i="13" s="1"/>
  <c r="M10934" i="13" s="1"/>
  <c r="M10935" i="13" s="1"/>
  <c r="M10936" i="13" s="1"/>
  <c r="M10937" i="13" s="1"/>
  <c r="M10938" i="13" s="1"/>
  <c r="M10939" i="13" s="1"/>
  <c r="M10940" i="13" s="1"/>
  <c r="M10941" i="13" s="1"/>
  <c r="M10942" i="13" s="1"/>
  <c r="M10943" i="13" s="1"/>
  <c r="M10944" i="13" s="1"/>
  <c r="M10945" i="13" s="1"/>
  <c r="M10946" i="13" s="1"/>
  <c r="M10947" i="13" s="1"/>
  <c r="M10948" i="13" s="1"/>
  <c r="M10949" i="13" s="1"/>
  <c r="M10950" i="13" s="1"/>
  <c r="M10951" i="13" s="1"/>
  <c r="M10952" i="13" s="1"/>
  <c r="M10953" i="13" s="1"/>
  <c r="M10954" i="13" s="1"/>
  <c r="M10955" i="13" s="1"/>
  <c r="M10956" i="13" s="1"/>
  <c r="M10957" i="13" s="1"/>
  <c r="M10958" i="13" s="1"/>
  <c r="M10959" i="13" s="1"/>
  <c r="M10960" i="13" s="1"/>
  <c r="M10961" i="13" s="1"/>
  <c r="M10962" i="13" s="1"/>
  <c r="M10963" i="13" s="1"/>
  <c r="M10964" i="13" s="1"/>
  <c r="M10965" i="13" s="1"/>
  <c r="M10966" i="13" s="1"/>
  <c r="M10967" i="13" s="1"/>
  <c r="M10968" i="13" s="1"/>
  <c r="M10969" i="13" s="1"/>
  <c r="M10970" i="13" s="1"/>
  <c r="M10971" i="13" s="1"/>
  <c r="M10972" i="13" s="1"/>
  <c r="M10973" i="13" s="1"/>
  <c r="M10974" i="13" s="1"/>
  <c r="M10975" i="13" s="1"/>
  <c r="M10976" i="13" s="1"/>
  <c r="M10977" i="13" s="1"/>
  <c r="M10978" i="13" s="1"/>
  <c r="M10979" i="13" s="1"/>
  <c r="M10980" i="13" s="1"/>
  <c r="M10981" i="13" s="1"/>
  <c r="M10982" i="13" s="1"/>
  <c r="M10983" i="13" s="1"/>
  <c r="M10984" i="13" s="1"/>
  <c r="M10985" i="13" s="1"/>
  <c r="M10986" i="13" s="1"/>
  <c r="M10987" i="13" s="1"/>
  <c r="M10988" i="13" s="1"/>
  <c r="M10989" i="13" s="1"/>
  <c r="M10990" i="13" s="1"/>
  <c r="M10991" i="13" s="1"/>
  <c r="M10992" i="13" s="1"/>
  <c r="M10993" i="13" s="1"/>
  <c r="M10994" i="13" s="1"/>
  <c r="M10995" i="13" s="1"/>
  <c r="M10996" i="13" s="1"/>
  <c r="M10997" i="13" s="1"/>
  <c r="M10998" i="13" s="1"/>
  <c r="M10999" i="13" s="1"/>
  <c r="M11000" i="13" s="1"/>
  <c r="M11001" i="13" s="1"/>
  <c r="M11002" i="13" s="1"/>
  <c r="M11003" i="13" s="1"/>
  <c r="M11004" i="13" s="1"/>
  <c r="M11005" i="13" s="1"/>
  <c r="M11006" i="13" s="1"/>
  <c r="M11007" i="13" s="1"/>
  <c r="M11008" i="13" s="1"/>
  <c r="M11009" i="13" s="1"/>
  <c r="M11010" i="13" s="1"/>
  <c r="M11011" i="13" s="1"/>
  <c r="M11012" i="13" s="1"/>
  <c r="M11013" i="13" s="1"/>
  <c r="M11014" i="13" s="1"/>
  <c r="M11015" i="13" s="1"/>
  <c r="M11016" i="13" s="1"/>
  <c r="M11017" i="13" s="1"/>
  <c r="M11018" i="13" s="1"/>
  <c r="M11019" i="13" s="1"/>
  <c r="M11020" i="13" s="1"/>
  <c r="M11021" i="13" s="1"/>
  <c r="M11022" i="13" s="1"/>
  <c r="M11023" i="13" s="1"/>
  <c r="M11024" i="13" s="1"/>
  <c r="M11025" i="13" s="1"/>
  <c r="M11026" i="13" s="1"/>
  <c r="M11027" i="13" s="1"/>
  <c r="M11028" i="13" s="1"/>
  <c r="M11029" i="13" s="1"/>
  <c r="M11030" i="13" s="1"/>
  <c r="M11031" i="13" s="1"/>
  <c r="M11032" i="13" s="1"/>
  <c r="M11033" i="13" s="1"/>
  <c r="M11034" i="13" s="1"/>
  <c r="M11035" i="13" s="1"/>
  <c r="M11036" i="13" s="1"/>
  <c r="M11037" i="13" s="1"/>
  <c r="M11038" i="13" s="1"/>
  <c r="M11039" i="13" s="1"/>
  <c r="M11040" i="13" s="1"/>
  <c r="M11041" i="13" s="1"/>
  <c r="M11042" i="13" s="1"/>
  <c r="M11043" i="13" s="1"/>
  <c r="M11044" i="13" s="1"/>
  <c r="M11045" i="13" s="1"/>
  <c r="M11046" i="13" s="1"/>
  <c r="M11047" i="13" s="1"/>
  <c r="M11048" i="13" s="1"/>
  <c r="M11049" i="13" s="1"/>
  <c r="M11050" i="13" s="1"/>
  <c r="M11051" i="13" s="1"/>
  <c r="M11052" i="13" s="1"/>
  <c r="M11053" i="13" s="1"/>
  <c r="M11054" i="13" s="1"/>
  <c r="M11055" i="13" s="1"/>
  <c r="M11056" i="13" s="1"/>
  <c r="M11057" i="13" s="1"/>
  <c r="M11058" i="13" s="1"/>
  <c r="M11059" i="13" s="1"/>
  <c r="M11060" i="13" s="1"/>
  <c r="M11061" i="13" s="1"/>
  <c r="M11062" i="13" s="1"/>
  <c r="M11063" i="13" s="1"/>
  <c r="M11064" i="13" s="1"/>
  <c r="M11065" i="13" s="1"/>
  <c r="M11066" i="13" s="1"/>
  <c r="M11067" i="13" s="1"/>
  <c r="M11068" i="13" s="1"/>
  <c r="M11069" i="13" s="1"/>
  <c r="M11070" i="13" s="1"/>
  <c r="M11071" i="13" s="1"/>
  <c r="M11072" i="13" s="1"/>
  <c r="M11073" i="13" s="1"/>
  <c r="M11074" i="13" s="1"/>
  <c r="M11075" i="13" s="1"/>
  <c r="M11076" i="13" s="1"/>
  <c r="M11077" i="13" s="1"/>
  <c r="M11078" i="13" s="1"/>
  <c r="M11079" i="13" s="1"/>
  <c r="M11080" i="13" s="1"/>
  <c r="M11081" i="13" s="1"/>
  <c r="M11082" i="13" s="1"/>
  <c r="M11083" i="13" s="1"/>
  <c r="M11084" i="13" s="1"/>
  <c r="M11085" i="13" s="1"/>
  <c r="M11086" i="13" s="1"/>
  <c r="M11087" i="13" s="1"/>
  <c r="M11088" i="13" s="1"/>
  <c r="M11089" i="13" s="1"/>
  <c r="M11090" i="13" s="1"/>
  <c r="M11091" i="13" s="1"/>
  <c r="M11092" i="13" s="1"/>
  <c r="M11093" i="13" s="1"/>
  <c r="M11094" i="13" s="1"/>
  <c r="M11095" i="13" s="1"/>
  <c r="M11096" i="13" s="1"/>
  <c r="M11097" i="13" s="1"/>
  <c r="M11098" i="13" s="1"/>
  <c r="M11099" i="13" s="1"/>
  <c r="M11100" i="13" s="1"/>
  <c r="M11101" i="13" s="1"/>
  <c r="M11102" i="13" s="1"/>
  <c r="M11103" i="13" s="1"/>
  <c r="M11104" i="13" s="1"/>
  <c r="M11105" i="13" s="1"/>
  <c r="M11106" i="13" s="1"/>
  <c r="M11107" i="13" s="1"/>
  <c r="M11108" i="13" s="1"/>
  <c r="M11109" i="13" s="1"/>
  <c r="M11110" i="13" s="1"/>
  <c r="M11111" i="13" s="1"/>
  <c r="M11112" i="13" s="1"/>
  <c r="M11113" i="13" s="1"/>
  <c r="M11114" i="13" s="1"/>
  <c r="M11115" i="13" s="1"/>
  <c r="M11116" i="13" s="1"/>
  <c r="M11117" i="13" s="1"/>
  <c r="M11118" i="13" s="1"/>
  <c r="M11119" i="13" s="1"/>
  <c r="M11120" i="13" s="1"/>
  <c r="M11121" i="13" s="1"/>
  <c r="M11122" i="13" s="1"/>
  <c r="M11123" i="13" s="1"/>
  <c r="M11124" i="13" s="1"/>
  <c r="M11125" i="13" s="1"/>
  <c r="M11126" i="13" s="1"/>
  <c r="M11127" i="13" s="1"/>
  <c r="M11128" i="13" s="1"/>
  <c r="M11129" i="13" s="1"/>
  <c r="M11130" i="13" s="1"/>
  <c r="M11131" i="13" s="1"/>
  <c r="M11132" i="13" s="1"/>
  <c r="M11133" i="13" s="1"/>
  <c r="M11134" i="13" s="1"/>
  <c r="M11135" i="13" s="1"/>
  <c r="M11136" i="13" s="1"/>
  <c r="M11137" i="13" s="1"/>
  <c r="M11138" i="13" s="1"/>
  <c r="M11139" i="13" s="1"/>
  <c r="M11140" i="13" s="1"/>
  <c r="M11141" i="13" s="1"/>
  <c r="M11142" i="13" s="1"/>
  <c r="M11143" i="13" s="1"/>
  <c r="M11144" i="13" s="1"/>
  <c r="M11145" i="13" s="1"/>
  <c r="M11146" i="13" s="1"/>
  <c r="M11147" i="13" s="1"/>
  <c r="M11148" i="13" s="1"/>
  <c r="M11149" i="13" s="1"/>
  <c r="M11150" i="13" s="1"/>
  <c r="M11151" i="13" s="1"/>
  <c r="M11152" i="13" s="1"/>
  <c r="M11153" i="13" s="1"/>
  <c r="M11154" i="13" s="1"/>
  <c r="M11155" i="13" s="1"/>
  <c r="M11156" i="13" s="1"/>
  <c r="M11157" i="13" s="1"/>
  <c r="M11158" i="13" s="1"/>
  <c r="M11159" i="13" s="1"/>
  <c r="M11160" i="13" s="1"/>
  <c r="M11161" i="13" s="1"/>
  <c r="M11162" i="13" s="1"/>
  <c r="M11163" i="13" s="1"/>
  <c r="M11164" i="13" s="1"/>
  <c r="M11165" i="13" s="1"/>
  <c r="M11166" i="13" s="1"/>
  <c r="M11167" i="13" s="1"/>
  <c r="M11168" i="13" s="1"/>
  <c r="M11169" i="13" s="1"/>
  <c r="M11170" i="13" s="1"/>
  <c r="M11171" i="13" s="1"/>
  <c r="M11172" i="13" s="1"/>
  <c r="M11173" i="13" s="1"/>
  <c r="M11174" i="13" s="1"/>
  <c r="M11175" i="13" s="1"/>
  <c r="M11176" i="13" s="1"/>
  <c r="M11177" i="13" s="1"/>
  <c r="M11178" i="13" s="1"/>
  <c r="M11179" i="13" s="1"/>
  <c r="M11180" i="13" s="1"/>
  <c r="M11181" i="13" s="1"/>
  <c r="M11182" i="13" s="1"/>
  <c r="M11183" i="13" s="1"/>
  <c r="M11184" i="13" s="1"/>
  <c r="M11185" i="13" s="1"/>
  <c r="M11186" i="13" s="1"/>
  <c r="M11187" i="13" s="1"/>
  <c r="M11188" i="13" s="1"/>
  <c r="M11189" i="13" s="1"/>
  <c r="M11190" i="13" s="1"/>
  <c r="M11191" i="13" s="1"/>
  <c r="M11192" i="13" s="1"/>
  <c r="M11193" i="13" s="1"/>
  <c r="M11194" i="13" s="1"/>
  <c r="M11195" i="13" s="1"/>
  <c r="M11196" i="13" s="1"/>
  <c r="M11197" i="13" s="1"/>
  <c r="M11198" i="13" s="1"/>
  <c r="M11199" i="13" s="1"/>
  <c r="M11200" i="13" s="1"/>
  <c r="M11201" i="13" s="1"/>
  <c r="M11202" i="13" s="1"/>
  <c r="M11203" i="13" s="1"/>
  <c r="M11204" i="13" s="1"/>
  <c r="M11205" i="13" s="1"/>
  <c r="M11206" i="13" s="1"/>
  <c r="M11207" i="13" s="1"/>
  <c r="M11208" i="13" s="1"/>
  <c r="M11209" i="13" s="1"/>
  <c r="M11210" i="13" s="1"/>
  <c r="M11211" i="13" s="1"/>
  <c r="M11212" i="13" s="1"/>
  <c r="M11213" i="13" s="1"/>
  <c r="M11214" i="13" s="1"/>
  <c r="M11215" i="13" s="1"/>
  <c r="M11216" i="13" s="1"/>
  <c r="M11217" i="13" s="1"/>
  <c r="M11218" i="13" s="1"/>
  <c r="M11219" i="13" s="1"/>
  <c r="M11220" i="13" s="1"/>
  <c r="M11221" i="13" s="1"/>
  <c r="M11222" i="13" s="1"/>
  <c r="M11223" i="13" s="1"/>
  <c r="M11224" i="13" s="1"/>
  <c r="M11225" i="13" s="1"/>
  <c r="M11226" i="13" s="1"/>
  <c r="M11227" i="13" s="1"/>
  <c r="M11228" i="13" s="1"/>
  <c r="M11229" i="13" s="1"/>
  <c r="M11230" i="13" s="1"/>
  <c r="M11231" i="13" s="1"/>
  <c r="M11232" i="13" s="1"/>
  <c r="M11233" i="13" s="1"/>
  <c r="M11234" i="13" s="1"/>
  <c r="M11235" i="13" s="1"/>
  <c r="M11236" i="13" s="1"/>
  <c r="M11237" i="13" s="1"/>
  <c r="M11238" i="13" s="1"/>
  <c r="M11239" i="13" s="1"/>
  <c r="M11240" i="13" s="1"/>
  <c r="M11241" i="13" s="1"/>
  <c r="M11242" i="13" s="1"/>
  <c r="M11243" i="13" s="1"/>
  <c r="M11244" i="13" s="1"/>
  <c r="M11245" i="13" s="1"/>
  <c r="M11246" i="13" s="1"/>
  <c r="M11247" i="13" s="1"/>
  <c r="M11248" i="13" s="1"/>
  <c r="M11249" i="13" s="1"/>
  <c r="M11250" i="13" s="1"/>
  <c r="M11251" i="13" s="1"/>
  <c r="M11252" i="13" s="1"/>
  <c r="M11253" i="13" s="1"/>
  <c r="M11254" i="13" s="1"/>
  <c r="M11255" i="13" s="1"/>
  <c r="M11256" i="13" s="1"/>
  <c r="M11257" i="13" s="1"/>
  <c r="M11258" i="13" s="1"/>
  <c r="M11259" i="13" s="1"/>
  <c r="M11260" i="13" s="1"/>
  <c r="M11261" i="13" s="1"/>
  <c r="M11262" i="13" s="1"/>
  <c r="M11263" i="13" s="1"/>
  <c r="M11264" i="13" s="1"/>
  <c r="M11265" i="13" s="1"/>
  <c r="M11266" i="13" s="1"/>
  <c r="M11267" i="13" s="1"/>
  <c r="M11268" i="13" s="1"/>
  <c r="M11269" i="13" s="1"/>
  <c r="M11270" i="13" s="1"/>
  <c r="M11271" i="13" s="1"/>
  <c r="M11272" i="13" s="1"/>
  <c r="M11273" i="13" s="1"/>
  <c r="M11274" i="13" s="1"/>
  <c r="M11275" i="13" s="1"/>
  <c r="M11276" i="13" s="1"/>
  <c r="M11277" i="13" s="1"/>
  <c r="M11278" i="13" s="1"/>
  <c r="M11279" i="13" s="1"/>
  <c r="M11280" i="13" s="1"/>
  <c r="M11281" i="13" s="1"/>
  <c r="M11282" i="13" s="1"/>
  <c r="M11283" i="13" s="1"/>
  <c r="M11284" i="13" s="1"/>
  <c r="M11285" i="13" s="1"/>
  <c r="M11286" i="13" s="1"/>
  <c r="M11287" i="13" s="1"/>
  <c r="M11288" i="13" s="1"/>
  <c r="M11289" i="13" s="1"/>
  <c r="M11290" i="13" s="1"/>
  <c r="M11291" i="13" s="1"/>
  <c r="M11292" i="13" s="1"/>
  <c r="M11293" i="13" s="1"/>
  <c r="M11294" i="13" s="1"/>
  <c r="M11295" i="13" s="1"/>
  <c r="M11296" i="13" s="1"/>
  <c r="M11297" i="13" s="1"/>
  <c r="M11298" i="13" s="1"/>
  <c r="M11299" i="13" s="1"/>
  <c r="M11300" i="13" s="1"/>
  <c r="M11301" i="13" s="1"/>
  <c r="M11302" i="13" s="1"/>
  <c r="M11303" i="13" s="1"/>
  <c r="M11304" i="13" s="1"/>
  <c r="M11305" i="13" s="1"/>
  <c r="M11306" i="13" s="1"/>
  <c r="M11307" i="13" s="1"/>
  <c r="M11308" i="13" s="1"/>
  <c r="M11309" i="13" s="1"/>
  <c r="M11310" i="13" s="1"/>
  <c r="M11311" i="13" s="1"/>
  <c r="M11312" i="13" s="1"/>
  <c r="M11313" i="13" s="1"/>
  <c r="M11314" i="13" s="1"/>
  <c r="M11315" i="13" s="1"/>
  <c r="M11316" i="13" s="1"/>
  <c r="M11317" i="13" s="1"/>
  <c r="M11318" i="13" s="1"/>
  <c r="M11319" i="13" s="1"/>
  <c r="M11320" i="13" s="1"/>
  <c r="M11321" i="13" s="1"/>
  <c r="M11322" i="13" s="1"/>
  <c r="M11323" i="13" s="1"/>
  <c r="M11324" i="13" s="1"/>
  <c r="M11325" i="13" s="1"/>
  <c r="M11326" i="13" s="1"/>
  <c r="M11327" i="13" s="1"/>
  <c r="M11328" i="13" s="1"/>
  <c r="M11329" i="13" s="1"/>
  <c r="M11330" i="13" s="1"/>
  <c r="M11331" i="13" s="1"/>
  <c r="M11332" i="13" s="1"/>
  <c r="M11333" i="13" s="1"/>
  <c r="M11334" i="13" s="1"/>
  <c r="M11335" i="13" s="1"/>
  <c r="M11336" i="13" s="1"/>
  <c r="M11337" i="13" s="1"/>
  <c r="M11338" i="13" s="1"/>
  <c r="M11339" i="13" s="1"/>
  <c r="M11340" i="13" s="1"/>
  <c r="M11341" i="13" s="1"/>
  <c r="M11342" i="13" s="1"/>
  <c r="M11343" i="13" s="1"/>
  <c r="M11344" i="13" s="1"/>
  <c r="M11345" i="13" s="1"/>
  <c r="M11346" i="13" s="1"/>
  <c r="M11347" i="13" s="1"/>
  <c r="M11348" i="13" s="1"/>
  <c r="M11349" i="13" s="1"/>
  <c r="M11350" i="13" s="1"/>
  <c r="M11351" i="13" s="1"/>
  <c r="M11352" i="13" s="1"/>
  <c r="M11353" i="13" s="1"/>
  <c r="M11354" i="13" s="1"/>
  <c r="M11355" i="13" s="1"/>
  <c r="M11356" i="13" s="1"/>
  <c r="M11357" i="13" s="1"/>
  <c r="M11358" i="13" s="1"/>
  <c r="M11359" i="13" s="1"/>
  <c r="M11360" i="13" s="1"/>
  <c r="M11361" i="13" s="1"/>
  <c r="M11362" i="13" s="1"/>
  <c r="M11363" i="13" s="1"/>
  <c r="M11364" i="13" s="1"/>
  <c r="M11365" i="13" s="1"/>
  <c r="M11366" i="13" s="1"/>
  <c r="M11367" i="13" s="1"/>
  <c r="M11368" i="13" s="1"/>
  <c r="M11369" i="13" s="1"/>
  <c r="M11370" i="13" s="1"/>
  <c r="M11371" i="13" s="1"/>
  <c r="M11372" i="13" s="1"/>
  <c r="M11373" i="13" s="1"/>
  <c r="M11374" i="13" s="1"/>
  <c r="M11375" i="13" s="1"/>
  <c r="M11376" i="13" s="1"/>
  <c r="M11377" i="13" s="1"/>
  <c r="M11378" i="13" s="1"/>
  <c r="M11379" i="13" s="1"/>
  <c r="M11380" i="13" s="1"/>
  <c r="M11381" i="13" s="1"/>
  <c r="M11382" i="13" s="1"/>
  <c r="M11383" i="13" s="1"/>
  <c r="M11384" i="13" s="1"/>
  <c r="M11385" i="13" s="1"/>
  <c r="M11386" i="13" s="1"/>
  <c r="M11387" i="13" s="1"/>
  <c r="M11388" i="13" s="1"/>
  <c r="M11389" i="13" s="1"/>
  <c r="M11390" i="13" s="1"/>
  <c r="M11391" i="13" s="1"/>
  <c r="M11392" i="13" s="1"/>
  <c r="M11393" i="13" s="1"/>
  <c r="M11394" i="13" s="1"/>
  <c r="M11395" i="13" s="1"/>
  <c r="M11396" i="13" s="1"/>
  <c r="M11397" i="13" s="1"/>
  <c r="M11398" i="13" s="1"/>
  <c r="M11399" i="13" s="1"/>
  <c r="M11400" i="13" s="1"/>
  <c r="M11401" i="13" s="1"/>
  <c r="M11402" i="13" s="1"/>
  <c r="O25" i="13"/>
  <c r="N25" i="13" s="1"/>
  <c r="O26" i="13" l="1"/>
  <c r="N26" i="13" s="1"/>
  <c r="O27" i="13" l="1"/>
  <c r="O28" i="13" l="1"/>
  <c r="N28" i="13" s="1"/>
  <c r="N27" i="13"/>
  <c r="O29" i="13" l="1"/>
  <c r="N29" i="13" s="1"/>
  <c r="O30" i="13" l="1"/>
  <c r="N30" i="13" s="1"/>
  <c r="O31" i="13" l="1"/>
  <c r="N31" i="13" s="1"/>
  <c r="O32" i="13" l="1"/>
  <c r="N32" i="13" s="1"/>
  <c r="O33" i="13" l="1"/>
  <c r="N33" i="13" s="1"/>
  <c r="O34" i="13" l="1"/>
  <c r="N34" i="13" s="1"/>
  <c r="O35" i="13" l="1"/>
  <c r="N35" i="13" s="1"/>
  <c r="O36" i="13" l="1"/>
  <c r="N36" i="13" s="1"/>
  <c r="O37" i="13" l="1"/>
  <c r="N37" i="13" s="1"/>
  <c r="O38" i="13" l="1"/>
  <c r="N38" i="13" s="1"/>
  <c r="O39" i="13" l="1"/>
  <c r="N39" i="13" s="1"/>
  <c r="O40" i="13" l="1"/>
  <c r="N40" i="13" s="1"/>
  <c r="O41" i="13" l="1"/>
  <c r="N41" i="13" s="1"/>
  <c r="O42" i="13" l="1"/>
  <c r="N42" i="13" s="1"/>
  <c r="O43" i="13" l="1"/>
  <c r="N43" i="13" s="1"/>
  <c r="O44" i="13" l="1"/>
  <c r="N44" i="13" s="1"/>
  <c r="O45" i="13" l="1"/>
  <c r="O46" i="13" l="1"/>
  <c r="N45" i="13"/>
  <c r="O47" i="13" l="1"/>
  <c r="N47" i="13" s="1"/>
  <c r="N46" i="13"/>
  <c r="O48" i="13" l="1"/>
  <c r="O49" i="13" l="1"/>
  <c r="N49" i="13" s="1"/>
  <c r="N48" i="13"/>
  <c r="O50" i="13" l="1"/>
  <c r="O51" i="13" l="1"/>
  <c r="N50" i="13"/>
  <c r="N51" i="13"/>
  <c r="O52" i="13" l="1"/>
  <c r="N57" i="13" l="1"/>
  <c r="N56" i="13"/>
  <c r="N59" i="13"/>
  <c r="N61" i="13"/>
  <c r="N58" i="13"/>
  <c r="N53" i="13"/>
  <c r="N60" i="13"/>
  <c r="N55" i="13"/>
  <c r="N54" i="13"/>
  <c r="N62" i="13"/>
  <c r="N64" i="13"/>
  <c r="N63" i="13"/>
  <c r="N65" i="13"/>
  <c r="N66" i="13"/>
  <c r="N67" i="13"/>
  <c r="N68" i="13"/>
  <c r="N69" i="13"/>
  <c r="N71" i="13"/>
  <c r="N70" i="13"/>
  <c r="N52" i="13"/>
  <c r="O72" i="13" l="1"/>
  <c r="N72" i="13" s="1"/>
  <c r="O73" i="13" l="1"/>
  <c r="N73" i="13" s="1"/>
  <c r="O74" i="13" l="1"/>
  <c r="O75" i="13" l="1"/>
  <c r="N75" i="13" s="1"/>
  <c r="N74" i="13"/>
  <c r="O76" i="13" l="1"/>
  <c r="O77" i="13" l="1"/>
  <c r="N77" i="13" s="1"/>
  <c r="N76" i="13"/>
  <c r="O78" i="13" l="1"/>
  <c r="O79" i="13" l="1"/>
  <c r="N79" i="13" s="1"/>
  <c r="N78" i="13"/>
  <c r="O80" i="13" l="1"/>
  <c r="O81" i="13" l="1"/>
  <c r="N80" i="13"/>
  <c r="O82" i="13" l="1"/>
  <c r="N81" i="13"/>
  <c r="O83" i="13" l="1"/>
  <c r="N82" i="13"/>
  <c r="N83" i="13" l="1"/>
  <c r="O84" i="13"/>
  <c r="O85" i="13" l="1"/>
  <c r="N84" i="13"/>
  <c r="O86" i="13" l="1"/>
  <c r="N85" i="13"/>
  <c r="O87" i="13" l="1"/>
  <c r="N87" i="13" s="1"/>
  <c r="N86" i="13"/>
  <c r="O88" i="13" l="1"/>
  <c r="N88" i="13" l="1"/>
  <c r="O89" i="13"/>
  <c r="N89" i="13" s="1"/>
  <c r="O90" i="13" l="1"/>
  <c r="N90" i="13" s="1"/>
  <c r="O91" i="13" l="1"/>
  <c r="O92" i="13" l="1"/>
  <c r="N92" i="13" s="1"/>
  <c r="N91" i="13"/>
  <c r="O93" i="13" l="1"/>
  <c r="N93" i="13" l="1"/>
  <c r="O94" i="13"/>
  <c r="O95" i="13" l="1"/>
  <c r="N94" i="13"/>
  <c r="N95" i="13"/>
  <c r="O96" i="13" l="1"/>
  <c r="N96" i="13" l="1"/>
  <c r="O97" i="13"/>
  <c r="O98" i="13" l="1"/>
  <c r="N98" i="13" s="1"/>
  <c r="N97" i="13"/>
  <c r="O99" i="13" l="1"/>
  <c r="N99" i="13" l="1"/>
  <c r="O100" i="13"/>
  <c r="N100" i="13" l="1"/>
  <c r="O101" i="13"/>
  <c r="N101" i="13" l="1"/>
  <c r="O102" i="13"/>
  <c r="N102" i="13" s="1"/>
  <c r="O103" i="13" l="1"/>
  <c r="N103" i="13" l="1"/>
  <c r="O104" i="13"/>
  <c r="N104" i="13" l="1"/>
  <c r="O105" i="13"/>
  <c r="N105" i="13" s="1"/>
  <c r="O106" i="13" l="1"/>
  <c r="N106" i="13" s="1"/>
  <c r="O107" i="13" l="1"/>
  <c r="O108" i="13" l="1"/>
  <c r="N107" i="13"/>
  <c r="N108" i="13" l="1"/>
  <c r="O109" i="13"/>
  <c r="N109" i="13" l="1"/>
  <c r="O110" i="13"/>
  <c r="O111" i="13" l="1"/>
  <c r="N110" i="13"/>
  <c r="O112" i="13" l="1"/>
  <c r="N112" i="13" s="1"/>
  <c r="N111" i="13"/>
  <c r="O113" i="13" l="1"/>
  <c r="O114" i="13" l="1"/>
  <c r="N113" i="13"/>
  <c r="O115" i="13" l="1"/>
  <c r="N115" i="13" s="1"/>
  <c r="N114" i="13"/>
  <c r="O116" i="13" l="1"/>
  <c r="O117" i="13" l="1"/>
  <c r="N116" i="13"/>
  <c r="O118" i="13" l="1"/>
  <c r="N117" i="13"/>
  <c r="O119" i="13" l="1"/>
  <c r="N118" i="13"/>
  <c r="O120" i="13" l="1"/>
  <c r="N119" i="13"/>
  <c r="N120" i="13" l="1"/>
  <c r="O121" i="13"/>
  <c r="O122" i="13" l="1"/>
  <c r="N122" i="13" s="1"/>
  <c r="N121" i="13"/>
  <c r="O123" i="13" l="1"/>
  <c r="O124" i="13" l="1"/>
  <c r="N123" i="13"/>
  <c r="N124" i="13"/>
  <c r="O125" i="13" l="1"/>
  <c r="O126" i="13" l="1"/>
  <c r="N125" i="13"/>
  <c r="N126" i="13" l="1"/>
  <c r="O127" i="13"/>
  <c r="O128" i="13" l="1"/>
  <c r="N128" i="13" s="1"/>
  <c r="N127" i="13"/>
  <c r="O129" i="13" l="1"/>
  <c r="O130" i="13" l="1"/>
  <c r="N129" i="13"/>
  <c r="N130" i="13"/>
  <c r="O131" i="13" l="1"/>
  <c r="N131" i="13" l="1"/>
  <c r="O132" i="13"/>
  <c r="O133" i="13" l="1"/>
  <c r="N133" i="13" s="1"/>
  <c r="N132" i="13"/>
  <c r="O134" i="13" l="1"/>
  <c r="N134" i="13" l="1"/>
  <c r="O135" i="13"/>
  <c r="O136" i="13" l="1"/>
  <c r="N136" i="13" s="1"/>
  <c r="N135" i="13"/>
  <c r="O137" i="13" l="1"/>
  <c r="O138" i="13" l="1"/>
  <c r="N137" i="13"/>
  <c r="O139" i="13" l="1"/>
  <c r="N139" i="13" s="1"/>
  <c r="N138" i="13"/>
  <c r="O140" i="13" l="1"/>
  <c r="O141" i="13" l="1"/>
  <c r="N140" i="13"/>
  <c r="O142" i="13" l="1"/>
  <c r="N142" i="13" s="1"/>
  <c r="N141" i="13"/>
  <c r="O143" i="13" l="1"/>
  <c r="N143" i="13" s="1"/>
  <c r="O144" i="13" l="1"/>
  <c r="O145" i="13" l="1"/>
  <c r="N145" i="13" s="1"/>
  <c r="N144" i="13"/>
  <c r="O146" i="13" l="1"/>
  <c r="N146" i="13" l="1"/>
  <c r="O147" i="13"/>
  <c r="N147" i="13" s="1"/>
  <c r="O148" i="13" l="1"/>
  <c r="O149" i="13" l="1"/>
  <c r="N148" i="13"/>
  <c r="O150" i="13" l="1"/>
  <c r="N150" i="13"/>
  <c r="N149" i="13"/>
  <c r="O151" i="13" l="1"/>
  <c r="O152" i="13" l="1"/>
  <c r="N151" i="13"/>
  <c r="O153" i="13" l="1"/>
  <c r="N152" i="13"/>
  <c r="O154" i="13" l="1"/>
  <c r="N154" i="13" s="1"/>
  <c r="N153" i="13"/>
  <c r="O155" i="13" l="1"/>
  <c r="N155" i="13" l="1"/>
  <c r="O156" i="13"/>
  <c r="N156" i="13" s="1"/>
  <c r="O157" i="13" l="1"/>
  <c r="N157" i="13" s="1"/>
  <c r="O158" i="13" l="1"/>
  <c r="O159" i="13" l="1"/>
  <c r="N159" i="13" s="1"/>
  <c r="N158" i="13"/>
  <c r="O160" i="13" l="1"/>
  <c r="N160" i="13" l="1"/>
  <c r="O161" i="13"/>
  <c r="N161" i="13" l="1"/>
  <c r="O162" i="13"/>
  <c r="N162" i="13" s="1"/>
  <c r="O163" i="13" l="1"/>
  <c r="O164" i="13" l="1"/>
  <c r="N164" i="13" s="1"/>
  <c r="N163" i="13"/>
  <c r="O165" i="13" l="1"/>
  <c r="N165" i="13" s="1"/>
  <c r="O166" i="13" l="1"/>
  <c r="N166" i="13" s="1"/>
  <c r="O167" i="13" l="1"/>
  <c r="O168" i="13" l="1"/>
  <c r="N168" i="13" s="1"/>
  <c r="N167" i="13"/>
  <c r="O169" i="13" l="1"/>
  <c r="O170" i="13" l="1"/>
  <c r="N170" i="13" s="1"/>
  <c r="N169" i="13"/>
  <c r="O171" i="13" l="1"/>
  <c r="N171" i="13" l="1"/>
  <c r="O172" i="13"/>
  <c r="N172" i="13" s="1"/>
  <c r="O173" i="13" l="1"/>
  <c r="O174" i="13" l="1"/>
  <c r="N173" i="13"/>
  <c r="N174" i="13" l="1"/>
  <c r="O415" i="13"/>
  <c r="O175" i="13"/>
  <c r="N175" i="13" s="1"/>
  <c r="O772" i="13"/>
  <c r="O737" i="13"/>
  <c r="O416" i="13" l="1"/>
  <c r="O738" i="13"/>
  <c r="O773" i="13"/>
  <c r="O176" i="13"/>
  <c r="N176" i="13" l="1"/>
  <c r="O177" i="13"/>
  <c r="O774" i="13"/>
  <c r="O739" i="13"/>
  <c r="O417" i="13"/>
  <c r="O775" i="13" l="1"/>
  <c r="N177" i="13"/>
  <c r="O418" i="13"/>
  <c r="O178" i="13"/>
  <c r="O740" i="13"/>
  <c r="O741" i="13" l="1"/>
  <c r="N178" i="13"/>
  <c r="O179" i="13"/>
  <c r="N179" i="13" s="1"/>
  <c r="O776" i="13"/>
  <c r="O419" i="13"/>
  <c r="O420" i="13" l="1"/>
  <c r="O180" i="13"/>
  <c r="O777" i="13"/>
  <c r="O742" i="13"/>
  <c r="O511" i="13"/>
  <c r="O778" i="13" l="1"/>
  <c r="O181" i="13"/>
  <c r="O512" i="13"/>
  <c r="O743" i="13"/>
  <c r="N180" i="13"/>
  <c r="O421" i="13"/>
  <c r="O182" i="13" l="1"/>
  <c r="N181" i="13"/>
  <c r="O779" i="13"/>
  <c r="O597" i="13"/>
  <c r="O513" i="13"/>
  <c r="O646" i="13"/>
  <c r="O828" i="13"/>
  <c r="O464" i="13"/>
  <c r="O744" i="13"/>
  <c r="O282" i="13"/>
  <c r="O422" i="13"/>
  <c r="O647" i="13" l="1"/>
  <c r="O514" i="13"/>
  <c r="O191" i="13"/>
  <c r="O598" i="13"/>
  <c r="O283" i="13"/>
  <c r="O780" i="13"/>
  <c r="O423" i="13"/>
  <c r="O745" i="13"/>
  <c r="O465" i="13"/>
  <c r="O562" i="13"/>
  <c r="O829" i="13"/>
  <c r="O183" i="13"/>
  <c r="N182" i="13"/>
  <c r="O746" i="13" l="1"/>
  <c r="O424" i="13"/>
  <c r="N183" i="13"/>
  <c r="O830" i="13"/>
  <c r="O192" i="13"/>
  <c r="O184" i="13"/>
  <c r="N184" i="13" s="1"/>
  <c r="O599" i="13"/>
  <c r="O563" i="13"/>
  <c r="O515" i="13"/>
  <c r="O781" i="13"/>
  <c r="O695" i="13"/>
  <c r="O284" i="13"/>
  <c r="O466" i="13"/>
  <c r="O648" i="13"/>
  <c r="O696" i="13" l="1"/>
  <c r="O193" i="13"/>
  <c r="O285" i="13"/>
  <c r="O831" i="13"/>
  <c r="O564" i="13"/>
  <c r="O425" i="13"/>
  <c r="O649" i="13"/>
  <c r="O600" i="13"/>
  <c r="O782" i="13"/>
  <c r="O516" i="13"/>
  <c r="O467" i="13"/>
  <c r="O185" i="13"/>
  <c r="O747" i="13"/>
  <c r="O468" i="13" l="1"/>
  <c r="O832" i="13"/>
  <c r="O286" i="13"/>
  <c r="O194" i="13"/>
  <c r="O517" i="13"/>
  <c r="O748" i="13"/>
  <c r="O601" i="13"/>
  <c r="N185" i="13"/>
  <c r="O650" i="13"/>
  <c r="O783" i="13"/>
  <c r="O186" i="13"/>
  <c r="N186" i="13" s="1"/>
  <c r="O697" i="13"/>
  <c r="O565" i="13"/>
  <c r="O426" i="13"/>
  <c r="O602" i="13" l="1"/>
  <c r="O749" i="13"/>
  <c r="O518" i="13"/>
  <c r="O784" i="13"/>
  <c r="O195" i="13"/>
  <c r="O427" i="13"/>
  <c r="O287" i="13"/>
  <c r="O833" i="13"/>
  <c r="O566" i="13"/>
  <c r="O698" i="13"/>
  <c r="O651" i="13"/>
  <c r="O187" i="13"/>
  <c r="O469" i="13"/>
  <c r="O470" i="13" l="1"/>
  <c r="O196" i="13"/>
  <c r="O428" i="13"/>
  <c r="O288" i="13"/>
  <c r="O785" i="13"/>
  <c r="O699" i="13"/>
  <c r="O519" i="13"/>
  <c r="O750" i="13"/>
  <c r="N187" i="13"/>
  <c r="O567" i="13"/>
  <c r="O603" i="13"/>
  <c r="O188" i="13"/>
  <c r="O834" i="13"/>
  <c r="O652" i="13"/>
  <c r="O189" i="13" l="1"/>
  <c r="N189" i="13" s="1"/>
  <c r="O190" i="13"/>
  <c r="N190" i="13" s="1"/>
  <c r="O520" i="13"/>
  <c r="O700" i="13"/>
  <c r="O604" i="13"/>
  <c r="O786" i="13"/>
  <c r="O289" i="13"/>
  <c r="N188" i="13"/>
  <c r="O568" i="13"/>
  <c r="O653" i="13"/>
  <c r="O429" i="13"/>
  <c r="O197" i="13"/>
  <c r="O331" i="13"/>
  <c r="O835" i="13"/>
  <c r="O471" i="13"/>
  <c r="O751" i="13"/>
  <c r="N191" i="13" l="1"/>
  <c r="N194" i="13"/>
  <c r="N196" i="13"/>
  <c r="N197" i="13"/>
  <c r="N195" i="13"/>
  <c r="N192" i="13"/>
  <c r="N193" i="13"/>
  <c r="O380" i="13"/>
  <c r="O290" i="13"/>
  <c r="O787" i="13"/>
  <c r="O752" i="13"/>
  <c r="O605" i="13"/>
  <c r="O472" i="13"/>
  <c r="O198" i="13"/>
  <c r="N198" i="13" s="1"/>
  <c r="O701" i="13"/>
  <c r="O430" i="13"/>
  <c r="O654" i="13"/>
  <c r="O332" i="13"/>
  <c r="O521" i="13"/>
  <c r="O836" i="13"/>
  <c r="O569" i="13"/>
  <c r="O606" i="13" l="1"/>
  <c r="O473" i="13"/>
  <c r="O570" i="13"/>
  <c r="O753" i="13"/>
  <c r="O788" i="13"/>
  <c r="O702" i="13"/>
  <c r="O333" i="13"/>
  <c r="O291" i="13"/>
  <c r="O381" i="13"/>
  <c r="O837" i="13"/>
  <c r="O522" i="13"/>
  <c r="O655" i="13"/>
  <c r="O199" i="13"/>
  <c r="N199" i="13" s="1"/>
  <c r="O431" i="13"/>
  <c r="O789" i="13" l="1"/>
  <c r="O200" i="13"/>
  <c r="O656" i="13"/>
  <c r="O754" i="13"/>
  <c r="O571" i="13"/>
  <c r="O334" i="13"/>
  <c r="O838" i="13"/>
  <c r="O432" i="13"/>
  <c r="O523" i="13"/>
  <c r="O474" i="13"/>
  <c r="O703" i="13"/>
  <c r="O607" i="13"/>
  <c r="O382" i="13"/>
  <c r="O292" i="13"/>
  <c r="O433" i="13" l="1"/>
  <c r="O335" i="13"/>
  <c r="O572" i="13"/>
  <c r="O657" i="13"/>
  <c r="O839" i="13"/>
  <c r="O383" i="13"/>
  <c r="O475" i="13"/>
  <c r="N200" i="13"/>
  <c r="O608" i="13"/>
  <c r="O201" i="13"/>
  <c r="O755" i="13"/>
  <c r="O704" i="13"/>
  <c r="O293" i="13"/>
  <c r="O524" i="13"/>
  <c r="O790" i="13"/>
  <c r="O294" i="13" l="1"/>
  <c r="O476" i="13"/>
  <c r="O573" i="13"/>
  <c r="N201" i="13"/>
  <c r="O525" i="13"/>
  <c r="O658" i="13"/>
  <c r="O202" i="13"/>
  <c r="O840" i="13"/>
  <c r="O609" i="13"/>
  <c r="O336" i="13"/>
  <c r="O791" i="13"/>
  <c r="O705" i="13"/>
  <c r="O384" i="13"/>
  <c r="O756" i="13"/>
  <c r="O434" i="13"/>
  <c r="O706" i="13" l="1"/>
  <c r="O792" i="13"/>
  <c r="O337" i="13"/>
  <c r="O610" i="13"/>
  <c r="O240" i="13"/>
  <c r="O435" i="13"/>
  <c r="O841" i="13"/>
  <c r="O526" i="13"/>
  <c r="O574" i="13"/>
  <c r="O757" i="13"/>
  <c r="O203" i="13"/>
  <c r="O477" i="13"/>
  <c r="N202" i="13"/>
  <c r="O659" i="13"/>
  <c r="O295" i="13"/>
  <c r="O385" i="13"/>
  <c r="O478" i="13" l="1"/>
  <c r="O296" i="13"/>
  <c r="O338" i="13"/>
  <c r="O842" i="13"/>
  <c r="O241" i="13"/>
  <c r="O204" i="13"/>
  <c r="O575" i="13"/>
  <c r="O793" i="13"/>
  <c r="O660" i="13"/>
  <c r="O436" i="13"/>
  <c r="N203" i="13"/>
  <c r="O707" i="13"/>
  <c r="O611" i="13"/>
  <c r="O758" i="13"/>
  <c r="O386" i="13"/>
  <c r="O527" i="13"/>
  <c r="O794" i="13" l="1"/>
  <c r="O576" i="13"/>
  <c r="N204" i="13"/>
  <c r="O387" i="13"/>
  <c r="O205" i="13"/>
  <c r="O528" i="13"/>
  <c r="O759" i="13"/>
  <c r="O242" i="13"/>
  <c r="O612" i="13"/>
  <c r="O843" i="13"/>
  <c r="O339" i="13"/>
  <c r="O708" i="13"/>
  <c r="O437" i="13"/>
  <c r="O297" i="13"/>
  <c r="O661" i="13"/>
  <c r="O479" i="13"/>
  <c r="O480" i="13" l="1"/>
  <c r="O206" i="13"/>
  <c r="N205" i="13"/>
  <c r="O662" i="13"/>
  <c r="O709" i="13"/>
  <c r="O388" i="13"/>
  <c r="O529" i="13"/>
  <c r="O760" i="13"/>
  <c r="O438" i="13"/>
  <c r="O577" i="13"/>
  <c r="O613" i="13"/>
  <c r="O340" i="13"/>
  <c r="O844" i="13"/>
  <c r="O298" i="13"/>
  <c r="O795" i="13"/>
  <c r="O243" i="13"/>
  <c r="O845" i="13" l="1"/>
  <c r="O389" i="13"/>
  <c r="O299" i="13"/>
  <c r="O710" i="13"/>
  <c r="O341" i="13"/>
  <c r="O578" i="13"/>
  <c r="O614" i="13"/>
  <c r="O244" i="13"/>
  <c r="O663" i="13"/>
  <c r="O439" i="13"/>
  <c r="O530" i="13"/>
  <c r="N206" i="13"/>
  <c r="O207" i="13"/>
  <c r="O796" i="13"/>
  <c r="O761" i="13"/>
  <c r="O481" i="13"/>
  <c r="O208" i="13" l="1"/>
  <c r="O615" i="13"/>
  <c r="O579" i="13"/>
  <c r="O300" i="13"/>
  <c r="O711" i="13"/>
  <c r="O245" i="13"/>
  <c r="O762" i="13"/>
  <c r="O440" i="13"/>
  <c r="O390" i="13"/>
  <c r="O342" i="13"/>
  <c r="O482" i="13"/>
  <c r="O531" i="13"/>
  <c r="O664" i="13"/>
  <c r="O797" i="13"/>
  <c r="N207" i="13"/>
  <c r="O846" i="13"/>
  <c r="O441" i="13" l="1"/>
  <c r="O763" i="13"/>
  <c r="O798" i="13"/>
  <c r="O246" i="13"/>
  <c r="O665" i="13"/>
  <c r="O712" i="13"/>
  <c r="O532" i="13"/>
  <c r="O301" i="13"/>
  <c r="O847" i="13"/>
  <c r="O580" i="13"/>
  <c r="O483" i="13"/>
  <c r="O343" i="13"/>
  <c r="O616" i="13"/>
  <c r="O391" i="13"/>
  <c r="O209" i="13"/>
  <c r="N208" i="13"/>
  <c r="O302" i="13" l="1"/>
  <c r="O666" i="13"/>
  <c r="O533" i="13"/>
  <c r="O247" i="13"/>
  <c r="O392" i="13"/>
  <c r="O484" i="13"/>
  <c r="O799" i="13"/>
  <c r="O210" i="13"/>
  <c r="O581" i="13"/>
  <c r="N209" i="13"/>
  <c r="O764" i="13"/>
  <c r="O617" i="13"/>
  <c r="O344" i="13"/>
  <c r="O713" i="13"/>
  <c r="O848" i="13"/>
  <c r="O442" i="13"/>
  <c r="O800" i="13" l="1"/>
  <c r="O618" i="13"/>
  <c r="O485" i="13"/>
  <c r="O393" i="13"/>
  <c r="O248" i="13"/>
  <c r="O534" i="13"/>
  <c r="O849" i="13"/>
  <c r="O582" i="13"/>
  <c r="O667" i="13"/>
  <c r="O765" i="13"/>
  <c r="O443" i="13"/>
  <c r="N210" i="13"/>
  <c r="O303" i="13"/>
  <c r="O714" i="13"/>
  <c r="O211" i="13"/>
  <c r="O345" i="13"/>
  <c r="O346" i="13" l="1"/>
  <c r="O850" i="13"/>
  <c r="O535" i="13"/>
  <c r="O249" i="13"/>
  <c r="O212" i="13"/>
  <c r="N212" i="13" s="1"/>
  <c r="O304" i="13"/>
  <c r="O486" i="13"/>
  <c r="O619" i="13"/>
  <c r="O583" i="13"/>
  <c r="O766" i="13"/>
  <c r="O444" i="13"/>
  <c r="O668" i="13"/>
  <c r="O801" i="13"/>
  <c r="N211" i="13"/>
  <c r="O715" i="13"/>
  <c r="O394" i="13"/>
  <c r="O620" i="13" l="1"/>
  <c r="O487" i="13"/>
  <c r="O305" i="13"/>
  <c r="O802" i="13"/>
  <c r="O213" i="13"/>
  <c r="N213" i="13" s="1"/>
  <c r="O395" i="13"/>
  <c r="O250" i="13"/>
  <c r="O669" i="13"/>
  <c r="O445" i="13"/>
  <c r="O536" i="13"/>
  <c r="O851" i="13"/>
  <c r="O716" i="13"/>
  <c r="O767" i="13"/>
  <c r="O584" i="13"/>
  <c r="O347" i="13"/>
  <c r="O214" i="13" l="1"/>
  <c r="N214" i="13" s="1"/>
  <c r="O306" i="13"/>
  <c r="O348" i="13"/>
  <c r="O488" i="13"/>
  <c r="O803" i="13"/>
  <c r="O585" i="13"/>
  <c r="O768" i="13"/>
  <c r="O717" i="13"/>
  <c r="O537" i="13"/>
  <c r="O446" i="13"/>
  <c r="O621" i="13"/>
  <c r="O852" i="13"/>
  <c r="O251" i="13"/>
  <c r="O670" i="13"/>
  <c r="O396" i="13"/>
  <c r="O804" i="13" l="1"/>
  <c r="O489" i="13"/>
  <c r="O349" i="13"/>
  <c r="O397" i="13"/>
  <c r="O622" i="13"/>
  <c r="O447" i="13"/>
  <c r="O671" i="13"/>
  <c r="O718" i="13"/>
  <c r="O307" i="13"/>
  <c r="O252" i="13"/>
  <c r="O769" i="13"/>
  <c r="O215" i="13"/>
  <c r="O586" i="13"/>
  <c r="O538" i="13"/>
  <c r="O853" i="13"/>
  <c r="O770" i="13" l="1"/>
  <c r="O771" i="13"/>
  <c r="O623" i="13"/>
  <c r="O308" i="13"/>
  <c r="O398" i="13"/>
  <c r="O216" i="13"/>
  <c r="O253" i="13"/>
  <c r="O350" i="13"/>
  <c r="O854" i="13"/>
  <c r="O672" i="13"/>
  <c r="O448" i="13"/>
  <c r="O490" i="13"/>
  <c r="O539" i="13"/>
  <c r="O587" i="13"/>
  <c r="O805" i="13"/>
  <c r="O719" i="13"/>
  <c r="N215" i="13"/>
  <c r="O491" i="13" l="1"/>
  <c r="O449" i="13"/>
  <c r="O254" i="13"/>
  <c r="O217" i="13"/>
  <c r="N216" i="13"/>
  <c r="O673" i="13"/>
  <c r="O399" i="13"/>
  <c r="O588" i="13"/>
  <c r="O309" i="13"/>
  <c r="O720" i="13"/>
  <c r="O855" i="13"/>
  <c r="O624" i="13"/>
  <c r="O540" i="13"/>
  <c r="O806" i="13"/>
  <c r="O351" i="13"/>
  <c r="O541" i="13" l="1"/>
  <c r="O310" i="13"/>
  <c r="O218" i="13"/>
  <c r="N217" i="13"/>
  <c r="O589" i="13"/>
  <c r="O856" i="13"/>
  <c r="O400" i="13"/>
  <c r="O625" i="13"/>
  <c r="O807" i="13"/>
  <c r="O255" i="13"/>
  <c r="O674" i="13"/>
  <c r="O450" i="13"/>
  <c r="O492" i="13"/>
  <c r="O721" i="13"/>
  <c r="O352" i="13"/>
  <c r="O808" i="13" l="1"/>
  <c r="O626" i="13"/>
  <c r="O451" i="13"/>
  <c r="O401" i="13"/>
  <c r="N218" i="13"/>
  <c r="O675" i="13"/>
  <c r="O219" i="13"/>
  <c r="O857" i="13"/>
  <c r="O311" i="13"/>
  <c r="O256" i="13"/>
  <c r="O590" i="13"/>
  <c r="O353" i="13"/>
  <c r="O722" i="13"/>
  <c r="O493" i="13"/>
  <c r="O542" i="13"/>
  <c r="O402" i="13" l="1"/>
  <c r="O723" i="13"/>
  <c r="O354" i="13"/>
  <c r="O220" i="13"/>
  <c r="O452" i="13"/>
  <c r="N219" i="13"/>
  <c r="O627" i="13"/>
  <c r="O858" i="13"/>
  <c r="O591" i="13"/>
  <c r="O676" i="13"/>
  <c r="O257" i="13"/>
  <c r="O809" i="13"/>
  <c r="O543" i="13"/>
  <c r="O312" i="13"/>
  <c r="O494" i="13"/>
  <c r="O453" i="13" l="1"/>
  <c r="O258" i="13"/>
  <c r="N220" i="13"/>
  <c r="O313" i="13"/>
  <c r="O221" i="13"/>
  <c r="O355" i="13"/>
  <c r="O544" i="13"/>
  <c r="O724" i="13"/>
  <c r="O677" i="13"/>
  <c r="O592" i="13"/>
  <c r="O859" i="13"/>
  <c r="O628" i="13"/>
  <c r="O810" i="13"/>
  <c r="O495" i="13"/>
  <c r="O403" i="13"/>
  <c r="O725" i="13" l="1"/>
  <c r="O860" i="13"/>
  <c r="O811" i="13"/>
  <c r="O545" i="13"/>
  <c r="O678" i="13"/>
  <c r="O356" i="13"/>
  <c r="O404" i="13"/>
  <c r="O496" i="13"/>
  <c r="O593" i="13"/>
  <c r="N221" i="13"/>
  <c r="O259" i="13"/>
  <c r="O629" i="13"/>
  <c r="O222" i="13"/>
  <c r="O314" i="13"/>
  <c r="O454" i="13"/>
  <c r="O679" i="13" l="1"/>
  <c r="O546" i="13"/>
  <c r="N222" i="13"/>
  <c r="O223" i="13"/>
  <c r="O630" i="13"/>
  <c r="O594" i="13"/>
  <c r="O812" i="13"/>
  <c r="O260" i="13"/>
  <c r="O497" i="13"/>
  <c r="O861" i="13"/>
  <c r="O315" i="13"/>
  <c r="O455" i="13"/>
  <c r="O405" i="13"/>
  <c r="O726" i="13"/>
  <c r="O357" i="13"/>
  <c r="O595" i="13" l="1"/>
  <c r="O596" i="13"/>
  <c r="O498" i="13"/>
  <c r="O631" i="13"/>
  <c r="N223" i="13"/>
  <c r="O727" i="13"/>
  <c r="O406" i="13"/>
  <c r="O862" i="13"/>
  <c r="O261" i="13"/>
  <c r="O224" i="13"/>
  <c r="O547" i="13"/>
  <c r="O316" i="13"/>
  <c r="O456" i="13"/>
  <c r="O813" i="13"/>
  <c r="O680" i="13"/>
  <c r="O358" i="13"/>
  <c r="O728" i="13" l="1"/>
  <c r="O317" i="13"/>
  <c r="O681" i="13"/>
  <c r="O632" i="13"/>
  <c r="O407" i="13"/>
  <c r="O814" i="13"/>
  <c r="O548" i="13"/>
  <c r="O225" i="13"/>
  <c r="N224" i="13"/>
  <c r="O262" i="13"/>
  <c r="O359" i="13"/>
  <c r="O863" i="13"/>
  <c r="O499" i="13"/>
  <c r="O457" i="13"/>
  <c r="O815" i="13" l="1"/>
  <c r="O408" i="13"/>
  <c r="O633" i="13"/>
  <c r="O360" i="13"/>
  <c r="O263" i="13"/>
  <c r="N225" i="13"/>
  <c r="O682" i="13"/>
  <c r="O226" i="13"/>
  <c r="O318" i="13"/>
  <c r="O864" i="13"/>
  <c r="O500" i="13"/>
  <c r="O729" i="13"/>
  <c r="O458" i="13"/>
  <c r="O549" i="13"/>
  <c r="O550" i="13" l="1"/>
  <c r="O264" i="13"/>
  <c r="O361" i="13"/>
  <c r="O227" i="13"/>
  <c r="O634" i="13"/>
  <c r="O459" i="13"/>
  <c r="O730" i="13"/>
  <c r="N226" i="13"/>
  <c r="O501" i="13"/>
  <c r="O683" i="13"/>
  <c r="O409" i="13"/>
  <c r="O319" i="13"/>
  <c r="O865" i="13"/>
  <c r="O816" i="13"/>
  <c r="O362" i="13" l="1"/>
  <c r="O731" i="13"/>
  <c r="O460" i="13"/>
  <c r="O635" i="13"/>
  <c r="O265" i="13"/>
  <c r="O817" i="13"/>
  <c r="O866" i="13"/>
  <c r="O684" i="13"/>
  <c r="N227" i="13"/>
  <c r="O502" i="13"/>
  <c r="O228" i="13"/>
  <c r="O320" i="13"/>
  <c r="O551" i="13"/>
  <c r="O410" i="13"/>
  <c r="O266" i="13" l="1"/>
  <c r="O636" i="13"/>
  <c r="O229" i="13"/>
  <c r="O685" i="13"/>
  <c r="O461" i="13"/>
  <c r="O503" i="13"/>
  <c r="O732" i="13"/>
  <c r="O867" i="13"/>
  <c r="O321" i="13"/>
  <c r="N228" i="13"/>
  <c r="O411" i="13"/>
  <c r="O818" i="13"/>
  <c r="O363" i="13"/>
  <c r="O552" i="13"/>
  <c r="O462" i="13" l="1"/>
  <c r="O463" i="13"/>
  <c r="O819" i="13"/>
  <c r="O686" i="13"/>
  <c r="O504" i="13"/>
  <c r="O230" i="13"/>
  <c r="N229" i="13"/>
  <c r="O412" i="13"/>
  <c r="O322" i="13"/>
  <c r="O637" i="13"/>
  <c r="O553" i="13"/>
  <c r="O868" i="13"/>
  <c r="O364" i="13"/>
  <c r="O267" i="13"/>
  <c r="O733" i="13"/>
  <c r="O413" i="13" l="1"/>
  <c r="O414" i="13"/>
  <c r="O554" i="13"/>
  <c r="O268" i="13"/>
  <c r="O638" i="13"/>
  <c r="O365" i="13"/>
  <c r="N230" i="13"/>
  <c r="O323" i="13"/>
  <c r="O231" i="13"/>
  <c r="O505" i="13"/>
  <c r="O734" i="13"/>
  <c r="O869" i="13"/>
  <c r="O687" i="13"/>
  <c r="O820" i="13"/>
  <c r="O735" i="13" l="1"/>
  <c r="O736" i="13"/>
  <c r="N231" i="13"/>
  <c r="O324" i="13"/>
  <c r="O366" i="13"/>
  <c r="O870" i="13"/>
  <c r="O639" i="13"/>
  <c r="O688" i="13"/>
  <c r="O269" i="13"/>
  <c r="O506" i="13"/>
  <c r="O821" i="13"/>
  <c r="O232" i="13"/>
  <c r="O555" i="13"/>
  <c r="O270" i="13" l="1"/>
  <c r="O507" i="13"/>
  <c r="O325" i="13"/>
  <c r="O871" i="13"/>
  <c r="O367" i="13"/>
  <c r="O556" i="13"/>
  <c r="N232" i="13"/>
  <c r="O233" i="13"/>
  <c r="O689" i="13"/>
  <c r="O822" i="13"/>
  <c r="O640" i="13"/>
  <c r="O368" i="13" l="1"/>
  <c r="O557" i="13"/>
  <c r="O271" i="13"/>
  <c r="O823" i="13"/>
  <c r="O508" i="13"/>
  <c r="O641" i="13"/>
  <c r="O690" i="13"/>
  <c r="O234" i="13"/>
  <c r="N233" i="13"/>
  <c r="O872" i="13"/>
  <c r="O326" i="13"/>
  <c r="O509" i="13" l="1"/>
  <c r="O510" i="13"/>
  <c r="O642" i="13"/>
  <c r="O558" i="13"/>
  <c r="O873" i="13"/>
  <c r="N234" i="13"/>
  <c r="O235" i="13"/>
  <c r="O824" i="13"/>
  <c r="O691" i="13"/>
  <c r="O369" i="13"/>
  <c r="O272" i="13"/>
  <c r="O327" i="13"/>
  <c r="O874" i="13" l="1"/>
  <c r="O692" i="13"/>
  <c r="O643" i="13"/>
  <c r="O825" i="13"/>
  <c r="O328" i="13"/>
  <c r="O236" i="13"/>
  <c r="N235" i="13"/>
  <c r="O273" i="13"/>
  <c r="O370" i="13"/>
  <c r="O559" i="13"/>
  <c r="O560" i="13" l="1"/>
  <c r="O561" i="13"/>
  <c r="O693" i="13"/>
  <c r="O694" i="13"/>
  <c r="O329" i="13"/>
  <c r="O330" i="13"/>
  <c r="O826" i="13"/>
  <c r="O827" i="13"/>
  <c r="O644" i="13"/>
  <c r="O645" i="13"/>
  <c r="O274" i="13"/>
  <c r="O371" i="13"/>
  <c r="O237" i="13"/>
  <c r="N236" i="13"/>
  <c r="O875" i="13"/>
  <c r="O238" i="13" l="1"/>
  <c r="N238" i="13" s="1"/>
  <c r="O239" i="13"/>
  <c r="N252" i="13" s="1"/>
  <c r="N273" i="13"/>
  <c r="O876" i="13"/>
  <c r="N241" i="13"/>
  <c r="N247" i="13"/>
  <c r="N242" i="13"/>
  <c r="N237" i="13"/>
  <c r="N269" i="13"/>
  <c r="N270" i="13"/>
  <c r="O372" i="13"/>
  <c r="O275" i="13"/>
  <c r="N274" i="13"/>
  <c r="N271" i="13"/>
  <c r="N258" i="13" l="1"/>
  <c r="N253" i="13"/>
  <c r="N251" i="13"/>
  <c r="N250" i="13"/>
  <c r="N244" i="13"/>
  <c r="N243" i="13"/>
  <c r="N246" i="13"/>
  <c r="N248" i="13"/>
  <c r="N249" i="13"/>
  <c r="N240" i="13"/>
  <c r="N239" i="13"/>
  <c r="N245" i="13"/>
  <c r="N268" i="13"/>
  <c r="N266" i="13"/>
  <c r="N267" i="13"/>
  <c r="N265" i="13"/>
  <c r="N264" i="13"/>
  <c r="N261" i="13"/>
  <c r="N263" i="13"/>
  <c r="N260" i="13"/>
  <c r="N259" i="13"/>
  <c r="N262" i="13"/>
  <c r="N257" i="13"/>
  <c r="N254" i="13"/>
  <c r="N256" i="13"/>
  <c r="N255" i="13"/>
  <c r="N272" i="13"/>
  <c r="N275" i="13"/>
  <c r="O373" i="13"/>
  <c r="O276" i="13"/>
  <c r="O877" i="13"/>
  <c r="O878" i="13" l="1"/>
  <c r="O374" i="13"/>
  <c r="N276" i="13"/>
  <c r="O277" i="13"/>
  <c r="O278" i="13" l="1"/>
  <c r="N277" i="13"/>
  <c r="O879" i="13"/>
  <c r="O375" i="13"/>
  <c r="O376" i="13" l="1"/>
  <c r="N278" i="13"/>
  <c r="O279" i="13"/>
  <c r="O880" i="13"/>
  <c r="O280" i="13" l="1"/>
  <c r="O281" i="13"/>
  <c r="N282" i="13" s="1"/>
  <c r="O881" i="13"/>
  <c r="N302" i="13"/>
  <c r="N297" i="13"/>
  <c r="N281" i="13"/>
  <c r="N290" i="13"/>
  <c r="N292" i="13"/>
  <c r="N294" i="13"/>
  <c r="N304" i="13"/>
  <c r="N283" i="13"/>
  <c r="N295" i="13"/>
  <c r="N291" i="13"/>
  <c r="N284" i="13"/>
  <c r="N280" i="13"/>
  <c r="N299" i="13"/>
  <c r="N306" i="13"/>
  <c r="N308" i="13"/>
  <c r="N318" i="13"/>
  <c r="N327" i="13"/>
  <c r="N279" i="13"/>
  <c r="N354" i="13"/>
  <c r="N334" i="13"/>
  <c r="N332" i="13"/>
  <c r="N350" i="13"/>
  <c r="N360" i="13"/>
  <c r="N331" i="13"/>
  <c r="N336" i="13"/>
  <c r="N330" i="13"/>
  <c r="N343" i="13"/>
  <c r="N348" i="13"/>
  <c r="N352" i="13"/>
  <c r="N349" i="13"/>
  <c r="N358" i="13"/>
  <c r="N346" i="13"/>
  <c r="N341" i="13"/>
  <c r="N337" i="13"/>
  <c r="N362" i="13"/>
  <c r="N335" i="13"/>
  <c r="N374" i="13"/>
  <c r="N375" i="13"/>
  <c r="O377" i="13"/>
  <c r="N359" i="13" l="1"/>
  <c r="N351" i="13"/>
  <c r="N370" i="13"/>
  <c r="N340" i="13"/>
  <c r="N369" i="13"/>
  <c r="N371" i="13"/>
  <c r="N296" i="13"/>
  <c r="N357" i="13"/>
  <c r="N368" i="13"/>
  <c r="N367" i="13"/>
  <c r="N325" i="13"/>
  <c r="N345" i="13"/>
  <c r="N326" i="13"/>
  <c r="N363" i="13"/>
  <c r="N322" i="13"/>
  <c r="N347" i="13"/>
  <c r="N323" i="13"/>
  <c r="N372" i="13"/>
  <c r="N321" i="13"/>
  <c r="N320" i="13"/>
  <c r="N293" i="13"/>
  <c r="N338" i="13"/>
  <c r="N364" i="13"/>
  <c r="N317" i="13"/>
  <c r="N316" i="13"/>
  <c r="N314" i="13"/>
  <c r="N313" i="13"/>
  <c r="N312" i="13"/>
  <c r="N311" i="13"/>
  <c r="N301" i="13"/>
  <c r="N355" i="13"/>
  <c r="N339" i="13"/>
  <c r="N307" i="13"/>
  <c r="N315" i="13"/>
  <c r="N303" i="13"/>
  <c r="N376" i="13"/>
  <c r="N361" i="13"/>
  <c r="N328" i="13"/>
  <c r="N305" i="13"/>
  <c r="N300" i="13"/>
  <c r="N353" i="13"/>
  <c r="N333" i="13"/>
  <c r="N310" i="13"/>
  <c r="N288" i="13"/>
  <c r="N309" i="13"/>
  <c r="N373" i="13"/>
  <c r="N344" i="13"/>
  <c r="N366" i="13"/>
  <c r="N324" i="13"/>
  <c r="N365" i="13"/>
  <c r="N289" i="13"/>
  <c r="N287" i="13"/>
  <c r="N329" i="13"/>
  <c r="N356" i="13"/>
  <c r="N319" i="13"/>
  <c r="N298" i="13"/>
  <c r="N286" i="13"/>
  <c r="N285" i="13"/>
  <c r="O378" i="13"/>
  <c r="O379" i="13"/>
  <c r="N342" i="13"/>
  <c r="N377" i="13"/>
  <c r="O882" i="13"/>
  <c r="N586" i="13" l="1"/>
  <c r="N834" i="13"/>
  <c r="N652" i="13"/>
  <c r="N851" i="13"/>
  <c r="N613" i="13"/>
  <c r="N669" i="13"/>
  <c r="N583" i="13"/>
  <c r="N607" i="13"/>
  <c r="N813" i="13"/>
  <c r="N629" i="13"/>
  <c r="N671" i="13"/>
  <c r="N624" i="13"/>
  <c r="N844" i="13"/>
  <c r="N833" i="13"/>
  <c r="N596" i="13"/>
  <c r="N831" i="13"/>
  <c r="N538" i="13"/>
  <c r="N643" i="13"/>
  <c r="N798" i="13"/>
  <c r="N810" i="13"/>
  <c r="N781" i="13"/>
  <c r="N510" i="13"/>
  <c r="N619" i="13"/>
  <c r="N431" i="13"/>
  <c r="N723" i="13"/>
  <c r="N812" i="13"/>
  <c r="N630" i="13"/>
  <c r="N731" i="13"/>
  <c r="N761" i="13"/>
  <c r="N603" i="13"/>
  <c r="N462" i="13"/>
  <c r="N882" i="13"/>
  <c r="N755" i="13"/>
  <c r="N821" i="13"/>
  <c r="N563" i="13"/>
  <c r="N478" i="13"/>
  <c r="N811" i="13"/>
  <c r="N570" i="13"/>
  <c r="N457" i="13"/>
  <c r="N693" i="13"/>
  <c r="N416" i="13"/>
  <c r="N704" i="13"/>
  <c r="N558" i="13"/>
  <c r="N487" i="13"/>
  <c r="N830" i="13"/>
  <c r="N873" i="13"/>
  <c r="N480" i="13"/>
  <c r="N710" i="13"/>
  <c r="N824" i="13"/>
  <c r="N463" i="13"/>
  <c r="N504" i="13"/>
  <c r="N836" i="13"/>
  <c r="N514" i="13"/>
  <c r="N484" i="13"/>
  <c r="N589" i="13"/>
  <c r="N602" i="13"/>
  <c r="N569" i="13"/>
  <c r="N556" i="13"/>
  <c r="N472" i="13"/>
  <c r="N846" i="13"/>
  <c r="N659" i="13"/>
  <c r="N695" i="13"/>
  <c r="N736" i="13"/>
  <c r="N470" i="13"/>
  <c r="N879" i="13"/>
  <c r="N404" i="13"/>
  <c r="N605" i="13"/>
  <c r="N571" i="13"/>
  <c r="N749" i="13"/>
  <c r="N405" i="13"/>
  <c r="N730" i="13"/>
  <c r="N817" i="13"/>
  <c r="N475" i="13"/>
  <c r="N865" i="13"/>
  <c r="N400" i="13"/>
  <c r="N734" i="13"/>
  <c r="N690" i="13"/>
  <c r="N438" i="13"/>
  <c r="N401" i="13"/>
  <c r="N735" i="13"/>
  <c r="N739" i="13"/>
  <c r="N713" i="13"/>
  <c r="N576" i="13"/>
  <c r="N517" i="13"/>
  <c r="N449" i="13"/>
  <c r="N398" i="13"/>
  <c r="N793" i="13"/>
  <c r="N402" i="13"/>
  <c r="N668" i="13"/>
  <c r="N625" i="13"/>
  <c r="N826" i="13"/>
  <c r="N546" i="13"/>
  <c r="N686" i="13"/>
  <c r="N717" i="13"/>
  <c r="N522" i="13"/>
  <c r="N807" i="13"/>
  <c r="N776" i="13"/>
  <c r="N391" i="13"/>
  <c r="N384" i="13"/>
  <c r="N765" i="13"/>
  <c r="N665" i="13"/>
  <c r="N551" i="13"/>
  <c r="N689" i="13"/>
  <c r="N820" i="13"/>
  <c r="N632" i="13"/>
  <c r="N785" i="13"/>
  <c r="N881" i="13"/>
  <c r="N703" i="13"/>
  <c r="N667" i="13"/>
  <c r="N515" i="13"/>
  <c r="N743" i="13"/>
  <c r="N466" i="13"/>
  <c r="N533" i="13"/>
  <c r="N549" i="13"/>
  <c r="N748" i="13"/>
  <c r="N489" i="13"/>
  <c r="N397" i="13"/>
  <c r="N827" i="13"/>
  <c r="N427" i="13"/>
  <c r="N422" i="13"/>
  <c r="N829" i="13"/>
  <c r="N623" i="13"/>
  <c r="N418" i="13"/>
  <c r="N477" i="13"/>
  <c r="N863" i="13"/>
  <c r="N770" i="13"/>
  <c r="N568" i="13"/>
  <c r="N649" i="13"/>
  <c r="N597" i="13"/>
  <c r="N818" i="13"/>
  <c r="N640" i="13"/>
  <c r="N430" i="13"/>
  <c r="N738" i="13"/>
  <c r="N433" i="13"/>
  <c r="N560" i="13"/>
  <c r="N835" i="13"/>
  <c r="N849" i="13"/>
  <c r="N839" i="13"/>
  <c r="N850" i="13"/>
  <c r="N682" i="13"/>
  <c r="N525" i="13"/>
  <c r="N507" i="13"/>
  <c r="N774" i="13"/>
  <c r="N434" i="13"/>
  <c r="N503" i="13"/>
  <c r="N715" i="13"/>
  <c r="N536" i="13"/>
  <c r="N858" i="13"/>
  <c r="N720" i="13"/>
  <c r="N577" i="13"/>
  <c r="N708" i="13"/>
  <c r="N521" i="13"/>
  <c r="N442" i="13"/>
  <c r="N791" i="13"/>
  <c r="N497" i="13"/>
  <c r="N409" i="13"/>
  <c r="N687" i="13"/>
  <c r="N673" i="13"/>
  <c r="N685" i="13"/>
  <c r="N714" i="13"/>
  <c r="N721" i="13"/>
  <c r="N646" i="13"/>
  <c r="N662" i="13"/>
  <c r="N539" i="13"/>
  <c r="N871" i="13"/>
  <c r="N800" i="13"/>
  <c r="N471" i="13"/>
  <c r="N458" i="13"/>
  <c r="N816" i="13"/>
  <c r="N595" i="13"/>
  <c r="N790" i="13"/>
  <c r="N729" i="13"/>
  <c r="N880" i="13"/>
  <c r="N756" i="13"/>
  <c r="N612" i="13"/>
  <c r="N691" i="13"/>
  <c r="N740" i="13"/>
  <c r="N870" i="13"/>
  <c r="N483" i="13"/>
  <c r="N406" i="13"/>
  <c r="N859" i="13"/>
  <c r="N641" i="13"/>
  <c r="N554" i="13"/>
  <c r="N566" i="13"/>
  <c r="N697" i="13"/>
  <c r="N841" i="13"/>
  <c r="N726" i="13"/>
  <c r="N647" i="13"/>
  <c r="N823" i="13"/>
  <c r="N789" i="13"/>
  <c r="N455" i="13"/>
  <c r="N414" i="13"/>
  <c r="N498" i="13"/>
  <c r="N866" i="13"/>
  <c r="N509" i="13"/>
  <c r="N436" i="13"/>
  <c r="N840" i="13"/>
  <c r="N680" i="13"/>
  <c r="N732" i="13"/>
  <c r="N579" i="13"/>
  <c r="N856" i="13"/>
  <c r="N853" i="13"/>
  <c r="N532" i="13"/>
  <c r="N809" i="13"/>
  <c r="N496" i="13"/>
  <c r="N757" i="13"/>
  <c r="N741" i="13"/>
  <c r="N464" i="13"/>
  <c r="N447" i="13"/>
  <c r="N386" i="13"/>
  <c r="N620" i="13"/>
  <c r="N590" i="13"/>
  <c r="N439" i="13"/>
  <c r="N388" i="13"/>
  <c r="N580" i="13"/>
  <c r="N799" i="13"/>
  <c r="N565" i="13"/>
  <c r="N878" i="13"/>
  <c r="N637" i="13"/>
  <c r="N645" i="13"/>
  <c r="N860" i="13"/>
  <c r="N588" i="13"/>
  <c r="N572" i="13"/>
  <c r="N519" i="13"/>
  <c r="N796" i="13"/>
  <c r="N413" i="13"/>
  <c r="N421" i="13"/>
  <c r="N747" i="13"/>
  <c r="N488" i="13"/>
  <c r="N552" i="13"/>
  <c r="N393" i="13"/>
  <c r="N598" i="13"/>
  <c r="N628" i="13"/>
  <c r="N493" i="13"/>
  <c r="N638" i="13"/>
  <c r="N543" i="13"/>
  <c r="N429" i="13"/>
  <c r="N411" i="13"/>
  <c r="N711" i="13"/>
  <c r="N692" i="13"/>
  <c r="N874" i="13"/>
  <c r="N513" i="13"/>
  <c r="N771" i="13"/>
  <c r="N751" i="13"/>
  <c r="N547" i="13"/>
  <c r="N448" i="13"/>
  <c r="N465" i="13"/>
  <c r="N553" i="13"/>
  <c r="N385" i="13"/>
  <c r="N672" i="13"/>
  <c r="N696" i="13"/>
  <c r="N742" i="13"/>
  <c r="N626" i="13"/>
  <c r="N773" i="13"/>
  <c r="N802" i="13"/>
  <c r="N479" i="13"/>
  <c r="N847" i="13"/>
  <c r="N618" i="13"/>
  <c r="N725" i="13"/>
  <c r="N864" i="13"/>
  <c r="N664" i="13"/>
  <c r="N675" i="13"/>
  <c r="N825" i="13"/>
  <c r="N666" i="13"/>
  <c r="N527" i="13"/>
  <c r="N787" i="13"/>
  <c r="N746" i="13"/>
  <c r="N454" i="13"/>
  <c r="N443" i="13"/>
  <c r="N490" i="13"/>
  <c r="N408" i="13"/>
  <c r="N390" i="13"/>
  <c r="N852" i="13"/>
  <c r="N772" i="13"/>
  <c r="N444" i="13"/>
  <c r="N635" i="13"/>
  <c r="N542" i="13"/>
  <c r="N783" i="13"/>
  <c r="N383" i="13"/>
  <c r="N651" i="13"/>
  <c r="N699" i="13"/>
  <c r="N837" i="13"/>
  <c r="N842" i="13"/>
  <c r="N658" i="13"/>
  <c r="N610" i="13"/>
  <c r="N722" i="13"/>
  <c r="N540" i="13"/>
  <c r="N550" i="13"/>
  <c r="N768" i="13"/>
  <c r="N764" i="13"/>
  <c r="N779" i="13"/>
  <c r="N759" i="13"/>
  <c r="N485" i="13"/>
  <c r="N500" i="13"/>
  <c r="N380" i="13"/>
  <c r="N862" i="13"/>
  <c r="N698" i="13"/>
  <c r="N795" i="13"/>
  <c r="N767" i="13"/>
  <c r="N644" i="13"/>
  <c r="N419" i="13"/>
  <c r="N615" i="13"/>
  <c r="N679" i="13"/>
  <c r="N677" i="13"/>
  <c r="N616" i="13"/>
  <c r="N804" i="13"/>
  <c r="N819" i="13"/>
  <c r="N627" i="13"/>
  <c r="N676" i="13"/>
  <c r="N524" i="13"/>
  <c r="N606" i="13"/>
  <c r="N545" i="13"/>
  <c r="N784" i="13"/>
  <c r="N753" i="13"/>
  <c r="N801" i="13"/>
  <c r="N744" i="13"/>
  <c r="N473" i="13"/>
  <c r="N459" i="13"/>
  <c r="N387" i="13"/>
  <c r="N854" i="13"/>
  <c r="N683" i="13"/>
  <c r="N706" i="13"/>
  <c r="N561" i="13"/>
  <c r="N815" i="13"/>
  <c r="N660" i="13"/>
  <c r="N648" i="13"/>
  <c r="N716" i="13"/>
  <c r="N656" i="13"/>
  <c r="N544" i="13"/>
  <c r="N415" i="13"/>
  <c r="N780" i="13"/>
  <c r="N777" i="13"/>
  <c r="N688" i="13"/>
  <c r="N782" i="13"/>
  <c r="N441" i="13"/>
  <c r="N468" i="13"/>
  <c r="N461" i="13"/>
  <c r="N399" i="13"/>
  <c r="N758" i="13"/>
  <c r="N594" i="13"/>
  <c r="N797" i="13"/>
  <c r="N396" i="13"/>
  <c r="N832" i="13"/>
  <c r="N633" i="13"/>
  <c r="N587" i="13"/>
  <c r="N636" i="13"/>
  <c r="N728" i="13"/>
  <c r="N622" i="13"/>
  <c r="N670" i="13"/>
  <c r="N564" i="13"/>
  <c r="N654" i="13"/>
  <c r="N875" i="13"/>
  <c r="N872" i="13"/>
  <c r="N450" i="13"/>
  <c r="N786" i="13"/>
  <c r="N822" i="13"/>
  <c r="N814" i="13"/>
  <c r="N745" i="13"/>
  <c r="N428" i="13"/>
  <c r="N423" i="13"/>
  <c r="N460" i="13"/>
  <c r="N395" i="13"/>
  <c r="N861" i="13"/>
  <c r="N575" i="13"/>
  <c r="N631" i="13"/>
  <c r="N562" i="13"/>
  <c r="N608" i="13"/>
  <c r="N585" i="13"/>
  <c r="N518" i="13"/>
  <c r="N511" i="13"/>
  <c r="N642" i="13"/>
  <c r="N806" i="13"/>
  <c r="N760" i="13"/>
  <c r="N451" i="13"/>
  <c r="N424" i="13"/>
  <c r="N435" i="13"/>
  <c r="N505" i="13"/>
  <c r="N492" i="13"/>
  <c r="N410" i="13"/>
  <c r="N394" i="13"/>
  <c r="N700" i="13"/>
  <c r="N604" i="13"/>
  <c r="N694" i="13"/>
  <c r="N574" i="13"/>
  <c r="N584" i="13"/>
  <c r="N678" i="13"/>
  <c r="N848" i="13"/>
  <c r="N857" i="13"/>
  <c r="N600" i="13"/>
  <c r="N599" i="13"/>
  <c r="N530" i="13"/>
  <c r="N769" i="13"/>
  <c r="N520" i="13"/>
  <c r="N528" i="13"/>
  <c r="N778" i="13"/>
  <c r="N762" i="13"/>
  <c r="N476" i="13"/>
  <c r="N417" i="13"/>
  <c r="N501" i="13"/>
  <c r="N379" i="13"/>
  <c r="N592" i="13"/>
  <c r="N591" i="13"/>
  <c r="N828" i="13"/>
  <c r="N661" i="13"/>
  <c r="N573" i="13"/>
  <c r="N705" i="13"/>
  <c r="N601" i="13"/>
  <c r="N663" i="13"/>
  <c r="N867" i="13"/>
  <c r="N674" i="13"/>
  <c r="N701" i="13"/>
  <c r="N843" i="13"/>
  <c r="N702" i="13"/>
  <c r="N754" i="13"/>
  <c r="N868" i="13"/>
  <c r="N541" i="13"/>
  <c r="N437" i="13"/>
  <c r="N420" i="13"/>
  <c r="N426" i="13"/>
  <c r="N805" i="13"/>
  <c r="N733" i="13"/>
  <c r="N495" i="13"/>
  <c r="N482" i="13"/>
  <c r="N502" i="13"/>
  <c r="N378" i="13"/>
  <c r="N578" i="13"/>
  <c r="N582" i="13"/>
  <c r="N719" i="13"/>
  <c r="N707" i="13"/>
  <c r="N727" i="13"/>
  <c r="N614" i="13"/>
  <c r="N634" i="13"/>
  <c r="N567" i="13"/>
  <c r="N712" i="13"/>
  <c r="N535" i="13"/>
  <c r="N512" i="13"/>
  <c r="N526" i="13"/>
  <c r="N557" i="13"/>
  <c r="N523" i="13"/>
  <c r="N788" i="13"/>
  <c r="N766" i="13"/>
  <c r="N425" i="13"/>
  <c r="N446" i="13"/>
  <c r="N474" i="13"/>
  <c r="N555" i="13"/>
  <c r="N494" i="13"/>
  <c r="N407" i="13"/>
  <c r="N392" i="13"/>
  <c r="N845" i="13"/>
  <c r="N593" i="13"/>
  <c r="N876" i="13"/>
  <c r="N609" i="13"/>
  <c r="N855" i="13"/>
  <c r="N709" i="13"/>
  <c r="N559" i="13"/>
  <c r="N529" i="13"/>
  <c r="N534" i="13"/>
  <c r="N508" i="13"/>
  <c r="N548" i="13"/>
  <c r="N794" i="13"/>
  <c r="N452" i="13"/>
  <c r="N763" i="13"/>
  <c r="N440" i="13"/>
  <c r="N506" i="13"/>
  <c r="N752" i="13"/>
  <c r="N412" i="13"/>
  <c r="N456" i="13"/>
  <c r="N381" i="13"/>
  <c r="N684" i="13"/>
  <c r="N838" i="13"/>
  <c r="N877" i="13"/>
  <c r="N611" i="13"/>
  <c r="N617" i="13"/>
  <c r="N750" i="13"/>
  <c r="N621" i="13"/>
  <c r="N681" i="13"/>
  <c r="N581" i="13"/>
  <c r="N718" i="13"/>
  <c r="N653" i="13"/>
  <c r="N657" i="13"/>
  <c r="N537" i="13"/>
  <c r="N516" i="13"/>
  <c r="N531" i="13"/>
  <c r="N803" i="13"/>
  <c r="N775" i="13"/>
  <c r="N808" i="13"/>
  <c r="N453" i="13"/>
  <c r="N869" i="13"/>
  <c r="N639" i="13"/>
  <c r="N432" i="13"/>
  <c r="N467" i="13"/>
  <c r="N486" i="13"/>
  <c r="N499" i="13"/>
  <c r="N382" i="13"/>
  <c r="N724" i="13"/>
  <c r="N650" i="13"/>
  <c r="N445" i="13"/>
  <c r="N792" i="13"/>
  <c r="N737" i="13"/>
  <c r="N481" i="13"/>
  <c r="N491" i="13"/>
  <c r="N469" i="13"/>
  <c r="N403" i="13"/>
  <c r="N389" i="13"/>
  <c r="N655" i="13"/>
  <c r="O883" i="13"/>
  <c r="N883" i="13" s="1"/>
  <c r="O884" i="13" l="1"/>
  <c r="N884" i="13" s="1"/>
  <c r="O885" i="13" l="1"/>
  <c r="N885" i="13" s="1"/>
  <c r="O886" i="13" l="1"/>
  <c r="N886" i="13" s="1"/>
  <c r="O887" i="13" l="1"/>
  <c r="N887" i="13" s="1"/>
  <c r="O888" i="13" l="1"/>
  <c r="N888" i="13" s="1"/>
  <c r="O889" i="13" l="1"/>
  <c r="N889" i="13" s="1"/>
  <c r="O890" i="13" l="1"/>
  <c r="N890" i="13" s="1"/>
  <c r="O891" i="13" l="1"/>
  <c r="N891" i="13" s="1"/>
  <c r="O892" i="13" l="1"/>
  <c r="N892" i="13" s="1"/>
  <c r="O893" i="13" l="1"/>
  <c r="N893" i="13" s="1"/>
  <c r="O894" i="13" l="1"/>
  <c r="N894" i="13" s="1"/>
  <c r="O895" i="13" l="1"/>
  <c r="N895" i="13" s="1"/>
  <c r="O896" i="13" l="1"/>
  <c r="N896" i="13" s="1"/>
  <c r="O897" i="13" l="1"/>
  <c r="N897" i="13" s="1"/>
  <c r="O898" i="13" l="1"/>
  <c r="N898" i="13" s="1"/>
  <c r="O899" i="13" l="1"/>
  <c r="N899" i="13" s="1"/>
  <c r="O900" i="13" l="1"/>
  <c r="N900" i="13" s="1"/>
  <c r="O901" i="13" l="1"/>
  <c r="N901" i="13" s="1"/>
  <c r="O902" i="13" l="1"/>
  <c r="N902" i="13" s="1"/>
  <c r="O903" i="13" l="1"/>
  <c r="N903" i="13" s="1"/>
  <c r="O904" i="13" l="1"/>
  <c r="N904" i="13" s="1"/>
  <c r="O905" i="13" l="1"/>
  <c r="N905" i="13" s="1"/>
  <c r="O906" i="13" l="1"/>
  <c r="N906" i="13" s="1"/>
  <c r="O907" i="13" l="1"/>
  <c r="N907" i="13" s="1"/>
  <c r="O908" i="13" l="1"/>
  <c r="N908" i="13" s="1"/>
  <c r="O909" i="13" l="1"/>
  <c r="N909" i="13" s="1"/>
  <c r="O910" i="13" l="1"/>
  <c r="N910" i="13" s="1"/>
  <c r="O911" i="13" l="1"/>
  <c r="N911" i="13" s="1"/>
  <c r="O912" i="13" l="1"/>
  <c r="N912" i="13" s="1"/>
  <c r="O913" i="13" l="1"/>
  <c r="N913" i="13" s="1"/>
  <c r="O914" i="13" l="1"/>
  <c r="N914" i="13" s="1"/>
  <c r="O915" i="13" l="1"/>
  <c r="N915" i="13" s="1"/>
  <c r="O916" i="13" l="1"/>
  <c r="N916" i="13" s="1"/>
  <c r="O917" i="13" l="1"/>
  <c r="N917" i="13" s="1"/>
  <c r="O918" i="13" l="1"/>
  <c r="N918" i="13" s="1"/>
  <c r="O919" i="13" l="1"/>
  <c r="N919" i="13" s="1"/>
  <c r="O920" i="13" l="1"/>
  <c r="N920" i="13" s="1"/>
  <c r="O921" i="13" l="1"/>
  <c r="N921" i="13" s="1"/>
  <c r="O922" i="13" l="1"/>
  <c r="N922" i="13" s="1"/>
  <c r="O923" i="13" l="1"/>
  <c r="N923" i="13" s="1"/>
  <c r="O924" i="13" l="1"/>
  <c r="N924" i="13" s="1"/>
  <c r="O925" i="13" l="1"/>
  <c r="N925" i="13" s="1"/>
  <c r="O926" i="13" l="1"/>
  <c r="N926" i="13" s="1"/>
  <c r="O927" i="13" l="1"/>
  <c r="N927" i="13" s="1"/>
  <c r="O928" i="13" l="1"/>
  <c r="N928" i="13" s="1"/>
  <c r="O929" i="13" l="1"/>
  <c r="N929" i="13" s="1"/>
  <c r="O930" i="13" l="1"/>
  <c r="N930" i="13" s="1"/>
  <c r="O931" i="13" l="1"/>
  <c r="N931" i="13" s="1"/>
  <c r="O932" i="13" l="1"/>
  <c r="N932" i="13" s="1"/>
  <c r="O933" i="13" l="1"/>
  <c r="N933" i="13" s="1"/>
  <c r="O934" i="13" l="1"/>
  <c r="N934" i="13" s="1"/>
  <c r="O935" i="13" l="1"/>
  <c r="N935" i="13" s="1"/>
  <c r="O936" i="13" l="1"/>
  <c r="N936" i="13" s="1"/>
  <c r="O937" i="13" l="1"/>
  <c r="N937" i="13" s="1"/>
  <c r="O938" i="13" l="1"/>
  <c r="N938" i="13" s="1"/>
  <c r="O939" i="13" l="1"/>
  <c r="N939" i="13" s="1"/>
  <c r="O940" i="13" l="1"/>
  <c r="N940" i="13" s="1"/>
  <c r="O941" i="13" l="1"/>
  <c r="N941" i="13" s="1"/>
  <c r="O942" i="13" l="1"/>
  <c r="N942" i="13" s="1"/>
  <c r="O943" i="13" l="1"/>
  <c r="N943" i="13" s="1"/>
  <c r="O944" i="13" l="1"/>
  <c r="N944" i="13" s="1"/>
  <c r="O945" i="13" l="1"/>
  <c r="N945" i="13" s="1"/>
  <c r="O946" i="13" l="1"/>
  <c r="N946" i="13" s="1"/>
  <c r="O947" i="13" l="1"/>
  <c r="N947" i="13" s="1"/>
  <c r="O948" i="13" l="1"/>
  <c r="N948" i="13" s="1"/>
  <c r="O949" i="13" l="1"/>
  <c r="N949" i="13" s="1"/>
  <c r="O950" i="13" l="1"/>
  <c r="N950" i="13" s="1"/>
  <c r="O951" i="13" l="1"/>
  <c r="N951" i="13" s="1"/>
  <c r="O952" i="13" l="1"/>
  <c r="N952" i="13" s="1"/>
  <c r="O953" i="13" l="1"/>
  <c r="N953" i="13" s="1"/>
  <c r="O954" i="13" l="1"/>
  <c r="N954" i="13" s="1"/>
  <c r="O955" i="13" l="1"/>
  <c r="N955" i="13" s="1"/>
  <c r="O956" i="13" l="1"/>
  <c r="N956" i="13" s="1"/>
  <c r="O957" i="13" l="1"/>
  <c r="N957" i="13" s="1"/>
  <c r="O958" i="13" l="1"/>
  <c r="N958" i="13" s="1"/>
  <c r="O959" i="13" l="1"/>
  <c r="N959" i="13" s="1"/>
  <c r="O960" i="13" l="1"/>
  <c r="N960" i="13" s="1"/>
  <c r="O961" i="13" l="1"/>
  <c r="N961" i="13" s="1"/>
  <c r="O962" i="13" l="1"/>
  <c r="N962" i="13" s="1"/>
  <c r="O963" i="13" l="1"/>
  <c r="N963" i="13" s="1"/>
  <c r="O964" i="13" l="1"/>
  <c r="N964" i="13" s="1"/>
  <c r="O965" i="13" l="1"/>
  <c r="N965" i="13" s="1"/>
  <c r="O966" i="13" l="1"/>
  <c r="N966" i="13" s="1"/>
  <c r="O967" i="13" l="1"/>
  <c r="N967" i="13" s="1"/>
  <c r="O968" i="13" l="1"/>
  <c r="N968" i="13" s="1"/>
  <c r="O969" i="13" l="1"/>
  <c r="N969" i="13" s="1"/>
  <c r="O970" i="13" l="1"/>
  <c r="N970" i="13" s="1"/>
  <c r="O971" i="13" l="1"/>
  <c r="N971" i="13" s="1"/>
  <c r="O972" i="13" l="1"/>
  <c r="N972" i="13" s="1"/>
  <c r="O973" i="13" l="1"/>
  <c r="N973" i="13" s="1"/>
  <c r="O974" i="13" l="1"/>
  <c r="N974" i="13" s="1"/>
  <c r="O975" i="13" l="1"/>
  <c r="N975" i="13" s="1"/>
  <c r="O976" i="13" l="1"/>
  <c r="N976" i="13" s="1"/>
  <c r="O977" i="13" l="1"/>
  <c r="N977" i="13" s="1"/>
  <c r="O978" i="13" l="1"/>
  <c r="N978" i="13" s="1"/>
  <c r="O979" i="13" l="1"/>
  <c r="N979" i="13" s="1"/>
  <c r="O980" i="13" l="1"/>
  <c r="N980" i="13" s="1"/>
  <c r="O981" i="13" l="1"/>
  <c r="N981" i="13" s="1"/>
  <c r="O982" i="13" l="1"/>
  <c r="N982" i="13" s="1"/>
  <c r="O983" i="13" l="1"/>
  <c r="N983" i="13" s="1"/>
  <c r="O984" i="13" l="1"/>
  <c r="N984" i="13" s="1"/>
  <c r="O985" i="13" l="1"/>
  <c r="N985" i="13" s="1"/>
  <c r="O986" i="13" l="1"/>
  <c r="N986" i="13" s="1"/>
  <c r="O987" i="13" l="1"/>
  <c r="N987" i="13" s="1"/>
  <c r="O988" i="13" l="1"/>
  <c r="N988" i="13" s="1"/>
  <c r="O989" i="13" l="1"/>
  <c r="N989" i="13" s="1"/>
  <c r="O990" i="13" l="1"/>
  <c r="N990" i="13" s="1"/>
  <c r="O991" i="13" l="1"/>
  <c r="N991" i="13" s="1"/>
  <c r="O992" i="13" l="1"/>
  <c r="N992" i="13" s="1"/>
  <c r="O993" i="13" l="1"/>
  <c r="N993" i="13" s="1"/>
  <c r="O994" i="13" l="1"/>
  <c r="N994" i="13" s="1"/>
  <c r="O995" i="13" l="1"/>
  <c r="N995" i="13" s="1"/>
  <c r="O996" i="13" l="1"/>
  <c r="N996" i="13" s="1"/>
  <c r="O997" i="13" l="1"/>
  <c r="N997" i="13" s="1"/>
  <c r="O998" i="13" l="1"/>
  <c r="N998" i="13" s="1"/>
  <c r="O999" i="13" l="1"/>
  <c r="N999" i="13" s="1"/>
  <c r="O1000" i="13" l="1"/>
  <c r="N1000" i="13" s="1"/>
  <c r="O1001" i="13" l="1"/>
  <c r="N1001" i="13" s="1"/>
  <c r="O1002" i="13" l="1"/>
  <c r="N1002" i="13" s="1"/>
  <c r="O1003" i="13" l="1"/>
  <c r="N1003" i="13" s="1"/>
  <c r="O1004" i="13" l="1"/>
  <c r="N1004" i="13" s="1"/>
  <c r="O1005" i="13" l="1"/>
  <c r="N1005" i="13" s="1"/>
  <c r="O1006" i="13" l="1"/>
  <c r="N1006" i="13" s="1"/>
  <c r="O1007" i="13" l="1"/>
  <c r="N1007" i="13" s="1"/>
  <c r="O1008" i="13" l="1"/>
  <c r="N1008" i="13" s="1"/>
  <c r="O1009" i="13" l="1"/>
  <c r="N1009" i="13" s="1"/>
  <c r="O1010" i="13" l="1"/>
  <c r="N1010" i="13" s="1"/>
  <c r="O1011" i="13" l="1"/>
  <c r="N1011" i="13" s="1"/>
  <c r="O1012" i="13" l="1"/>
  <c r="N1012" i="13" s="1"/>
  <c r="O1013" i="13" l="1"/>
  <c r="N1013" i="13" s="1"/>
  <c r="O1014" i="13" l="1"/>
  <c r="N1014" i="13" s="1"/>
  <c r="O1015" i="13" l="1"/>
  <c r="N1015" i="13" s="1"/>
  <c r="O1016" i="13" l="1"/>
  <c r="N1016" i="13" s="1"/>
  <c r="O1017" i="13" l="1"/>
  <c r="N1017" i="13" s="1"/>
  <c r="O1018" i="13" l="1"/>
  <c r="N1018" i="13" s="1"/>
  <c r="O1019" i="13" l="1"/>
  <c r="N1019" i="13" s="1"/>
  <c r="O1020" i="13" l="1"/>
  <c r="N1020" i="13" s="1"/>
  <c r="O1021" i="13" l="1"/>
  <c r="N1021" i="13" s="1"/>
  <c r="O1022" i="13" l="1"/>
  <c r="N1022" i="13" s="1"/>
  <c r="O1023" i="13" l="1"/>
  <c r="N1023" i="13" s="1"/>
  <c r="O1024" i="13" l="1"/>
  <c r="N1024" i="13" s="1"/>
  <c r="O1025" i="13" l="1"/>
  <c r="N1025" i="13" s="1"/>
  <c r="O1026" i="13" l="1"/>
  <c r="N1026" i="13" s="1"/>
  <c r="O1027" i="13" l="1"/>
  <c r="N1027" i="13" s="1"/>
  <c r="O1028" i="13" l="1"/>
  <c r="N1028" i="13" s="1"/>
  <c r="O1029" i="13" l="1"/>
  <c r="N1029" i="13" s="1"/>
  <c r="O1030" i="13" l="1"/>
  <c r="N1030" i="13" s="1"/>
  <c r="O1031" i="13" l="1"/>
  <c r="N1031" i="13" s="1"/>
  <c r="O1032" i="13" l="1"/>
  <c r="N1032" i="13" s="1"/>
  <c r="O1033" i="13" l="1"/>
  <c r="N1033" i="13" s="1"/>
  <c r="O1034" i="13" l="1"/>
  <c r="N1034" i="13" s="1"/>
  <c r="O1035" i="13" l="1"/>
  <c r="N1035" i="13" s="1"/>
  <c r="O1036" i="13" l="1"/>
  <c r="N1036" i="13" s="1"/>
  <c r="O1037" i="13" l="1"/>
  <c r="N1037" i="13" s="1"/>
  <c r="O1038" i="13" l="1"/>
  <c r="N1038" i="13" s="1"/>
  <c r="O1039" i="13" l="1"/>
  <c r="N1039" i="13" s="1"/>
  <c r="O1040" i="13" l="1"/>
  <c r="N1040" i="13" s="1"/>
  <c r="O1041" i="13" l="1"/>
  <c r="N1041" i="13" s="1"/>
  <c r="O1042" i="13" l="1"/>
  <c r="N1042" i="13" s="1"/>
  <c r="O1043" i="13" l="1"/>
  <c r="N1043" i="13" s="1"/>
  <c r="O1044" i="13" l="1"/>
  <c r="N1044" i="13" s="1"/>
  <c r="O1045" i="13" l="1"/>
  <c r="N1045" i="13" s="1"/>
  <c r="O1046" i="13" l="1"/>
  <c r="N1046" i="13" s="1"/>
  <c r="O1047" i="13" l="1"/>
  <c r="N1047" i="13" s="1"/>
  <c r="O1048" i="13" l="1"/>
  <c r="N1048" i="13" s="1"/>
  <c r="O1049" i="13" l="1"/>
  <c r="N1049" i="13" s="1"/>
  <c r="O1050" i="13" l="1"/>
  <c r="N1050" i="13" s="1"/>
  <c r="O1051" i="13" l="1"/>
  <c r="N1051" i="13" s="1"/>
  <c r="O1052" i="13" l="1"/>
  <c r="N1052" i="13" s="1"/>
  <c r="O1053" i="13" l="1"/>
  <c r="N1053" i="13" s="1"/>
  <c r="O1054" i="13" l="1"/>
  <c r="N1054" i="13" s="1"/>
  <c r="O1055" i="13" l="1"/>
  <c r="N1055" i="13" s="1"/>
  <c r="O1056" i="13" l="1"/>
  <c r="N1056" i="13" s="1"/>
  <c r="O1057" i="13" l="1"/>
  <c r="N1057" i="13" s="1"/>
  <c r="O1058" i="13" l="1"/>
  <c r="N1058" i="13" s="1"/>
  <c r="O1059" i="13" l="1"/>
  <c r="N1059" i="13" s="1"/>
  <c r="O1060" i="13" l="1"/>
  <c r="N1060" i="13" s="1"/>
  <c r="O1061" i="13" l="1"/>
  <c r="N1061" i="13" s="1"/>
  <c r="O1062" i="13" l="1"/>
  <c r="N1062" i="13" s="1"/>
  <c r="O1063" i="13" l="1"/>
  <c r="N1063" i="13" s="1"/>
  <c r="O1064" i="13" l="1"/>
  <c r="N1064" i="13" s="1"/>
  <c r="O1065" i="13" l="1"/>
  <c r="N1065" i="13" s="1"/>
  <c r="O1066" i="13" l="1"/>
  <c r="N1066" i="13" s="1"/>
  <c r="O1067" i="13" l="1"/>
  <c r="N1067" i="13" s="1"/>
  <c r="O1068" i="13" l="1"/>
  <c r="N1068" i="13" s="1"/>
  <c r="O1069" i="13" l="1"/>
  <c r="N1069" i="13" s="1"/>
  <c r="O1070" i="13" l="1"/>
  <c r="N1070" i="13" s="1"/>
  <c r="O1071" i="13" l="1"/>
  <c r="N1071" i="13" s="1"/>
  <c r="O1072" i="13" l="1"/>
  <c r="N1072" i="13" s="1"/>
  <c r="O1073" i="13" l="1"/>
  <c r="N1073" i="13" s="1"/>
  <c r="O1074" i="13" l="1"/>
  <c r="N1074" i="13" s="1"/>
  <c r="O1075" i="13" l="1"/>
  <c r="N1075" i="13" s="1"/>
  <c r="O1076" i="13" l="1"/>
  <c r="N1076" i="13" s="1"/>
  <c r="O1077" i="13" l="1"/>
  <c r="N1077" i="13" s="1"/>
  <c r="O1078" i="13" l="1"/>
  <c r="N1078" i="13" s="1"/>
  <c r="O1079" i="13" l="1"/>
  <c r="N1079" i="13" s="1"/>
  <c r="O1080" i="13" l="1"/>
  <c r="N1080" i="13" s="1"/>
  <c r="O1081" i="13" l="1"/>
  <c r="N1081" i="13" s="1"/>
  <c r="O1082" i="13" l="1"/>
  <c r="N1082" i="13" s="1"/>
  <c r="O1083" i="13" l="1"/>
  <c r="N1083" i="13" s="1"/>
  <c r="O1084" i="13" l="1"/>
  <c r="N1084" i="13" s="1"/>
  <c r="O1085" i="13" l="1"/>
  <c r="N1085" i="13" s="1"/>
  <c r="O1086" i="13" l="1"/>
  <c r="N1086" i="13" s="1"/>
  <c r="O1087" i="13" l="1"/>
  <c r="N1087" i="13" s="1"/>
  <c r="O1088" i="13" l="1"/>
  <c r="N1088" i="13" s="1"/>
  <c r="O1089" i="13" l="1"/>
  <c r="N1089" i="13" s="1"/>
  <c r="O1090" i="13" l="1"/>
  <c r="N1090" i="13" s="1"/>
  <c r="O1091" i="13" l="1"/>
  <c r="N1091" i="13" s="1"/>
  <c r="O1092" i="13" l="1"/>
  <c r="N1092" i="13" s="1"/>
  <c r="O1093" i="13" l="1"/>
  <c r="N1093" i="13" s="1"/>
  <c r="O1094" i="13" l="1"/>
  <c r="N1094" i="13" s="1"/>
  <c r="O1095" i="13" l="1"/>
  <c r="N1095" i="13" s="1"/>
  <c r="O1096" i="13" l="1"/>
  <c r="N1096" i="13" s="1"/>
  <c r="O1097" i="13" l="1"/>
  <c r="N1097" i="13" s="1"/>
  <c r="O1098" i="13" l="1"/>
  <c r="N1098" i="13" s="1"/>
  <c r="O1099" i="13" l="1"/>
  <c r="N1099" i="13" s="1"/>
  <c r="O1100" i="13" l="1"/>
  <c r="N1100" i="13" s="1"/>
  <c r="O1101" i="13" l="1"/>
  <c r="N1101" i="13" s="1"/>
  <c r="O1102" i="13" l="1"/>
  <c r="N1102" i="13" s="1"/>
  <c r="O1103" i="13" l="1"/>
  <c r="N1103" i="13" s="1"/>
  <c r="O1104" i="13" l="1"/>
  <c r="N1104" i="13" s="1"/>
  <c r="O1105" i="13" l="1"/>
  <c r="N1105" i="13" s="1"/>
  <c r="O1106" i="13" l="1"/>
  <c r="N1106" i="13" s="1"/>
  <c r="O1107" i="13" l="1"/>
  <c r="N1107" i="13" s="1"/>
  <c r="O1108" i="13" l="1"/>
  <c r="N1108" i="13" s="1"/>
  <c r="O1109" i="13" l="1"/>
  <c r="N1109" i="13" s="1"/>
  <c r="O1110" i="13" l="1"/>
  <c r="N1110" i="13" s="1"/>
  <c r="O1111" i="13" l="1"/>
  <c r="N1111" i="13" s="1"/>
  <c r="O1112" i="13" l="1"/>
  <c r="N1112" i="13" s="1"/>
  <c r="O1113" i="13" l="1"/>
  <c r="N1113" i="13" s="1"/>
  <c r="O1114" i="13" l="1"/>
  <c r="N1114" i="13" s="1"/>
  <c r="O1115" i="13" l="1"/>
  <c r="N1115" i="13" s="1"/>
  <c r="O1116" i="13" l="1"/>
  <c r="N1116" i="13" s="1"/>
  <c r="O1117" i="13" l="1"/>
  <c r="N1117" i="13" s="1"/>
  <c r="O1118" i="13" l="1"/>
  <c r="N1118" i="13" s="1"/>
  <c r="O1119" i="13" l="1"/>
  <c r="N1119" i="13" s="1"/>
  <c r="O1120" i="13" l="1"/>
  <c r="N1120" i="13" s="1"/>
  <c r="O1121" i="13" l="1"/>
  <c r="N1121" i="13" s="1"/>
  <c r="O1122" i="13" l="1"/>
  <c r="N1122" i="13" s="1"/>
  <c r="O1123" i="13" l="1"/>
  <c r="N1123" i="13" s="1"/>
  <c r="O1124" i="13" l="1"/>
  <c r="N1124" i="13" s="1"/>
  <c r="O1125" i="13" l="1"/>
  <c r="N1125" i="13" s="1"/>
  <c r="O1126" i="13" l="1"/>
  <c r="N1126" i="13" s="1"/>
  <c r="O1127" i="13" l="1"/>
  <c r="N1127" i="13" s="1"/>
  <c r="O1128" i="13" l="1"/>
  <c r="N1128" i="13" s="1"/>
  <c r="O1129" i="13" l="1"/>
  <c r="N1129" i="13" s="1"/>
  <c r="O1130" i="13" l="1"/>
  <c r="N1130" i="13" s="1"/>
  <c r="O1131" i="13" l="1"/>
  <c r="N1131" i="13" s="1"/>
  <c r="O1132" i="13" l="1"/>
  <c r="N1132" i="13" s="1"/>
  <c r="O1133" i="13" l="1"/>
  <c r="N1133" i="13" s="1"/>
  <c r="O1134" i="13" l="1"/>
  <c r="N1134" i="13" s="1"/>
  <c r="O1135" i="13" l="1"/>
  <c r="N1135" i="13" s="1"/>
  <c r="O1136" i="13" l="1"/>
  <c r="N1136" i="13" s="1"/>
  <c r="O1137" i="13" l="1"/>
  <c r="N1137" i="13" s="1"/>
  <c r="O1138" i="13" l="1"/>
  <c r="N1138" i="13" s="1"/>
  <c r="O1139" i="13" l="1"/>
  <c r="N1139" i="13" s="1"/>
  <c r="O1140" i="13" l="1"/>
  <c r="N1140" i="13" s="1"/>
  <c r="O1141" i="13" l="1"/>
  <c r="N1141" i="13" s="1"/>
  <c r="O1142" i="13" l="1"/>
  <c r="N1142" i="13" s="1"/>
  <c r="O1143" i="13" l="1"/>
  <c r="N1143" i="13" s="1"/>
  <c r="O1144" i="13" l="1"/>
  <c r="N1144" i="13" s="1"/>
  <c r="O1145" i="13" l="1"/>
  <c r="N1145" i="13" s="1"/>
  <c r="O1146" i="13" l="1"/>
  <c r="N1146" i="13" s="1"/>
  <c r="O1147" i="13" l="1"/>
  <c r="N1147" i="13" s="1"/>
  <c r="O1148" i="13" l="1"/>
  <c r="N1148" i="13" s="1"/>
  <c r="O1149" i="13" l="1"/>
  <c r="N1149" i="13" s="1"/>
  <c r="O1150" i="13" l="1"/>
  <c r="N1150" i="13" s="1"/>
  <c r="O1151" i="13" l="1"/>
  <c r="N1151" i="13" s="1"/>
  <c r="O1152" i="13" l="1"/>
  <c r="N1152" i="13" s="1"/>
  <c r="O1153" i="13" l="1"/>
  <c r="N1153" i="13" s="1"/>
  <c r="O1154" i="13" l="1"/>
  <c r="N1154" i="13" s="1"/>
  <c r="O1155" i="13" l="1"/>
  <c r="N1155" i="13" s="1"/>
  <c r="O1156" i="13" l="1"/>
  <c r="N1156" i="13" s="1"/>
  <c r="O1157" i="13" l="1"/>
  <c r="N1157" i="13" s="1"/>
  <c r="O1158" i="13" l="1"/>
  <c r="N1158" i="13" s="1"/>
  <c r="O1159" i="13" l="1"/>
  <c r="N1159" i="13" s="1"/>
  <c r="O1160" i="13" l="1"/>
  <c r="N1160" i="13" s="1"/>
  <c r="O1161" i="13" l="1"/>
  <c r="N1161" i="13" s="1"/>
  <c r="O1162" i="13" l="1"/>
  <c r="N1162" i="13" s="1"/>
  <c r="O1163" i="13" l="1"/>
  <c r="N1163" i="13" s="1"/>
  <c r="O1164" i="13" l="1"/>
  <c r="N1164" i="13" s="1"/>
  <c r="O1165" i="13" l="1"/>
  <c r="N1165" i="13" s="1"/>
  <c r="O1166" i="13" l="1"/>
  <c r="N1166" i="13" s="1"/>
  <c r="O1167" i="13" l="1"/>
  <c r="N1167" i="13" s="1"/>
  <c r="O1168" i="13" l="1"/>
  <c r="N1168" i="13" s="1"/>
  <c r="O1169" i="13" l="1"/>
  <c r="N1169" i="13" s="1"/>
  <c r="O1170" i="13" l="1"/>
  <c r="N1170" i="13" s="1"/>
  <c r="O1171" i="13" l="1"/>
  <c r="N1171" i="13" s="1"/>
  <c r="O1172" i="13" l="1"/>
  <c r="N1172" i="13" s="1"/>
  <c r="O1173" i="13" l="1"/>
  <c r="N1173" i="13" s="1"/>
  <c r="O1174" i="13" l="1"/>
  <c r="N1174" i="13" s="1"/>
  <c r="O1175" i="13" l="1"/>
  <c r="N1175" i="13" s="1"/>
  <c r="O1176" i="13" l="1"/>
  <c r="N1176" i="13" s="1"/>
  <c r="O1177" i="13" l="1"/>
  <c r="N1177" i="13" s="1"/>
  <c r="O1178" i="13" l="1"/>
  <c r="N1178" i="13" s="1"/>
  <c r="O1179" i="13" l="1"/>
  <c r="N1179" i="13" s="1"/>
  <c r="O1180" i="13" l="1"/>
  <c r="N1180" i="13" s="1"/>
  <c r="O1181" i="13" l="1"/>
  <c r="N1181" i="13" s="1"/>
  <c r="O1182" i="13" l="1"/>
  <c r="N1182" i="13" s="1"/>
  <c r="O1183" i="13" l="1"/>
  <c r="N1183" i="13" s="1"/>
  <c r="O1184" i="13" l="1"/>
  <c r="N1184" i="13" s="1"/>
  <c r="O1185" i="13" l="1"/>
  <c r="N1185" i="13" s="1"/>
  <c r="O1186" i="13" l="1"/>
  <c r="N1186" i="13" s="1"/>
  <c r="O1187" i="13" l="1"/>
  <c r="N1187" i="13" s="1"/>
  <c r="O1188" i="13" l="1"/>
  <c r="N1188" i="13" s="1"/>
  <c r="O1189" i="13" l="1"/>
  <c r="N1189" i="13" s="1"/>
  <c r="O1190" i="13" l="1"/>
  <c r="N1190" i="13" s="1"/>
  <c r="O1191" i="13" l="1"/>
  <c r="N1191" i="13" s="1"/>
  <c r="O1192" i="13" l="1"/>
  <c r="N1192" i="13" s="1"/>
  <c r="O1193" i="13" l="1"/>
  <c r="N1193" i="13" s="1"/>
  <c r="O1194" i="13" l="1"/>
  <c r="N1194" i="13" s="1"/>
  <c r="O1195" i="13" l="1"/>
  <c r="N1195" i="13" s="1"/>
  <c r="O1196" i="13" l="1"/>
  <c r="N1196" i="13" s="1"/>
  <c r="O1197" i="13" l="1"/>
  <c r="N1197" i="13" s="1"/>
  <c r="O1198" i="13" l="1"/>
  <c r="N1198" i="13" s="1"/>
  <c r="O1199" i="13" l="1"/>
  <c r="N1199" i="13" s="1"/>
  <c r="O1200" i="13" l="1"/>
  <c r="N1200" i="13" s="1"/>
  <c r="O1201" i="13" l="1"/>
  <c r="N1201" i="13" s="1"/>
  <c r="O1202" i="13" l="1"/>
  <c r="N1202" i="13" s="1"/>
  <c r="O1203" i="13" l="1"/>
  <c r="N1203" i="13" s="1"/>
  <c r="O1204" i="13" l="1"/>
  <c r="N1204" i="13" s="1"/>
  <c r="O1205" i="13" l="1"/>
  <c r="N1205" i="13" s="1"/>
  <c r="O1206" i="13" l="1"/>
  <c r="N1206" i="13" s="1"/>
  <c r="O1207" i="13" l="1"/>
  <c r="N1207" i="13" s="1"/>
  <c r="O1208" i="13" l="1"/>
  <c r="N1208" i="13" s="1"/>
  <c r="O1209" i="13" l="1"/>
  <c r="N1209" i="13" s="1"/>
  <c r="O1210" i="13" l="1"/>
  <c r="N1210" i="13" s="1"/>
  <c r="O1211" i="13" l="1"/>
  <c r="N1211" i="13" s="1"/>
  <c r="O1212" i="13" l="1"/>
  <c r="N1212" i="13" s="1"/>
  <c r="O1213" i="13" l="1"/>
  <c r="N1213" i="13" s="1"/>
  <c r="O1214" i="13" l="1"/>
  <c r="N1214" i="13" s="1"/>
  <c r="O1215" i="13" l="1"/>
  <c r="N1215" i="13" s="1"/>
  <c r="O1216" i="13" l="1"/>
  <c r="N1216" i="13" s="1"/>
  <c r="O1217" i="13" l="1"/>
  <c r="N1217" i="13" s="1"/>
  <c r="O1218" i="13" l="1"/>
  <c r="N1218" i="13" s="1"/>
  <c r="O1219" i="13" l="1"/>
  <c r="N1219" i="13" s="1"/>
  <c r="O1220" i="13" l="1"/>
  <c r="N1220" i="13" s="1"/>
  <c r="O1221" i="13" l="1"/>
  <c r="N1221" i="13" s="1"/>
  <c r="O1222" i="13" l="1"/>
  <c r="N1222" i="13" s="1"/>
  <c r="O1223" i="13" l="1"/>
  <c r="N1223" i="13" s="1"/>
  <c r="O1224" i="13" l="1"/>
  <c r="N1224" i="13" s="1"/>
  <c r="O1225" i="13" l="1"/>
  <c r="N1225" i="13" s="1"/>
  <c r="O1226" i="13" l="1"/>
  <c r="N1226" i="13" s="1"/>
  <c r="O1227" i="13" l="1"/>
  <c r="N1227" i="13" s="1"/>
  <c r="O1228" i="13" l="1"/>
  <c r="N1228" i="13" s="1"/>
  <c r="O1229" i="13" l="1"/>
  <c r="N1229" i="13" s="1"/>
  <c r="O1230" i="13" l="1"/>
  <c r="N1230" i="13" s="1"/>
  <c r="O1231" i="13" l="1"/>
  <c r="N1231" i="13" s="1"/>
  <c r="O1232" i="13" l="1"/>
  <c r="N1232" i="13" s="1"/>
  <c r="O1233" i="13" l="1"/>
  <c r="N1233" i="13" s="1"/>
  <c r="O1234" i="13" l="1"/>
  <c r="N1234" i="13" s="1"/>
  <c r="O1235" i="13" l="1"/>
  <c r="N1235" i="13" s="1"/>
  <c r="O1236" i="13" l="1"/>
  <c r="N1236" i="13" s="1"/>
  <c r="O1237" i="13" l="1"/>
  <c r="N1237" i="13" s="1"/>
  <c r="O1238" i="13" l="1"/>
  <c r="N1238" i="13" s="1"/>
  <c r="O1239" i="13" l="1"/>
  <c r="N1239" i="13" s="1"/>
  <c r="O1240" i="13" l="1"/>
  <c r="N1240" i="13" s="1"/>
  <c r="O1241" i="13" l="1"/>
  <c r="N1241" i="13" s="1"/>
  <c r="O1242" i="13" l="1"/>
  <c r="N1242" i="13" s="1"/>
  <c r="O1243" i="13" l="1"/>
  <c r="N1243" i="13" s="1"/>
  <c r="O1244" i="13" l="1"/>
  <c r="N1244" i="13" s="1"/>
  <c r="O1245" i="13" l="1"/>
  <c r="N1245" i="13" s="1"/>
  <c r="O1246" i="13" l="1"/>
  <c r="N1246" i="13" s="1"/>
  <c r="O1247" i="13" l="1"/>
  <c r="N1247" i="13" s="1"/>
  <c r="O1248" i="13" l="1"/>
  <c r="N1248" i="13" s="1"/>
  <c r="O1249" i="13" l="1"/>
  <c r="N1249" i="13" s="1"/>
  <c r="O1250" i="13" l="1"/>
  <c r="N1250" i="13" s="1"/>
  <c r="O1251" i="13" l="1"/>
  <c r="N1251" i="13" s="1"/>
  <c r="O1252" i="13" l="1"/>
  <c r="N1252" i="13" s="1"/>
  <c r="O1253" i="13" l="1"/>
  <c r="N1253" i="13" s="1"/>
  <c r="O1254" i="13" l="1"/>
  <c r="N1254" i="13" s="1"/>
  <c r="O1255" i="13" l="1"/>
  <c r="N1255" i="13" s="1"/>
  <c r="O1256" i="13" l="1"/>
  <c r="N1256" i="13" s="1"/>
  <c r="O1257" i="13" l="1"/>
  <c r="N1257" i="13" s="1"/>
  <c r="O1258" i="13" l="1"/>
  <c r="N1258" i="13" s="1"/>
  <c r="O1259" i="13" l="1"/>
  <c r="N1259" i="13" s="1"/>
  <c r="O1260" i="13" l="1"/>
  <c r="N1260" i="13" s="1"/>
  <c r="O1261" i="13" l="1"/>
  <c r="N1261" i="13" s="1"/>
  <c r="O1262" i="13" l="1"/>
  <c r="N1262" i="13" s="1"/>
  <c r="O1263" i="13" l="1"/>
  <c r="N1263" i="13" s="1"/>
  <c r="O1264" i="13" l="1"/>
  <c r="N1264" i="13" s="1"/>
  <c r="O1265" i="13" l="1"/>
  <c r="N1265" i="13" s="1"/>
  <c r="O1266" i="13" l="1"/>
  <c r="N1266" i="13" s="1"/>
  <c r="O1267" i="13" l="1"/>
  <c r="N1267" i="13" s="1"/>
  <c r="O1268" i="13" l="1"/>
  <c r="N1268" i="13" s="1"/>
  <c r="O1269" i="13" l="1"/>
  <c r="N1269" i="13" s="1"/>
  <c r="O1270" i="13" l="1"/>
  <c r="N1270" i="13" s="1"/>
  <c r="O1271" i="13" l="1"/>
  <c r="N1271" i="13" s="1"/>
  <c r="O1272" i="13" l="1"/>
  <c r="N1272" i="13" s="1"/>
  <c r="O1273" i="13" l="1"/>
  <c r="N1273" i="13" s="1"/>
  <c r="O1274" i="13" l="1"/>
  <c r="N1274" i="13" s="1"/>
  <c r="O1275" i="13" l="1"/>
  <c r="N1275" i="13" s="1"/>
  <c r="O1276" i="13" l="1"/>
  <c r="N1276" i="13" s="1"/>
  <c r="O1277" i="13" l="1"/>
  <c r="N1277" i="13" s="1"/>
  <c r="O1278" i="13" l="1"/>
  <c r="N1278" i="13" s="1"/>
  <c r="O1279" i="13" l="1"/>
  <c r="N1279" i="13" s="1"/>
  <c r="O1280" i="13" l="1"/>
  <c r="N1280" i="13" s="1"/>
  <c r="O1281" i="13" l="1"/>
  <c r="N1281" i="13" s="1"/>
  <c r="O1282" i="13" l="1"/>
  <c r="N1282" i="13" s="1"/>
  <c r="O1283" i="13" l="1"/>
  <c r="N1283" i="13" s="1"/>
  <c r="O1284" i="13" l="1"/>
  <c r="N1284" i="13" s="1"/>
  <c r="O1285" i="13" l="1"/>
  <c r="N1285" i="13" s="1"/>
  <c r="O1286" i="13" l="1"/>
  <c r="N1286" i="13" s="1"/>
  <c r="O1287" i="13" l="1"/>
  <c r="N1287" i="13" s="1"/>
  <c r="O1288" i="13" l="1"/>
  <c r="N1288" i="13" s="1"/>
  <c r="O1289" i="13" l="1"/>
  <c r="N1289" i="13" s="1"/>
  <c r="O1290" i="13" l="1"/>
  <c r="N1290" i="13" s="1"/>
  <c r="O1291" i="13" l="1"/>
  <c r="N1291" i="13" s="1"/>
  <c r="O1292" i="13" l="1"/>
  <c r="N1292" i="13" s="1"/>
  <c r="O1293" i="13" l="1"/>
  <c r="N1293" i="13" s="1"/>
  <c r="O1294" i="13" l="1"/>
  <c r="N1294" i="13" s="1"/>
  <c r="O1295" i="13" l="1"/>
  <c r="N1295" i="13" s="1"/>
  <c r="O1296" i="13" l="1"/>
  <c r="N1296" i="13" s="1"/>
  <c r="O1297" i="13" l="1"/>
  <c r="N1297" i="13" s="1"/>
  <c r="O1298" i="13" l="1"/>
  <c r="N1298" i="13" s="1"/>
  <c r="O1299" i="13" l="1"/>
  <c r="N1299" i="13" s="1"/>
  <c r="O1300" i="13" l="1"/>
  <c r="N1300" i="13" s="1"/>
  <c r="O1301" i="13" l="1"/>
  <c r="N1301" i="13" s="1"/>
  <c r="O1302" i="13" l="1"/>
  <c r="N1302" i="13" s="1"/>
  <c r="O1303" i="13" l="1"/>
  <c r="N1303" i="13" s="1"/>
  <c r="O1304" i="13" l="1"/>
  <c r="N1304" i="13" s="1"/>
  <c r="O1305" i="13" l="1"/>
  <c r="N1305" i="13" s="1"/>
  <c r="O1306" i="13" l="1"/>
  <c r="N1306" i="13" s="1"/>
  <c r="O1307" i="13" l="1"/>
  <c r="N1307" i="13" s="1"/>
  <c r="O1308" i="13" l="1"/>
  <c r="N1308" i="13" s="1"/>
  <c r="O1309" i="13" l="1"/>
  <c r="N1309" i="13" s="1"/>
  <c r="O1310" i="13" l="1"/>
  <c r="N1310" i="13" s="1"/>
  <c r="O1311" i="13" l="1"/>
  <c r="N1311" i="13" s="1"/>
  <c r="O1312" i="13" l="1"/>
  <c r="N1312" i="13" s="1"/>
  <c r="O1313" i="13" l="1"/>
  <c r="N1313" i="13" s="1"/>
  <c r="O1314" i="13" l="1"/>
  <c r="N1314" i="13" s="1"/>
  <c r="O1315" i="13" l="1"/>
  <c r="N1315" i="13" s="1"/>
  <c r="O1316" i="13" l="1"/>
  <c r="N1316" i="13" s="1"/>
  <c r="O1317" i="13" l="1"/>
  <c r="N1317" i="13" s="1"/>
  <c r="O1318" i="13" l="1"/>
  <c r="N1318" i="13" s="1"/>
  <c r="O1319" i="13" l="1"/>
  <c r="N1319" i="13" s="1"/>
  <c r="O1320" i="13" l="1"/>
  <c r="N1320" i="13" s="1"/>
  <c r="O1321" i="13" l="1"/>
  <c r="N1321" i="13" s="1"/>
  <c r="O1322" i="13" l="1"/>
  <c r="N1322" i="13" s="1"/>
  <c r="O1323" i="13" l="1"/>
  <c r="N1323" i="13" s="1"/>
  <c r="O1324" i="13" l="1"/>
  <c r="N1324" i="13" s="1"/>
  <c r="O1325" i="13" l="1"/>
  <c r="N1325" i="13" s="1"/>
  <c r="O1326" i="13" l="1"/>
  <c r="N1326" i="13" s="1"/>
  <c r="O1327" i="13" l="1"/>
  <c r="N1327" i="13" s="1"/>
  <c r="O1328" i="13" l="1"/>
  <c r="N1328" i="13" s="1"/>
  <c r="O1329" i="13" l="1"/>
  <c r="N1329" i="13" s="1"/>
  <c r="O1330" i="13" l="1"/>
  <c r="N1330" i="13" s="1"/>
  <c r="O1331" i="13" l="1"/>
  <c r="N1331" i="13" s="1"/>
  <c r="O1332" i="13" l="1"/>
  <c r="N1332" i="13" s="1"/>
  <c r="O1333" i="13" l="1"/>
  <c r="N1333" i="13" s="1"/>
  <c r="O1334" i="13" l="1"/>
  <c r="N1334" i="13" s="1"/>
  <c r="O1335" i="13" l="1"/>
  <c r="N1335" i="13" s="1"/>
  <c r="O1336" i="13" l="1"/>
  <c r="N1336" i="13" s="1"/>
  <c r="O1337" i="13" l="1"/>
  <c r="N1337" i="13" s="1"/>
  <c r="O1338" i="13" l="1"/>
  <c r="N1338" i="13" s="1"/>
  <c r="O1339" i="13" l="1"/>
  <c r="N1339" i="13" s="1"/>
  <c r="O1340" i="13" l="1"/>
  <c r="N1340" i="13" s="1"/>
  <c r="O1341" i="13" l="1"/>
  <c r="N1341" i="13" s="1"/>
  <c r="O1342" i="13" l="1"/>
  <c r="N1342" i="13" s="1"/>
  <c r="O1343" i="13" l="1"/>
  <c r="N1343" i="13" s="1"/>
  <c r="O1344" i="13" l="1"/>
  <c r="N1344" i="13" s="1"/>
  <c r="O1345" i="13" l="1"/>
  <c r="N1345" i="13" s="1"/>
  <c r="O1346" i="13" l="1"/>
  <c r="N1346" i="13" s="1"/>
  <c r="O1347" i="13" l="1"/>
  <c r="N1347" i="13" s="1"/>
  <c r="O1348" i="13" l="1"/>
  <c r="N1348" i="13" s="1"/>
  <c r="O1349" i="13" l="1"/>
  <c r="N1349" i="13" s="1"/>
  <c r="O1350" i="13" l="1"/>
  <c r="N1350" i="13" s="1"/>
  <c r="O1351" i="13" l="1"/>
  <c r="N1351" i="13" s="1"/>
  <c r="O1352" i="13" l="1"/>
  <c r="N1352" i="13" s="1"/>
  <c r="O1353" i="13" l="1"/>
  <c r="N1353" i="13" s="1"/>
  <c r="O1354" i="13" l="1"/>
  <c r="N1354" i="13" s="1"/>
  <c r="O1355" i="13" l="1"/>
  <c r="N1355" i="13" s="1"/>
  <c r="O1356" i="13" l="1"/>
  <c r="N1356" i="13" s="1"/>
  <c r="O1357" i="13" l="1"/>
  <c r="N1357" i="13" s="1"/>
  <c r="O1358" i="13" l="1"/>
  <c r="N1358" i="13" s="1"/>
  <c r="O1359" i="13" l="1"/>
  <c r="N1359" i="13" s="1"/>
  <c r="O1360" i="13" l="1"/>
  <c r="N1360" i="13" s="1"/>
  <c r="O1361" i="13" l="1"/>
  <c r="N1361" i="13" s="1"/>
  <c r="O1362" i="13" l="1"/>
  <c r="N1362" i="13" s="1"/>
  <c r="O1363" i="13" l="1"/>
  <c r="N1363" i="13" s="1"/>
  <c r="O1364" i="13" l="1"/>
  <c r="N1364" i="13" s="1"/>
  <c r="O1365" i="13" l="1"/>
  <c r="N1365" i="13" s="1"/>
  <c r="O1366" i="13" l="1"/>
  <c r="N1366" i="13" s="1"/>
  <c r="O1367" i="13" l="1"/>
  <c r="N1367" i="13" s="1"/>
  <c r="O1368" i="13" l="1"/>
  <c r="N1368" i="13" s="1"/>
  <c r="O1369" i="13" l="1"/>
  <c r="N1369" i="13" s="1"/>
  <c r="O1370" i="13" l="1"/>
  <c r="N1370" i="13" s="1"/>
  <c r="O1371" i="13" l="1"/>
  <c r="N1371" i="13" s="1"/>
  <c r="O1372" i="13" l="1"/>
  <c r="N1372" i="13" s="1"/>
  <c r="O1373" i="13" l="1"/>
  <c r="N1373" i="13" s="1"/>
  <c r="O1374" i="13" l="1"/>
  <c r="N1374" i="13" s="1"/>
  <c r="O1375" i="13" l="1"/>
  <c r="N1375" i="13" s="1"/>
  <c r="O1376" i="13" l="1"/>
  <c r="N1376" i="13" s="1"/>
  <c r="O1377" i="13" l="1"/>
  <c r="N1377" i="13" s="1"/>
  <c r="O1378" i="13" l="1"/>
  <c r="N1378" i="13" s="1"/>
  <c r="O1379" i="13" l="1"/>
  <c r="N1379" i="13" s="1"/>
  <c r="O1380" i="13" l="1"/>
  <c r="N1380" i="13" s="1"/>
  <c r="O1381" i="13" l="1"/>
  <c r="N1381" i="13" s="1"/>
  <c r="O1382" i="13" l="1"/>
  <c r="N1382" i="13" s="1"/>
  <c r="O1383" i="13" l="1"/>
  <c r="N1383" i="13" s="1"/>
  <c r="O1384" i="13" l="1"/>
  <c r="N1384" i="13" s="1"/>
  <c r="O1385" i="13" l="1"/>
  <c r="N1385" i="13" s="1"/>
  <c r="O1386" i="13" l="1"/>
  <c r="N1386" i="13" s="1"/>
  <c r="O1387" i="13" l="1"/>
  <c r="N1387" i="13" s="1"/>
  <c r="O1388" i="13" l="1"/>
  <c r="N1388" i="13" s="1"/>
  <c r="O1389" i="13" l="1"/>
  <c r="N1389" i="13" s="1"/>
  <c r="O1390" i="13" l="1"/>
  <c r="N1390" i="13" s="1"/>
  <c r="O1391" i="13" l="1"/>
  <c r="N1391" i="13" s="1"/>
  <c r="O1392" i="13" l="1"/>
  <c r="N1392" i="13" s="1"/>
  <c r="O1393" i="13" l="1"/>
  <c r="N1393" i="13" s="1"/>
  <c r="O1394" i="13" l="1"/>
  <c r="N1394" i="13" s="1"/>
  <c r="O1395" i="13" l="1"/>
  <c r="N1395" i="13" s="1"/>
  <c r="O1396" i="13" l="1"/>
  <c r="N1396" i="13" s="1"/>
  <c r="O1397" i="13" l="1"/>
  <c r="N1397" i="13" s="1"/>
  <c r="O1398" i="13" l="1"/>
  <c r="N1398" i="13" s="1"/>
  <c r="O1399" i="13" l="1"/>
  <c r="N1399" i="13" s="1"/>
  <c r="O1400" i="13" l="1"/>
  <c r="N1400" i="13" s="1"/>
  <c r="O1401" i="13" l="1"/>
  <c r="N1401" i="13" s="1"/>
  <c r="O1402" i="13" l="1"/>
  <c r="N1402" i="13" s="1"/>
  <c r="O1403" i="13" l="1"/>
  <c r="N1403" i="13" s="1"/>
  <c r="O1404" i="13" l="1"/>
  <c r="N1404" i="13" s="1"/>
  <c r="O1405" i="13" l="1"/>
  <c r="N1405" i="13" s="1"/>
  <c r="O1406" i="13" l="1"/>
  <c r="N1406" i="13" s="1"/>
  <c r="O1407" i="13" l="1"/>
  <c r="N1407" i="13" s="1"/>
  <c r="O1408" i="13" l="1"/>
  <c r="N1408" i="13" s="1"/>
  <c r="O1409" i="13" l="1"/>
  <c r="N1409" i="13" s="1"/>
  <c r="O1410" i="13" l="1"/>
  <c r="N1410" i="13" s="1"/>
  <c r="O1411" i="13" l="1"/>
  <c r="N1411" i="13" s="1"/>
  <c r="O1412" i="13" l="1"/>
  <c r="N1412" i="13" s="1"/>
  <c r="O1413" i="13" l="1"/>
  <c r="N1413" i="13" s="1"/>
  <c r="O1414" i="13" l="1"/>
  <c r="N1414" i="13" s="1"/>
  <c r="O1415" i="13" l="1"/>
  <c r="N1415" i="13" s="1"/>
  <c r="O1416" i="13" l="1"/>
  <c r="N1416" i="13" s="1"/>
  <c r="O1417" i="13" l="1"/>
  <c r="N1417" i="13" s="1"/>
  <c r="O1418" i="13" l="1"/>
  <c r="N1418" i="13" s="1"/>
  <c r="O1419" i="13" l="1"/>
  <c r="N1419" i="13" s="1"/>
  <c r="O1420" i="13" l="1"/>
  <c r="N1420" i="13" s="1"/>
  <c r="O1421" i="13" l="1"/>
  <c r="N1421" i="13" s="1"/>
  <c r="O1422" i="13" l="1"/>
  <c r="N1422" i="13" s="1"/>
  <c r="O1423" i="13" l="1"/>
  <c r="N1423" i="13" s="1"/>
  <c r="O1424" i="13" l="1"/>
  <c r="N1424" i="13" s="1"/>
  <c r="O1425" i="13" l="1"/>
  <c r="N1425" i="13" s="1"/>
  <c r="O1426" i="13" l="1"/>
  <c r="N1426" i="13" s="1"/>
  <c r="O1427" i="13" l="1"/>
  <c r="N1427" i="13" s="1"/>
  <c r="O1428" i="13" l="1"/>
  <c r="N1428" i="13" s="1"/>
  <c r="O1429" i="13" l="1"/>
  <c r="N1429" i="13" s="1"/>
  <c r="O1430" i="13" l="1"/>
  <c r="N1430" i="13" s="1"/>
  <c r="O1431" i="13" l="1"/>
  <c r="N1431" i="13" s="1"/>
  <c r="O1432" i="13" l="1"/>
  <c r="N1432" i="13" s="1"/>
  <c r="O1433" i="13" l="1"/>
  <c r="N1433" i="13" s="1"/>
  <c r="O1434" i="13" l="1"/>
  <c r="N1434" i="13" s="1"/>
  <c r="O1435" i="13" l="1"/>
  <c r="N1435" i="13" s="1"/>
  <c r="O1436" i="13" l="1"/>
  <c r="N1436" i="13" s="1"/>
  <c r="O1437" i="13" l="1"/>
  <c r="N1437" i="13" s="1"/>
  <c r="O1438" i="13" l="1"/>
  <c r="N1438" i="13" s="1"/>
  <c r="O1439" i="13" l="1"/>
  <c r="N1439" i="13" s="1"/>
  <c r="O1440" i="13" l="1"/>
  <c r="N1440" i="13" s="1"/>
  <c r="O1441" i="13" l="1"/>
  <c r="N1441" i="13" s="1"/>
  <c r="O1442" i="13" l="1"/>
  <c r="N1442" i="13" s="1"/>
  <c r="O1443" i="13" l="1"/>
  <c r="N1443" i="13" s="1"/>
  <c r="O1444" i="13" l="1"/>
  <c r="N1444" i="13" s="1"/>
  <c r="O1445" i="13" l="1"/>
  <c r="N1445" i="13" s="1"/>
  <c r="O1446" i="13" l="1"/>
  <c r="N1446" i="13" s="1"/>
  <c r="O1447" i="13" l="1"/>
  <c r="N1447" i="13" s="1"/>
  <c r="O1448" i="13" l="1"/>
  <c r="N1448" i="13" s="1"/>
  <c r="O1449" i="13" l="1"/>
  <c r="N1449" i="13" s="1"/>
  <c r="O1450" i="13" l="1"/>
  <c r="N1450" i="13" s="1"/>
  <c r="O1451" i="13" l="1"/>
  <c r="N1451" i="13" s="1"/>
  <c r="O1452" i="13" l="1"/>
  <c r="N1452" i="13" s="1"/>
  <c r="O1453" i="13" l="1"/>
  <c r="N1453" i="13" s="1"/>
  <c r="O1454" i="13" l="1"/>
  <c r="N1454" i="13" s="1"/>
  <c r="O1455" i="13" l="1"/>
  <c r="N1455" i="13" s="1"/>
  <c r="O1456" i="13" l="1"/>
  <c r="N1456" i="13" s="1"/>
  <c r="O1457" i="13" l="1"/>
  <c r="N1457" i="13" s="1"/>
  <c r="O1458" i="13" l="1"/>
  <c r="N1458" i="13" s="1"/>
  <c r="O1459" i="13" l="1"/>
  <c r="N1459" i="13" s="1"/>
  <c r="O1460" i="13" l="1"/>
  <c r="N1460" i="13" s="1"/>
  <c r="O1461" i="13" l="1"/>
  <c r="N1461" i="13" s="1"/>
  <c r="O1462" i="13" l="1"/>
  <c r="N1462" i="13" s="1"/>
  <c r="O1463" i="13" l="1"/>
  <c r="N1463" i="13" s="1"/>
  <c r="O1464" i="13" l="1"/>
  <c r="N1464" i="13" s="1"/>
  <c r="O1465" i="13" l="1"/>
  <c r="N1465" i="13" s="1"/>
  <c r="O1466" i="13" l="1"/>
  <c r="N1466" i="13" s="1"/>
  <c r="O1467" i="13" l="1"/>
  <c r="N1467" i="13" s="1"/>
  <c r="O1468" i="13" l="1"/>
  <c r="N1468" i="13" s="1"/>
  <c r="O1469" i="13" l="1"/>
  <c r="N1469" i="13" s="1"/>
  <c r="O1470" i="13" l="1"/>
  <c r="N1470" i="13" s="1"/>
  <c r="O1471" i="13" l="1"/>
  <c r="N1471" i="13" s="1"/>
  <c r="O1472" i="13" l="1"/>
  <c r="N1472" i="13" s="1"/>
  <c r="O1473" i="13" l="1"/>
  <c r="N1473" i="13" s="1"/>
  <c r="O1474" i="13" l="1"/>
  <c r="N1474" i="13" s="1"/>
  <c r="O1475" i="13" l="1"/>
  <c r="N1475" i="13" s="1"/>
  <c r="O1476" i="13" l="1"/>
  <c r="N1476" i="13" s="1"/>
  <c r="O1477" i="13" l="1"/>
  <c r="N1477" i="13" s="1"/>
  <c r="O1478" i="13" l="1"/>
  <c r="N1478" i="13" s="1"/>
  <c r="O1479" i="13" l="1"/>
  <c r="N1479" i="13" s="1"/>
  <c r="O1480" i="13" l="1"/>
  <c r="N1480" i="13" s="1"/>
  <c r="O1481" i="13" l="1"/>
  <c r="N1481" i="13" s="1"/>
  <c r="O1482" i="13" l="1"/>
  <c r="N1482" i="13" s="1"/>
  <c r="O1483" i="13" l="1"/>
  <c r="N1483" i="13" s="1"/>
  <c r="O1484" i="13" l="1"/>
  <c r="N1484" i="13" s="1"/>
  <c r="O1485" i="13" l="1"/>
  <c r="N1485" i="13" s="1"/>
  <c r="O1486" i="13" l="1"/>
  <c r="N1486" i="13" s="1"/>
  <c r="O1487" i="13" l="1"/>
  <c r="N1487" i="13" s="1"/>
  <c r="O1488" i="13" l="1"/>
  <c r="N1488" i="13" s="1"/>
  <c r="O1489" i="13" l="1"/>
  <c r="N1489" i="13" s="1"/>
  <c r="O1490" i="13" l="1"/>
  <c r="N1490" i="13" s="1"/>
  <c r="O1491" i="13" l="1"/>
  <c r="N1491" i="13" s="1"/>
  <c r="O1492" i="13" l="1"/>
  <c r="N1492" i="13" s="1"/>
  <c r="O1493" i="13" l="1"/>
  <c r="N1493" i="13" s="1"/>
  <c r="O1494" i="13" l="1"/>
  <c r="N1494" i="13" s="1"/>
  <c r="O1495" i="13" l="1"/>
  <c r="N1495" i="13" s="1"/>
  <c r="O1496" i="13" l="1"/>
  <c r="N1496" i="13" s="1"/>
  <c r="O1497" i="13" l="1"/>
  <c r="N1497" i="13" s="1"/>
  <c r="O1498" i="13" l="1"/>
  <c r="N1498" i="13" s="1"/>
  <c r="O1499" i="13" l="1"/>
  <c r="N1499" i="13" s="1"/>
  <c r="O1500" i="13" l="1"/>
  <c r="N1500" i="13" s="1"/>
  <c r="O1501" i="13" l="1"/>
  <c r="N1501" i="13" s="1"/>
  <c r="O1502" i="13" l="1"/>
  <c r="N1502" i="13" s="1"/>
  <c r="O1503" i="13" l="1"/>
  <c r="N1503" i="13" s="1"/>
  <c r="O1504" i="13" l="1"/>
  <c r="N1504" i="13" s="1"/>
  <c r="O1505" i="13" l="1"/>
  <c r="N1505" i="13" s="1"/>
  <c r="O1506" i="13" l="1"/>
  <c r="N1506" i="13" s="1"/>
  <c r="O1507" i="13" l="1"/>
  <c r="N1507" i="13" s="1"/>
  <c r="O1508" i="13" l="1"/>
  <c r="N1508" i="13" s="1"/>
  <c r="O1509" i="13" l="1"/>
  <c r="N1509" i="13" s="1"/>
  <c r="O1510" i="13" l="1"/>
  <c r="N1510" i="13" s="1"/>
  <c r="O1511" i="13" l="1"/>
  <c r="N1511" i="13" s="1"/>
  <c r="O1512" i="13" l="1"/>
  <c r="N1512" i="13" s="1"/>
  <c r="O1513" i="13" l="1"/>
  <c r="N1513" i="13" s="1"/>
  <c r="O1514" i="13" l="1"/>
  <c r="N1514" i="13" s="1"/>
  <c r="O1515" i="13" l="1"/>
  <c r="N1515" i="13" s="1"/>
  <c r="O1516" i="13" l="1"/>
  <c r="N1516" i="13" s="1"/>
  <c r="O1517" i="13" l="1"/>
  <c r="N1517" i="13" s="1"/>
  <c r="O1518" i="13" l="1"/>
  <c r="N1518" i="13" s="1"/>
  <c r="O1519" i="13" l="1"/>
  <c r="N1519" i="13" s="1"/>
  <c r="O1520" i="13" l="1"/>
  <c r="N1520" i="13" s="1"/>
  <c r="O1521" i="13" l="1"/>
  <c r="N1521" i="13" s="1"/>
  <c r="O1522" i="13" l="1"/>
  <c r="N1522" i="13" s="1"/>
  <c r="O1523" i="13" l="1"/>
  <c r="N1523" i="13" s="1"/>
  <c r="O1524" i="13" l="1"/>
  <c r="N1524" i="13" s="1"/>
  <c r="O1525" i="13" l="1"/>
  <c r="N1525" i="13" s="1"/>
  <c r="O1526" i="13" l="1"/>
  <c r="N1526" i="13" s="1"/>
  <c r="O1527" i="13" l="1"/>
  <c r="N1527" i="13" s="1"/>
  <c r="O1528" i="13" l="1"/>
  <c r="N1528" i="13" s="1"/>
  <c r="O1529" i="13" l="1"/>
  <c r="N1529" i="13" s="1"/>
  <c r="O1530" i="13" l="1"/>
  <c r="N1530" i="13" s="1"/>
  <c r="O1531" i="13" l="1"/>
  <c r="N1531" i="13" s="1"/>
  <c r="O1532" i="13" l="1"/>
  <c r="N1532" i="13" s="1"/>
  <c r="O1533" i="13" l="1"/>
  <c r="N1533" i="13" s="1"/>
  <c r="O1534" i="13" l="1"/>
  <c r="N1534" i="13" s="1"/>
  <c r="O1535" i="13" l="1"/>
  <c r="N1535" i="13" s="1"/>
  <c r="O1536" i="13" l="1"/>
  <c r="N1536" i="13" s="1"/>
  <c r="O1537" i="13" l="1"/>
  <c r="N1537" i="13" s="1"/>
  <c r="O1538" i="13" l="1"/>
  <c r="N1538" i="13" s="1"/>
  <c r="O1539" i="13" l="1"/>
  <c r="N1539" i="13" s="1"/>
  <c r="O1540" i="13" l="1"/>
  <c r="N1540" i="13" s="1"/>
  <c r="O1541" i="13" l="1"/>
  <c r="N1541" i="13" s="1"/>
  <c r="O1542" i="13" l="1"/>
  <c r="N1542" i="13" s="1"/>
  <c r="O1543" i="13" l="1"/>
  <c r="N1543" i="13" s="1"/>
  <c r="O1544" i="13" l="1"/>
  <c r="N1544" i="13" s="1"/>
  <c r="O1545" i="13" l="1"/>
  <c r="N1545" i="13" s="1"/>
  <c r="O1546" i="13" l="1"/>
  <c r="N1546" i="13" s="1"/>
  <c r="O1547" i="13" l="1"/>
  <c r="N1547" i="13" s="1"/>
  <c r="O1548" i="13" l="1"/>
  <c r="N1548" i="13" s="1"/>
  <c r="O1549" i="13" l="1"/>
  <c r="N1549" i="13" s="1"/>
  <c r="O1550" i="13" l="1"/>
  <c r="N1550" i="13" s="1"/>
  <c r="O1551" i="13" l="1"/>
  <c r="N1551" i="13" s="1"/>
  <c r="O1552" i="13" l="1"/>
  <c r="N1552" i="13" s="1"/>
  <c r="O1553" i="13" l="1"/>
  <c r="N1553" i="13" s="1"/>
  <c r="O1554" i="13" l="1"/>
  <c r="N1554" i="13" s="1"/>
  <c r="O1555" i="13" l="1"/>
  <c r="N1555" i="13" s="1"/>
  <c r="O1556" i="13" l="1"/>
  <c r="N1556" i="13" s="1"/>
  <c r="O1557" i="13" l="1"/>
  <c r="N1557" i="13" s="1"/>
  <c r="O1558" i="13" l="1"/>
  <c r="N1558" i="13" s="1"/>
  <c r="O1559" i="13" l="1"/>
  <c r="N1559" i="13" s="1"/>
  <c r="O1560" i="13" l="1"/>
  <c r="N1560" i="13" s="1"/>
  <c r="O1561" i="13" l="1"/>
  <c r="N1561" i="13" s="1"/>
  <c r="O1562" i="13" l="1"/>
  <c r="N1562" i="13" s="1"/>
  <c r="O1563" i="13" l="1"/>
  <c r="N1563" i="13" s="1"/>
  <c r="O1564" i="13" l="1"/>
  <c r="N1564" i="13" s="1"/>
  <c r="O1565" i="13" l="1"/>
  <c r="N1565" i="13" s="1"/>
  <c r="O1566" i="13" l="1"/>
  <c r="N1566" i="13" s="1"/>
  <c r="O1567" i="13" l="1"/>
  <c r="N1567" i="13" s="1"/>
  <c r="O1568" i="13" l="1"/>
  <c r="N1568" i="13" s="1"/>
  <c r="O1569" i="13" l="1"/>
  <c r="N1569" i="13" s="1"/>
  <c r="O1570" i="13" l="1"/>
  <c r="N1570" i="13" s="1"/>
  <c r="O1571" i="13" l="1"/>
  <c r="N1571" i="13" s="1"/>
  <c r="O1572" i="13" l="1"/>
  <c r="N1572" i="13" s="1"/>
  <c r="O1573" i="13" l="1"/>
  <c r="N1573" i="13" s="1"/>
  <c r="O1574" i="13" l="1"/>
  <c r="N1574" i="13" s="1"/>
  <c r="O1575" i="13" l="1"/>
  <c r="N1575" i="13" s="1"/>
  <c r="O1576" i="13" l="1"/>
  <c r="N1576" i="13" s="1"/>
  <c r="O1577" i="13" l="1"/>
  <c r="N1577" i="13" s="1"/>
  <c r="O1578" i="13" l="1"/>
  <c r="N1578" i="13" s="1"/>
  <c r="O1579" i="13" l="1"/>
  <c r="N1579" i="13" s="1"/>
  <c r="O1580" i="13" l="1"/>
  <c r="N1580" i="13" s="1"/>
  <c r="O1581" i="13" l="1"/>
  <c r="N1581" i="13" s="1"/>
  <c r="O1582" i="13" l="1"/>
  <c r="N1582" i="13" s="1"/>
  <c r="O1583" i="13" l="1"/>
  <c r="N1583" i="13" s="1"/>
  <c r="O1584" i="13" l="1"/>
  <c r="N1584" i="13" s="1"/>
  <c r="O1585" i="13" l="1"/>
  <c r="N1585" i="13" s="1"/>
  <c r="O1586" i="13" l="1"/>
  <c r="N1586" i="13" s="1"/>
  <c r="O1587" i="13" l="1"/>
  <c r="N1587" i="13" s="1"/>
  <c r="O1588" i="13" l="1"/>
  <c r="N1588" i="13" s="1"/>
  <c r="O1589" i="13" l="1"/>
  <c r="N1589" i="13" s="1"/>
  <c r="O1590" i="13" l="1"/>
  <c r="N1590" i="13" s="1"/>
  <c r="O1591" i="13" l="1"/>
  <c r="N1591" i="13" s="1"/>
  <c r="O1592" i="13" l="1"/>
  <c r="N1592" i="13" s="1"/>
  <c r="O1593" i="13" l="1"/>
  <c r="N1593" i="13" s="1"/>
  <c r="O1594" i="13" l="1"/>
  <c r="N1594" i="13" s="1"/>
  <c r="O1595" i="13" l="1"/>
  <c r="N1595" i="13" s="1"/>
  <c r="O1596" i="13" l="1"/>
  <c r="N1596" i="13" s="1"/>
  <c r="O1597" i="13" l="1"/>
  <c r="N1597" i="13" s="1"/>
  <c r="O1598" i="13" l="1"/>
  <c r="N1598" i="13" s="1"/>
  <c r="O1599" i="13" l="1"/>
  <c r="N1599" i="13" s="1"/>
  <c r="O1600" i="13" l="1"/>
  <c r="N1600" i="13" s="1"/>
  <c r="O1601" i="13" l="1"/>
  <c r="N1601" i="13" s="1"/>
  <c r="O1602" i="13" l="1"/>
  <c r="N1602" i="13" s="1"/>
  <c r="O1603" i="13" l="1"/>
  <c r="N1603" i="13" s="1"/>
  <c r="O1604" i="13" l="1"/>
  <c r="N1604" i="13" s="1"/>
  <c r="O1605" i="13" l="1"/>
  <c r="N1605" i="13" s="1"/>
  <c r="O1606" i="13" l="1"/>
  <c r="N1606" i="13" s="1"/>
  <c r="O1607" i="13" l="1"/>
  <c r="N1607" i="13" s="1"/>
  <c r="O1608" i="13" l="1"/>
  <c r="N1608" i="13" s="1"/>
  <c r="O1609" i="13" l="1"/>
  <c r="N1609" i="13" s="1"/>
  <c r="O1610" i="13" l="1"/>
  <c r="N1610" i="13" s="1"/>
  <c r="O1611" i="13" l="1"/>
  <c r="N1611" i="13" s="1"/>
  <c r="O1612" i="13" l="1"/>
  <c r="N1612" i="13" s="1"/>
  <c r="O1613" i="13" l="1"/>
  <c r="N1613" i="13" s="1"/>
  <c r="O1614" i="13" l="1"/>
  <c r="N1614" i="13" s="1"/>
  <c r="O1615" i="13" l="1"/>
  <c r="N1615" i="13" s="1"/>
  <c r="O1616" i="13" l="1"/>
  <c r="N1616" i="13" s="1"/>
  <c r="O1617" i="13" l="1"/>
  <c r="N1617" i="13" s="1"/>
  <c r="O1618" i="13" l="1"/>
  <c r="N1618" i="13" s="1"/>
  <c r="O1619" i="13" l="1"/>
  <c r="N1619" i="13" s="1"/>
  <c r="O1620" i="13" l="1"/>
  <c r="N1620" i="13" s="1"/>
  <c r="O1621" i="13" l="1"/>
  <c r="N1621" i="13" s="1"/>
  <c r="O1622" i="13" l="1"/>
  <c r="N1622" i="13" s="1"/>
  <c r="O1623" i="13" l="1"/>
  <c r="N1623" i="13" s="1"/>
  <c r="O1624" i="13" l="1"/>
  <c r="N1624" i="13" s="1"/>
  <c r="O1625" i="13" l="1"/>
  <c r="N1625" i="13" s="1"/>
  <c r="O1626" i="13" l="1"/>
  <c r="N1626" i="13" s="1"/>
  <c r="O1627" i="13" l="1"/>
  <c r="N1627" i="13" s="1"/>
  <c r="O1628" i="13" l="1"/>
  <c r="N1628" i="13" s="1"/>
  <c r="O1629" i="13" l="1"/>
  <c r="N1629" i="13" s="1"/>
  <c r="O1630" i="13" l="1"/>
  <c r="N1630" i="13" s="1"/>
  <c r="O1631" i="13" l="1"/>
  <c r="N1631" i="13" s="1"/>
  <c r="O1632" i="13" l="1"/>
  <c r="N1632" i="13" s="1"/>
  <c r="O1633" i="13" l="1"/>
  <c r="N1633" i="13" s="1"/>
  <c r="O1634" i="13" l="1"/>
  <c r="N1634" i="13" s="1"/>
  <c r="O1635" i="13" l="1"/>
  <c r="N1635" i="13" s="1"/>
  <c r="O1636" i="13" l="1"/>
  <c r="N1636" i="13" s="1"/>
  <c r="O1637" i="13" l="1"/>
  <c r="N1637" i="13" s="1"/>
  <c r="O1638" i="13" l="1"/>
  <c r="N1638" i="13" s="1"/>
  <c r="O1639" i="13" l="1"/>
  <c r="N1639" i="13" s="1"/>
  <c r="O1640" i="13" l="1"/>
  <c r="N1640" i="13" s="1"/>
  <c r="O1641" i="13" l="1"/>
  <c r="N1641" i="13" s="1"/>
  <c r="O1642" i="13" l="1"/>
  <c r="N1642" i="13" s="1"/>
  <c r="O1643" i="13" l="1"/>
  <c r="N1643" i="13" s="1"/>
  <c r="O1644" i="13" l="1"/>
  <c r="N1644" i="13" s="1"/>
  <c r="O1645" i="13" l="1"/>
  <c r="N1645" i="13" s="1"/>
  <c r="O1646" i="13" l="1"/>
  <c r="N1646" i="13" s="1"/>
  <c r="O1647" i="13" l="1"/>
  <c r="N1647" i="13" s="1"/>
  <c r="O1648" i="13" l="1"/>
  <c r="N1648" i="13" s="1"/>
  <c r="O1649" i="13" l="1"/>
  <c r="N1649" i="13" s="1"/>
  <c r="O1650" i="13" l="1"/>
  <c r="N1650" i="13" s="1"/>
  <c r="O1651" i="13" l="1"/>
  <c r="N1651" i="13" s="1"/>
  <c r="O1652" i="13" l="1"/>
  <c r="N1652" i="13" s="1"/>
  <c r="O1653" i="13" l="1"/>
  <c r="N1653" i="13" s="1"/>
  <c r="O1654" i="13" l="1"/>
  <c r="N1654" i="13" s="1"/>
  <c r="O1655" i="13" l="1"/>
  <c r="N1655" i="13" s="1"/>
  <c r="O1656" i="13" l="1"/>
  <c r="N1656" i="13" s="1"/>
  <c r="O1657" i="13" l="1"/>
  <c r="N1657" i="13" s="1"/>
  <c r="O1658" i="13" l="1"/>
  <c r="N1658" i="13" s="1"/>
  <c r="O1659" i="13" l="1"/>
  <c r="N1659" i="13" s="1"/>
  <c r="O1660" i="13" l="1"/>
  <c r="N1660" i="13" s="1"/>
  <c r="O1661" i="13" l="1"/>
  <c r="N1661" i="13" s="1"/>
  <c r="O1662" i="13" l="1"/>
  <c r="N1662" i="13" s="1"/>
  <c r="O1663" i="13" l="1"/>
  <c r="N1663" i="13" s="1"/>
  <c r="O1664" i="13" l="1"/>
  <c r="N1664" i="13" s="1"/>
  <c r="O1665" i="13" l="1"/>
  <c r="N1665" i="13" s="1"/>
  <c r="O1666" i="13" l="1"/>
  <c r="N1666" i="13" s="1"/>
  <c r="O1667" i="13" l="1"/>
  <c r="N1667" i="13" s="1"/>
  <c r="O1668" i="13" l="1"/>
  <c r="N1668" i="13" s="1"/>
  <c r="O1669" i="13" l="1"/>
  <c r="N1669" i="13" s="1"/>
  <c r="O1670" i="13" l="1"/>
  <c r="N1670" i="13" s="1"/>
  <c r="O1671" i="13" l="1"/>
  <c r="N1671" i="13" s="1"/>
  <c r="O1672" i="13" l="1"/>
  <c r="N1672" i="13" s="1"/>
  <c r="O1673" i="13" l="1"/>
  <c r="N1673" i="13" s="1"/>
  <c r="O1674" i="13" l="1"/>
  <c r="N1674" i="13" s="1"/>
  <c r="O1675" i="13" l="1"/>
  <c r="N1675" i="13" s="1"/>
  <c r="O1676" i="13" l="1"/>
  <c r="N1676" i="13" s="1"/>
  <c r="O1677" i="13" l="1"/>
  <c r="N1677" i="13" s="1"/>
  <c r="O1678" i="13" l="1"/>
  <c r="N1678" i="13" s="1"/>
  <c r="O1679" i="13" l="1"/>
  <c r="N1679" i="13" s="1"/>
  <c r="O1680" i="13" l="1"/>
  <c r="N1680" i="13" s="1"/>
  <c r="O1681" i="13" l="1"/>
  <c r="N1681" i="13" s="1"/>
  <c r="O1682" i="13" l="1"/>
  <c r="N1682" i="13" s="1"/>
  <c r="O1683" i="13" l="1"/>
  <c r="N1683" i="13" s="1"/>
  <c r="O1684" i="13" l="1"/>
  <c r="N1684" i="13" s="1"/>
  <c r="O1685" i="13" l="1"/>
  <c r="N1685" i="13" s="1"/>
  <c r="O1686" i="13" l="1"/>
  <c r="N1686" i="13" s="1"/>
  <c r="O1687" i="13" l="1"/>
  <c r="N1687" i="13" s="1"/>
  <c r="O1688" i="13" l="1"/>
  <c r="N1688" i="13" s="1"/>
  <c r="O1689" i="13" l="1"/>
  <c r="N1689" i="13" s="1"/>
  <c r="O1690" i="13" l="1"/>
  <c r="N1690" i="13" s="1"/>
  <c r="O1691" i="13" l="1"/>
  <c r="N1691" i="13" s="1"/>
  <c r="O1692" i="13" l="1"/>
  <c r="N1692" i="13" s="1"/>
  <c r="O1693" i="13" l="1"/>
  <c r="N1693" i="13" s="1"/>
  <c r="O1694" i="13" l="1"/>
  <c r="N1694" i="13" s="1"/>
  <c r="O1695" i="13" l="1"/>
  <c r="N1695" i="13" s="1"/>
  <c r="O1696" i="13" l="1"/>
  <c r="N1696" i="13" s="1"/>
  <c r="O1697" i="13" l="1"/>
  <c r="N1697" i="13" s="1"/>
  <c r="O1698" i="13" l="1"/>
  <c r="N1698" i="13" s="1"/>
  <c r="O1699" i="13" l="1"/>
  <c r="N1699" i="13" s="1"/>
  <c r="O1700" i="13" l="1"/>
  <c r="N1700" i="13" s="1"/>
  <c r="O1701" i="13" l="1"/>
  <c r="N1701" i="13" s="1"/>
  <c r="O1702" i="13" l="1"/>
  <c r="N1702" i="13" s="1"/>
  <c r="O1703" i="13" l="1"/>
  <c r="N1703" i="13" s="1"/>
  <c r="O1704" i="13" l="1"/>
  <c r="N1704" i="13" s="1"/>
  <c r="O1705" i="13" l="1"/>
  <c r="N1705" i="13" s="1"/>
  <c r="O1706" i="13" l="1"/>
  <c r="N1706" i="13" s="1"/>
  <c r="O1707" i="13" l="1"/>
  <c r="N1707" i="13" s="1"/>
  <c r="O1708" i="13" l="1"/>
  <c r="N1708" i="13" s="1"/>
  <c r="O1709" i="13" l="1"/>
  <c r="N1709" i="13" s="1"/>
  <c r="O1710" i="13" l="1"/>
  <c r="N1710" i="13" s="1"/>
  <c r="O1711" i="13" l="1"/>
  <c r="N1711" i="13" s="1"/>
  <c r="O1712" i="13" l="1"/>
  <c r="N1712" i="13" s="1"/>
  <c r="O1713" i="13" l="1"/>
  <c r="N1713" i="13" s="1"/>
  <c r="O1714" i="13" l="1"/>
  <c r="N1714" i="13" s="1"/>
  <c r="O1715" i="13" l="1"/>
  <c r="N1715" i="13" s="1"/>
  <c r="O1716" i="13" l="1"/>
  <c r="N1716" i="13" s="1"/>
  <c r="O1717" i="13" l="1"/>
  <c r="N1717" i="13" s="1"/>
  <c r="O1718" i="13" l="1"/>
  <c r="N1718" i="13" s="1"/>
  <c r="O1719" i="13" l="1"/>
  <c r="N1719" i="13" s="1"/>
  <c r="O1720" i="13" l="1"/>
  <c r="N1720" i="13" s="1"/>
  <c r="O1721" i="13" l="1"/>
  <c r="N1721" i="13" s="1"/>
  <c r="O1722" i="13" l="1"/>
  <c r="N1722" i="13" s="1"/>
  <c r="O1723" i="13" l="1"/>
  <c r="N1723" i="13" s="1"/>
  <c r="O1724" i="13" l="1"/>
  <c r="N1724" i="13" s="1"/>
  <c r="O1725" i="13" l="1"/>
  <c r="N1725" i="13" s="1"/>
  <c r="O1726" i="13" l="1"/>
  <c r="N1726" i="13" s="1"/>
  <c r="O1727" i="13" l="1"/>
  <c r="N1727" i="13" s="1"/>
  <c r="O1728" i="13" l="1"/>
  <c r="N1728" i="13" s="1"/>
  <c r="O1729" i="13" l="1"/>
  <c r="N1729" i="13" s="1"/>
  <c r="O1730" i="13" l="1"/>
  <c r="N1730" i="13" s="1"/>
  <c r="O1731" i="13" l="1"/>
  <c r="N1731" i="13" s="1"/>
  <c r="O1732" i="13" l="1"/>
  <c r="N1732" i="13" s="1"/>
  <c r="O1733" i="13" l="1"/>
  <c r="N1733" i="13" s="1"/>
  <c r="O1734" i="13" l="1"/>
  <c r="N1734" i="13" s="1"/>
  <c r="O1735" i="13" l="1"/>
  <c r="N1735" i="13" s="1"/>
  <c r="O1736" i="13" l="1"/>
  <c r="N1736" i="13" s="1"/>
  <c r="O1737" i="13" l="1"/>
  <c r="N1737" i="13" s="1"/>
  <c r="O1738" i="13" l="1"/>
  <c r="N1738" i="13" s="1"/>
  <c r="O1739" i="13" l="1"/>
  <c r="N1739" i="13" s="1"/>
  <c r="O1740" i="13" l="1"/>
  <c r="N1740" i="13" s="1"/>
  <c r="O1741" i="13" l="1"/>
  <c r="N1741" i="13" s="1"/>
  <c r="O1742" i="13" l="1"/>
  <c r="N1742" i="13" s="1"/>
  <c r="O1743" i="13" l="1"/>
  <c r="N1743" i="13" s="1"/>
  <c r="O1744" i="13" l="1"/>
  <c r="N1744" i="13" s="1"/>
  <c r="O1745" i="13" l="1"/>
  <c r="N1745" i="13" s="1"/>
  <c r="O1746" i="13" l="1"/>
  <c r="N1746" i="13" s="1"/>
  <c r="O1747" i="13" l="1"/>
  <c r="N1747" i="13" s="1"/>
  <c r="O1748" i="13" l="1"/>
  <c r="N1748" i="13" s="1"/>
  <c r="O1749" i="13" l="1"/>
  <c r="N1749" i="13" s="1"/>
  <c r="O1750" i="13" l="1"/>
  <c r="N1750" i="13" s="1"/>
  <c r="O1751" i="13" l="1"/>
  <c r="N1751" i="13" s="1"/>
  <c r="O1752" i="13" l="1"/>
  <c r="N1752" i="13" s="1"/>
  <c r="O1753" i="13" l="1"/>
  <c r="N1753" i="13" s="1"/>
  <c r="O1754" i="13" l="1"/>
  <c r="N1754" i="13" s="1"/>
  <c r="O1755" i="13" l="1"/>
  <c r="N1755" i="13" s="1"/>
  <c r="O1756" i="13" l="1"/>
  <c r="N1756" i="13" s="1"/>
  <c r="O1757" i="13" l="1"/>
  <c r="N1757" i="13" s="1"/>
  <c r="O1758" i="13" l="1"/>
  <c r="N1758" i="13" s="1"/>
  <c r="O1759" i="13" l="1"/>
  <c r="N1759" i="13" s="1"/>
  <c r="O1760" i="13" l="1"/>
  <c r="N1760" i="13" s="1"/>
  <c r="O1761" i="13" l="1"/>
  <c r="N1761" i="13" s="1"/>
  <c r="O1762" i="13" l="1"/>
  <c r="N1762" i="13" s="1"/>
  <c r="O1763" i="13" l="1"/>
  <c r="N1763" i="13" s="1"/>
  <c r="O1764" i="13" l="1"/>
  <c r="N1764" i="13" s="1"/>
  <c r="O1765" i="13" l="1"/>
  <c r="N1765" i="13" s="1"/>
  <c r="O1766" i="13" l="1"/>
  <c r="N1766" i="13" s="1"/>
  <c r="O1767" i="13" l="1"/>
  <c r="N1767" i="13" s="1"/>
  <c r="O1768" i="13" l="1"/>
  <c r="N1768" i="13" s="1"/>
  <c r="O1769" i="13" l="1"/>
  <c r="N1769" i="13" s="1"/>
  <c r="O1770" i="13" l="1"/>
  <c r="N1770" i="13" s="1"/>
  <c r="O1771" i="13" l="1"/>
  <c r="N1771" i="13" s="1"/>
  <c r="O1772" i="13" l="1"/>
  <c r="N1772" i="13" s="1"/>
  <c r="O1773" i="13" l="1"/>
  <c r="N1773" i="13" s="1"/>
  <c r="O1774" i="13" l="1"/>
  <c r="N1774" i="13" s="1"/>
  <c r="O1775" i="13" l="1"/>
  <c r="N1775" i="13" s="1"/>
  <c r="O1776" i="13" l="1"/>
  <c r="N1776" i="13" s="1"/>
  <c r="O1777" i="13" l="1"/>
  <c r="N1777" i="13" s="1"/>
  <c r="O1778" i="13" l="1"/>
  <c r="N1778" i="13" s="1"/>
  <c r="O1779" i="13" l="1"/>
  <c r="N1779" i="13" s="1"/>
  <c r="O1780" i="13" l="1"/>
  <c r="N1780" i="13" s="1"/>
  <c r="O1781" i="13" l="1"/>
  <c r="N1781" i="13" s="1"/>
  <c r="O1782" i="13" l="1"/>
  <c r="N1782" i="13" s="1"/>
  <c r="O1783" i="13" l="1"/>
  <c r="N1783" i="13" s="1"/>
  <c r="O1784" i="13" l="1"/>
  <c r="N1784" i="13" s="1"/>
  <c r="O1785" i="13" l="1"/>
  <c r="N1785" i="13" s="1"/>
  <c r="O1786" i="13" l="1"/>
  <c r="N1786" i="13" s="1"/>
  <c r="O1787" i="13" l="1"/>
  <c r="N1787" i="13" s="1"/>
  <c r="O1788" i="13" l="1"/>
  <c r="N1788" i="13" s="1"/>
  <c r="O1789" i="13" l="1"/>
  <c r="N1789" i="13" s="1"/>
  <c r="O1790" i="13" l="1"/>
  <c r="N1790" i="13" s="1"/>
  <c r="O1791" i="13" l="1"/>
  <c r="N1791" i="13" s="1"/>
  <c r="O1792" i="13" l="1"/>
  <c r="N1792" i="13" s="1"/>
  <c r="O1793" i="13" l="1"/>
  <c r="N1793" i="13" s="1"/>
  <c r="O1794" i="13" l="1"/>
  <c r="N1794" i="13" s="1"/>
  <c r="O1795" i="13" l="1"/>
  <c r="N1795" i="13" s="1"/>
  <c r="O1796" i="13" l="1"/>
  <c r="N1796" i="13" s="1"/>
  <c r="O1797" i="13" l="1"/>
  <c r="N1797" i="13" s="1"/>
  <c r="O1798" i="13" l="1"/>
  <c r="N1798" i="13" s="1"/>
  <c r="O1799" i="13" l="1"/>
  <c r="N1799" i="13" s="1"/>
  <c r="O1800" i="13" l="1"/>
  <c r="N1800" i="13" s="1"/>
  <c r="O1801" i="13" l="1"/>
  <c r="N1801" i="13" s="1"/>
  <c r="O1802" i="13" l="1"/>
  <c r="N1802" i="13" s="1"/>
  <c r="O1803" i="13" l="1"/>
  <c r="N1803" i="13" s="1"/>
  <c r="O1804" i="13" l="1"/>
  <c r="N1804" i="13" s="1"/>
  <c r="O1805" i="13" l="1"/>
  <c r="N1805" i="13" s="1"/>
  <c r="O1806" i="13" l="1"/>
  <c r="N1806" i="13" s="1"/>
  <c r="O1807" i="13" l="1"/>
  <c r="N1807" i="13" s="1"/>
  <c r="O1808" i="13" l="1"/>
  <c r="N1808" i="13" s="1"/>
  <c r="O1809" i="13" l="1"/>
  <c r="N1809" i="13" s="1"/>
  <c r="O1810" i="13" l="1"/>
  <c r="N1810" i="13" s="1"/>
  <c r="O1811" i="13" l="1"/>
  <c r="N1811" i="13" s="1"/>
  <c r="O1812" i="13" l="1"/>
  <c r="N1812" i="13" s="1"/>
  <c r="O1813" i="13" l="1"/>
  <c r="N1813" i="13" s="1"/>
  <c r="O1814" i="13" l="1"/>
  <c r="N1814" i="13" s="1"/>
  <c r="O1815" i="13" l="1"/>
  <c r="N1815" i="13" s="1"/>
  <c r="O1816" i="13" l="1"/>
  <c r="N1816" i="13" s="1"/>
  <c r="O1817" i="13" l="1"/>
  <c r="N1817" i="13" s="1"/>
  <c r="O1818" i="13" l="1"/>
  <c r="N1818" i="13" s="1"/>
  <c r="O1819" i="13" l="1"/>
  <c r="N1819" i="13" s="1"/>
  <c r="O1820" i="13" l="1"/>
  <c r="N1820" i="13" s="1"/>
  <c r="O1821" i="13" l="1"/>
  <c r="N1821" i="13" s="1"/>
  <c r="O1822" i="13" l="1"/>
  <c r="N1822" i="13" s="1"/>
  <c r="O1823" i="13" l="1"/>
  <c r="N1823" i="13" s="1"/>
  <c r="O1824" i="13" l="1"/>
  <c r="N1824" i="13" s="1"/>
  <c r="O1825" i="13" l="1"/>
  <c r="N1825" i="13" s="1"/>
  <c r="O1826" i="13" l="1"/>
  <c r="N1826" i="13" s="1"/>
  <c r="O1827" i="13" l="1"/>
  <c r="N1827" i="13" s="1"/>
  <c r="O1828" i="13" l="1"/>
  <c r="N1828" i="13" s="1"/>
  <c r="O1829" i="13" l="1"/>
  <c r="N1829" i="13" s="1"/>
  <c r="O1830" i="13" l="1"/>
  <c r="N1830" i="13" s="1"/>
  <c r="O1831" i="13" l="1"/>
  <c r="N1831" i="13" s="1"/>
  <c r="O1832" i="13" l="1"/>
  <c r="N1832" i="13" s="1"/>
  <c r="O1833" i="13" l="1"/>
  <c r="N1833" i="13" s="1"/>
  <c r="O1834" i="13" l="1"/>
  <c r="N1834" i="13" s="1"/>
  <c r="O1835" i="13" l="1"/>
  <c r="N1835" i="13" s="1"/>
  <c r="O1836" i="13" l="1"/>
  <c r="N1836" i="13" s="1"/>
  <c r="O1837" i="13" l="1"/>
  <c r="N1837" i="13" s="1"/>
  <c r="O1838" i="13" l="1"/>
  <c r="N1838" i="13" s="1"/>
  <c r="O1839" i="13" l="1"/>
  <c r="N1839" i="13" s="1"/>
  <c r="O1840" i="13" l="1"/>
  <c r="N1840" i="13" s="1"/>
  <c r="O1841" i="13" l="1"/>
  <c r="N1841" i="13" s="1"/>
  <c r="O1842" i="13" l="1"/>
  <c r="N1842" i="13" s="1"/>
  <c r="O1843" i="13" l="1"/>
  <c r="N1843" i="13" s="1"/>
  <c r="O1844" i="13" l="1"/>
  <c r="N1844" i="13" s="1"/>
  <c r="O1845" i="13" l="1"/>
  <c r="N1845" i="13" s="1"/>
  <c r="O1846" i="13" l="1"/>
  <c r="N1846" i="13" s="1"/>
  <c r="O1847" i="13" l="1"/>
  <c r="N1847" i="13" s="1"/>
  <c r="O1848" i="13" l="1"/>
  <c r="N1848" i="13" s="1"/>
  <c r="O1849" i="13" l="1"/>
  <c r="N1849" i="13" s="1"/>
  <c r="O1850" i="13" l="1"/>
  <c r="N1850" i="13" s="1"/>
  <c r="O1851" i="13" l="1"/>
  <c r="N1851" i="13" s="1"/>
  <c r="O1852" i="13" l="1"/>
  <c r="N1852" i="13" s="1"/>
  <c r="O1853" i="13" l="1"/>
  <c r="N1853" i="13" s="1"/>
  <c r="O1854" i="13" l="1"/>
  <c r="N1854" i="13" s="1"/>
  <c r="O1855" i="13" l="1"/>
  <c r="N1855" i="13" s="1"/>
  <c r="O1856" i="13" l="1"/>
  <c r="N1856" i="13" s="1"/>
  <c r="O1857" i="13" l="1"/>
  <c r="N1857" i="13" s="1"/>
  <c r="O1858" i="13" l="1"/>
  <c r="N1858" i="13" s="1"/>
  <c r="O1859" i="13" l="1"/>
  <c r="N1859" i="13" s="1"/>
  <c r="O1860" i="13" l="1"/>
  <c r="N1860" i="13" s="1"/>
  <c r="O1861" i="13" l="1"/>
  <c r="N1861" i="13" s="1"/>
  <c r="O1862" i="13" l="1"/>
  <c r="N1862" i="13" s="1"/>
  <c r="O1863" i="13" l="1"/>
  <c r="N1863" i="13" s="1"/>
  <c r="O1864" i="13" l="1"/>
  <c r="N1864" i="13" s="1"/>
  <c r="O1865" i="13" l="1"/>
  <c r="N1865" i="13" s="1"/>
  <c r="O1866" i="13" l="1"/>
  <c r="N1866" i="13" s="1"/>
  <c r="O1867" i="13" l="1"/>
  <c r="N1867" i="13" s="1"/>
  <c r="O1868" i="13" l="1"/>
  <c r="N1868" i="13" s="1"/>
  <c r="O1869" i="13" l="1"/>
  <c r="N1869" i="13" s="1"/>
  <c r="O1870" i="13" l="1"/>
  <c r="N1870" i="13" s="1"/>
  <c r="O1871" i="13" l="1"/>
  <c r="N1871" i="13" s="1"/>
  <c r="O1872" i="13" l="1"/>
  <c r="N1872" i="13" s="1"/>
  <c r="O1873" i="13" l="1"/>
  <c r="N1873" i="13" s="1"/>
  <c r="O1874" i="13" l="1"/>
  <c r="N1874" i="13" s="1"/>
  <c r="O1875" i="13" l="1"/>
  <c r="N1875" i="13" s="1"/>
  <c r="O1876" i="13" l="1"/>
  <c r="N1876" i="13" s="1"/>
  <c r="O1877" i="13" l="1"/>
  <c r="N1877" i="13" s="1"/>
  <c r="O1878" i="13" l="1"/>
  <c r="N1878" i="13" s="1"/>
  <c r="O1879" i="13" l="1"/>
  <c r="N1879" i="13" s="1"/>
  <c r="O1880" i="13" l="1"/>
  <c r="N1880" i="13" s="1"/>
  <c r="O1881" i="13" l="1"/>
  <c r="N1881" i="13" s="1"/>
  <c r="O1882" i="13" l="1"/>
  <c r="N1882" i="13" s="1"/>
  <c r="O1883" i="13" l="1"/>
  <c r="N1883" i="13" s="1"/>
  <c r="O1884" i="13" l="1"/>
  <c r="N1884" i="13" s="1"/>
  <c r="O1885" i="13" l="1"/>
  <c r="N1885" i="13" s="1"/>
  <c r="O1886" i="13" l="1"/>
  <c r="N1886" i="13" s="1"/>
  <c r="O1887" i="13" l="1"/>
  <c r="N1887" i="13" s="1"/>
  <c r="O1888" i="13" l="1"/>
  <c r="N1888" i="13" s="1"/>
  <c r="O1889" i="13" l="1"/>
  <c r="N1889" i="13" s="1"/>
  <c r="O1890" i="13" l="1"/>
  <c r="N1890" i="13" s="1"/>
  <c r="O1891" i="13" l="1"/>
  <c r="N1891" i="13" s="1"/>
  <c r="O1892" i="13" l="1"/>
  <c r="N1892" i="13" s="1"/>
  <c r="O1893" i="13" l="1"/>
  <c r="N1893" i="13" s="1"/>
  <c r="O1894" i="13" l="1"/>
  <c r="N1894" i="13" s="1"/>
  <c r="O1895" i="13" l="1"/>
  <c r="N1895" i="13" s="1"/>
  <c r="O1896" i="13" l="1"/>
  <c r="N1896" i="13" s="1"/>
  <c r="O1897" i="13" l="1"/>
  <c r="N1897" i="13" s="1"/>
  <c r="O1898" i="13" l="1"/>
  <c r="N1898" i="13" s="1"/>
  <c r="O1899" i="13" l="1"/>
  <c r="N1899" i="13" s="1"/>
  <c r="O1900" i="13" l="1"/>
  <c r="N1900" i="13" s="1"/>
  <c r="O1901" i="13" l="1"/>
  <c r="N1901" i="13" s="1"/>
  <c r="O1902" i="13" l="1"/>
  <c r="N1902" i="13" s="1"/>
  <c r="O1903" i="13" l="1"/>
  <c r="N1903" i="13" s="1"/>
  <c r="O1904" i="13" l="1"/>
  <c r="N1904" i="13" s="1"/>
  <c r="O1905" i="13" l="1"/>
  <c r="N1905" i="13" s="1"/>
  <c r="O1906" i="13" l="1"/>
  <c r="N1906" i="13" s="1"/>
  <c r="O1907" i="13" l="1"/>
  <c r="N1907" i="13" s="1"/>
  <c r="O1908" i="13" l="1"/>
  <c r="N1908" i="13" s="1"/>
  <c r="O1909" i="13" l="1"/>
  <c r="N1909" i="13" s="1"/>
  <c r="O1910" i="13" l="1"/>
  <c r="N1910" i="13" s="1"/>
  <c r="O1911" i="13" l="1"/>
  <c r="N1911" i="13" s="1"/>
  <c r="O1912" i="13" l="1"/>
  <c r="N1912" i="13" s="1"/>
  <c r="O1913" i="13" l="1"/>
  <c r="N1913" i="13" s="1"/>
  <c r="O1914" i="13" l="1"/>
  <c r="N1914" i="13" s="1"/>
  <c r="O1915" i="13" l="1"/>
  <c r="N1915" i="13" s="1"/>
  <c r="O1916" i="13" l="1"/>
  <c r="N1916" i="13" s="1"/>
  <c r="O1917" i="13" l="1"/>
  <c r="N1917" i="13" s="1"/>
  <c r="O1918" i="13" l="1"/>
  <c r="N1918" i="13" s="1"/>
  <c r="O1919" i="13" l="1"/>
  <c r="N1919" i="13" s="1"/>
  <c r="O1920" i="13" l="1"/>
  <c r="N1920" i="13" s="1"/>
  <c r="O1921" i="13" l="1"/>
  <c r="N1921" i="13" s="1"/>
  <c r="O1922" i="13" l="1"/>
  <c r="N1922" i="13" s="1"/>
  <c r="O1923" i="13" l="1"/>
  <c r="N1923" i="13" s="1"/>
  <c r="O1924" i="13" l="1"/>
  <c r="N1924" i="13" s="1"/>
  <c r="O1925" i="13" l="1"/>
  <c r="N1925" i="13" s="1"/>
  <c r="O1926" i="13" l="1"/>
  <c r="N1926" i="13" s="1"/>
  <c r="O1927" i="13" l="1"/>
  <c r="N1927" i="13" s="1"/>
  <c r="O1928" i="13" l="1"/>
  <c r="N1928" i="13" s="1"/>
  <c r="O1929" i="13" l="1"/>
  <c r="N1929" i="13" s="1"/>
  <c r="O1930" i="13" l="1"/>
  <c r="N1930" i="13" s="1"/>
  <c r="O1931" i="13" l="1"/>
  <c r="N1931" i="13" s="1"/>
  <c r="O1932" i="13" l="1"/>
  <c r="N1932" i="13" s="1"/>
  <c r="O1933" i="13" l="1"/>
  <c r="N1933" i="13" s="1"/>
  <c r="O1934" i="13" l="1"/>
  <c r="N1934" i="13" s="1"/>
  <c r="O1935" i="13" l="1"/>
  <c r="N1935" i="13" s="1"/>
  <c r="O1936" i="13" l="1"/>
  <c r="N1936" i="13" s="1"/>
  <c r="O1937" i="13" l="1"/>
  <c r="N1937" i="13" s="1"/>
  <c r="O1938" i="13" l="1"/>
  <c r="N1938" i="13" s="1"/>
  <c r="O1939" i="13" l="1"/>
  <c r="N1939" i="13" s="1"/>
  <c r="O1940" i="13" l="1"/>
  <c r="N1940" i="13" s="1"/>
  <c r="O1941" i="13" l="1"/>
  <c r="N1941" i="13" s="1"/>
  <c r="O1942" i="13" l="1"/>
  <c r="N1942" i="13" s="1"/>
  <c r="O1943" i="13" l="1"/>
  <c r="N1943" i="13" s="1"/>
  <c r="O1944" i="13" l="1"/>
  <c r="N1944" i="13" s="1"/>
  <c r="O1945" i="13" l="1"/>
  <c r="N1945" i="13" s="1"/>
  <c r="O1946" i="13" l="1"/>
  <c r="N1946" i="13" s="1"/>
  <c r="O1947" i="13" l="1"/>
  <c r="N1947" i="13" s="1"/>
  <c r="O1948" i="13" l="1"/>
  <c r="N1948" i="13" s="1"/>
  <c r="O1949" i="13" l="1"/>
  <c r="N1949" i="13" s="1"/>
  <c r="O1950" i="13" l="1"/>
  <c r="N1950" i="13" s="1"/>
  <c r="O1951" i="13" l="1"/>
  <c r="N1951" i="13" s="1"/>
  <c r="O1952" i="13" l="1"/>
  <c r="N1952" i="13" s="1"/>
  <c r="O1953" i="13" l="1"/>
  <c r="N1953" i="13" s="1"/>
  <c r="O1954" i="13" l="1"/>
  <c r="N1954" i="13" s="1"/>
  <c r="O1955" i="13" l="1"/>
  <c r="N1955" i="13" s="1"/>
  <c r="O1956" i="13" l="1"/>
  <c r="N1956" i="13" s="1"/>
  <c r="O1957" i="13" l="1"/>
  <c r="N1957" i="13" s="1"/>
  <c r="O1958" i="13" l="1"/>
  <c r="N1958" i="13" s="1"/>
  <c r="O1959" i="13" l="1"/>
  <c r="N1959" i="13" s="1"/>
  <c r="O1960" i="13" l="1"/>
  <c r="N1960" i="13" s="1"/>
  <c r="O1961" i="13" l="1"/>
  <c r="N1961" i="13" s="1"/>
  <c r="O1962" i="13" l="1"/>
  <c r="N1962" i="13" s="1"/>
  <c r="O1963" i="13" l="1"/>
  <c r="N1963" i="13" s="1"/>
  <c r="O1964" i="13" l="1"/>
  <c r="N1964" i="13" s="1"/>
  <c r="O1965" i="13" l="1"/>
  <c r="N1965" i="13" s="1"/>
  <c r="O1966" i="13" l="1"/>
  <c r="N1966" i="13" s="1"/>
  <c r="O1967" i="13" l="1"/>
  <c r="N1967" i="13" s="1"/>
  <c r="O1968" i="13" l="1"/>
  <c r="N1968" i="13" s="1"/>
  <c r="O1969" i="13" l="1"/>
  <c r="N1969" i="13" s="1"/>
  <c r="O1970" i="13" l="1"/>
  <c r="N1970" i="13" s="1"/>
  <c r="O1971" i="13" l="1"/>
  <c r="N1971" i="13" s="1"/>
  <c r="O1972" i="13" l="1"/>
  <c r="N1972" i="13" s="1"/>
  <c r="O1973" i="13" l="1"/>
  <c r="N1973" i="13" s="1"/>
  <c r="O1974" i="13" l="1"/>
  <c r="N1974" i="13" s="1"/>
  <c r="O1975" i="13" l="1"/>
  <c r="N1975" i="13" s="1"/>
  <c r="O1976" i="13" l="1"/>
  <c r="N1976" i="13" s="1"/>
  <c r="O1977" i="13" l="1"/>
  <c r="N1977" i="13" s="1"/>
  <c r="O1978" i="13" l="1"/>
  <c r="N1978" i="13" s="1"/>
  <c r="O1979" i="13" l="1"/>
  <c r="N1979" i="13" s="1"/>
  <c r="O1980" i="13" l="1"/>
  <c r="N1980" i="13" s="1"/>
  <c r="O1981" i="13" l="1"/>
  <c r="N1981" i="13" s="1"/>
  <c r="O1982" i="13" l="1"/>
  <c r="N1982" i="13" s="1"/>
  <c r="O1983" i="13" l="1"/>
  <c r="N1983" i="13" s="1"/>
  <c r="O1984" i="13" l="1"/>
  <c r="N1984" i="13" s="1"/>
  <c r="O1985" i="13" l="1"/>
  <c r="N1985" i="13" s="1"/>
  <c r="O1986" i="13" l="1"/>
  <c r="N1986" i="13" s="1"/>
  <c r="O1987" i="13" l="1"/>
  <c r="N1987" i="13" s="1"/>
  <c r="O1988" i="13" l="1"/>
  <c r="N1988" i="13" s="1"/>
  <c r="O1989" i="13" l="1"/>
  <c r="N1989" i="13" s="1"/>
  <c r="O1990" i="13" l="1"/>
  <c r="N1990" i="13" s="1"/>
  <c r="O1991" i="13" l="1"/>
  <c r="N1991" i="13" s="1"/>
  <c r="O1992" i="13" l="1"/>
  <c r="N1992" i="13" s="1"/>
  <c r="O1993" i="13" l="1"/>
  <c r="N1993" i="13" s="1"/>
  <c r="O1994" i="13" l="1"/>
  <c r="N1994" i="13" s="1"/>
  <c r="O1995" i="13" l="1"/>
  <c r="N1995" i="13" s="1"/>
  <c r="O1996" i="13" l="1"/>
  <c r="N1996" i="13" s="1"/>
  <c r="O1997" i="13" l="1"/>
  <c r="N1997" i="13" s="1"/>
  <c r="O1998" i="13" l="1"/>
  <c r="N1998" i="13" s="1"/>
  <c r="O1999" i="13" l="1"/>
  <c r="N1999" i="13" s="1"/>
  <c r="O2000" i="13" l="1"/>
  <c r="N2000" i="13" s="1"/>
  <c r="O2001" i="13" l="1"/>
  <c r="N2001" i="13" s="1"/>
  <c r="O2002" i="13" l="1"/>
  <c r="N2002" i="13" s="1"/>
  <c r="O2003" i="13" l="1"/>
  <c r="N2003" i="13" s="1"/>
  <c r="O2004" i="13" l="1"/>
  <c r="N2004" i="13" s="1"/>
  <c r="O2005" i="13" l="1"/>
  <c r="N2005" i="13" s="1"/>
  <c r="O2006" i="13" l="1"/>
  <c r="N2006" i="13" s="1"/>
  <c r="O2007" i="13" l="1"/>
  <c r="N2007" i="13" s="1"/>
  <c r="O2008" i="13" l="1"/>
  <c r="N2008" i="13" s="1"/>
  <c r="O2009" i="13" l="1"/>
  <c r="N2009" i="13" s="1"/>
  <c r="O2010" i="13" l="1"/>
  <c r="N2010" i="13" s="1"/>
  <c r="O2011" i="13" l="1"/>
  <c r="N2011" i="13" s="1"/>
  <c r="O2012" i="13" l="1"/>
  <c r="N2012" i="13" s="1"/>
  <c r="O2013" i="13" l="1"/>
  <c r="N2013" i="13" s="1"/>
  <c r="O2014" i="13" l="1"/>
  <c r="N2014" i="13" s="1"/>
  <c r="O2015" i="13" l="1"/>
  <c r="N2015" i="13" s="1"/>
  <c r="O2016" i="13" l="1"/>
  <c r="N2016" i="13" s="1"/>
  <c r="O2017" i="13" l="1"/>
  <c r="N2017" i="13" s="1"/>
  <c r="O2018" i="13" l="1"/>
  <c r="N2018" i="13" s="1"/>
  <c r="O2019" i="13" l="1"/>
  <c r="N2019" i="13" s="1"/>
  <c r="O2020" i="13" l="1"/>
  <c r="N2020" i="13" s="1"/>
  <c r="O2021" i="13" l="1"/>
  <c r="N2021" i="13" s="1"/>
  <c r="O2022" i="13" l="1"/>
  <c r="N2022" i="13" s="1"/>
  <c r="O2023" i="13" l="1"/>
  <c r="N2023" i="13" s="1"/>
  <c r="O2024" i="13" l="1"/>
  <c r="N2024" i="13" s="1"/>
  <c r="O2025" i="13" l="1"/>
  <c r="N2025" i="13" s="1"/>
  <c r="O2026" i="13" l="1"/>
  <c r="N2026" i="13" s="1"/>
  <c r="O2027" i="13" l="1"/>
  <c r="N2027" i="13" s="1"/>
  <c r="O2028" i="13" l="1"/>
  <c r="N2028" i="13" s="1"/>
  <c r="O2029" i="13" l="1"/>
  <c r="N2029" i="13" s="1"/>
  <c r="O2030" i="13" l="1"/>
  <c r="N2030" i="13" s="1"/>
  <c r="O2031" i="13" l="1"/>
  <c r="N2031" i="13" s="1"/>
  <c r="O2032" i="13" l="1"/>
  <c r="N2032" i="13" s="1"/>
  <c r="O2033" i="13" l="1"/>
  <c r="N2033" i="13" s="1"/>
  <c r="O2034" i="13" l="1"/>
  <c r="N2034" i="13" s="1"/>
  <c r="O2035" i="13" l="1"/>
  <c r="N2035" i="13" s="1"/>
  <c r="O2036" i="13" l="1"/>
  <c r="N2036" i="13" s="1"/>
  <c r="O2037" i="13" l="1"/>
  <c r="N2037" i="13" s="1"/>
  <c r="O2038" i="13" l="1"/>
  <c r="N2038" i="13" s="1"/>
  <c r="O2039" i="13" l="1"/>
  <c r="N2039" i="13" s="1"/>
  <c r="O2040" i="13" l="1"/>
  <c r="N2040" i="13" s="1"/>
  <c r="O2041" i="13" l="1"/>
  <c r="N2041" i="13" s="1"/>
  <c r="O2042" i="13" l="1"/>
  <c r="N2042" i="13" s="1"/>
  <c r="O2043" i="13" l="1"/>
  <c r="N2043" i="13" s="1"/>
  <c r="O2044" i="13" l="1"/>
  <c r="N2044" i="13" s="1"/>
  <c r="O2045" i="13" l="1"/>
  <c r="N2045" i="13" s="1"/>
  <c r="O2046" i="13" l="1"/>
  <c r="N2046" i="13" s="1"/>
  <c r="O2047" i="13" l="1"/>
  <c r="N2047" i="13" s="1"/>
  <c r="O2048" i="13" l="1"/>
  <c r="N2048" i="13" s="1"/>
  <c r="O2049" i="13" l="1"/>
  <c r="N2049" i="13" s="1"/>
  <c r="O2050" i="13" l="1"/>
  <c r="N2050" i="13" s="1"/>
  <c r="O2051" i="13" l="1"/>
  <c r="N2051" i="13" s="1"/>
  <c r="O2052" i="13" l="1"/>
  <c r="N2052" i="13" s="1"/>
  <c r="O2053" i="13" l="1"/>
  <c r="N2053" i="13" s="1"/>
  <c r="O2054" i="13" l="1"/>
  <c r="N2054" i="13" s="1"/>
  <c r="O2055" i="13" l="1"/>
  <c r="N2055" i="13" s="1"/>
  <c r="O2056" i="13" l="1"/>
  <c r="N2056" i="13" s="1"/>
  <c r="O2057" i="13" l="1"/>
  <c r="N2057" i="13" s="1"/>
  <c r="O2058" i="13" l="1"/>
  <c r="N2058" i="13" s="1"/>
  <c r="O2059" i="13" l="1"/>
  <c r="N2059" i="13" s="1"/>
  <c r="O2060" i="13" l="1"/>
  <c r="N2060" i="13" s="1"/>
  <c r="O2061" i="13" l="1"/>
  <c r="N2061" i="13" s="1"/>
  <c r="O2062" i="13" l="1"/>
  <c r="N2062" i="13" s="1"/>
  <c r="O2063" i="13" l="1"/>
  <c r="N2063" i="13" s="1"/>
  <c r="O2064" i="13" l="1"/>
  <c r="N2064" i="13" s="1"/>
  <c r="O2065" i="13" l="1"/>
  <c r="N2065" i="13" s="1"/>
  <c r="O2066" i="13" l="1"/>
  <c r="N2066" i="13" s="1"/>
  <c r="O2067" i="13" l="1"/>
  <c r="N2067" i="13" s="1"/>
  <c r="O2068" i="13" l="1"/>
  <c r="N2068" i="13" s="1"/>
  <c r="O2069" i="13" l="1"/>
  <c r="N2069" i="13" s="1"/>
  <c r="O2070" i="13" l="1"/>
  <c r="N2070" i="13" s="1"/>
  <c r="O2071" i="13" l="1"/>
  <c r="N2071" i="13" s="1"/>
  <c r="O2072" i="13" l="1"/>
  <c r="N2072" i="13" s="1"/>
  <c r="O2073" i="13" l="1"/>
  <c r="N2073" i="13" s="1"/>
  <c r="O2074" i="13" l="1"/>
  <c r="N2074" i="13" s="1"/>
  <c r="O2075" i="13" l="1"/>
  <c r="N2075" i="13" s="1"/>
  <c r="O2076" i="13" l="1"/>
  <c r="N2076" i="13" s="1"/>
  <c r="O2077" i="13" l="1"/>
  <c r="N2077" i="13" s="1"/>
  <c r="O2078" i="13" l="1"/>
  <c r="N2078" i="13" s="1"/>
  <c r="O2079" i="13" l="1"/>
  <c r="N2079" i="13" s="1"/>
  <c r="O2080" i="13" l="1"/>
  <c r="N2080" i="13" s="1"/>
  <c r="O2081" i="13" l="1"/>
  <c r="N2081" i="13" s="1"/>
  <c r="O2082" i="13" l="1"/>
  <c r="N2082" i="13" s="1"/>
  <c r="O2083" i="13" l="1"/>
  <c r="N2083" i="13" s="1"/>
  <c r="O2084" i="13" l="1"/>
  <c r="N2084" i="13" s="1"/>
  <c r="O2085" i="13" l="1"/>
  <c r="N2085" i="13" s="1"/>
  <c r="O2086" i="13" l="1"/>
  <c r="N2086" i="13" s="1"/>
  <c r="O2087" i="13" l="1"/>
  <c r="N2087" i="13" s="1"/>
  <c r="O2088" i="13" l="1"/>
  <c r="N2088" i="13" s="1"/>
  <c r="O2089" i="13" l="1"/>
  <c r="N2089" i="13" s="1"/>
  <c r="O2090" i="13" l="1"/>
  <c r="N2090" i="13" s="1"/>
  <c r="O2091" i="13" l="1"/>
  <c r="N2091" i="13" s="1"/>
  <c r="O2092" i="13" l="1"/>
  <c r="N2092" i="13" s="1"/>
  <c r="O2093" i="13" l="1"/>
  <c r="N2093" i="13" s="1"/>
  <c r="O2094" i="13" l="1"/>
  <c r="N2094" i="13" s="1"/>
  <c r="O2095" i="13" l="1"/>
  <c r="N2095" i="13" s="1"/>
  <c r="O2096" i="13" l="1"/>
  <c r="N2096" i="13" s="1"/>
  <c r="O2097" i="13" l="1"/>
  <c r="N2097" i="13" s="1"/>
  <c r="O2098" i="13" l="1"/>
  <c r="N2098" i="13" s="1"/>
  <c r="O2099" i="13" l="1"/>
  <c r="N2099" i="13" s="1"/>
  <c r="O2100" i="13" l="1"/>
  <c r="N2100" i="13" s="1"/>
  <c r="O2101" i="13" l="1"/>
  <c r="N2101" i="13" s="1"/>
  <c r="O2102" i="13" l="1"/>
  <c r="N2102" i="13" s="1"/>
  <c r="O2103" i="13" l="1"/>
  <c r="N2103" i="13" s="1"/>
  <c r="O2104" i="13" l="1"/>
  <c r="N2104" i="13" s="1"/>
  <c r="O2105" i="13" l="1"/>
  <c r="N2105" i="13" s="1"/>
  <c r="O2106" i="13" l="1"/>
  <c r="N2106" i="13" s="1"/>
  <c r="O2107" i="13" l="1"/>
  <c r="N2107" i="13" s="1"/>
  <c r="O2108" i="13" l="1"/>
  <c r="N2108" i="13" s="1"/>
  <c r="O2109" i="13" l="1"/>
  <c r="N2109" i="13" s="1"/>
  <c r="O2110" i="13" l="1"/>
  <c r="N2110" i="13" s="1"/>
  <c r="O2111" i="13" l="1"/>
  <c r="N2111" i="13" s="1"/>
  <c r="O2112" i="13" l="1"/>
  <c r="N2112" i="13" s="1"/>
  <c r="O2113" i="13" l="1"/>
  <c r="N2113" i="13" s="1"/>
  <c r="O2114" i="13" l="1"/>
  <c r="N2114" i="13" s="1"/>
  <c r="O2115" i="13" l="1"/>
  <c r="N2115" i="13" s="1"/>
  <c r="O2116" i="13" l="1"/>
  <c r="N2116" i="13" s="1"/>
  <c r="O2117" i="13" l="1"/>
  <c r="N2117" i="13" s="1"/>
  <c r="O2118" i="13" l="1"/>
  <c r="N2118" i="13" s="1"/>
  <c r="O2119" i="13" l="1"/>
  <c r="N2119" i="13" s="1"/>
  <c r="O2120" i="13" l="1"/>
  <c r="N2120" i="13" s="1"/>
  <c r="O2121" i="13" l="1"/>
  <c r="N2121" i="13" s="1"/>
  <c r="O2122" i="13" l="1"/>
  <c r="N2122" i="13" s="1"/>
  <c r="O2123" i="13" l="1"/>
  <c r="N2123" i="13" s="1"/>
  <c r="O2124" i="13" l="1"/>
  <c r="N2124" i="13" s="1"/>
  <c r="O2125" i="13" l="1"/>
  <c r="N2125" i="13" s="1"/>
  <c r="O2126" i="13" l="1"/>
  <c r="N2126" i="13" s="1"/>
  <c r="O2127" i="13" l="1"/>
  <c r="N2127" i="13" s="1"/>
  <c r="O2128" i="13" l="1"/>
  <c r="N2128" i="13" s="1"/>
  <c r="O2129" i="13" l="1"/>
  <c r="N2129" i="13" s="1"/>
  <c r="O2130" i="13" l="1"/>
  <c r="N2130" i="13" s="1"/>
  <c r="O2131" i="13" l="1"/>
  <c r="N2131" i="13" s="1"/>
  <c r="O2132" i="13" l="1"/>
  <c r="N2132" i="13" s="1"/>
  <c r="O2133" i="13" l="1"/>
  <c r="N2133" i="13" s="1"/>
  <c r="O2134" i="13" l="1"/>
  <c r="N2134" i="13" s="1"/>
  <c r="O2135" i="13" l="1"/>
  <c r="N2135" i="13" s="1"/>
  <c r="O2136" i="13" l="1"/>
  <c r="N2136" i="13" s="1"/>
  <c r="O2137" i="13" l="1"/>
  <c r="N2137" i="13" s="1"/>
  <c r="O2138" i="13" l="1"/>
  <c r="N2138" i="13" s="1"/>
  <c r="O2139" i="13" l="1"/>
  <c r="N2139" i="13" s="1"/>
  <c r="O2140" i="13" l="1"/>
  <c r="N2140" i="13" s="1"/>
  <c r="O2141" i="13" l="1"/>
  <c r="N2141" i="13" s="1"/>
  <c r="O2142" i="13" l="1"/>
  <c r="N2142" i="13" s="1"/>
  <c r="O2143" i="13" l="1"/>
  <c r="N2143" i="13" s="1"/>
  <c r="O2144" i="13" l="1"/>
  <c r="N2144" i="13" s="1"/>
  <c r="O2145" i="13" l="1"/>
  <c r="N2145" i="13" s="1"/>
  <c r="O2146" i="13" l="1"/>
  <c r="N2146" i="13" s="1"/>
  <c r="O2147" i="13" l="1"/>
  <c r="N2147" i="13" s="1"/>
  <c r="O2148" i="13" l="1"/>
  <c r="N2148" i="13" s="1"/>
  <c r="O2149" i="13" l="1"/>
  <c r="N2149" i="13" s="1"/>
  <c r="O2150" i="13" l="1"/>
  <c r="N2150" i="13" s="1"/>
  <c r="O2151" i="13" l="1"/>
  <c r="N2151" i="13" s="1"/>
  <c r="O2152" i="13" l="1"/>
  <c r="N2152" i="13" s="1"/>
  <c r="O2153" i="13" l="1"/>
  <c r="N2153" i="13" s="1"/>
  <c r="O2154" i="13" l="1"/>
  <c r="N2154" i="13" s="1"/>
  <c r="O2155" i="13" l="1"/>
  <c r="N2155" i="13" s="1"/>
  <c r="O2156" i="13" l="1"/>
  <c r="N2156" i="13" s="1"/>
  <c r="O2157" i="13" l="1"/>
  <c r="N2157" i="13" s="1"/>
  <c r="O2158" i="13" l="1"/>
  <c r="N2158" i="13" s="1"/>
  <c r="O2159" i="13" l="1"/>
  <c r="N2159" i="13" s="1"/>
  <c r="O2160" i="13" l="1"/>
  <c r="N2160" i="13" s="1"/>
  <c r="O2161" i="13" l="1"/>
  <c r="N2161" i="13" s="1"/>
  <c r="O2162" i="13" l="1"/>
  <c r="N2162" i="13" s="1"/>
  <c r="O2163" i="13" l="1"/>
  <c r="N2163" i="13" s="1"/>
  <c r="O2164" i="13" l="1"/>
  <c r="N2164" i="13" s="1"/>
  <c r="O2165" i="13" l="1"/>
  <c r="N2165" i="13" s="1"/>
  <c r="O2166" i="13" l="1"/>
  <c r="N2166" i="13" s="1"/>
  <c r="O2167" i="13" l="1"/>
  <c r="N2167" i="13" s="1"/>
  <c r="O2168" i="13" l="1"/>
  <c r="N2168" i="13" s="1"/>
  <c r="O2169" i="13" l="1"/>
  <c r="N2169" i="13" s="1"/>
  <c r="O2170" i="13" l="1"/>
  <c r="N2170" i="13" s="1"/>
  <c r="O2171" i="13" l="1"/>
  <c r="N2171" i="13" s="1"/>
  <c r="O2172" i="13" l="1"/>
  <c r="N2172" i="13" s="1"/>
  <c r="O2173" i="13" l="1"/>
  <c r="N2173" i="13" s="1"/>
  <c r="O2174" i="13" l="1"/>
  <c r="N2174" i="13" s="1"/>
  <c r="O2175" i="13" l="1"/>
  <c r="N2175" i="13" s="1"/>
  <c r="O2176" i="13" l="1"/>
  <c r="N2176" i="13" s="1"/>
  <c r="O2177" i="13" l="1"/>
  <c r="N2177" i="13" s="1"/>
  <c r="O2178" i="13" l="1"/>
  <c r="N2178" i="13" s="1"/>
  <c r="O2179" i="13" l="1"/>
  <c r="N2179" i="13" s="1"/>
  <c r="O2180" i="13" l="1"/>
  <c r="N2180" i="13" s="1"/>
  <c r="O2181" i="13" l="1"/>
  <c r="N2181" i="13" s="1"/>
  <c r="O2182" i="13" l="1"/>
  <c r="N2182" i="13" s="1"/>
  <c r="O2183" i="13" l="1"/>
  <c r="N2183" i="13" s="1"/>
  <c r="O2184" i="13" l="1"/>
  <c r="N2184" i="13" s="1"/>
  <c r="O2185" i="13" l="1"/>
  <c r="N2185" i="13" s="1"/>
  <c r="O2186" i="13" l="1"/>
  <c r="N2186" i="13" s="1"/>
  <c r="O2187" i="13" l="1"/>
  <c r="N2187" i="13" s="1"/>
  <c r="O2188" i="13" l="1"/>
  <c r="N2188" i="13" s="1"/>
  <c r="O2189" i="13" l="1"/>
  <c r="N2189" i="13" s="1"/>
  <c r="O2190" i="13" l="1"/>
  <c r="N2190" i="13" s="1"/>
  <c r="O2191" i="13" l="1"/>
  <c r="N2191" i="13" s="1"/>
  <c r="O2192" i="13" l="1"/>
  <c r="N2192" i="13" s="1"/>
  <c r="O2193" i="13" l="1"/>
  <c r="N2193" i="13" s="1"/>
  <c r="O2194" i="13" l="1"/>
  <c r="N2194" i="13" s="1"/>
  <c r="O2195" i="13" l="1"/>
  <c r="N2195" i="13" s="1"/>
  <c r="O2196" i="13" l="1"/>
  <c r="N2196" i="13" s="1"/>
  <c r="O2197" i="13" l="1"/>
  <c r="N2197" i="13" s="1"/>
  <c r="O2198" i="13" l="1"/>
  <c r="N2198" i="13" s="1"/>
  <c r="O2199" i="13" l="1"/>
  <c r="N2199" i="13" s="1"/>
  <c r="O2200" i="13" l="1"/>
  <c r="N2200" i="13" s="1"/>
  <c r="O2201" i="13" l="1"/>
  <c r="N2201" i="13" s="1"/>
  <c r="O2202" i="13" l="1"/>
  <c r="N2202" i="13" s="1"/>
  <c r="O2203" i="13" l="1"/>
  <c r="N2203" i="13" s="1"/>
  <c r="O2204" i="13" l="1"/>
  <c r="N2204" i="13" s="1"/>
  <c r="O2205" i="13" l="1"/>
  <c r="N2205" i="13" s="1"/>
  <c r="O2206" i="13" l="1"/>
  <c r="N2206" i="13" s="1"/>
  <c r="O2207" i="13" l="1"/>
  <c r="N2207" i="13" s="1"/>
  <c r="O2208" i="13" l="1"/>
  <c r="N2208" i="13" s="1"/>
  <c r="O2209" i="13" l="1"/>
  <c r="N2209" i="13" s="1"/>
  <c r="O2210" i="13" l="1"/>
  <c r="N2210" i="13" s="1"/>
  <c r="O2211" i="13" l="1"/>
  <c r="N2211" i="13" s="1"/>
  <c r="O2212" i="13" l="1"/>
  <c r="N2212" i="13" s="1"/>
  <c r="O2213" i="13" l="1"/>
  <c r="N2213" i="13" s="1"/>
  <c r="O2214" i="13" l="1"/>
  <c r="N2214" i="13" s="1"/>
  <c r="O2215" i="13" l="1"/>
  <c r="N2215" i="13" s="1"/>
  <c r="O2216" i="13" l="1"/>
  <c r="N2216" i="13" s="1"/>
  <c r="O2217" i="13" l="1"/>
  <c r="N2217" i="13" s="1"/>
  <c r="O2218" i="13" l="1"/>
  <c r="N2218" i="13" s="1"/>
  <c r="O2219" i="13" l="1"/>
  <c r="N2219" i="13" s="1"/>
  <c r="O2220" i="13" l="1"/>
  <c r="N2220" i="13" s="1"/>
  <c r="O2221" i="13" l="1"/>
  <c r="N2221" i="13" s="1"/>
  <c r="O2222" i="13" l="1"/>
  <c r="N2222" i="13" s="1"/>
  <c r="O2223" i="13" l="1"/>
  <c r="N2223" i="13" s="1"/>
  <c r="O2224" i="13" l="1"/>
  <c r="N2224" i="13" s="1"/>
  <c r="O2225" i="13" l="1"/>
  <c r="N2225" i="13" s="1"/>
  <c r="O2226" i="13" l="1"/>
  <c r="N2226" i="13" s="1"/>
  <c r="O2227" i="13" l="1"/>
  <c r="N2227" i="13" s="1"/>
  <c r="O2228" i="13" l="1"/>
  <c r="N2228" i="13" s="1"/>
  <c r="O2229" i="13" l="1"/>
  <c r="N2229" i="13" s="1"/>
  <c r="O2230" i="13" l="1"/>
  <c r="N2230" i="13" s="1"/>
  <c r="O2231" i="13" l="1"/>
  <c r="N2231" i="13" s="1"/>
  <c r="O2232" i="13" l="1"/>
  <c r="N2232" i="13" s="1"/>
  <c r="O2233" i="13" l="1"/>
  <c r="N2233" i="13" s="1"/>
  <c r="O2234" i="13" l="1"/>
  <c r="N2234" i="13" s="1"/>
  <c r="O2235" i="13" l="1"/>
  <c r="N2235" i="13" s="1"/>
  <c r="O2236" i="13" l="1"/>
  <c r="N2236" i="13" s="1"/>
  <c r="O2237" i="13" l="1"/>
  <c r="N2237" i="13" s="1"/>
  <c r="O2238" i="13" l="1"/>
  <c r="N2238" i="13" s="1"/>
  <c r="O2239" i="13" l="1"/>
  <c r="N2239" i="13" s="1"/>
  <c r="O2240" i="13" l="1"/>
  <c r="N2240" i="13" s="1"/>
  <c r="O2241" i="13" l="1"/>
  <c r="N2241" i="13" s="1"/>
  <c r="O2242" i="13" l="1"/>
  <c r="N2242" i="13" s="1"/>
  <c r="O2243" i="13" l="1"/>
  <c r="N2243" i="13" s="1"/>
  <c r="O2244" i="13" l="1"/>
  <c r="N2244" i="13" s="1"/>
  <c r="O2245" i="13" l="1"/>
  <c r="N2245" i="13" s="1"/>
  <c r="O2246" i="13" l="1"/>
  <c r="N2246" i="13" s="1"/>
  <c r="O2247" i="13" l="1"/>
  <c r="N2247" i="13" s="1"/>
  <c r="O2248" i="13" l="1"/>
  <c r="N2248" i="13" s="1"/>
  <c r="O2249" i="13" l="1"/>
  <c r="N2249" i="13" s="1"/>
  <c r="O2250" i="13" l="1"/>
  <c r="N2250" i="13" s="1"/>
  <c r="O2251" i="13" l="1"/>
  <c r="N2251" i="13" s="1"/>
  <c r="O2252" i="13" l="1"/>
  <c r="N2252" i="13" s="1"/>
  <c r="O2253" i="13" l="1"/>
  <c r="N2253" i="13" s="1"/>
  <c r="O2254" i="13" l="1"/>
  <c r="N2254" i="13" s="1"/>
  <c r="O2255" i="13" l="1"/>
  <c r="N2255" i="13" s="1"/>
  <c r="O2256" i="13" l="1"/>
  <c r="N2256" i="13" s="1"/>
  <c r="O2257" i="13" l="1"/>
  <c r="N2257" i="13" s="1"/>
  <c r="O2258" i="13" l="1"/>
  <c r="N2258" i="13" s="1"/>
  <c r="O2259" i="13" l="1"/>
  <c r="N2259" i="13" s="1"/>
  <c r="O2260" i="13" l="1"/>
  <c r="N2260" i="13" s="1"/>
  <c r="O2261" i="13" l="1"/>
  <c r="N2261" i="13" s="1"/>
  <c r="O2262" i="13" l="1"/>
  <c r="N2262" i="13" s="1"/>
  <c r="O2263" i="13" l="1"/>
  <c r="N2263" i="13" s="1"/>
  <c r="O2264" i="13" l="1"/>
  <c r="N2264" i="13" s="1"/>
  <c r="O2265" i="13" l="1"/>
  <c r="N2265" i="13" s="1"/>
  <c r="O2266" i="13" l="1"/>
  <c r="N2266" i="13" s="1"/>
  <c r="O2267" i="13" l="1"/>
  <c r="N2267" i="13" s="1"/>
  <c r="O2268" i="13" l="1"/>
  <c r="N2268" i="13" s="1"/>
  <c r="O2269" i="13" l="1"/>
  <c r="N2269" i="13" s="1"/>
  <c r="O2270" i="13" l="1"/>
  <c r="N2270" i="13" s="1"/>
  <c r="O2271" i="13" l="1"/>
  <c r="N2271" i="13" s="1"/>
  <c r="O2272" i="13" l="1"/>
  <c r="N2272" i="13" s="1"/>
  <c r="O2273" i="13" l="1"/>
  <c r="N2273" i="13" s="1"/>
  <c r="O2274" i="13" l="1"/>
  <c r="N2274" i="13" s="1"/>
  <c r="O2275" i="13" l="1"/>
  <c r="N2275" i="13" s="1"/>
  <c r="O2276" i="13" l="1"/>
  <c r="N2276" i="13" s="1"/>
  <c r="O2277" i="13" l="1"/>
  <c r="N2277" i="13" s="1"/>
  <c r="O2278" i="13" l="1"/>
  <c r="N2278" i="13" s="1"/>
  <c r="O2279" i="13" l="1"/>
  <c r="N2279" i="13" s="1"/>
  <c r="O2280" i="13" l="1"/>
  <c r="N2280" i="13" s="1"/>
  <c r="O2281" i="13" l="1"/>
  <c r="N2281" i="13" s="1"/>
  <c r="O2282" i="13" l="1"/>
  <c r="N2282" i="13" s="1"/>
  <c r="O2283" i="13" l="1"/>
  <c r="N2283" i="13" s="1"/>
  <c r="O2284" i="13" l="1"/>
  <c r="N2284" i="13" s="1"/>
  <c r="O2285" i="13" l="1"/>
  <c r="N2285" i="13" s="1"/>
  <c r="O2286" i="13" l="1"/>
  <c r="N2286" i="13" s="1"/>
  <c r="O2287" i="13" l="1"/>
  <c r="N2287" i="13" s="1"/>
  <c r="O2288" i="13" l="1"/>
  <c r="N2288" i="13" s="1"/>
  <c r="O2289" i="13" l="1"/>
  <c r="N2289" i="13" s="1"/>
  <c r="O2290" i="13" l="1"/>
  <c r="N2290" i="13" s="1"/>
  <c r="O2291" i="13" l="1"/>
  <c r="N2291" i="13" s="1"/>
  <c r="O2292" i="13" l="1"/>
  <c r="N2292" i="13" s="1"/>
  <c r="O2293" i="13" l="1"/>
  <c r="N2293" i="13" s="1"/>
  <c r="O2294" i="13" l="1"/>
  <c r="N2294" i="13" s="1"/>
  <c r="O2295" i="13" l="1"/>
  <c r="N2295" i="13" s="1"/>
  <c r="O2296" i="13" l="1"/>
  <c r="N2296" i="13" s="1"/>
  <c r="O2297" i="13" l="1"/>
  <c r="N2297" i="13" s="1"/>
  <c r="O2298" i="13" l="1"/>
  <c r="N2298" i="13" s="1"/>
  <c r="O2299" i="13" l="1"/>
  <c r="N2299" i="13" s="1"/>
  <c r="O2300" i="13" l="1"/>
  <c r="N2300" i="13" s="1"/>
  <c r="O2301" i="13" l="1"/>
  <c r="N2301" i="13" s="1"/>
  <c r="O2302" i="13" l="1"/>
  <c r="N2302" i="13" s="1"/>
  <c r="O2303" i="13" l="1"/>
  <c r="N2303" i="13" s="1"/>
  <c r="O2304" i="13" l="1"/>
  <c r="N2304" i="13" s="1"/>
  <c r="O2305" i="13" l="1"/>
  <c r="N2305" i="13" s="1"/>
  <c r="O2306" i="13" l="1"/>
  <c r="N2306" i="13" s="1"/>
  <c r="O2307" i="13" l="1"/>
  <c r="N2307" i="13" s="1"/>
  <c r="O2308" i="13" l="1"/>
  <c r="N2308" i="13" s="1"/>
  <c r="O2309" i="13" l="1"/>
  <c r="N2309" i="13" s="1"/>
  <c r="O2310" i="13" l="1"/>
  <c r="N2310" i="13" s="1"/>
  <c r="O2311" i="13" l="1"/>
  <c r="N2311" i="13" s="1"/>
  <c r="O2312" i="13" l="1"/>
  <c r="N2312" i="13" s="1"/>
  <c r="O2313" i="13" l="1"/>
  <c r="N2313" i="13" s="1"/>
  <c r="O2314" i="13" l="1"/>
  <c r="N2314" i="13" s="1"/>
  <c r="O2315" i="13" l="1"/>
  <c r="N2315" i="13" s="1"/>
  <c r="O2316" i="13" l="1"/>
  <c r="N2316" i="13" s="1"/>
  <c r="O2317" i="13" l="1"/>
  <c r="N2317" i="13" s="1"/>
  <c r="O2318" i="13" l="1"/>
  <c r="N2318" i="13" s="1"/>
  <c r="O2319" i="13" l="1"/>
  <c r="N2319" i="13" s="1"/>
  <c r="O2320" i="13" l="1"/>
  <c r="N2320" i="13" s="1"/>
  <c r="O2321" i="13" l="1"/>
  <c r="N2321" i="13" s="1"/>
  <c r="O2322" i="13" l="1"/>
  <c r="N2322" i="13" s="1"/>
  <c r="O2323" i="13" l="1"/>
  <c r="N2323" i="13" s="1"/>
  <c r="O2324" i="13" l="1"/>
  <c r="N2324" i="13" s="1"/>
  <c r="O2325" i="13" l="1"/>
  <c r="N2325" i="13" s="1"/>
  <c r="O2326" i="13" l="1"/>
  <c r="N2326" i="13" s="1"/>
  <c r="O2327" i="13" l="1"/>
  <c r="N2327" i="13" s="1"/>
  <c r="O2328" i="13" l="1"/>
  <c r="N2328" i="13" s="1"/>
  <c r="O2329" i="13" l="1"/>
  <c r="N2329" i="13" s="1"/>
  <c r="O2330" i="13" l="1"/>
  <c r="N2330" i="13" s="1"/>
  <c r="O2331" i="13" l="1"/>
  <c r="N2331" i="13" s="1"/>
  <c r="O2332" i="13" l="1"/>
  <c r="N2332" i="13" s="1"/>
  <c r="O2333" i="13" l="1"/>
  <c r="N2333" i="13" s="1"/>
  <c r="O2334" i="13" l="1"/>
  <c r="N2334" i="13" s="1"/>
  <c r="O2335" i="13" l="1"/>
  <c r="N2335" i="13" s="1"/>
  <c r="O2336" i="13" l="1"/>
  <c r="N2336" i="13" s="1"/>
  <c r="O2337" i="13" l="1"/>
  <c r="N2337" i="13" s="1"/>
  <c r="O2338" i="13" l="1"/>
  <c r="N2338" i="13" s="1"/>
  <c r="O2339" i="13" l="1"/>
  <c r="N2339" i="13" s="1"/>
  <c r="O2340" i="13" l="1"/>
  <c r="N2340" i="13" s="1"/>
  <c r="O2341" i="13" l="1"/>
  <c r="N2341" i="13" s="1"/>
  <c r="O2342" i="13" l="1"/>
  <c r="N2342" i="13" s="1"/>
  <c r="O2343" i="13" l="1"/>
  <c r="N2343" i="13" s="1"/>
  <c r="O2344" i="13" l="1"/>
  <c r="N2344" i="13" s="1"/>
  <c r="O2345" i="13" l="1"/>
  <c r="N2345" i="13" s="1"/>
  <c r="O2346" i="13" l="1"/>
  <c r="N2346" i="13" s="1"/>
  <c r="O2347" i="13" l="1"/>
  <c r="N2347" i="13" s="1"/>
  <c r="O2348" i="13" l="1"/>
  <c r="N2348" i="13" s="1"/>
  <c r="O2349" i="13" l="1"/>
  <c r="N2349" i="13" s="1"/>
  <c r="O2350" i="13" l="1"/>
  <c r="N2350" i="13" s="1"/>
  <c r="O2351" i="13" l="1"/>
  <c r="N2351" i="13" s="1"/>
  <c r="O2352" i="13" l="1"/>
  <c r="N2352" i="13" s="1"/>
  <c r="O2353" i="13" l="1"/>
  <c r="N2353" i="13" s="1"/>
  <c r="O2354" i="13" l="1"/>
  <c r="N2354" i="13" s="1"/>
  <c r="O2355" i="13" l="1"/>
  <c r="N2355" i="13" s="1"/>
  <c r="O2356" i="13" l="1"/>
  <c r="N2356" i="13" s="1"/>
  <c r="O2357" i="13" l="1"/>
  <c r="N2357" i="13" s="1"/>
  <c r="O2358" i="13" l="1"/>
  <c r="N2358" i="13" s="1"/>
  <c r="O2359" i="13" l="1"/>
  <c r="N2359" i="13" s="1"/>
  <c r="O2360" i="13" l="1"/>
  <c r="N2360" i="13" s="1"/>
  <c r="O2361" i="13" l="1"/>
  <c r="N2361" i="13" s="1"/>
  <c r="O2362" i="13" l="1"/>
  <c r="N2362" i="13" s="1"/>
  <c r="O2363" i="13" l="1"/>
  <c r="N2363" i="13" s="1"/>
  <c r="O2364" i="13" l="1"/>
  <c r="N2364" i="13" s="1"/>
  <c r="O2365" i="13" l="1"/>
  <c r="N2365" i="13" s="1"/>
  <c r="O2366" i="13" l="1"/>
  <c r="N2366" i="13" s="1"/>
  <c r="O2367" i="13" l="1"/>
  <c r="N2367" i="13" s="1"/>
  <c r="O2368" i="13" l="1"/>
  <c r="N2368" i="13" s="1"/>
  <c r="O2369" i="13" l="1"/>
  <c r="N2369" i="13" s="1"/>
  <c r="O2370" i="13" l="1"/>
  <c r="N2370" i="13" s="1"/>
  <c r="O2371" i="13" l="1"/>
  <c r="N2371" i="13" s="1"/>
  <c r="O2372" i="13" l="1"/>
  <c r="N2372" i="13" s="1"/>
  <c r="O2373" i="13" l="1"/>
  <c r="N2373" i="13" s="1"/>
  <c r="O2374" i="13" l="1"/>
  <c r="N2374" i="13" s="1"/>
  <c r="O2375" i="13" l="1"/>
  <c r="N2375" i="13" s="1"/>
  <c r="O2376" i="13" l="1"/>
  <c r="N2376" i="13" s="1"/>
  <c r="O2377" i="13" l="1"/>
  <c r="N2377" i="13" s="1"/>
  <c r="O2378" i="13" l="1"/>
  <c r="N2378" i="13" s="1"/>
  <c r="O2379" i="13" l="1"/>
  <c r="N2379" i="13" s="1"/>
  <c r="O2380" i="13" l="1"/>
  <c r="N2380" i="13" s="1"/>
  <c r="O2381" i="13" l="1"/>
  <c r="N2381" i="13" s="1"/>
  <c r="O2382" i="13" l="1"/>
  <c r="N2382" i="13" s="1"/>
  <c r="O2383" i="13" l="1"/>
  <c r="N2383" i="13" s="1"/>
  <c r="O2384" i="13" l="1"/>
  <c r="N2384" i="13" s="1"/>
  <c r="O2385" i="13" l="1"/>
  <c r="N2385" i="13" s="1"/>
  <c r="O2386" i="13" l="1"/>
  <c r="N2386" i="13" s="1"/>
  <c r="O2387" i="13" l="1"/>
  <c r="N2387" i="13" s="1"/>
  <c r="O2388" i="13" l="1"/>
  <c r="N2388" i="13" s="1"/>
  <c r="O2389" i="13" l="1"/>
  <c r="N2389" i="13" s="1"/>
  <c r="O2390" i="13" l="1"/>
  <c r="N2390" i="13" s="1"/>
  <c r="O2391" i="13" l="1"/>
  <c r="N2391" i="13" s="1"/>
  <c r="O2392" i="13" l="1"/>
  <c r="N2392" i="13" s="1"/>
  <c r="O2393" i="13" l="1"/>
  <c r="N2393" i="13" s="1"/>
  <c r="O2394" i="13" l="1"/>
  <c r="N2394" i="13" s="1"/>
  <c r="O2395" i="13" l="1"/>
  <c r="N2395" i="13" s="1"/>
  <c r="O2396" i="13" l="1"/>
  <c r="N2396" i="13" s="1"/>
  <c r="O2397" i="13" l="1"/>
  <c r="N2397" i="13" s="1"/>
  <c r="O2398" i="13" l="1"/>
  <c r="N2398" i="13" s="1"/>
  <c r="O2399" i="13" l="1"/>
  <c r="N2399" i="13" s="1"/>
  <c r="O2400" i="13" l="1"/>
  <c r="N2400" i="13" s="1"/>
  <c r="O2401" i="13" l="1"/>
  <c r="N2401" i="13" s="1"/>
  <c r="O2402" i="13" l="1"/>
  <c r="N2402" i="13" s="1"/>
  <c r="O2403" i="13" l="1"/>
  <c r="N2403" i="13" s="1"/>
  <c r="O2404" i="13" l="1"/>
  <c r="N2404" i="13" s="1"/>
  <c r="O2405" i="13" l="1"/>
  <c r="N2405" i="13" s="1"/>
  <c r="O2406" i="13" l="1"/>
  <c r="N2406" i="13" s="1"/>
  <c r="O2407" i="13" l="1"/>
  <c r="N2407" i="13" s="1"/>
  <c r="O2408" i="13" l="1"/>
  <c r="N2408" i="13" s="1"/>
  <c r="O2409" i="13" l="1"/>
  <c r="N2409" i="13" s="1"/>
  <c r="O2410" i="13" l="1"/>
  <c r="N2410" i="13" s="1"/>
  <c r="O2411" i="13" l="1"/>
  <c r="N2411" i="13" s="1"/>
  <c r="O2412" i="13" l="1"/>
  <c r="N2412" i="13" s="1"/>
  <c r="O2413" i="13" l="1"/>
  <c r="N2413" i="13" s="1"/>
  <c r="O2414" i="13" l="1"/>
  <c r="N2414" i="13" s="1"/>
  <c r="O2415" i="13" l="1"/>
  <c r="N2415" i="13" s="1"/>
  <c r="O2416" i="13" l="1"/>
  <c r="N2416" i="13" s="1"/>
  <c r="O2417" i="13" l="1"/>
  <c r="N2417" i="13" s="1"/>
  <c r="O2418" i="13" l="1"/>
  <c r="N2418" i="13" s="1"/>
  <c r="O2419" i="13" l="1"/>
  <c r="N2419" i="13" s="1"/>
  <c r="O2420" i="13" l="1"/>
  <c r="N2420" i="13" s="1"/>
  <c r="O2421" i="13" l="1"/>
  <c r="N2421" i="13" s="1"/>
  <c r="O2422" i="13" l="1"/>
  <c r="N2422" i="13" s="1"/>
  <c r="O2423" i="13" l="1"/>
  <c r="N2423" i="13" s="1"/>
  <c r="O2424" i="13" l="1"/>
  <c r="N2424" i="13" s="1"/>
  <c r="O2425" i="13" l="1"/>
  <c r="N2425" i="13" s="1"/>
  <c r="O2426" i="13" l="1"/>
  <c r="N2426" i="13" s="1"/>
  <c r="O2427" i="13" l="1"/>
  <c r="N2427" i="13" s="1"/>
  <c r="O2428" i="13" l="1"/>
  <c r="N2428" i="13" s="1"/>
  <c r="O2429" i="13" l="1"/>
  <c r="N2429" i="13" s="1"/>
  <c r="O2430" i="13" l="1"/>
  <c r="N2430" i="13" s="1"/>
  <c r="O2431" i="13" l="1"/>
  <c r="N2431" i="13" s="1"/>
  <c r="O2432" i="13" l="1"/>
  <c r="N2432" i="13" s="1"/>
  <c r="O2433" i="13" l="1"/>
  <c r="N2433" i="13" s="1"/>
  <c r="O2434" i="13" l="1"/>
  <c r="N2434" i="13" s="1"/>
  <c r="O2435" i="13" l="1"/>
  <c r="N2435" i="13" s="1"/>
  <c r="O2436" i="13" l="1"/>
  <c r="N2436" i="13" s="1"/>
  <c r="O2437" i="13" l="1"/>
  <c r="N2437" i="13" s="1"/>
  <c r="O2438" i="13" l="1"/>
  <c r="N2438" i="13" s="1"/>
  <c r="O2439" i="13" l="1"/>
  <c r="N2439" i="13" s="1"/>
  <c r="O2440" i="13" l="1"/>
  <c r="N2440" i="13" s="1"/>
  <c r="O2441" i="13" l="1"/>
  <c r="N2441" i="13" s="1"/>
  <c r="O2442" i="13" l="1"/>
  <c r="N2442" i="13" s="1"/>
  <c r="O2443" i="13" l="1"/>
  <c r="N2443" i="13" s="1"/>
  <c r="O2444" i="13" l="1"/>
  <c r="N2444" i="13" s="1"/>
  <c r="O2445" i="13" l="1"/>
  <c r="N2445" i="13" s="1"/>
  <c r="O2446" i="13" l="1"/>
  <c r="N2446" i="13" s="1"/>
  <c r="O2447" i="13" l="1"/>
  <c r="N2447" i="13" s="1"/>
  <c r="O2448" i="13" l="1"/>
  <c r="N2448" i="13" s="1"/>
  <c r="O2449" i="13" l="1"/>
  <c r="N2449" i="13" s="1"/>
  <c r="O2450" i="13" l="1"/>
  <c r="N2450" i="13" s="1"/>
  <c r="O2451" i="13" l="1"/>
  <c r="N2451" i="13" s="1"/>
  <c r="O2452" i="13" l="1"/>
  <c r="N2452" i="13" s="1"/>
  <c r="O2453" i="13" l="1"/>
  <c r="N2453" i="13" s="1"/>
  <c r="O2454" i="13" l="1"/>
  <c r="N2454" i="13" s="1"/>
  <c r="O2455" i="13" l="1"/>
  <c r="N2455" i="13" s="1"/>
  <c r="O2456" i="13" l="1"/>
  <c r="N2456" i="13" s="1"/>
  <c r="O2457" i="13" l="1"/>
  <c r="N2457" i="13" s="1"/>
  <c r="O2458" i="13" l="1"/>
  <c r="N2458" i="13" s="1"/>
  <c r="O2459" i="13" l="1"/>
  <c r="N2459" i="13" s="1"/>
  <c r="O2460" i="13" l="1"/>
  <c r="N2460" i="13" s="1"/>
  <c r="O2461" i="13" l="1"/>
  <c r="N2461" i="13" s="1"/>
  <c r="O2462" i="13" l="1"/>
  <c r="N2462" i="13" s="1"/>
  <c r="O2463" i="13" l="1"/>
  <c r="N2463" i="13" s="1"/>
  <c r="O2464" i="13" l="1"/>
  <c r="N2464" i="13" s="1"/>
  <c r="O2465" i="13" l="1"/>
  <c r="N2465" i="13" s="1"/>
  <c r="O2466" i="13" l="1"/>
  <c r="N2466" i="13" s="1"/>
  <c r="O2467" i="13" l="1"/>
  <c r="N2467" i="13" s="1"/>
  <c r="O2468" i="13" l="1"/>
  <c r="N2468" i="13" s="1"/>
  <c r="O2469" i="13" l="1"/>
  <c r="N2469" i="13" s="1"/>
  <c r="O2470" i="13" l="1"/>
  <c r="N2470" i="13" s="1"/>
  <c r="O2471" i="13" l="1"/>
  <c r="N2471" i="13" s="1"/>
  <c r="O2472" i="13" l="1"/>
  <c r="N2472" i="13" s="1"/>
  <c r="O2473" i="13" l="1"/>
  <c r="N2473" i="13" s="1"/>
  <c r="O2474" i="13" l="1"/>
  <c r="N2474" i="13" s="1"/>
  <c r="O2475" i="13" l="1"/>
  <c r="N2475" i="13" s="1"/>
  <c r="O2476" i="13" l="1"/>
  <c r="N2476" i="13" s="1"/>
  <c r="O2477" i="13" l="1"/>
  <c r="N2477" i="13" s="1"/>
  <c r="O2478" i="13" l="1"/>
  <c r="N2478" i="13" s="1"/>
  <c r="O2479" i="13" l="1"/>
  <c r="N2479" i="13" s="1"/>
  <c r="O2480" i="13" l="1"/>
  <c r="N2480" i="13" s="1"/>
  <c r="O2481" i="13" l="1"/>
  <c r="N2481" i="13" s="1"/>
  <c r="O2482" i="13" l="1"/>
  <c r="N2482" i="13" s="1"/>
  <c r="O2483" i="13" l="1"/>
  <c r="N2483" i="13" s="1"/>
  <c r="O2484" i="13" l="1"/>
  <c r="N2484" i="13" s="1"/>
  <c r="O2485" i="13" l="1"/>
  <c r="N2485" i="13" s="1"/>
  <c r="O2486" i="13" l="1"/>
  <c r="N2486" i="13" s="1"/>
  <c r="O2487" i="13" l="1"/>
  <c r="N2487" i="13" s="1"/>
  <c r="O2488" i="13" l="1"/>
  <c r="N2488" i="13" s="1"/>
  <c r="O2489" i="13" l="1"/>
  <c r="N2489" i="13" s="1"/>
  <c r="O2490" i="13" l="1"/>
  <c r="N2490" i="13" s="1"/>
  <c r="O2491" i="13" l="1"/>
  <c r="N2491" i="13" s="1"/>
  <c r="O2492" i="13" l="1"/>
  <c r="N2492" i="13" s="1"/>
  <c r="O2493" i="13" l="1"/>
  <c r="N2493" i="13" s="1"/>
  <c r="O2494" i="13" l="1"/>
  <c r="N2494" i="13" s="1"/>
  <c r="O2495" i="13" l="1"/>
  <c r="N2495" i="13" s="1"/>
  <c r="O2496" i="13" l="1"/>
  <c r="N2496" i="13" s="1"/>
  <c r="O2497" i="13" l="1"/>
  <c r="N2497" i="13" s="1"/>
  <c r="O2498" i="13" l="1"/>
  <c r="N2498" i="13" s="1"/>
  <c r="O2499" i="13" l="1"/>
  <c r="N2499" i="13" s="1"/>
  <c r="O2500" i="13" l="1"/>
  <c r="N2500" i="13" s="1"/>
  <c r="O2501" i="13" l="1"/>
  <c r="N2501" i="13" s="1"/>
  <c r="O2502" i="13" l="1"/>
  <c r="N2502" i="13" s="1"/>
  <c r="O2503" i="13" l="1"/>
  <c r="N2503" i="13" s="1"/>
  <c r="O2504" i="13" l="1"/>
  <c r="N2504" i="13" s="1"/>
  <c r="O2505" i="13" l="1"/>
  <c r="N2505" i="13" s="1"/>
  <c r="O2506" i="13" l="1"/>
  <c r="N2506" i="13" s="1"/>
  <c r="O2507" i="13" l="1"/>
  <c r="N2507" i="13" s="1"/>
  <c r="O2508" i="13" l="1"/>
  <c r="N2508" i="13" s="1"/>
  <c r="O2509" i="13" l="1"/>
  <c r="N2509" i="13" s="1"/>
  <c r="O2510" i="13" l="1"/>
  <c r="N2510" i="13" s="1"/>
  <c r="O2511" i="13" l="1"/>
  <c r="N2511" i="13" s="1"/>
  <c r="O2512" i="13" l="1"/>
  <c r="N2512" i="13" s="1"/>
  <c r="O2513" i="13" l="1"/>
  <c r="N2513" i="13" s="1"/>
  <c r="O2514" i="13" l="1"/>
  <c r="N2514" i="13" s="1"/>
  <c r="O2515" i="13" l="1"/>
  <c r="N2515" i="13" s="1"/>
  <c r="O2516" i="13" l="1"/>
  <c r="N2516" i="13" s="1"/>
  <c r="O2517" i="13" l="1"/>
  <c r="N2517" i="13" s="1"/>
  <c r="O2518" i="13" l="1"/>
  <c r="N2518" i="13" s="1"/>
  <c r="O2519" i="13" l="1"/>
  <c r="N2519" i="13" s="1"/>
  <c r="O2520" i="13" l="1"/>
  <c r="N2520" i="13" s="1"/>
  <c r="O2521" i="13" l="1"/>
  <c r="N2521" i="13" s="1"/>
  <c r="O2522" i="13" l="1"/>
  <c r="N2522" i="13" s="1"/>
  <c r="O2523" i="13" l="1"/>
  <c r="N2523" i="13" s="1"/>
  <c r="O2524" i="13" l="1"/>
  <c r="N2524" i="13" s="1"/>
  <c r="O2525" i="13" l="1"/>
  <c r="N2525" i="13" s="1"/>
  <c r="O2526" i="13" l="1"/>
  <c r="N2526" i="13" s="1"/>
  <c r="O2527" i="13" l="1"/>
  <c r="N2527" i="13" s="1"/>
  <c r="O2528" i="13" l="1"/>
  <c r="N2528" i="13" s="1"/>
  <c r="O2529" i="13" l="1"/>
  <c r="N2529" i="13" s="1"/>
  <c r="O2530" i="13" l="1"/>
  <c r="N2530" i="13" s="1"/>
  <c r="O2531" i="13" l="1"/>
  <c r="N2531" i="13" s="1"/>
  <c r="O2532" i="13" l="1"/>
  <c r="N2532" i="13" s="1"/>
  <c r="O2533" i="13" l="1"/>
  <c r="N2533" i="13" s="1"/>
  <c r="O2534" i="13" l="1"/>
  <c r="N2534" i="13" s="1"/>
  <c r="O2535" i="13" l="1"/>
  <c r="N2535" i="13" s="1"/>
  <c r="O2536" i="13" l="1"/>
  <c r="N2536" i="13" s="1"/>
  <c r="O2537" i="13" l="1"/>
  <c r="N2537" i="13" s="1"/>
  <c r="O2538" i="13" l="1"/>
  <c r="N2538" i="13" s="1"/>
  <c r="O2539" i="13" l="1"/>
  <c r="N2539" i="13" s="1"/>
  <c r="O2540" i="13" l="1"/>
  <c r="N2540" i="13" s="1"/>
  <c r="O2541" i="13" l="1"/>
  <c r="N2541" i="13" s="1"/>
  <c r="O2542" i="13" l="1"/>
  <c r="N2542" i="13" s="1"/>
  <c r="O2543" i="13" l="1"/>
  <c r="N2543" i="13" s="1"/>
  <c r="O2544" i="13" l="1"/>
  <c r="N2544" i="13" s="1"/>
  <c r="O2545" i="13" l="1"/>
  <c r="N2545" i="13" s="1"/>
  <c r="O2546" i="13" l="1"/>
  <c r="N2546" i="13" s="1"/>
  <c r="O2547" i="13" l="1"/>
  <c r="N2547" i="13" s="1"/>
  <c r="O2548" i="13" l="1"/>
  <c r="N2548" i="13" s="1"/>
  <c r="O2549" i="13" l="1"/>
  <c r="N2549" i="13" s="1"/>
  <c r="O2550" i="13" l="1"/>
  <c r="N2550" i="13" s="1"/>
  <c r="O2551" i="13" l="1"/>
  <c r="N2551" i="13" s="1"/>
  <c r="O2552" i="13" l="1"/>
  <c r="N2552" i="13" s="1"/>
  <c r="O2553" i="13" l="1"/>
  <c r="N2553" i="13" s="1"/>
  <c r="O2554" i="13" l="1"/>
  <c r="N2554" i="13" s="1"/>
  <c r="O2555" i="13" l="1"/>
  <c r="N2555" i="13" s="1"/>
  <c r="O2556" i="13" l="1"/>
  <c r="N2556" i="13" s="1"/>
  <c r="O2557" i="13" l="1"/>
  <c r="N2557" i="13" s="1"/>
  <c r="O2558" i="13" l="1"/>
  <c r="N2558" i="13" s="1"/>
  <c r="O2559" i="13" l="1"/>
  <c r="N2559" i="13" s="1"/>
  <c r="O2560" i="13" l="1"/>
  <c r="N2560" i="13" s="1"/>
  <c r="O2561" i="13" l="1"/>
  <c r="N2561" i="13" s="1"/>
  <c r="O2562" i="13" l="1"/>
  <c r="N2562" i="13" s="1"/>
  <c r="O2563" i="13" l="1"/>
  <c r="N2563" i="13" s="1"/>
  <c r="O2564" i="13" l="1"/>
  <c r="N2564" i="13" s="1"/>
  <c r="O2565" i="13" l="1"/>
  <c r="N2565" i="13" s="1"/>
  <c r="O2566" i="13" l="1"/>
  <c r="N2566" i="13" s="1"/>
  <c r="O2567" i="13" l="1"/>
  <c r="N2567" i="13" s="1"/>
  <c r="O2568" i="13" l="1"/>
  <c r="N2568" i="13" s="1"/>
  <c r="O2569" i="13" l="1"/>
  <c r="N2569" i="13" s="1"/>
  <c r="O2570" i="13" l="1"/>
  <c r="N2570" i="13" s="1"/>
  <c r="O2571" i="13" l="1"/>
  <c r="N2571" i="13" s="1"/>
  <c r="O2572" i="13" l="1"/>
  <c r="N2572" i="13" s="1"/>
  <c r="O2573" i="13" l="1"/>
  <c r="N2573" i="13" s="1"/>
  <c r="O2574" i="13" l="1"/>
  <c r="N2574" i="13" s="1"/>
  <c r="O2575" i="13" l="1"/>
  <c r="N2575" i="13" s="1"/>
  <c r="O2576" i="13" l="1"/>
  <c r="N2576" i="13" s="1"/>
  <c r="O2577" i="13" l="1"/>
  <c r="N2577" i="13" s="1"/>
  <c r="O2578" i="13" l="1"/>
  <c r="N2578" i="13" s="1"/>
  <c r="O2579" i="13" l="1"/>
  <c r="N2579" i="13" s="1"/>
  <c r="O2580" i="13" l="1"/>
  <c r="N2580" i="13" s="1"/>
  <c r="O2581" i="13" l="1"/>
  <c r="N2581" i="13" s="1"/>
  <c r="O2582" i="13" l="1"/>
  <c r="N2582" i="13" s="1"/>
  <c r="O2583" i="13" l="1"/>
  <c r="N2583" i="13" s="1"/>
  <c r="O2584" i="13" l="1"/>
  <c r="N2584" i="13" s="1"/>
  <c r="O2585" i="13" l="1"/>
  <c r="N2585" i="13" s="1"/>
  <c r="O2586" i="13" l="1"/>
  <c r="N2586" i="13" s="1"/>
  <c r="O2587" i="13" l="1"/>
  <c r="N2587" i="13" s="1"/>
  <c r="O2588" i="13" l="1"/>
  <c r="N2588" i="13" s="1"/>
  <c r="O2589" i="13" l="1"/>
  <c r="N2589" i="13" s="1"/>
  <c r="O2590" i="13" l="1"/>
  <c r="N2590" i="13" s="1"/>
  <c r="O2591" i="13" l="1"/>
  <c r="N2591" i="13" s="1"/>
  <c r="O2592" i="13" l="1"/>
  <c r="N2592" i="13" s="1"/>
  <c r="O2593" i="13" l="1"/>
  <c r="N2593" i="13" s="1"/>
  <c r="O2594" i="13" l="1"/>
  <c r="N2594" i="13" s="1"/>
  <c r="O2595" i="13" l="1"/>
  <c r="N2595" i="13" s="1"/>
  <c r="O2596" i="13" l="1"/>
  <c r="N2596" i="13" s="1"/>
  <c r="O2597" i="13" l="1"/>
  <c r="N2597" i="13" s="1"/>
  <c r="O2598" i="13" l="1"/>
  <c r="N2598" i="13" s="1"/>
  <c r="O2599" i="13" l="1"/>
  <c r="N2599" i="13" s="1"/>
  <c r="O2600" i="13" l="1"/>
  <c r="N2600" i="13" s="1"/>
  <c r="O2601" i="13" l="1"/>
  <c r="N2601" i="13" s="1"/>
  <c r="O2602" i="13" l="1"/>
  <c r="N2602" i="13" s="1"/>
  <c r="O2603" i="13" l="1"/>
  <c r="N2603" i="13" s="1"/>
  <c r="O2604" i="13" l="1"/>
  <c r="N2604" i="13" s="1"/>
  <c r="O2605" i="13" l="1"/>
  <c r="N2605" i="13" s="1"/>
  <c r="O2606" i="13" l="1"/>
  <c r="N2606" i="13" s="1"/>
  <c r="O2607" i="13" l="1"/>
  <c r="N2607" i="13" s="1"/>
  <c r="O2608" i="13" l="1"/>
  <c r="N2608" i="13" s="1"/>
  <c r="O2609" i="13" l="1"/>
  <c r="N2609" i="13" s="1"/>
  <c r="O2610" i="13" l="1"/>
  <c r="N2610" i="13" s="1"/>
  <c r="O2611" i="13" l="1"/>
  <c r="N2611" i="13" s="1"/>
  <c r="O2612" i="13" l="1"/>
  <c r="N2612" i="13" s="1"/>
  <c r="O2613" i="13" l="1"/>
  <c r="N2613" i="13" s="1"/>
  <c r="O2614" i="13" l="1"/>
  <c r="N2614" i="13" s="1"/>
  <c r="O2615" i="13" l="1"/>
  <c r="N2615" i="13" s="1"/>
  <c r="O2616" i="13" l="1"/>
  <c r="N2616" i="13" s="1"/>
  <c r="O2617" i="13" l="1"/>
  <c r="N2617" i="13" s="1"/>
  <c r="O2618" i="13" l="1"/>
  <c r="N2618" i="13" s="1"/>
  <c r="O2619" i="13" l="1"/>
  <c r="N2619" i="13" s="1"/>
  <c r="O2620" i="13" l="1"/>
  <c r="N2620" i="13" s="1"/>
  <c r="O2621" i="13" l="1"/>
  <c r="N2621" i="13" s="1"/>
  <c r="O2622" i="13" l="1"/>
  <c r="N2622" i="13" s="1"/>
  <c r="O2623" i="13" l="1"/>
  <c r="N2623" i="13" s="1"/>
  <c r="O2624" i="13" l="1"/>
  <c r="N2624" i="13" s="1"/>
  <c r="O2625" i="13" l="1"/>
  <c r="N2625" i="13" s="1"/>
  <c r="O2626" i="13" l="1"/>
  <c r="N2626" i="13" s="1"/>
  <c r="O2627" i="13" l="1"/>
  <c r="N2627" i="13" s="1"/>
  <c r="O2628" i="13" l="1"/>
  <c r="N2628" i="13" s="1"/>
  <c r="O2629" i="13" l="1"/>
  <c r="N2629" i="13" s="1"/>
  <c r="O2630" i="13" l="1"/>
  <c r="N2630" i="13" s="1"/>
  <c r="O2631" i="13" l="1"/>
  <c r="N2631" i="13" s="1"/>
  <c r="O2632" i="13" l="1"/>
  <c r="N2632" i="13" s="1"/>
  <c r="O2633" i="13" l="1"/>
  <c r="N2633" i="13" s="1"/>
  <c r="O2634" i="13" l="1"/>
  <c r="N2634" i="13" s="1"/>
  <c r="O2635" i="13" l="1"/>
  <c r="N2635" i="13" s="1"/>
  <c r="O2636" i="13" l="1"/>
  <c r="N2636" i="13" s="1"/>
  <c r="O2637" i="13" l="1"/>
  <c r="N2637" i="13" s="1"/>
  <c r="O2638" i="13" l="1"/>
  <c r="N2638" i="13" s="1"/>
  <c r="O2639" i="13" l="1"/>
  <c r="N2639" i="13" s="1"/>
  <c r="O2640" i="13" l="1"/>
  <c r="N2640" i="13" s="1"/>
  <c r="O2641" i="13" l="1"/>
  <c r="N2641" i="13" s="1"/>
  <c r="O2642" i="13" l="1"/>
  <c r="N2642" i="13" s="1"/>
  <c r="O2643" i="13" l="1"/>
  <c r="N2643" i="13" s="1"/>
  <c r="O2644" i="13" l="1"/>
  <c r="N2644" i="13" s="1"/>
  <c r="O2645" i="13" l="1"/>
  <c r="N2645" i="13" s="1"/>
  <c r="O2646" i="13" l="1"/>
  <c r="N2646" i="13" s="1"/>
  <c r="O2647" i="13" l="1"/>
  <c r="N2647" i="13" s="1"/>
  <c r="O2648" i="13" l="1"/>
  <c r="N2648" i="13" s="1"/>
  <c r="O2649" i="13" l="1"/>
  <c r="N2649" i="13" s="1"/>
  <c r="O2650" i="13" l="1"/>
  <c r="N2650" i="13" s="1"/>
  <c r="O2651" i="13" l="1"/>
  <c r="N2651" i="13" s="1"/>
  <c r="O2652" i="13" l="1"/>
  <c r="N2652" i="13" s="1"/>
  <c r="O2653" i="13" l="1"/>
  <c r="N2653" i="13" s="1"/>
  <c r="O2654" i="13" l="1"/>
  <c r="N2654" i="13" s="1"/>
  <c r="O2655" i="13" l="1"/>
  <c r="N2655" i="13" s="1"/>
  <c r="O2656" i="13" l="1"/>
  <c r="N2656" i="13" s="1"/>
  <c r="O2657" i="13" l="1"/>
  <c r="N2657" i="13" s="1"/>
  <c r="O2658" i="13" l="1"/>
  <c r="N2658" i="13" s="1"/>
  <c r="O2659" i="13" l="1"/>
  <c r="N2659" i="13" s="1"/>
  <c r="O2660" i="13" l="1"/>
  <c r="N2660" i="13" s="1"/>
  <c r="O2661" i="13" l="1"/>
  <c r="N2661" i="13" s="1"/>
  <c r="O2662" i="13" l="1"/>
  <c r="N2662" i="13" s="1"/>
  <c r="O2663" i="13" l="1"/>
  <c r="N2663" i="13" s="1"/>
  <c r="O2664" i="13" l="1"/>
  <c r="N2664" i="13" s="1"/>
  <c r="O2665" i="13" l="1"/>
  <c r="N2665" i="13" s="1"/>
  <c r="O2666" i="13" l="1"/>
  <c r="N2666" i="13" s="1"/>
  <c r="O2667" i="13" l="1"/>
  <c r="N2667" i="13" s="1"/>
  <c r="O2668" i="13" l="1"/>
  <c r="N2668" i="13" s="1"/>
  <c r="O2669" i="13" l="1"/>
  <c r="N2669" i="13" s="1"/>
  <c r="O2670" i="13" l="1"/>
  <c r="N2670" i="13" s="1"/>
  <c r="O2671" i="13" l="1"/>
  <c r="N2671" i="13" s="1"/>
  <c r="O2672" i="13" l="1"/>
  <c r="N2672" i="13" s="1"/>
  <c r="O2673" i="13" l="1"/>
  <c r="N2673" i="13" s="1"/>
  <c r="O2674" i="13" l="1"/>
  <c r="N2674" i="13" s="1"/>
  <c r="O2675" i="13" l="1"/>
  <c r="N2675" i="13" s="1"/>
  <c r="O2676" i="13" l="1"/>
  <c r="N2676" i="13" s="1"/>
  <c r="O2677" i="13" l="1"/>
  <c r="N2677" i="13" s="1"/>
  <c r="O2678" i="13" l="1"/>
  <c r="N2678" i="13" s="1"/>
  <c r="O2679" i="13" l="1"/>
  <c r="N2679" i="13" s="1"/>
  <c r="O2680" i="13" l="1"/>
  <c r="N2680" i="13" s="1"/>
  <c r="O2681" i="13" l="1"/>
  <c r="N2681" i="13" s="1"/>
  <c r="O2682" i="13" l="1"/>
  <c r="N2682" i="13" s="1"/>
  <c r="O2683" i="13" l="1"/>
  <c r="N2683" i="13" s="1"/>
  <c r="O2684" i="13" l="1"/>
  <c r="N2684" i="13" s="1"/>
  <c r="O2685" i="13" l="1"/>
  <c r="N2685" i="13" s="1"/>
  <c r="O2686" i="13" l="1"/>
  <c r="N2686" i="13" s="1"/>
  <c r="O2687" i="13" l="1"/>
  <c r="N2687" i="13" s="1"/>
  <c r="O2688" i="13" l="1"/>
  <c r="N2688" i="13" s="1"/>
  <c r="O2689" i="13" l="1"/>
  <c r="N2689" i="13" s="1"/>
  <c r="O2690" i="13" l="1"/>
  <c r="N2690" i="13" s="1"/>
  <c r="O2691" i="13" l="1"/>
  <c r="N2691" i="13" s="1"/>
  <c r="O2692" i="13" l="1"/>
  <c r="N2692" i="13" s="1"/>
  <c r="O2693" i="13" l="1"/>
  <c r="N2693" i="13" s="1"/>
  <c r="O2694" i="13" l="1"/>
  <c r="N2694" i="13" s="1"/>
  <c r="O2695" i="13" l="1"/>
  <c r="N2695" i="13" s="1"/>
  <c r="O2696" i="13" l="1"/>
  <c r="N2696" i="13" s="1"/>
  <c r="O2697" i="13" l="1"/>
  <c r="N2697" i="13" s="1"/>
  <c r="O2698" i="13" l="1"/>
  <c r="N2698" i="13" s="1"/>
  <c r="O2699" i="13" l="1"/>
  <c r="N2699" i="13" s="1"/>
  <c r="O2700" i="13" l="1"/>
  <c r="N2700" i="13" s="1"/>
  <c r="O2701" i="13" l="1"/>
  <c r="N2701" i="13" s="1"/>
  <c r="O2702" i="13" l="1"/>
  <c r="N2702" i="13" s="1"/>
  <c r="O2703" i="13" l="1"/>
  <c r="N2703" i="13" s="1"/>
  <c r="O2704" i="13" l="1"/>
  <c r="N2704" i="13" s="1"/>
  <c r="O2705" i="13" l="1"/>
  <c r="N2705" i="13" s="1"/>
  <c r="O2706" i="13" l="1"/>
  <c r="N2706" i="13" s="1"/>
  <c r="O2707" i="13" l="1"/>
  <c r="N2707" i="13" s="1"/>
  <c r="O2708" i="13" l="1"/>
  <c r="N2708" i="13" s="1"/>
  <c r="O2709" i="13" l="1"/>
  <c r="N2709" i="13" s="1"/>
  <c r="O2710" i="13" l="1"/>
  <c r="N2710" i="13" s="1"/>
  <c r="O2711" i="13" l="1"/>
  <c r="N2711" i="13" s="1"/>
  <c r="O2712" i="13" l="1"/>
  <c r="N2712" i="13" s="1"/>
  <c r="O2713" i="13" l="1"/>
  <c r="N2713" i="13" s="1"/>
  <c r="O2714" i="13" l="1"/>
  <c r="N2714" i="13" s="1"/>
  <c r="O2715" i="13" l="1"/>
  <c r="N2715" i="13" s="1"/>
  <c r="O2716" i="13" l="1"/>
  <c r="N2716" i="13" s="1"/>
  <c r="O2717" i="13" l="1"/>
  <c r="N2717" i="13" s="1"/>
  <c r="O2718" i="13" l="1"/>
  <c r="N2718" i="13" s="1"/>
  <c r="O2719" i="13" l="1"/>
  <c r="N2719" i="13" s="1"/>
  <c r="O2720" i="13" l="1"/>
  <c r="N2720" i="13" s="1"/>
  <c r="O2721" i="13" l="1"/>
  <c r="N2721" i="13" s="1"/>
  <c r="O2722" i="13" l="1"/>
  <c r="N2722" i="13" s="1"/>
  <c r="O2723" i="13" l="1"/>
  <c r="N2723" i="13" s="1"/>
  <c r="O2724" i="13" l="1"/>
  <c r="N2724" i="13" s="1"/>
  <c r="O2725" i="13" l="1"/>
  <c r="N2725" i="13" s="1"/>
  <c r="O2726" i="13" l="1"/>
  <c r="N2726" i="13" s="1"/>
  <c r="O2727" i="13" l="1"/>
  <c r="N2727" i="13" s="1"/>
  <c r="O2728" i="13" l="1"/>
  <c r="N2728" i="13" s="1"/>
  <c r="O2729" i="13" l="1"/>
  <c r="N2729" i="13" s="1"/>
  <c r="O2730" i="13" l="1"/>
  <c r="N2730" i="13" s="1"/>
  <c r="O2731" i="13" l="1"/>
  <c r="N2731" i="13" s="1"/>
  <c r="O2732" i="13" l="1"/>
  <c r="N2732" i="13" s="1"/>
  <c r="O2733" i="13" l="1"/>
  <c r="N2733" i="13" s="1"/>
  <c r="O2734" i="13" l="1"/>
  <c r="N2734" i="13" s="1"/>
  <c r="O2735" i="13" l="1"/>
  <c r="N2735" i="13" s="1"/>
  <c r="O2736" i="13" l="1"/>
  <c r="N2736" i="13" s="1"/>
  <c r="O2737" i="13" l="1"/>
  <c r="N2737" i="13" s="1"/>
  <c r="O2738" i="13" l="1"/>
  <c r="N2738" i="13" s="1"/>
  <c r="O2739" i="13" l="1"/>
  <c r="N2739" i="13" s="1"/>
  <c r="O2740" i="13" l="1"/>
  <c r="N2740" i="13" s="1"/>
  <c r="O2741" i="13" l="1"/>
  <c r="N2741" i="13" s="1"/>
  <c r="O2742" i="13" l="1"/>
  <c r="N2742" i="13" s="1"/>
  <c r="O2743" i="13" l="1"/>
  <c r="N2743" i="13" s="1"/>
  <c r="O2744" i="13" l="1"/>
  <c r="N2744" i="13" s="1"/>
  <c r="O2745" i="13" l="1"/>
  <c r="N2745" i="13" s="1"/>
  <c r="O2746" i="13" l="1"/>
  <c r="N2746" i="13" s="1"/>
  <c r="O2747" i="13" l="1"/>
  <c r="N2747" i="13" s="1"/>
  <c r="O2748" i="13" l="1"/>
  <c r="N2748" i="13" s="1"/>
  <c r="O2749" i="13" l="1"/>
  <c r="N2749" i="13" s="1"/>
  <c r="O2750" i="13" l="1"/>
  <c r="N2750" i="13" s="1"/>
  <c r="O2751" i="13" l="1"/>
  <c r="N2751" i="13" s="1"/>
  <c r="O2752" i="13" l="1"/>
  <c r="N2752" i="13" s="1"/>
  <c r="O2753" i="13" l="1"/>
  <c r="N2753" i="13" s="1"/>
  <c r="O2754" i="13" l="1"/>
  <c r="N2754" i="13" s="1"/>
  <c r="O2755" i="13" l="1"/>
  <c r="N2755" i="13" s="1"/>
  <c r="O2756" i="13" l="1"/>
  <c r="N2756" i="13" s="1"/>
  <c r="O2757" i="13" l="1"/>
  <c r="N2757" i="13" s="1"/>
  <c r="O2758" i="13" l="1"/>
  <c r="N2758" i="13" s="1"/>
  <c r="O2759" i="13" l="1"/>
  <c r="N2759" i="13" s="1"/>
  <c r="O2760" i="13" l="1"/>
  <c r="N2760" i="13" s="1"/>
  <c r="O2761" i="13" l="1"/>
  <c r="N2761" i="13" s="1"/>
  <c r="O2762" i="13" l="1"/>
  <c r="N2762" i="13" s="1"/>
  <c r="O2763" i="13" l="1"/>
  <c r="N2763" i="13" s="1"/>
  <c r="O2764" i="13" l="1"/>
  <c r="N2764" i="13" s="1"/>
  <c r="O2765" i="13" l="1"/>
  <c r="N2765" i="13" s="1"/>
  <c r="O2766" i="13" l="1"/>
  <c r="N2766" i="13" s="1"/>
  <c r="O2767" i="13" l="1"/>
  <c r="N2767" i="13" s="1"/>
  <c r="O2768" i="13" l="1"/>
  <c r="N2768" i="13" s="1"/>
  <c r="O2769" i="13" l="1"/>
  <c r="N2769" i="13" s="1"/>
  <c r="O2770" i="13" l="1"/>
  <c r="N2770" i="13" s="1"/>
  <c r="O2771" i="13" l="1"/>
  <c r="N2771" i="13" s="1"/>
  <c r="O2772" i="13" l="1"/>
  <c r="N2772" i="13" s="1"/>
  <c r="O2773" i="13" l="1"/>
  <c r="N2773" i="13" s="1"/>
  <c r="O2774" i="13" l="1"/>
  <c r="N2774" i="13" s="1"/>
  <c r="O2775" i="13" l="1"/>
  <c r="N2775" i="13" s="1"/>
  <c r="O2776" i="13" l="1"/>
  <c r="N2776" i="13" s="1"/>
  <c r="O2777" i="13" l="1"/>
  <c r="N2777" i="13" s="1"/>
  <c r="O2778" i="13" l="1"/>
  <c r="N2778" i="13" s="1"/>
  <c r="O2779" i="13" l="1"/>
  <c r="N2779" i="13" s="1"/>
  <c r="O2780" i="13" l="1"/>
  <c r="N2780" i="13" s="1"/>
  <c r="O2781" i="13" l="1"/>
  <c r="N2781" i="13" s="1"/>
  <c r="O2782" i="13" l="1"/>
  <c r="N2782" i="13" s="1"/>
  <c r="O2783" i="13" l="1"/>
  <c r="N2783" i="13" s="1"/>
  <c r="O2784" i="13" l="1"/>
  <c r="N2784" i="13" s="1"/>
  <c r="O2785" i="13" l="1"/>
  <c r="N2785" i="13" s="1"/>
  <c r="O2786" i="13" l="1"/>
  <c r="N2786" i="13" s="1"/>
  <c r="O2787" i="13" l="1"/>
  <c r="N2787" i="13" s="1"/>
  <c r="O2788" i="13" l="1"/>
  <c r="N2788" i="13" s="1"/>
  <c r="O2789" i="13" l="1"/>
  <c r="N2789" i="13" s="1"/>
  <c r="O2790" i="13" l="1"/>
  <c r="N2790" i="13" s="1"/>
  <c r="O2791" i="13" l="1"/>
  <c r="N2791" i="13" s="1"/>
  <c r="O2792" i="13" l="1"/>
  <c r="N2792" i="13" s="1"/>
  <c r="O2793" i="13" l="1"/>
  <c r="N2793" i="13" s="1"/>
  <c r="O2794" i="13" l="1"/>
  <c r="N2794" i="13" s="1"/>
  <c r="O2795" i="13" l="1"/>
  <c r="N2795" i="13" s="1"/>
  <c r="O2796" i="13" l="1"/>
  <c r="N2796" i="13" s="1"/>
  <c r="O2797" i="13" l="1"/>
  <c r="N2797" i="13" s="1"/>
  <c r="O2798" i="13" l="1"/>
  <c r="N2798" i="13" s="1"/>
  <c r="O2799" i="13" l="1"/>
  <c r="N2799" i="13" s="1"/>
  <c r="O2800" i="13" l="1"/>
  <c r="N2800" i="13" s="1"/>
  <c r="O2801" i="13" l="1"/>
  <c r="N2801" i="13" s="1"/>
  <c r="O2802" i="13" l="1"/>
  <c r="N2802" i="13" s="1"/>
  <c r="O2803" i="13" l="1"/>
  <c r="N2803" i="13" s="1"/>
  <c r="O2804" i="13" l="1"/>
  <c r="N2804" i="13" s="1"/>
  <c r="O2805" i="13" l="1"/>
  <c r="N2805" i="13" s="1"/>
  <c r="O2806" i="13" l="1"/>
  <c r="N2806" i="13" s="1"/>
  <c r="O2807" i="13" l="1"/>
  <c r="N2807" i="13" s="1"/>
  <c r="O2808" i="13" l="1"/>
  <c r="N2808" i="13" s="1"/>
  <c r="O2809" i="13" l="1"/>
  <c r="N2809" i="13" s="1"/>
  <c r="O2810" i="13" l="1"/>
  <c r="N2810" i="13" s="1"/>
  <c r="O2811" i="13" l="1"/>
  <c r="N2811" i="13" s="1"/>
  <c r="O2812" i="13" l="1"/>
  <c r="N2812" i="13" s="1"/>
  <c r="O2813" i="13" l="1"/>
  <c r="N2813" i="13" s="1"/>
  <c r="O2814" i="13" l="1"/>
  <c r="N2814" i="13" s="1"/>
  <c r="O2815" i="13" l="1"/>
  <c r="N2815" i="13" s="1"/>
  <c r="O2816" i="13" l="1"/>
  <c r="N2816" i="13" s="1"/>
  <c r="O2817" i="13" l="1"/>
  <c r="N2817" i="13" s="1"/>
  <c r="O2818" i="13" l="1"/>
  <c r="N2818" i="13" s="1"/>
  <c r="O2819" i="13" l="1"/>
  <c r="N2819" i="13" s="1"/>
  <c r="O2820" i="13" l="1"/>
  <c r="N2820" i="13" s="1"/>
  <c r="O2821" i="13" l="1"/>
  <c r="N2821" i="13" s="1"/>
  <c r="O2822" i="13" l="1"/>
  <c r="N2822" i="13" s="1"/>
  <c r="O2823" i="13" l="1"/>
  <c r="N2823" i="13" s="1"/>
  <c r="O2824" i="13" l="1"/>
  <c r="N2824" i="13" s="1"/>
  <c r="O2825" i="13" l="1"/>
  <c r="N2825" i="13" s="1"/>
  <c r="O2826" i="13" l="1"/>
  <c r="N2826" i="13" s="1"/>
  <c r="O2827" i="13" l="1"/>
  <c r="N2827" i="13" s="1"/>
  <c r="O2828" i="13" l="1"/>
  <c r="N2828" i="13" s="1"/>
  <c r="O2829" i="13" l="1"/>
  <c r="N2829" i="13" s="1"/>
  <c r="O2830" i="13" l="1"/>
  <c r="N2830" i="13" s="1"/>
  <c r="O2831" i="13" l="1"/>
  <c r="N2831" i="13" s="1"/>
  <c r="O2832" i="13" l="1"/>
  <c r="N2832" i="13" s="1"/>
  <c r="O2833" i="13" l="1"/>
  <c r="N2833" i="13" s="1"/>
  <c r="O2834" i="13" l="1"/>
  <c r="N2834" i="13" s="1"/>
  <c r="O2835" i="13" l="1"/>
  <c r="N2835" i="13" s="1"/>
  <c r="O2836" i="13" l="1"/>
  <c r="N2836" i="13" s="1"/>
  <c r="O2837" i="13" l="1"/>
  <c r="N2837" i="13" s="1"/>
  <c r="O2838" i="13" l="1"/>
  <c r="N2838" i="13" s="1"/>
  <c r="O2839" i="13" l="1"/>
  <c r="N2839" i="13" s="1"/>
  <c r="O2840" i="13" l="1"/>
  <c r="N2840" i="13" s="1"/>
  <c r="O2841" i="13" l="1"/>
  <c r="N2841" i="13" s="1"/>
  <c r="O2842" i="13" l="1"/>
  <c r="N2842" i="13" s="1"/>
  <c r="O2843" i="13" l="1"/>
  <c r="N2843" i="13" s="1"/>
  <c r="O2844" i="13" l="1"/>
  <c r="N2844" i="13" s="1"/>
  <c r="O2845" i="13" l="1"/>
  <c r="N2845" i="13" s="1"/>
  <c r="O2846" i="13" l="1"/>
  <c r="N2846" i="13" s="1"/>
  <c r="O2847" i="13" l="1"/>
  <c r="N2847" i="13" s="1"/>
  <c r="O2848" i="13" l="1"/>
  <c r="N2848" i="13" s="1"/>
  <c r="O2849" i="13" l="1"/>
  <c r="N2849" i="13" s="1"/>
  <c r="O2850" i="13" l="1"/>
  <c r="N2850" i="13" s="1"/>
  <c r="O2851" i="13" l="1"/>
  <c r="N2851" i="13" s="1"/>
  <c r="O2852" i="13" l="1"/>
  <c r="N2852" i="13" s="1"/>
  <c r="O2853" i="13" l="1"/>
  <c r="N2853" i="13" s="1"/>
  <c r="O2854" i="13" l="1"/>
  <c r="N2854" i="13" s="1"/>
  <c r="O2855" i="13" l="1"/>
  <c r="N2855" i="13" s="1"/>
  <c r="O2856" i="13" l="1"/>
  <c r="N2856" i="13" s="1"/>
  <c r="O2857" i="13" l="1"/>
  <c r="N2857" i="13" s="1"/>
  <c r="O2858" i="13" l="1"/>
  <c r="N2858" i="13" s="1"/>
  <c r="O2859" i="13" l="1"/>
  <c r="N2859" i="13" s="1"/>
  <c r="O2860" i="13" l="1"/>
  <c r="N2860" i="13" s="1"/>
  <c r="O2861" i="13" l="1"/>
  <c r="N2861" i="13" s="1"/>
  <c r="O2862" i="13" l="1"/>
  <c r="N2862" i="13" s="1"/>
  <c r="O2863" i="13" l="1"/>
  <c r="N2863" i="13" s="1"/>
  <c r="O2864" i="13" l="1"/>
  <c r="N2864" i="13" s="1"/>
  <c r="O2865" i="13" l="1"/>
  <c r="N2865" i="13" s="1"/>
  <c r="O2866" i="13" l="1"/>
  <c r="N2866" i="13" s="1"/>
  <c r="O2867" i="13" l="1"/>
  <c r="N2867" i="13" s="1"/>
  <c r="O2868" i="13" l="1"/>
  <c r="N2868" i="13" s="1"/>
  <c r="O2869" i="13" l="1"/>
  <c r="N2869" i="13" s="1"/>
  <c r="O2870" i="13" l="1"/>
  <c r="N2870" i="13" s="1"/>
  <c r="O2871" i="13" l="1"/>
  <c r="N2871" i="13" s="1"/>
  <c r="O2872" i="13" l="1"/>
  <c r="N2872" i="13" s="1"/>
  <c r="O2873" i="13" l="1"/>
  <c r="N2873" i="13" s="1"/>
  <c r="O2874" i="13" l="1"/>
  <c r="N2874" i="13" s="1"/>
  <c r="O2875" i="13" l="1"/>
  <c r="N2875" i="13" s="1"/>
  <c r="O2876" i="13" l="1"/>
  <c r="N2876" i="13" s="1"/>
  <c r="O2877" i="13" l="1"/>
  <c r="N2877" i="13" s="1"/>
  <c r="O2878" i="13" l="1"/>
  <c r="N2878" i="13" s="1"/>
  <c r="O2879" i="13" l="1"/>
  <c r="N2879" i="13" s="1"/>
  <c r="O2880" i="13" l="1"/>
  <c r="N2880" i="13" s="1"/>
  <c r="O2881" i="13" l="1"/>
  <c r="N2881" i="13" s="1"/>
  <c r="O2882" i="13" l="1"/>
  <c r="N2882" i="13" s="1"/>
  <c r="O2883" i="13" l="1"/>
  <c r="N2883" i="13" s="1"/>
  <c r="O2884" i="13" l="1"/>
  <c r="N2884" i="13" s="1"/>
  <c r="O2885" i="13" l="1"/>
  <c r="N2885" i="13" s="1"/>
  <c r="O2886" i="13" l="1"/>
  <c r="N2886" i="13" s="1"/>
  <c r="O2887" i="13" l="1"/>
  <c r="N2887" i="13" s="1"/>
  <c r="O2888" i="13" l="1"/>
  <c r="N2888" i="13" s="1"/>
  <c r="O2889" i="13" l="1"/>
  <c r="N2889" i="13" s="1"/>
  <c r="O2890" i="13" l="1"/>
  <c r="N2890" i="13" s="1"/>
  <c r="O2891" i="13" l="1"/>
  <c r="N2891" i="13" s="1"/>
  <c r="O2892" i="13" l="1"/>
  <c r="N2892" i="13" s="1"/>
  <c r="O2893" i="13" l="1"/>
  <c r="N2893" i="13" s="1"/>
  <c r="O2894" i="13" l="1"/>
  <c r="N2894" i="13" s="1"/>
  <c r="O2895" i="13" l="1"/>
  <c r="N2895" i="13" s="1"/>
  <c r="O2896" i="13" l="1"/>
  <c r="N2896" i="13" s="1"/>
  <c r="O2897" i="13" l="1"/>
  <c r="N2897" i="13" s="1"/>
  <c r="O2898" i="13" l="1"/>
  <c r="N2898" i="13" s="1"/>
  <c r="O2899" i="13" l="1"/>
  <c r="N2899" i="13" s="1"/>
  <c r="O2900" i="13" l="1"/>
  <c r="N2900" i="13" s="1"/>
  <c r="O2901" i="13" l="1"/>
  <c r="N2901" i="13" s="1"/>
  <c r="O2902" i="13" l="1"/>
  <c r="N2902" i="13" s="1"/>
  <c r="O2903" i="13" l="1"/>
  <c r="N2903" i="13" s="1"/>
  <c r="O2904" i="13" l="1"/>
  <c r="N2904" i="13" s="1"/>
  <c r="O2905" i="13" l="1"/>
  <c r="N2905" i="13" s="1"/>
  <c r="O2906" i="13" l="1"/>
  <c r="N2906" i="13" s="1"/>
  <c r="O2907" i="13" l="1"/>
  <c r="N2907" i="13" s="1"/>
  <c r="O2908" i="13" l="1"/>
  <c r="N2908" i="13" s="1"/>
  <c r="O2909" i="13" l="1"/>
  <c r="N2909" i="13" s="1"/>
  <c r="O2910" i="13" l="1"/>
  <c r="N2910" i="13" s="1"/>
  <c r="O2911" i="13" l="1"/>
  <c r="N2911" i="13" s="1"/>
  <c r="O2912" i="13" l="1"/>
  <c r="N2912" i="13" s="1"/>
  <c r="O2913" i="13" l="1"/>
  <c r="N2913" i="13" s="1"/>
  <c r="O2914" i="13" l="1"/>
  <c r="N2914" i="13" s="1"/>
  <c r="O2915" i="13" l="1"/>
  <c r="N2915" i="13" s="1"/>
  <c r="O2916" i="13" l="1"/>
  <c r="N2916" i="13" s="1"/>
  <c r="O2917" i="13" l="1"/>
  <c r="N2917" i="13" s="1"/>
  <c r="O2918" i="13" l="1"/>
  <c r="N2918" i="13" s="1"/>
  <c r="O2919" i="13" l="1"/>
  <c r="N2919" i="13" s="1"/>
  <c r="O2920" i="13" l="1"/>
  <c r="N2920" i="13" s="1"/>
  <c r="O2921" i="13" l="1"/>
  <c r="N2921" i="13" s="1"/>
  <c r="O2922" i="13" l="1"/>
  <c r="N2922" i="13" s="1"/>
  <c r="O2923" i="13" l="1"/>
  <c r="N2923" i="13" s="1"/>
  <c r="O2924" i="13" l="1"/>
  <c r="N2924" i="13" s="1"/>
  <c r="O2925" i="13" l="1"/>
  <c r="N2925" i="13" s="1"/>
  <c r="O2926" i="13" l="1"/>
  <c r="N2926" i="13" s="1"/>
  <c r="O2927" i="13" l="1"/>
  <c r="N2927" i="13" s="1"/>
  <c r="O2928" i="13" l="1"/>
  <c r="N2928" i="13" s="1"/>
  <c r="O2929" i="13" l="1"/>
  <c r="N2929" i="13" s="1"/>
  <c r="O2930" i="13" l="1"/>
  <c r="N2930" i="13" s="1"/>
  <c r="O2931" i="13" l="1"/>
  <c r="N2931" i="13" s="1"/>
  <c r="O2932" i="13" l="1"/>
  <c r="N2932" i="13" s="1"/>
  <c r="O2933" i="13" l="1"/>
  <c r="N2933" i="13" s="1"/>
  <c r="O2934" i="13" l="1"/>
  <c r="N2934" i="13" s="1"/>
  <c r="O2935" i="13" l="1"/>
  <c r="N2935" i="13" s="1"/>
  <c r="O2936" i="13" l="1"/>
  <c r="N2936" i="13" s="1"/>
  <c r="O2937" i="13" l="1"/>
  <c r="N2937" i="13" s="1"/>
  <c r="O2938" i="13" l="1"/>
  <c r="N2938" i="13" s="1"/>
  <c r="O2939" i="13" l="1"/>
  <c r="N2939" i="13" s="1"/>
  <c r="O2940" i="13" l="1"/>
  <c r="N2940" i="13" s="1"/>
  <c r="O2941" i="13" l="1"/>
  <c r="N2941" i="13" s="1"/>
  <c r="O2942" i="13" l="1"/>
  <c r="N2942" i="13" s="1"/>
  <c r="O2943" i="13" l="1"/>
  <c r="N2943" i="13" s="1"/>
  <c r="O2944" i="13" l="1"/>
  <c r="N2944" i="13" s="1"/>
  <c r="O2945" i="13" l="1"/>
  <c r="N2945" i="13" s="1"/>
  <c r="O2946" i="13" l="1"/>
  <c r="N2946" i="13" s="1"/>
  <c r="O2947" i="13" l="1"/>
  <c r="N2947" i="13" s="1"/>
  <c r="O2948" i="13" l="1"/>
  <c r="N2948" i="13" s="1"/>
  <c r="O2949" i="13" l="1"/>
  <c r="N2949" i="13" s="1"/>
  <c r="O2950" i="13" l="1"/>
  <c r="N2950" i="13" s="1"/>
  <c r="O2951" i="13" l="1"/>
  <c r="N2951" i="13" s="1"/>
  <c r="O2952" i="13" l="1"/>
  <c r="N2952" i="13" s="1"/>
  <c r="O2953" i="13" l="1"/>
  <c r="N2953" i="13" s="1"/>
  <c r="O2954" i="13" l="1"/>
  <c r="N2954" i="13" s="1"/>
  <c r="O2955" i="13" l="1"/>
  <c r="N2955" i="13" s="1"/>
  <c r="O2956" i="13" l="1"/>
  <c r="N2956" i="13" s="1"/>
  <c r="O2957" i="13" l="1"/>
  <c r="N2957" i="13" s="1"/>
  <c r="O2958" i="13" l="1"/>
  <c r="N2958" i="13" s="1"/>
  <c r="O2959" i="13" l="1"/>
  <c r="N2959" i="13" s="1"/>
  <c r="O2960" i="13" l="1"/>
  <c r="N2960" i="13" s="1"/>
  <c r="O2961" i="13" l="1"/>
  <c r="N2961" i="13" s="1"/>
  <c r="O2962" i="13" l="1"/>
  <c r="N2962" i="13" s="1"/>
  <c r="O2963" i="13" l="1"/>
  <c r="N2963" i="13" s="1"/>
  <c r="O2964" i="13" l="1"/>
  <c r="N2964" i="13" s="1"/>
  <c r="O2965" i="13" l="1"/>
  <c r="N2965" i="13" s="1"/>
  <c r="O2966" i="13" l="1"/>
  <c r="N2966" i="13" s="1"/>
  <c r="O2967" i="13" l="1"/>
  <c r="N2967" i="13" s="1"/>
  <c r="O2968" i="13" l="1"/>
  <c r="N2968" i="13" s="1"/>
  <c r="O2969" i="13" l="1"/>
  <c r="N2969" i="13" s="1"/>
  <c r="O2970" i="13" l="1"/>
  <c r="N2970" i="13" s="1"/>
  <c r="O2971" i="13" l="1"/>
  <c r="N2971" i="13" s="1"/>
  <c r="O2972" i="13" l="1"/>
  <c r="N2972" i="13" s="1"/>
  <c r="O2973" i="13" l="1"/>
  <c r="N2973" i="13" s="1"/>
  <c r="O2974" i="13" l="1"/>
  <c r="N2974" i="13" s="1"/>
  <c r="O2975" i="13" l="1"/>
  <c r="N2975" i="13" s="1"/>
  <c r="O2976" i="13" l="1"/>
  <c r="N2976" i="13" s="1"/>
  <c r="O2977" i="13" l="1"/>
  <c r="N2977" i="13" s="1"/>
  <c r="O2978" i="13" l="1"/>
  <c r="N2978" i="13" s="1"/>
  <c r="O2979" i="13" l="1"/>
  <c r="N2979" i="13" s="1"/>
  <c r="O2980" i="13" l="1"/>
  <c r="N2980" i="13" s="1"/>
  <c r="O2981" i="13" l="1"/>
  <c r="N2981" i="13" s="1"/>
  <c r="O2982" i="13" l="1"/>
  <c r="N2982" i="13" s="1"/>
  <c r="O2983" i="13" l="1"/>
  <c r="N2983" i="13" s="1"/>
  <c r="O2984" i="13" l="1"/>
  <c r="N2984" i="13" s="1"/>
  <c r="O2985" i="13" l="1"/>
  <c r="N2985" i="13" s="1"/>
  <c r="O2986" i="13" l="1"/>
  <c r="N2986" i="13" s="1"/>
  <c r="O2987" i="13" l="1"/>
  <c r="N2987" i="13" s="1"/>
  <c r="O2988" i="13" l="1"/>
  <c r="N2988" i="13" s="1"/>
  <c r="O2989" i="13" l="1"/>
  <c r="N2989" i="13" s="1"/>
  <c r="O2990" i="13" l="1"/>
  <c r="N2990" i="13" s="1"/>
  <c r="O2991" i="13" l="1"/>
  <c r="N2991" i="13" s="1"/>
  <c r="O2992" i="13" l="1"/>
  <c r="N2992" i="13" s="1"/>
  <c r="O2993" i="13" l="1"/>
  <c r="N2993" i="13" s="1"/>
  <c r="O2994" i="13" l="1"/>
  <c r="N2994" i="13" s="1"/>
  <c r="O2995" i="13" l="1"/>
  <c r="N2995" i="13" s="1"/>
  <c r="O2996" i="13" l="1"/>
  <c r="N2996" i="13" s="1"/>
  <c r="O2997" i="13" l="1"/>
  <c r="N2997" i="13" s="1"/>
  <c r="O2998" i="13" l="1"/>
  <c r="N2998" i="13" s="1"/>
  <c r="O2999" i="13" l="1"/>
  <c r="N2999" i="13" s="1"/>
  <c r="O3000" i="13" l="1"/>
  <c r="N3000" i="13" s="1"/>
  <c r="O3001" i="13" l="1"/>
  <c r="N3001" i="13" s="1"/>
  <c r="O3002" i="13" l="1"/>
  <c r="N3002" i="13" s="1"/>
  <c r="O3003" i="13" l="1"/>
  <c r="N3003" i="13" s="1"/>
  <c r="O3004" i="13" l="1"/>
  <c r="N3004" i="13" s="1"/>
  <c r="O3005" i="13" l="1"/>
  <c r="N3005" i="13" s="1"/>
  <c r="O3006" i="13" l="1"/>
  <c r="N3006" i="13" s="1"/>
  <c r="O3007" i="13" l="1"/>
  <c r="N3007" i="13" s="1"/>
  <c r="O3008" i="13" l="1"/>
  <c r="N3008" i="13" s="1"/>
  <c r="O3009" i="13" l="1"/>
  <c r="N3009" i="13" s="1"/>
  <c r="O3010" i="13" l="1"/>
  <c r="N3010" i="13" s="1"/>
  <c r="O3011" i="13" l="1"/>
  <c r="N3011" i="13" s="1"/>
  <c r="O3012" i="13" l="1"/>
  <c r="N3012" i="13" s="1"/>
  <c r="O3013" i="13" l="1"/>
  <c r="N3013" i="13" s="1"/>
  <c r="O3014" i="13" l="1"/>
  <c r="N3014" i="13" s="1"/>
  <c r="O3015" i="13" l="1"/>
  <c r="N3015" i="13" s="1"/>
  <c r="O3016" i="13" l="1"/>
  <c r="N3016" i="13" s="1"/>
  <c r="O3017" i="13" l="1"/>
  <c r="N3017" i="13" s="1"/>
  <c r="O3018" i="13" l="1"/>
  <c r="N3018" i="13" s="1"/>
  <c r="O3019" i="13" l="1"/>
  <c r="N3019" i="13" s="1"/>
  <c r="O3020" i="13" l="1"/>
  <c r="N3020" i="13" s="1"/>
  <c r="O3021" i="13" l="1"/>
  <c r="N3021" i="13" s="1"/>
  <c r="O3022" i="13" l="1"/>
  <c r="N3022" i="13" s="1"/>
  <c r="O3023" i="13" l="1"/>
  <c r="N3023" i="13" s="1"/>
  <c r="O3024" i="13" l="1"/>
  <c r="N3024" i="13" s="1"/>
  <c r="O3025" i="13" l="1"/>
  <c r="N3025" i="13" s="1"/>
  <c r="O3026" i="13" l="1"/>
  <c r="N3026" i="13" s="1"/>
  <c r="O3027" i="13" l="1"/>
  <c r="N3027" i="13" s="1"/>
  <c r="O3028" i="13" l="1"/>
  <c r="N3028" i="13" s="1"/>
  <c r="O3029" i="13" l="1"/>
  <c r="N3029" i="13" s="1"/>
  <c r="O3030" i="13" l="1"/>
  <c r="N3030" i="13" s="1"/>
  <c r="O3031" i="13" l="1"/>
  <c r="N3031" i="13" s="1"/>
  <c r="O3032" i="13" l="1"/>
  <c r="N3032" i="13" s="1"/>
  <c r="O3033" i="13" l="1"/>
  <c r="N3033" i="13" s="1"/>
  <c r="O3034" i="13" l="1"/>
  <c r="N3034" i="13" s="1"/>
  <c r="O3035" i="13" l="1"/>
  <c r="N3035" i="13" s="1"/>
  <c r="O3036" i="13" l="1"/>
  <c r="N3036" i="13" s="1"/>
  <c r="O3037" i="13" l="1"/>
  <c r="N3037" i="13" s="1"/>
  <c r="O3038" i="13" l="1"/>
  <c r="N3038" i="13" s="1"/>
  <c r="O3039" i="13" l="1"/>
  <c r="N3039" i="13" s="1"/>
  <c r="O3040" i="13" l="1"/>
  <c r="N3040" i="13" s="1"/>
  <c r="O3041" i="13" l="1"/>
  <c r="N3041" i="13" s="1"/>
  <c r="O3042" i="13" l="1"/>
  <c r="N3042" i="13" s="1"/>
  <c r="O3043" i="13" l="1"/>
  <c r="N3043" i="13" s="1"/>
  <c r="O3044" i="13" l="1"/>
  <c r="N3044" i="13" s="1"/>
  <c r="O3045" i="13" l="1"/>
  <c r="N3045" i="13" s="1"/>
  <c r="O3046" i="13" l="1"/>
  <c r="N3046" i="13" s="1"/>
  <c r="O3047" i="13" l="1"/>
  <c r="N3047" i="13" s="1"/>
  <c r="O3048" i="13" l="1"/>
  <c r="N3048" i="13" s="1"/>
  <c r="O3049" i="13" l="1"/>
  <c r="N3049" i="13" s="1"/>
  <c r="O3050" i="13" l="1"/>
  <c r="N3050" i="13" s="1"/>
  <c r="O3051" i="13" l="1"/>
  <c r="N3051" i="13" s="1"/>
  <c r="O3052" i="13" l="1"/>
  <c r="N3052" i="13" s="1"/>
  <c r="O3053" i="13" l="1"/>
  <c r="N3053" i="13" s="1"/>
  <c r="O3054" i="13" l="1"/>
  <c r="N3054" i="13" s="1"/>
  <c r="O3055" i="13" l="1"/>
  <c r="N3055" i="13" s="1"/>
  <c r="O3056" i="13" l="1"/>
  <c r="N3056" i="13" s="1"/>
  <c r="O3057" i="13" l="1"/>
  <c r="N3057" i="13" s="1"/>
  <c r="O3058" i="13" l="1"/>
  <c r="N3058" i="13" s="1"/>
  <c r="O3059" i="13" l="1"/>
  <c r="N3059" i="13" s="1"/>
  <c r="O3060" i="13" l="1"/>
  <c r="N3060" i="13" s="1"/>
  <c r="O3061" i="13" l="1"/>
  <c r="N3061" i="13" s="1"/>
  <c r="O3062" i="13" l="1"/>
  <c r="N3062" i="13" s="1"/>
  <c r="O3063" i="13" l="1"/>
  <c r="N3063" i="13" s="1"/>
  <c r="O3064" i="13" l="1"/>
  <c r="N3064" i="13" s="1"/>
  <c r="O3065" i="13" l="1"/>
  <c r="N3065" i="13" s="1"/>
  <c r="O3066" i="13" l="1"/>
  <c r="N3066" i="13" s="1"/>
  <c r="O3067" i="13" l="1"/>
  <c r="N3067" i="13" s="1"/>
  <c r="O3068" i="13" l="1"/>
  <c r="N3068" i="13" s="1"/>
  <c r="O3069" i="13" l="1"/>
  <c r="N3069" i="13" s="1"/>
  <c r="O3070" i="13" l="1"/>
  <c r="N3070" i="13" s="1"/>
  <c r="O3071" i="13" l="1"/>
  <c r="N3071" i="13" s="1"/>
  <c r="O3072" i="13" l="1"/>
  <c r="N3072" i="13" s="1"/>
  <c r="O3073" i="13" l="1"/>
  <c r="N3073" i="13" s="1"/>
  <c r="O3074" i="13" l="1"/>
  <c r="N3074" i="13" s="1"/>
  <c r="O3075" i="13" l="1"/>
  <c r="N3075" i="13" s="1"/>
  <c r="O3076" i="13" l="1"/>
  <c r="N3076" i="13" s="1"/>
  <c r="O3077" i="13" l="1"/>
  <c r="N3077" i="13" s="1"/>
  <c r="O3078" i="13" l="1"/>
  <c r="N3078" i="13" s="1"/>
  <c r="O3079" i="13" l="1"/>
  <c r="N3079" i="13" s="1"/>
  <c r="O3080" i="13" l="1"/>
  <c r="N3080" i="13" s="1"/>
  <c r="O3081" i="13" l="1"/>
  <c r="N3081" i="13" s="1"/>
  <c r="O3082" i="13" l="1"/>
  <c r="N3082" i="13" s="1"/>
  <c r="O3083" i="13" l="1"/>
  <c r="N3083" i="13" s="1"/>
  <c r="O3084" i="13" l="1"/>
  <c r="N3084" i="13" s="1"/>
  <c r="O3085" i="13" l="1"/>
  <c r="N3085" i="13" s="1"/>
  <c r="O3086" i="13" l="1"/>
  <c r="N3086" i="13" s="1"/>
  <c r="O3087" i="13" l="1"/>
  <c r="N3087" i="13" s="1"/>
  <c r="O3088" i="13" l="1"/>
  <c r="N3088" i="13" s="1"/>
  <c r="O3089" i="13" l="1"/>
  <c r="N3089" i="13" s="1"/>
  <c r="O3090" i="13" l="1"/>
  <c r="N3090" i="13" s="1"/>
  <c r="O3091" i="13" l="1"/>
  <c r="N3091" i="13" s="1"/>
  <c r="O3092" i="13" l="1"/>
  <c r="N3092" i="13" s="1"/>
  <c r="O3093" i="13" l="1"/>
  <c r="N3093" i="13" s="1"/>
  <c r="O3094" i="13" l="1"/>
  <c r="N3094" i="13" s="1"/>
  <c r="O3095" i="13" l="1"/>
  <c r="N3095" i="13" s="1"/>
  <c r="O3096" i="13" l="1"/>
  <c r="N3096" i="13" s="1"/>
  <c r="O3097" i="13" l="1"/>
  <c r="N3097" i="13" s="1"/>
  <c r="O3098" i="13" l="1"/>
  <c r="N3098" i="13" s="1"/>
  <c r="O3099" i="13" l="1"/>
  <c r="N3099" i="13" s="1"/>
  <c r="O3100" i="13" l="1"/>
  <c r="N3100" i="13" s="1"/>
  <c r="O3101" i="13" l="1"/>
  <c r="N3101" i="13" s="1"/>
  <c r="O3102" i="13" l="1"/>
  <c r="N3102" i="13" s="1"/>
  <c r="O3103" i="13" l="1"/>
  <c r="N3103" i="13" s="1"/>
  <c r="O3104" i="13" l="1"/>
  <c r="N3104" i="13" s="1"/>
  <c r="O3105" i="13" l="1"/>
  <c r="N3105" i="13" s="1"/>
  <c r="O3106" i="13" l="1"/>
  <c r="N3106" i="13" s="1"/>
  <c r="O3107" i="13" l="1"/>
  <c r="N3107" i="13" s="1"/>
  <c r="O3108" i="13" l="1"/>
  <c r="N3108" i="13" s="1"/>
  <c r="O3109" i="13" l="1"/>
  <c r="N3109" i="13" s="1"/>
  <c r="O3110" i="13" l="1"/>
  <c r="N3110" i="13" s="1"/>
  <c r="O3111" i="13" l="1"/>
  <c r="N3111" i="13" s="1"/>
  <c r="O3112" i="13" l="1"/>
  <c r="N3112" i="13" s="1"/>
  <c r="O3113" i="13" l="1"/>
  <c r="N3113" i="13" s="1"/>
  <c r="O3114" i="13" l="1"/>
  <c r="N3114" i="13" s="1"/>
  <c r="O3115" i="13" l="1"/>
  <c r="N3115" i="13" s="1"/>
  <c r="O3116" i="13" l="1"/>
  <c r="N3116" i="13" s="1"/>
  <c r="O3117" i="13" l="1"/>
  <c r="N3117" i="13" s="1"/>
  <c r="O3118" i="13" l="1"/>
  <c r="N3118" i="13" s="1"/>
  <c r="O3119" i="13" l="1"/>
  <c r="N3119" i="13" s="1"/>
  <c r="O3120" i="13" l="1"/>
  <c r="N3120" i="13" s="1"/>
  <c r="O3121" i="13" l="1"/>
  <c r="N3121" i="13" s="1"/>
  <c r="O3122" i="13" l="1"/>
  <c r="N3122" i="13" s="1"/>
  <c r="O3123" i="13" l="1"/>
  <c r="N3123" i="13" s="1"/>
  <c r="O3124" i="13" l="1"/>
  <c r="N3124" i="13" s="1"/>
  <c r="O3125" i="13" l="1"/>
  <c r="N3125" i="13" s="1"/>
  <c r="O3126" i="13" l="1"/>
  <c r="N3126" i="13" s="1"/>
  <c r="O3127" i="13" l="1"/>
  <c r="N3127" i="13" s="1"/>
  <c r="O3128" i="13" l="1"/>
  <c r="N3128" i="13" s="1"/>
  <c r="O3129" i="13" l="1"/>
  <c r="N3129" i="13" s="1"/>
  <c r="O3130" i="13" l="1"/>
  <c r="N3130" i="13" s="1"/>
  <c r="O3131" i="13" l="1"/>
  <c r="N3131" i="13" s="1"/>
  <c r="O3132" i="13" l="1"/>
  <c r="N3132" i="13" s="1"/>
  <c r="O3133" i="13" l="1"/>
  <c r="N3133" i="13" s="1"/>
  <c r="O3134" i="13" l="1"/>
  <c r="N3134" i="13" s="1"/>
  <c r="O3135" i="13" l="1"/>
  <c r="N3135" i="13" s="1"/>
  <c r="O3136" i="13" l="1"/>
  <c r="N3136" i="13" s="1"/>
  <c r="O3137" i="13" l="1"/>
  <c r="N3137" i="13" s="1"/>
  <c r="O3138" i="13" l="1"/>
  <c r="N3138" i="13" s="1"/>
  <c r="O3139" i="13" l="1"/>
  <c r="N3139" i="13" s="1"/>
  <c r="O3140" i="13" l="1"/>
  <c r="N3140" i="13" s="1"/>
  <c r="O3141" i="13" l="1"/>
  <c r="N3141" i="13" s="1"/>
  <c r="O3142" i="13" l="1"/>
  <c r="N3142" i="13" s="1"/>
  <c r="O3143" i="13" l="1"/>
  <c r="N3143" i="13" s="1"/>
  <c r="O3144" i="13" l="1"/>
  <c r="N3144" i="13" s="1"/>
  <c r="O3145" i="13" l="1"/>
  <c r="N3145" i="13" s="1"/>
  <c r="O3146" i="13" l="1"/>
  <c r="N3146" i="13" s="1"/>
  <c r="O3147" i="13" l="1"/>
  <c r="N3147" i="13" s="1"/>
  <c r="O3148" i="13" l="1"/>
  <c r="N3148" i="13" s="1"/>
  <c r="O3149" i="13" l="1"/>
  <c r="N3149" i="13" s="1"/>
  <c r="O3150" i="13" l="1"/>
  <c r="N3150" i="13" s="1"/>
  <c r="O3151" i="13" l="1"/>
  <c r="N3151" i="13" s="1"/>
  <c r="O3152" i="13" l="1"/>
  <c r="N3152" i="13" s="1"/>
  <c r="O3153" i="13" l="1"/>
  <c r="N3153" i="13" s="1"/>
  <c r="O3154" i="13" l="1"/>
  <c r="N3154" i="13" s="1"/>
  <c r="O3155" i="13" l="1"/>
  <c r="N3155" i="13" s="1"/>
  <c r="O3156" i="13" l="1"/>
  <c r="N3156" i="13" s="1"/>
  <c r="O3157" i="13" l="1"/>
  <c r="N3157" i="13" s="1"/>
  <c r="O3158" i="13" l="1"/>
  <c r="N3158" i="13" s="1"/>
  <c r="O3159" i="13" l="1"/>
  <c r="N3159" i="13" s="1"/>
  <c r="O3160" i="13" l="1"/>
  <c r="N3160" i="13" s="1"/>
  <c r="O3161" i="13" l="1"/>
  <c r="N3161" i="13" s="1"/>
  <c r="O3162" i="13" l="1"/>
  <c r="N3162" i="13" s="1"/>
  <c r="O3163" i="13" l="1"/>
  <c r="N3163" i="13" s="1"/>
  <c r="O3164" i="13" l="1"/>
  <c r="N3164" i="13" s="1"/>
  <c r="O3165" i="13" l="1"/>
  <c r="N3165" i="13" s="1"/>
  <c r="O3166" i="13" l="1"/>
  <c r="N3166" i="13" s="1"/>
  <c r="O3167" i="13" l="1"/>
  <c r="N3167" i="13" s="1"/>
  <c r="O3168" i="13" l="1"/>
  <c r="N3168" i="13" s="1"/>
  <c r="O3169" i="13" l="1"/>
  <c r="N3169" i="13" s="1"/>
  <c r="O3170" i="13" l="1"/>
  <c r="N3170" i="13" s="1"/>
  <c r="O3171" i="13" l="1"/>
  <c r="N3171" i="13" s="1"/>
  <c r="O3172" i="13" l="1"/>
  <c r="N3172" i="13" s="1"/>
  <c r="O3173" i="13" l="1"/>
  <c r="N3173" i="13" s="1"/>
  <c r="O3174" i="13" l="1"/>
  <c r="N3174" i="13" s="1"/>
  <c r="O3175" i="13" l="1"/>
  <c r="N3175" i="13" s="1"/>
  <c r="O3176" i="13" l="1"/>
  <c r="N3176" i="13" s="1"/>
  <c r="O3177" i="13" l="1"/>
  <c r="N3177" i="13" s="1"/>
  <c r="O3178" i="13" l="1"/>
  <c r="N3178" i="13" s="1"/>
  <c r="O3179" i="13" l="1"/>
  <c r="N3179" i="13" s="1"/>
  <c r="O3180" i="13" l="1"/>
  <c r="N3180" i="13" s="1"/>
  <c r="O3181" i="13" l="1"/>
  <c r="N3181" i="13" s="1"/>
  <c r="O3182" i="13" l="1"/>
  <c r="N3182" i="13" s="1"/>
  <c r="O3183" i="13" l="1"/>
  <c r="N3183" i="13" s="1"/>
  <c r="O3184" i="13" l="1"/>
  <c r="N3184" i="13" s="1"/>
  <c r="O3185" i="13" l="1"/>
  <c r="N3185" i="13" s="1"/>
  <c r="O3186" i="13" l="1"/>
  <c r="N3186" i="13" s="1"/>
  <c r="O3187" i="13" l="1"/>
  <c r="N3187" i="13" s="1"/>
  <c r="O3188" i="13" l="1"/>
  <c r="N3188" i="13" s="1"/>
  <c r="O3189" i="13" l="1"/>
  <c r="N3189" i="13" s="1"/>
  <c r="O3190" i="13" l="1"/>
  <c r="N3190" i="13" s="1"/>
  <c r="O3191" i="13" l="1"/>
  <c r="N3191" i="13" s="1"/>
  <c r="O3192" i="13" l="1"/>
  <c r="N3192" i="13" s="1"/>
  <c r="O3193" i="13" l="1"/>
  <c r="N3193" i="13" s="1"/>
  <c r="O3194" i="13" l="1"/>
  <c r="N3194" i="13" s="1"/>
  <c r="O3195" i="13" l="1"/>
  <c r="N3195" i="13" s="1"/>
  <c r="O3196" i="13" l="1"/>
  <c r="N3196" i="13" s="1"/>
  <c r="O3197" i="13" l="1"/>
  <c r="N3197" i="13" s="1"/>
  <c r="O3198" i="13" l="1"/>
  <c r="N3198" i="13" s="1"/>
  <c r="O3199" i="13" l="1"/>
  <c r="N3199" i="13" s="1"/>
  <c r="O3200" i="13" l="1"/>
  <c r="N3200" i="13" s="1"/>
  <c r="O3201" i="13" l="1"/>
  <c r="N3201" i="13" s="1"/>
  <c r="O3202" i="13" l="1"/>
  <c r="N3202" i="13" s="1"/>
  <c r="O3203" i="13" l="1"/>
  <c r="N3203" i="13" s="1"/>
  <c r="O3204" i="13" l="1"/>
  <c r="N3204" i="13" s="1"/>
  <c r="O3205" i="13" l="1"/>
  <c r="N3205" i="13" s="1"/>
  <c r="O3206" i="13" l="1"/>
  <c r="N3206" i="13" s="1"/>
  <c r="O3207" i="13" l="1"/>
  <c r="N3207" i="13" s="1"/>
  <c r="O3208" i="13" l="1"/>
  <c r="N3208" i="13" s="1"/>
  <c r="O3209" i="13" l="1"/>
  <c r="N3209" i="13" s="1"/>
  <c r="O3210" i="13" l="1"/>
  <c r="N3210" i="13" s="1"/>
  <c r="O3211" i="13" l="1"/>
  <c r="N3211" i="13" s="1"/>
  <c r="O3212" i="13" l="1"/>
  <c r="N3212" i="13" s="1"/>
  <c r="O3213" i="13" l="1"/>
  <c r="N3213" i="13" s="1"/>
  <c r="O3214" i="13" l="1"/>
  <c r="N3214" i="13" s="1"/>
  <c r="O3215" i="13" l="1"/>
  <c r="N3215" i="13" s="1"/>
  <c r="O3216" i="13" l="1"/>
  <c r="N3216" i="13" s="1"/>
  <c r="O3217" i="13" l="1"/>
  <c r="N3217" i="13" s="1"/>
  <c r="O3218" i="13" l="1"/>
  <c r="N3218" i="13" s="1"/>
  <c r="O3219" i="13" l="1"/>
  <c r="N3219" i="13" s="1"/>
  <c r="O3220" i="13" l="1"/>
  <c r="N3220" i="13" s="1"/>
  <c r="O3221" i="13" l="1"/>
  <c r="N3221" i="13" s="1"/>
  <c r="O3222" i="13" l="1"/>
  <c r="N3222" i="13" s="1"/>
  <c r="O3223" i="13" l="1"/>
  <c r="N3223" i="13" s="1"/>
  <c r="O3224" i="13" l="1"/>
  <c r="N3224" i="13" s="1"/>
  <c r="O3225" i="13" l="1"/>
  <c r="N3225" i="13" s="1"/>
  <c r="O3226" i="13" l="1"/>
  <c r="N3226" i="13" s="1"/>
  <c r="O3227" i="13" l="1"/>
  <c r="N3227" i="13" s="1"/>
  <c r="O3228" i="13" l="1"/>
  <c r="N3228" i="13" s="1"/>
  <c r="O3229" i="13" l="1"/>
  <c r="N3229" i="13" s="1"/>
  <c r="O3230" i="13" l="1"/>
  <c r="N3230" i="13" s="1"/>
  <c r="O3231" i="13" l="1"/>
  <c r="N3231" i="13" s="1"/>
  <c r="O3232" i="13" l="1"/>
  <c r="N3232" i="13" s="1"/>
  <c r="O3233" i="13" l="1"/>
  <c r="N3233" i="13" s="1"/>
  <c r="O3234" i="13" l="1"/>
  <c r="N3234" i="13" s="1"/>
  <c r="O3235" i="13" l="1"/>
  <c r="N3235" i="13" s="1"/>
  <c r="O3236" i="13" l="1"/>
  <c r="N3236" i="13" s="1"/>
  <c r="O3237" i="13" l="1"/>
  <c r="N3237" i="13" s="1"/>
  <c r="O3238" i="13" l="1"/>
  <c r="N3238" i="13" s="1"/>
  <c r="O3239" i="13" l="1"/>
  <c r="N3239" i="13" s="1"/>
  <c r="O3240" i="13" l="1"/>
  <c r="N3240" i="13" s="1"/>
  <c r="O3241" i="13" l="1"/>
  <c r="N3241" i="13" s="1"/>
  <c r="O3242" i="13" l="1"/>
  <c r="N3242" i="13" s="1"/>
  <c r="O3243" i="13" l="1"/>
  <c r="N3243" i="13" s="1"/>
  <c r="O3244" i="13" l="1"/>
  <c r="N3244" i="13" s="1"/>
  <c r="O3245" i="13" l="1"/>
  <c r="N3245" i="13" s="1"/>
  <c r="O3246" i="13" l="1"/>
  <c r="N3246" i="13" s="1"/>
  <c r="O3247" i="13" l="1"/>
  <c r="N3247" i="13" s="1"/>
  <c r="O3248" i="13" l="1"/>
  <c r="N3248" i="13" s="1"/>
  <c r="O3249" i="13" l="1"/>
  <c r="N3249" i="13" s="1"/>
  <c r="O3250" i="13" l="1"/>
  <c r="N3250" i="13" s="1"/>
  <c r="O3251" i="13" l="1"/>
  <c r="N3251" i="13" s="1"/>
  <c r="O3252" i="13" l="1"/>
  <c r="N3252" i="13" s="1"/>
  <c r="O3253" i="13" l="1"/>
  <c r="N3253" i="13" s="1"/>
  <c r="O3254" i="13" l="1"/>
  <c r="N3254" i="13" s="1"/>
  <c r="O3255" i="13" l="1"/>
  <c r="N3255" i="13" s="1"/>
  <c r="O3256" i="13" l="1"/>
  <c r="N3256" i="13" s="1"/>
  <c r="O3257" i="13" l="1"/>
  <c r="N3257" i="13" s="1"/>
  <c r="O3258" i="13" l="1"/>
  <c r="N3258" i="13" s="1"/>
  <c r="O3259" i="13" l="1"/>
  <c r="N3259" i="13" s="1"/>
  <c r="O3260" i="13" l="1"/>
  <c r="N3260" i="13" s="1"/>
  <c r="O3261" i="13" l="1"/>
  <c r="N3261" i="13" s="1"/>
  <c r="O3262" i="13" l="1"/>
  <c r="N3262" i="13" s="1"/>
  <c r="O3263" i="13" l="1"/>
  <c r="N3263" i="13" s="1"/>
  <c r="O3264" i="13" l="1"/>
  <c r="N3264" i="13" s="1"/>
  <c r="O3265" i="13" l="1"/>
  <c r="N3265" i="13" s="1"/>
  <c r="O3266" i="13" l="1"/>
  <c r="N3266" i="13" s="1"/>
  <c r="O3267" i="13" l="1"/>
  <c r="N3267" i="13" s="1"/>
  <c r="O3268" i="13" l="1"/>
  <c r="N3268" i="13" s="1"/>
  <c r="O3269" i="13" l="1"/>
  <c r="N3269" i="13" s="1"/>
  <c r="O3270" i="13" l="1"/>
  <c r="N3270" i="13" s="1"/>
  <c r="O3271" i="13" l="1"/>
  <c r="N3271" i="13" s="1"/>
  <c r="O3272" i="13" l="1"/>
  <c r="N3272" i="13" s="1"/>
  <c r="O3273" i="13" l="1"/>
  <c r="N3273" i="13" s="1"/>
  <c r="O3274" i="13" l="1"/>
  <c r="N3274" i="13" s="1"/>
  <c r="O3275" i="13" l="1"/>
  <c r="N3275" i="13" s="1"/>
  <c r="O3276" i="13" l="1"/>
  <c r="N3276" i="13" s="1"/>
  <c r="O3277" i="13" l="1"/>
  <c r="N3277" i="13" s="1"/>
  <c r="O3278" i="13" l="1"/>
  <c r="N3278" i="13" s="1"/>
  <c r="O3279" i="13" l="1"/>
  <c r="N3279" i="13" s="1"/>
  <c r="O3280" i="13" l="1"/>
  <c r="N3280" i="13" s="1"/>
  <c r="O3281" i="13" l="1"/>
  <c r="N3281" i="13" s="1"/>
  <c r="O3282" i="13" l="1"/>
  <c r="N3282" i="13" s="1"/>
  <c r="O3283" i="13" l="1"/>
  <c r="N3283" i="13" s="1"/>
  <c r="O3284" i="13" l="1"/>
  <c r="N3284" i="13" s="1"/>
  <c r="O3285" i="13" l="1"/>
  <c r="N3285" i="13" s="1"/>
  <c r="O3286" i="13" l="1"/>
  <c r="N3286" i="13" s="1"/>
  <c r="O3287" i="13" l="1"/>
  <c r="N3287" i="13" s="1"/>
  <c r="O3288" i="13" l="1"/>
  <c r="N3288" i="13" s="1"/>
  <c r="O3289" i="13" l="1"/>
  <c r="N3289" i="13" s="1"/>
  <c r="O3290" i="13" l="1"/>
  <c r="N3290" i="13" s="1"/>
  <c r="O3291" i="13" l="1"/>
  <c r="N3291" i="13" s="1"/>
  <c r="O3292" i="13" l="1"/>
  <c r="N3292" i="13" s="1"/>
  <c r="O3293" i="13" l="1"/>
  <c r="N3293" i="13" s="1"/>
  <c r="O3294" i="13" l="1"/>
  <c r="N3294" i="13" s="1"/>
  <c r="O3295" i="13" l="1"/>
  <c r="N3295" i="13" s="1"/>
  <c r="O3296" i="13" l="1"/>
  <c r="N3296" i="13" s="1"/>
  <c r="O3297" i="13" l="1"/>
  <c r="N3297" i="13" s="1"/>
  <c r="O3298" i="13" l="1"/>
  <c r="N3298" i="13" s="1"/>
  <c r="O3299" i="13" l="1"/>
  <c r="N3299" i="13" s="1"/>
  <c r="O3300" i="13" l="1"/>
  <c r="N3300" i="13" s="1"/>
  <c r="O3301" i="13" l="1"/>
  <c r="N3301" i="13" s="1"/>
  <c r="O3302" i="13" l="1"/>
  <c r="N3302" i="13" s="1"/>
  <c r="O3303" i="13" l="1"/>
  <c r="N3303" i="13" s="1"/>
  <c r="O3304" i="13" l="1"/>
  <c r="N3304" i="13" s="1"/>
  <c r="O3305" i="13" l="1"/>
  <c r="N3305" i="13" s="1"/>
  <c r="O3306" i="13" l="1"/>
  <c r="N3306" i="13" s="1"/>
  <c r="O3307" i="13" l="1"/>
  <c r="N3307" i="13" s="1"/>
  <c r="O3308" i="13" l="1"/>
  <c r="N3308" i="13" s="1"/>
  <c r="O3309" i="13" l="1"/>
  <c r="N3309" i="13" s="1"/>
  <c r="O3310" i="13" l="1"/>
  <c r="N3310" i="13" s="1"/>
  <c r="O3311" i="13" l="1"/>
  <c r="N3311" i="13" s="1"/>
  <c r="O3312" i="13" l="1"/>
  <c r="N3312" i="13" s="1"/>
  <c r="O3313" i="13" l="1"/>
  <c r="N3313" i="13" s="1"/>
  <c r="O3314" i="13" l="1"/>
  <c r="N3314" i="13" s="1"/>
  <c r="O3315" i="13" l="1"/>
  <c r="N3315" i="13" s="1"/>
  <c r="O3316" i="13" l="1"/>
  <c r="N3316" i="13" s="1"/>
  <c r="O3317" i="13" l="1"/>
  <c r="N3317" i="13" s="1"/>
  <c r="O3318" i="13" l="1"/>
  <c r="N3318" i="13" s="1"/>
  <c r="O3319" i="13" l="1"/>
  <c r="N3319" i="13" s="1"/>
  <c r="O3320" i="13" l="1"/>
  <c r="N3320" i="13" s="1"/>
  <c r="O3321" i="13" l="1"/>
  <c r="N3321" i="13" s="1"/>
  <c r="O3322" i="13" l="1"/>
  <c r="N3322" i="13" s="1"/>
  <c r="O3323" i="13" l="1"/>
  <c r="N3323" i="13" s="1"/>
  <c r="O3324" i="13" l="1"/>
  <c r="N3324" i="13" s="1"/>
  <c r="O3325" i="13" l="1"/>
  <c r="N3325" i="13" s="1"/>
  <c r="O3326" i="13" l="1"/>
  <c r="N3326" i="13" s="1"/>
  <c r="O3327" i="13" l="1"/>
  <c r="N3327" i="13" s="1"/>
  <c r="O3328" i="13" l="1"/>
  <c r="N3328" i="13" s="1"/>
  <c r="O3329" i="13" l="1"/>
  <c r="N3329" i="13" s="1"/>
  <c r="O3330" i="13" l="1"/>
  <c r="N3330" i="13" s="1"/>
  <c r="O3331" i="13" l="1"/>
  <c r="N3331" i="13" s="1"/>
  <c r="O3332" i="13" l="1"/>
  <c r="N3332" i="13" s="1"/>
  <c r="O3333" i="13" l="1"/>
  <c r="N3333" i="13" s="1"/>
  <c r="O3334" i="13" l="1"/>
  <c r="N3334" i="13" s="1"/>
  <c r="O3335" i="13" l="1"/>
  <c r="N3335" i="13" s="1"/>
  <c r="O3336" i="13" l="1"/>
  <c r="N3336" i="13" s="1"/>
  <c r="O3337" i="13" l="1"/>
  <c r="N3337" i="13" s="1"/>
  <c r="O3338" i="13" l="1"/>
  <c r="N3338" i="13" s="1"/>
  <c r="O3339" i="13" l="1"/>
  <c r="N3339" i="13" s="1"/>
  <c r="O3340" i="13" l="1"/>
  <c r="N3340" i="13" s="1"/>
  <c r="O3341" i="13" l="1"/>
  <c r="N3341" i="13" s="1"/>
  <c r="O3342" i="13" l="1"/>
  <c r="N3342" i="13" s="1"/>
  <c r="O3343" i="13" l="1"/>
  <c r="N3343" i="13" s="1"/>
  <c r="O3344" i="13" l="1"/>
  <c r="N3344" i="13" s="1"/>
  <c r="O3345" i="13" l="1"/>
  <c r="N3345" i="13" s="1"/>
  <c r="O3346" i="13" l="1"/>
  <c r="N3346" i="13" s="1"/>
  <c r="O3347" i="13" l="1"/>
  <c r="N3347" i="13" s="1"/>
  <c r="O3348" i="13" l="1"/>
  <c r="N3348" i="13" s="1"/>
  <c r="O3349" i="13" l="1"/>
  <c r="N3349" i="13" s="1"/>
  <c r="O3350" i="13" l="1"/>
  <c r="N3350" i="13" s="1"/>
  <c r="O3351" i="13" l="1"/>
  <c r="N3351" i="13" s="1"/>
  <c r="O3352" i="13" l="1"/>
  <c r="N3352" i="13" s="1"/>
  <c r="O3353" i="13" l="1"/>
  <c r="N3353" i="13" s="1"/>
  <c r="O3354" i="13" l="1"/>
  <c r="N3354" i="13" s="1"/>
  <c r="O3355" i="13" l="1"/>
  <c r="N3355" i="13" s="1"/>
  <c r="O3356" i="13" l="1"/>
  <c r="N3356" i="13" s="1"/>
  <c r="O3357" i="13" l="1"/>
  <c r="N3357" i="13" s="1"/>
  <c r="O3358" i="13" l="1"/>
  <c r="N3358" i="13" s="1"/>
  <c r="O3359" i="13" l="1"/>
  <c r="N3359" i="13" s="1"/>
  <c r="O3360" i="13" l="1"/>
  <c r="N3360" i="13" s="1"/>
  <c r="O3361" i="13" l="1"/>
  <c r="N3361" i="13" s="1"/>
  <c r="O3362" i="13" l="1"/>
  <c r="N3362" i="13" s="1"/>
  <c r="O3363" i="13" l="1"/>
  <c r="N3363" i="13" s="1"/>
  <c r="O3364" i="13" l="1"/>
  <c r="N3364" i="13" s="1"/>
  <c r="O3365" i="13" l="1"/>
  <c r="N3365" i="13" s="1"/>
  <c r="O3366" i="13" l="1"/>
  <c r="N3366" i="13" s="1"/>
  <c r="O3367" i="13" l="1"/>
  <c r="N3367" i="13" s="1"/>
  <c r="O3368" i="13" l="1"/>
  <c r="N3368" i="13" s="1"/>
  <c r="O3369" i="13" l="1"/>
  <c r="N3369" i="13" s="1"/>
  <c r="O3370" i="13" l="1"/>
  <c r="N3370" i="13" s="1"/>
  <c r="O3371" i="13" l="1"/>
  <c r="N3371" i="13" s="1"/>
  <c r="O3372" i="13" l="1"/>
  <c r="N3372" i="13" s="1"/>
  <c r="O3373" i="13" l="1"/>
  <c r="N3373" i="13" s="1"/>
  <c r="O3374" i="13" l="1"/>
  <c r="N3374" i="13" s="1"/>
  <c r="O3375" i="13" l="1"/>
  <c r="N3375" i="13" s="1"/>
  <c r="O3376" i="13" l="1"/>
  <c r="N3376" i="13" s="1"/>
  <c r="O3377" i="13" l="1"/>
  <c r="N3377" i="13" s="1"/>
  <c r="O3378" i="13" l="1"/>
  <c r="N3378" i="13" s="1"/>
  <c r="O3379" i="13" l="1"/>
  <c r="N3379" i="13" s="1"/>
  <c r="O3380" i="13" l="1"/>
  <c r="N3380" i="13" s="1"/>
  <c r="O3381" i="13" l="1"/>
  <c r="N3381" i="13" s="1"/>
  <c r="O3382" i="13" l="1"/>
  <c r="N3382" i="13" s="1"/>
  <c r="O3383" i="13" l="1"/>
  <c r="N3383" i="13" s="1"/>
  <c r="O3384" i="13" l="1"/>
  <c r="N3384" i="13" s="1"/>
  <c r="O3385" i="13" l="1"/>
  <c r="N3385" i="13" s="1"/>
  <c r="O3386" i="13" l="1"/>
  <c r="N3386" i="13" s="1"/>
  <c r="O3387" i="13" l="1"/>
  <c r="N3387" i="13" s="1"/>
  <c r="O3388" i="13" l="1"/>
  <c r="N3388" i="13" s="1"/>
  <c r="O3389" i="13" l="1"/>
  <c r="N3389" i="13" s="1"/>
  <c r="O3390" i="13" l="1"/>
  <c r="N3390" i="13" s="1"/>
  <c r="O3391" i="13" l="1"/>
  <c r="N3391" i="13" s="1"/>
  <c r="O3392" i="13" l="1"/>
  <c r="N3392" i="13" s="1"/>
  <c r="O3393" i="13" l="1"/>
  <c r="N3393" i="13" s="1"/>
  <c r="O3394" i="13" l="1"/>
  <c r="N3394" i="13" s="1"/>
  <c r="O3395" i="13" l="1"/>
  <c r="N3395" i="13" s="1"/>
  <c r="O3396" i="13" l="1"/>
  <c r="N3396" i="13" s="1"/>
  <c r="O3397" i="13" l="1"/>
  <c r="N3397" i="13" s="1"/>
  <c r="O3398" i="13" l="1"/>
  <c r="N3398" i="13" s="1"/>
  <c r="O3399" i="13" l="1"/>
  <c r="N3399" i="13" s="1"/>
  <c r="O3400" i="13" l="1"/>
  <c r="N3400" i="13" s="1"/>
  <c r="O3401" i="13" l="1"/>
  <c r="N3401" i="13" s="1"/>
  <c r="O3402" i="13" l="1"/>
  <c r="N3402" i="13" s="1"/>
  <c r="O3403" i="13" l="1"/>
  <c r="N3403" i="13" s="1"/>
  <c r="O3404" i="13" l="1"/>
  <c r="N3404" i="13" s="1"/>
  <c r="O3405" i="13" l="1"/>
  <c r="N3405" i="13" s="1"/>
  <c r="O3406" i="13" l="1"/>
  <c r="N3406" i="13" s="1"/>
  <c r="O3407" i="13" l="1"/>
  <c r="N3407" i="13" s="1"/>
  <c r="O3408" i="13" l="1"/>
  <c r="N3408" i="13" s="1"/>
  <c r="O3409" i="13" l="1"/>
  <c r="N3409" i="13" s="1"/>
  <c r="O3410" i="13" l="1"/>
  <c r="N3410" i="13" s="1"/>
  <c r="O3411" i="13" l="1"/>
  <c r="N3411" i="13" s="1"/>
  <c r="O3412" i="13" l="1"/>
  <c r="N3412" i="13" s="1"/>
  <c r="O3413" i="13" l="1"/>
  <c r="N3413" i="13" s="1"/>
  <c r="O3414" i="13" l="1"/>
  <c r="N3414" i="13" s="1"/>
  <c r="O3415" i="13" l="1"/>
  <c r="N3415" i="13" s="1"/>
  <c r="O3416" i="13" l="1"/>
  <c r="N3416" i="13" s="1"/>
  <c r="O3417" i="13" l="1"/>
  <c r="N3417" i="13" s="1"/>
  <c r="O3418" i="13" l="1"/>
  <c r="N3418" i="13" s="1"/>
  <c r="O3419" i="13" l="1"/>
  <c r="N3419" i="13" s="1"/>
  <c r="O3420" i="13" l="1"/>
  <c r="N3420" i="13" s="1"/>
  <c r="O3421" i="13" l="1"/>
  <c r="N3421" i="13" s="1"/>
  <c r="O3422" i="13" l="1"/>
  <c r="N3422" i="13" s="1"/>
  <c r="O3423" i="13" l="1"/>
  <c r="N3423" i="13" s="1"/>
  <c r="O3424" i="13" l="1"/>
  <c r="N3424" i="13" s="1"/>
  <c r="O3425" i="13" l="1"/>
  <c r="N3425" i="13" s="1"/>
  <c r="O3426" i="13" l="1"/>
  <c r="N3426" i="13" s="1"/>
  <c r="O3427" i="13" l="1"/>
  <c r="N3427" i="13" s="1"/>
  <c r="O3428" i="13" l="1"/>
  <c r="N3428" i="13" s="1"/>
  <c r="O3429" i="13" l="1"/>
  <c r="N3429" i="13" s="1"/>
  <c r="O3430" i="13" l="1"/>
  <c r="N3430" i="13" s="1"/>
  <c r="O3431" i="13" l="1"/>
  <c r="N3431" i="13" s="1"/>
  <c r="O3432" i="13" l="1"/>
  <c r="N3432" i="13" s="1"/>
  <c r="O3433" i="13" l="1"/>
  <c r="N3433" i="13" s="1"/>
  <c r="O3434" i="13" l="1"/>
  <c r="N3434" i="13" s="1"/>
  <c r="O3435" i="13" l="1"/>
  <c r="N3435" i="13" s="1"/>
  <c r="O3436" i="13" l="1"/>
  <c r="N3436" i="13" s="1"/>
  <c r="O3437" i="13" l="1"/>
  <c r="N3437" i="13" s="1"/>
  <c r="O3438" i="13" l="1"/>
  <c r="N3438" i="13" s="1"/>
  <c r="O3439" i="13" l="1"/>
  <c r="N3439" i="13" s="1"/>
  <c r="O3440" i="13" l="1"/>
  <c r="N3440" i="13" s="1"/>
  <c r="O3441" i="13" l="1"/>
  <c r="N3441" i="13" s="1"/>
  <c r="O3442" i="13" l="1"/>
  <c r="N3442" i="13" s="1"/>
  <c r="O3443" i="13" l="1"/>
  <c r="N3443" i="13" s="1"/>
  <c r="O3444" i="13" l="1"/>
  <c r="N3444" i="13" s="1"/>
  <c r="O3445" i="13" l="1"/>
  <c r="N3445" i="13" s="1"/>
  <c r="O3446" i="13" l="1"/>
  <c r="N3446" i="13" s="1"/>
  <c r="O3447" i="13" l="1"/>
  <c r="N3447" i="13" s="1"/>
  <c r="O3448" i="13" l="1"/>
  <c r="N3448" i="13" s="1"/>
  <c r="O3449" i="13" l="1"/>
  <c r="N3449" i="13" s="1"/>
  <c r="O3450" i="13" l="1"/>
  <c r="N3450" i="13" s="1"/>
  <c r="O3451" i="13" l="1"/>
  <c r="N3451" i="13" s="1"/>
  <c r="O3452" i="13" l="1"/>
  <c r="N3452" i="13" s="1"/>
  <c r="O3453" i="13" l="1"/>
  <c r="N3453" i="13" s="1"/>
  <c r="O3454" i="13" l="1"/>
  <c r="N3454" i="13" s="1"/>
  <c r="O3455" i="13" l="1"/>
  <c r="N3455" i="13" s="1"/>
  <c r="O3456" i="13" l="1"/>
  <c r="N3456" i="13" s="1"/>
  <c r="O3457" i="13" l="1"/>
  <c r="N3457" i="13" s="1"/>
  <c r="O3458" i="13" l="1"/>
  <c r="N3458" i="13" s="1"/>
  <c r="O3459" i="13" l="1"/>
  <c r="N3459" i="13" s="1"/>
  <c r="O3460" i="13" l="1"/>
  <c r="N3460" i="13" s="1"/>
  <c r="O3461" i="13" l="1"/>
  <c r="N3461" i="13" s="1"/>
  <c r="O3462" i="13" l="1"/>
  <c r="N3462" i="13" s="1"/>
  <c r="O3463" i="13" l="1"/>
  <c r="N3463" i="13" s="1"/>
  <c r="O3464" i="13" l="1"/>
  <c r="N3464" i="13" s="1"/>
  <c r="O3465" i="13" l="1"/>
  <c r="N3465" i="13" s="1"/>
  <c r="O3466" i="13" l="1"/>
  <c r="N3466" i="13" s="1"/>
  <c r="O3467" i="13" l="1"/>
  <c r="N3467" i="13" s="1"/>
  <c r="O3468" i="13" l="1"/>
  <c r="N3468" i="13" s="1"/>
  <c r="O3469" i="13" l="1"/>
  <c r="N3469" i="13" s="1"/>
  <c r="O3470" i="13" l="1"/>
  <c r="N3470" i="13" s="1"/>
  <c r="O3471" i="13" l="1"/>
  <c r="N3471" i="13" s="1"/>
  <c r="O3472" i="13" l="1"/>
  <c r="N3472" i="13" s="1"/>
  <c r="O3473" i="13" l="1"/>
  <c r="N3473" i="13" s="1"/>
  <c r="O3474" i="13" l="1"/>
  <c r="N3474" i="13" s="1"/>
  <c r="O3475" i="13" l="1"/>
  <c r="N3475" i="13" s="1"/>
  <c r="O3476" i="13" l="1"/>
  <c r="N3476" i="13" s="1"/>
  <c r="O3477" i="13" l="1"/>
  <c r="N3477" i="13" s="1"/>
  <c r="O3478" i="13" l="1"/>
  <c r="N3478" i="13" s="1"/>
  <c r="O3479" i="13" l="1"/>
  <c r="N3479" i="13" s="1"/>
  <c r="O3480" i="13" l="1"/>
  <c r="N3480" i="13" s="1"/>
  <c r="O3481" i="13" l="1"/>
  <c r="N3481" i="13" s="1"/>
  <c r="O3482" i="13" l="1"/>
  <c r="N3482" i="13" s="1"/>
  <c r="O3483" i="13" l="1"/>
  <c r="N3483" i="13" s="1"/>
  <c r="O3484" i="13" l="1"/>
  <c r="N3484" i="13" s="1"/>
  <c r="O3485" i="13" l="1"/>
  <c r="N3485" i="13" s="1"/>
  <c r="O3486" i="13" l="1"/>
  <c r="N3486" i="13" s="1"/>
  <c r="O3487" i="13" l="1"/>
  <c r="N3487" i="13" s="1"/>
  <c r="O3488" i="13" l="1"/>
  <c r="N3488" i="13" s="1"/>
  <c r="O3489" i="13" l="1"/>
  <c r="N3489" i="13" s="1"/>
  <c r="O3490" i="13" l="1"/>
  <c r="N3490" i="13" s="1"/>
  <c r="O3491" i="13" l="1"/>
  <c r="N3491" i="13" s="1"/>
  <c r="O3492" i="13" l="1"/>
  <c r="N3492" i="13" s="1"/>
  <c r="O3493" i="13" l="1"/>
  <c r="N3493" i="13" s="1"/>
  <c r="O3494" i="13" l="1"/>
  <c r="N3494" i="13" s="1"/>
  <c r="O3495" i="13" l="1"/>
  <c r="N3495" i="13" s="1"/>
  <c r="O3496" i="13" l="1"/>
  <c r="N3496" i="13" s="1"/>
  <c r="O3497" i="13" l="1"/>
  <c r="N3497" i="13" s="1"/>
  <c r="O3498" i="13" l="1"/>
  <c r="N3498" i="13" s="1"/>
  <c r="O3499" i="13" l="1"/>
  <c r="N3499" i="13" s="1"/>
  <c r="O3500" i="13" l="1"/>
  <c r="N3500" i="13" s="1"/>
  <c r="O3501" i="13" l="1"/>
  <c r="N3501" i="13" s="1"/>
  <c r="O3502" i="13" l="1"/>
  <c r="N3502" i="13" s="1"/>
  <c r="O3503" i="13" l="1"/>
  <c r="N3503" i="13" s="1"/>
  <c r="O3504" i="13" l="1"/>
  <c r="N3504" i="13" s="1"/>
  <c r="O3505" i="13" l="1"/>
  <c r="N3505" i="13" s="1"/>
  <c r="O3506" i="13" l="1"/>
  <c r="N3506" i="13" s="1"/>
  <c r="O3507" i="13" l="1"/>
  <c r="N3507" i="13" s="1"/>
  <c r="O3508" i="13" l="1"/>
  <c r="N3508" i="13" s="1"/>
  <c r="O3509" i="13" l="1"/>
  <c r="N3509" i="13" s="1"/>
  <c r="O3510" i="13" l="1"/>
  <c r="N3510" i="13" s="1"/>
  <c r="O3511" i="13" l="1"/>
  <c r="N3511" i="13" s="1"/>
  <c r="O3512" i="13" l="1"/>
  <c r="N3512" i="13" s="1"/>
  <c r="O3513" i="13" l="1"/>
  <c r="N3513" i="13" s="1"/>
  <c r="O3514" i="13" l="1"/>
  <c r="N3514" i="13" s="1"/>
  <c r="O3515" i="13" l="1"/>
  <c r="N3515" i="13" s="1"/>
  <c r="O3516" i="13" l="1"/>
  <c r="N3516" i="13" s="1"/>
  <c r="O3517" i="13" l="1"/>
  <c r="N3517" i="13" s="1"/>
  <c r="O3518" i="13" l="1"/>
  <c r="N3518" i="13" s="1"/>
  <c r="O3519" i="13" l="1"/>
  <c r="N3519" i="13" s="1"/>
  <c r="O3520" i="13" l="1"/>
  <c r="N3520" i="13" s="1"/>
  <c r="O3521" i="13" l="1"/>
  <c r="N3521" i="13" s="1"/>
  <c r="O3522" i="13" l="1"/>
  <c r="N3522" i="13" s="1"/>
  <c r="O3523" i="13" l="1"/>
  <c r="N3523" i="13" s="1"/>
  <c r="O3524" i="13" l="1"/>
  <c r="N3524" i="13" s="1"/>
  <c r="O3525" i="13" l="1"/>
  <c r="N3525" i="13" s="1"/>
  <c r="O3526" i="13" l="1"/>
  <c r="N3526" i="13" s="1"/>
  <c r="O3527" i="13" l="1"/>
  <c r="N3527" i="13" s="1"/>
  <c r="O3528" i="13" l="1"/>
  <c r="N3528" i="13" s="1"/>
  <c r="O3529" i="13" l="1"/>
  <c r="N3529" i="13" s="1"/>
  <c r="O3530" i="13" l="1"/>
  <c r="N3530" i="13" s="1"/>
  <c r="O3531" i="13" l="1"/>
  <c r="N3531" i="13" s="1"/>
  <c r="O3532" i="13" l="1"/>
  <c r="N3532" i="13" s="1"/>
  <c r="O3533" i="13" l="1"/>
  <c r="N3533" i="13" s="1"/>
  <c r="O3534" i="13" l="1"/>
  <c r="N3534" i="13" s="1"/>
  <c r="O3535" i="13" l="1"/>
  <c r="N3535" i="13" s="1"/>
  <c r="O3536" i="13" l="1"/>
  <c r="N3536" i="13" s="1"/>
  <c r="O3537" i="13" l="1"/>
  <c r="N3537" i="13" s="1"/>
  <c r="O3538" i="13" l="1"/>
  <c r="N3538" i="13" s="1"/>
  <c r="O3539" i="13" l="1"/>
  <c r="N3539" i="13" s="1"/>
  <c r="O3540" i="13" l="1"/>
  <c r="N3540" i="13" s="1"/>
  <c r="O3541" i="13" l="1"/>
  <c r="N3541" i="13" s="1"/>
  <c r="O3542" i="13" l="1"/>
  <c r="N3542" i="13" s="1"/>
  <c r="O3543" i="13" l="1"/>
  <c r="N3543" i="13" s="1"/>
  <c r="O3544" i="13" l="1"/>
  <c r="N3544" i="13" s="1"/>
  <c r="O3545" i="13" l="1"/>
  <c r="N3545" i="13" s="1"/>
  <c r="O3546" i="13" l="1"/>
  <c r="N3546" i="13" s="1"/>
  <c r="O3547" i="13" l="1"/>
  <c r="N3547" i="13" s="1"/>
  <c r="O3548" i="13" l="1"/>
  <c r="N3548" i="13" s="1"/>
  <c r="O3549" i="13" l="1"/>
  <c r="N3549" i="13" s="1"/>
  <c r="O3550" i="13" l="1"/>
  <c r="N3550" i="13" s="1"/>
  <c r="O3551" i="13" l="1"/>
  <c r="N3551" i="13" s="1"/>
  <c r="O3552" i="13" l="1"/>
  <c r="N3552" i="13" s="1"/>
  <c r="O3553" i="13" l="1"/>
  <c r="N3553" i="13" s="1"/>
  <c r="O3554" i="13" l="1"/>
  <c r="N3554" i="13" s="1"/>
  <c r="O3555" i="13" l="1"/>
  <c r="N3555" i="13" s="1"/>
  <c r="O3556" i="13" l="1"/>
  <c r="N3556" i="13" s="1"/>
  <c r="O3557" i="13" l="1"/>
  <c r="N3557" i="13" s="1"/>
  <c r="O3558" i="13" l="1"/>
  <c r="N3558" i="13" s="1"/>
  <c r="O3559" i="13" l="1"/>
  <c r="N3559" i="13" s="1"/>
  <c r="O3560" i="13" l="1"/>
  <c r="N3560" i="13" s="1"/>
  <c r="O3561" i="13" l="1"/>
  <c r="N3561" i="13" s="1"/>
  <c r="O3562" i="13" l="1"/>
  <c r="N3562" i="13" s="1"/>
  <c r="O3563" i="13" l="1"/>
  <c r="N3563" i="13" s="1"/>
  <c r="O3564" i="13" l="1"/>
  <c r="N3564" i="13" s="1"/>
  <c r="O3565" i="13" l="1"/>
  <c r="N3565" i="13" s="1"/>
  <c r="O3566" i="13" l="1"/>
  <c r="N3566" i="13" s="1"/>
  <c r="O3567" i="13" l="1"/>
  <c r="N3567" i="13" s="1"/>
  <c r="O3568" i="13" l="1"/>
  <c r="N3568" i="13" s="1"/>
  <c r="O3569" i="13" l="1"/>
  <c r="N3569" i="13" s="1"/>
  <c r="O3570" i="13" l="1"/>
  <c r="N3570" i="13" s="1"/>
  <c r="O3571" i="13" l="1"/>
  <c r="N3571" i="13" s="1"/>
  <c r="O3572" i="13" l="1"/>
  <c r="N3572" i="13" s="1"/>
  <c r="O3573" i="13" l="1"/>
  <c r="N3573" i="13" s="1"/>
  <c r="O3574" i="13" l="1"/>
  <c r="N3574" i="13" s="1"/>
  <c r="O3575" i="13" l="1"/>
  <c r="N3575" i="13" s="1"/>
  <c r="O3576" i="13" l="1"/>
  <c r="N3576" i="13" s="1"/>
  <c r="O3577" i="13" l="1"/>
  <c r="N3577" i="13" s="1"/>
  <c r="O3578" i="13" l="1"/>
  <c r="N3578" i="13" s="1"/>
  <c r="O3579" i="13" l="1"/>
  <c r="N3579" i="13" s="1"/>
  <c r="O3580" i="13" l="1"/>
  <c r="N3580" i="13" s="1"/>
  <c r="O3581" i="13" l="1"/>
  <c r="N3581" i="13" s="1"/>
  <c r="O3582" i="13" l="1"/>
  <c r="N3582" i="13" s="1"/>
  <c r="O3583" i="13" l="1"/>
  <c r="N3583" i="13" s="1"/>
  <c r="O3584" i="13" l="1"/>
  <c r="N3584" i="13" s="1"/>
  <c r="O3585" i="13" l="1"/>
  <c r="N3585" i="13" s="1"/>
  <c r="O3586" i="13" l="1"/>
  <c r="N3586" i="13" s="1"/>
  <c r="O3587" i="13" l="1"/>
  <c r="N3587" i="13" s="1"/>
  <c r="O3588" i="13" l="1"/>
  <c r="N3588" i="13" s="1"/>
  <c r="O3589" i="13" l="1"/>
  <c r="N3589" i="13" s="1"/>
  <c r="O3590" i="13" l="1"/>
  <c r="N3590" i="13" s="1"/>
  <c r="O3591" i="13" l="1"/>
  <c r="N3591" i="13" s="1"/>
  <c r="O3592" i="13" l="1"/>
  <c r="N3592" i="13" s="1"/>
  <c r="O3593" i="13" l="1"/>
  <c r="N3593" i="13" s="1"/>
  <c r="O3594" i="13" l="1"/>
  <c r="N3594" i="13" s="1"/>
  <c r="O3595" i="13" l="1"/>
  <c r="N3595" i="13" s="1"/>
  <c r="O3596" i="13" l="1"/>
  <c r="N3596" i="13" s="1"/>
  <c r="O3597" i="13" l="1"/>
  <c r="N3597" i="13" s="1"/>
  <c r="O3598" i="13" l="1"/>
  <c r="N3598" i="13" s="1"/>
  <c r="O3599" i="13" l="1"/>
  <c r="N3599" i="13" s="1"/>
  <c r="O3600" i="13" l="1"/>
  <c r="N3600" i="13" s="1"/>
  <c r="O3601" i="13" l="1"/>
  <c r="N3601" i="13" s="1"/>
  <c r="O3602" i="13" l="1"/>
  <c r="N3602" i="13" s="1"/>
  <c r="O3603" i="13" l="1"/>
  <c r="N3603" i="13" s="1"/>
  <c r="O3604" i="13" l="1"/>
  <c r="N3604" i="13" s="1"/>
  <c r="O3605" i="13" l="1"/>
  <c r="N3605" i="13" s="1"/>
  <c r="O3606" i="13" l="1"/>
  <c r="N3606" i="13" s="1"/>
  <c r="O3607" i="13" l="1"/>
  <c r="N3607" i="13" s="1"/>
  <c r="O3608" i="13" l="1"/>
  <c r="N3608" i="13" s="1"/>
  <c r="O3609" i="13" l="1"/>
  <c r="N3609" i="13" s="1"/>
  <c r="O3610" i="13" l="1"/>
  <c r="N3610" i="13" s="1"/>
  <c r="O3611" i="13" l="1"/>
  <c r="N3611" i="13" s="1"/>
  <c r="O3612" i="13" l="1"/>
  <c r="N3612" i="13" s="1"/>
  <c r="O3613" i="13" l="1"/>
  <c r="N3613" i="13" s="1"/>
  <c r="O3614" i="13" l="1"/>
  <c r="N3614" i="13" s="1"/>
  <c r="O3615" i="13" l="1"/>
  <c r="N3615" i="13" s="1"/>
  <c r="O3616" i="13" l="1"/>
  <c r="N3616" i="13" s="1"/>
  <c r="O3617" i="13" l="1"/>
  <c r="N3617" i="13" s="1"/>
  <c r="O3618" i="13" l="1"/>
  <c r="N3618" i="13" s="1"/>
  <c r="O3619" i="13" l="1"/>
  <c r="N3619" i="13" s="1"/>
  <c r="O3620" i="13" l="1"/>
  <c r="N3620" i="13" s="1"/>
  <c r="O3621" i="13" l="1"/>
  <c r="N3621" i="13" s="1"/>
  <c r="O3622" i="13" l="1"/>
  <c r="N3622" i="13" s="1"/>
  <c r="O3623" i="13" l="1"/>
  <c r="N3623" i="13" s="1"/>
  <c r="O3624" i="13" l="1"/>
  <c r="N3624" i="13" s="1"/>
  <c r="O3625" i="13" l="1"/>
  <c r="N3625" i="13" s="1"/>
  <c r="O3626" i="13" l="1"/>
  <c r="N3626" i="13" s="1"/>
  <c r="O3627" i="13" l="1"/>
  <c r="N3627" i="13" s="1"/>
  <c r="O3628" i="13" l="1"/>
  <c r="N3628" i="13" s="1"/>
  <c r="O3629" i="13" l="1"/>
  <c r="N3629" i="13" s="1"/>
  <c r="O3630" i="13" l="1"/>
  <c r="N3630" i="13" s="1"/>
  <c r="O3631" i="13" l="1"/>
  <c r="N3631" i="13" s="1"/>
  <c r="O3632" i="13" l="1"/>
  <c r="N3632" i="13" s="1"/>
  <c r="O3633" i="13" l="1"/>
  <c r="N3633" i="13" s="1"/>
  <c r="O3634" i="13" l="1"/>
  <c r="N3634" i="13" s="1"/>
  <c r="O3635" i="13" l="1"/>
  <c r="N3635" i="13" s="1"/>
  <c r="O3636" i="13" l="1"/>
  <c r="N3636" i="13" s="1"/>
  <c r="O3637" i="13" l="1"/>
  <c r="N3637" i="13" s="1"/>
  <c r="O3638" i="13" l="1"/>
  <c r="N3638" i="13" s="1"/>
  <c r="O3639" i="13" l="1"/>
  <c r="N3639" i="13" s="1"/>
  <c r="O3640" i="13" l="1"/>
  <c r="N3640" i="13" s="1"/>
  <c r="O3641" i="13" l="1"/>
  <c r="N3641" i="13" s="1"/>
  <c r="O3642" i="13" l="1"/>
  <c r="N3642" i="13" s="1"/>
  <c r="O3643" i="13" l="1"/>
  <c r="N3643" i="13" s="1"/>
  <c r="O3644" i="13" l="1"/>
  <c r="N3644" i="13" s="1"/>
  <c r="O3645" i="13" l="1"/>
  <c r="N3645" i="13" s="1"/>
  <c r="O3646" i="13" l="1"/>
  <c r="N3646" i="13" s="1"/>
  <c r="O3647" i="13" l="1"/>
  <c r="N3647" i="13" s="1"/>
  <c r="O3648" i="13" l="1"/>
  <c r="N3648" i="13" s="1"/>
  <c r="O3649" i="13" l="1"/>
  <c r="N3649" i="13" s="1"/>
  <c r="O3650" i="13" l="1"/>
  <c r="N3650" i="13" s="1"/>
  <c r="O3651" i="13" l="1"/>
  <c r="N3651" i="13" s="1"/>
  <c r="O3652" i="13" l="1"/>
  <c r="N3652" i="13" s="1"/>
  <c r="O3653" i="13" l="1"/>
  <c r="N3653" i="13" s="1"/>
  <c r="O3654" i="13" l="1"/>
  <c r="N3654" i="13" s="1"/>
  <c r="O3655" i="13" l="1"/>
  <c r="N3655" i="13" s="1"/>
  <c r="O3656" i="13" l="1"/>
  <c r="N3656" i="13" s="1"/>
  <c r="O3657" i="13" l="1"/>
  <c r="N3657" i="13" s="1"/>
  <c r="O3658" i="13" l="1"/>
  <c r="N3658" i="13" s="1"/>
  <c r="O3659" i="13" l="1"/>
  <c r="N3659" i="13" s="1"/>
  <c r="O3660" i="13" l="1"/>
  <c r="N3660" i="13" s="1"/>
  <c r="O3661" i="13" l="1"/>
  <c r="N3661" i="13" s="1"/>
  <c r="O3662" i="13" l="1"/>
  <c r="N3662" i="13" s="1"/>
  <c r="O3663" i="13" l="1"/>
  <c r="N3663" i="13" s="1"/>
  <c r="O3664" i="13" l="1"/>
  <c r="N3664" i="13" s="1"/>
  <c r="O3665" i="13" l="1"/>
  <c r="N3665" i="13" s="1"/>
  <c r="O3666" i="13" l="1"/>
  <c r="N3666" i="13" s="1"/>
  <c r="O3667" i="13" l="1"/>
  <c r="N3667" i="13" s="1"/>
  <c r="O3668" i="13" l="1"/>
  <c r="N3668" i="13" s="1"/>
  <c r="O3669" i="13" l="1"/>
  <c r="N3669" i="13" s="1"/>
  <c r="O3670" i="13" l="1"/>
  <c r="N3670" i="13" s="1"/>
  <c r="O3671" i="13" l="1"/>
  <c r="N3671" i="13" s="1"/>
  <c r="O3672" i="13" l="1"/>
  <c r="N3672" i="13" s="1"/>
  <c r="O3673" i="13" l="1"/>
  <c r="N3673" i="13" s="1"/>
  <c r="O3674" i="13" l="1"/>
  <c r="N3674" i="13" s="1"/>
  <c r="O3675" i="13" l="1"/>
  <c r="N3675" i="13" s="1"/>
  <c r="O3676" i="13" l="1"/>
  <c r="N3676" i="13" s="1"/>
  <c r="O3677" i="13" l="1"/>
  <c r="N3677" i="13" s="1"/>
  <c r="O3678" i="13" l="1"/>
  <c r="N3678" i="13" s="1"/>
  <c r="O3679" i="13" l="1"/>
  <c r="N3679" i="13" s="1"/>
  <c r="O3680" i="13" l="1"/>
  <c r="N3680" i="13" s="1"/>
  <c r="O3681" i="13" l="1"/>
  <c r="N3681" i="13" s="1"/>
  <c r="O3682" i="13" l="1"/>
  <c r="N3682" i="13" s="1"/>
  <c r="O3683" i="13" l="1"/>
  <c r="N3683" i="13" s="1"/>
  <c r="O3684" i="13" l="1"/>
  <c r="N3684" i="13" s="1"/>
  <c r="O3685" i="13" l="1"/>
  <c r="N3685" i="13" s="1"/>
  <c r="O3686" i="13" l="1"/>
  <c r="N3686" i="13" s="1"/>
  <c r="O3687" i="13" l="1"/>
  <c r="N3687" i="13" s="1"/>
  <c r="O3688" i="13" l="1"/>
  <c r="N3688" i="13" s="1"/>
  <c r="O3689" i="13" l="1"/>
  <c r="N3689" i="13" s="1"/>
  <c r="O3690" i="13" l="1"/>
  <c r="N3690" i="13" s="1"/>
  <c r="O3691" i="13" l="1"/>
  <c r="N3691" i="13" s="1"/>
  <c r="O3692" i="13" l="1"/>
  <c r="N3692" i="13" s="1"/>
  <c r="O3693" i="13" l="1"/>
  <c r="N3693" i="13" s="1"/>
  <c r="O3694" i="13" l="1"/>
  <c r="N3694" i="13" s="1"/>
  <c r="O3695" i="13" l="1"/>
  <c r="N3695" i="13" s="1"/>
  <c r="O3696" i="13" l="1"/>
  <c r="N3696" i="13" s="1"/>
  <c r="O3697" i="13" l="1"/>
  <c r="N3697" i="13" s="1"/>
  <c r="O3698" i="13" l="1"/>
  <c r="N3698" i="13" s="1"/>
  <c r="O3699" i="13" l="1"/>
  <c r="N3699" i="13" s="1"/>
  <c r="O3700" i="13" l="1"/>
  <c r="N3700" i="13" s="1"/>
  <c r="O3701" i="13" l="1"/>
  <c r="N3701" i="13" s="1"/>
  <c r="O3702" i="13" l="1"/>
  <c r="N3702" i="13" s="1"/>
  <c r="O3703" i="13" l="1"/>
  <c r="N3703" i="13" s="1"/>
  <c r="O3704" i="13" l="1"/>
  <c r="N3704" i="13" s="1"/>
  <c r="O3705" i="13" l="1"/>
  <c r="N3705" i="13" s="1"/>
  <c r="O3706" i="13" l="1"/>
  <c r="N3706" i="13" s="1"/>
  <c r="O3707" i="13" l="1"/>
  <c r="N3707" i="13" s="1"/>
  <c r="O3708" i="13" l="1"/>
  <c r="N3708" i="13" s="1"/>
  <c r="O3709" i="13" l="1"/>
  <c r="N3709" i="13" s="1"/>
  <c r="O3710" i="13" l="1"/>
  <c r="N3710" i="13" s="1"/>
  <c r="O3711" i="13" l="1"/>
  <c r="N3711" i="13" s="1"/>
  <c r="O3712" i="13" l="1"/>
  <c r="N3712" i="13" s="1"/>
  <c r="O3713" i="13" l="1"/>
  <c r="N3713" i="13" s="1"/>
  <c r="O3714" i="13" l="1"/>
  <c r="N3714" i="13" s="1"/>
  <c r="O3715" i="13" l="1"/>
  <c r="N3715" i="13" s="1"/>
  <c r="O3716" i="13" l="1"/>
  <c r="N3716" i="13" s="1"/>
  <c r="O3717" i="13" l="1"/>
  <c r="N3717" i="13" s="1"/>
  <c r="O3718" i="13" l="1"/>
  <c r="N3718" i="13" s="1"/>
  <c r="O3719" i="13" l="1"/>
  <c r="N3719" i="13" s="1"/>
  <c r="O3720" i="13" l="1"/>
  <c r="N3720" i="13" s="1"/>
  <c r="O3721" i="13" l="1"/>
  <c r="N3721" i="13" s="1"/>
  <c r="O3722" i="13" l="1"/>
  <c r="N3722" i="13" s="1"/>
  <c r="O3723" i="13" l="1"/>
  <c r="N3723" i="13" s="1"/>
  <c r="O3724" i="13" l="1"/>
  <c r="N3724" i="13" s="1"/>
  <c r="O3725" i="13" l="1"/>
  <c r="N3725" i="13" s="1"/>
  <c r="O3726" i="13" l="1"/>
  <c r="N3726" i="13" s="1"/>
  <c r="O3727" i="13" l="1"/>
  <c r="N3727" i="13" s="1"/>
  <c r="O3728" i="13" l="1"/>
  <c r="N3728" i="13" s="1"/>
  <c r="O3729" i="13" l="1"/>
  <c r="N3729" i="13" s="1"/>
  <c r="O3730" i="13" l="1"/>
  <c r="N3730" i="13" s="1"/>
  <c r="O3731" i="13" l="1"/>
  <c r="N3731" i="13" s="1"/>
  <c r="O3732" i="13" l="1"/>
  <c r="N3732" i="13" s="1"/>
  <c r="O3733" i="13" l="1"/>
  <c r="N3733" i="13" s="1"/>
  <c r="O3734" i="13" l="1"/>
  <c r="N3734" i="13" s="1"/>
  <c r="O3735" i="13" l="1"/>
  <c r="N3735" i="13" s="1"/>
  <c r="O3736" i="13" l="1"/>
  <c r="N3736" i="13" s="1"/>
  <c r="O3737" i="13" l="1"/>
  <c r="N3737" i="13" s="1"/>
  <c r="O3738" i="13" l="1"/>
  <c r="N3738" i="13" s="1"/>
  <c r="O3739" i="13" l="1"/>
  <c r="N3739" i="13" s="1"/>
  <c r="O3740" i="13" l="1"/>
  <c r="N3740" i="13" s="1"/>
  <c r="O3741" i="13" l="1"/>
  <c r="N3741" i="13" s="1"/>
  <c r="O3742" i="13" l="1"/>
  <c r="N3742" i="13" s="1"/>
  <c r="O3743" i="13" l="1"/>
  <c r="N3743" i="13" s="1"/>
  <c r="O3744" i="13" l="1"/>
  <c r="N3744" i="13" s="1"/>
  <c r="O3745" i="13" l="1"/>
  <c r="N3745" i="13" s="1"/>
  <c r="O3746" i="13" l="1"/>
  <c r="N3746" i="13" s="1"/>
  <c r="O3747" i="13" l="1"/>
  <c r="N3747" i="13" s="1"/>
  <c r="O3748" i="13" l="1"/>
  <c r="N3748" i="13" s="1"/>
  <c r="O3749" i="13" l="1"/>
  <c r="N3749" i="13" s="1"/>
  <c r="O3750" i="13" l="1"/>
  <c r="N3750" i="13" s="1"/>
  <c r="O3751" i="13" l="1"/>
  <c r="N3751" i="13" s="1"/>
  <c r="O3752" i="13" l="1"/>
  <c r="N3752" i="13" s="1"/>
  <c r="O3753" i="13" l="1"/>
  <c r="N3753" i="13" s="1"/>
  <c r="O3754" i="13" l="1"/>
  <c r="N3754" i="13" s="1"/>
  <c r="O3755" i="13" l="1"/>
  <c r="N3755" i="13" s="1"/>
  <c r="O3756" i="13" l="1"/>
  <c r="N3756" i="13" s="1"/>
  <c r="O3757" i="13" l="1"/>
  <c r="N3757" i="13" s="1"/>
  <c r="O3758" i="13" l="1"/>
  <c r="N3758" i="13" s="1"/>
  <c r="O3759" i="13" l="1"/>
  <c r="N3759" i="13" s="1"/>
  <c r="O3760" i="13" l="1"/>
  <c r="N3760" i="13" s="1"/>
  <c r="O3761" i="13" l="1"/>
  <c r="N3761" i="13" s="1"/>
  <c r="O3762" i="13" l="1"/>
  <c r="N3762" i="13" s="1"/>
  <c r="O3763" i="13" l="1"/>
  <c r="N3763" i="13" s="1"/>
  <c r="O3764" i="13" l="1"/>
  <c r="N3764" i="13" s="1"/>
  <c r="O3765" i="13" l="1"/>
  <c r="N3765" i="13" s="1"/>
  <c r="O3766" i="13" l="1"/>
  <c r="N3766" i="13" s="1"/>
  <c r="O3767" i="13" l="1"/>
  <c r="N3767" i="13" s="1"/>
  <c r="O3768" i="13" l="1"/>
  <c r="N3768" i="13" s="1"/>
  <c r="O3769" i="13" l="1"/>
  <c r="N3769" i="13" s="1"/>
  <c r="O3770" i="13" l="1"/>
  <c r="N3770" i="13" s="1"/>
  <c r="O3771" i="13" l="1"/>
  <c r="N3771" i="13" s="1"/>
  <c r="O3772" i="13" l="1"/>
  <c r="N3772" i="13" s="1"/>
  <c r="O3773" i="13" l="1"/>
  <c r="N3773" i="13" s="1"/>
  <c r="O3774" i="13" l="1"/>
  <c r="N3774" i="13" s="1"/>
  <c r="O3775" i="13" l="1"/>
  <c r="N3775" i="13" s="1"/>
  <c r="O3776" i="13" l="1"/>
  <c r="N3776" i="13" s="1"/>
  <c r="O3777" i="13" l="1"/>
  <c r="N3777" i="13" s="1"/>
  <c r="O3778" i="13" l="1"/>
  <c r="N3778" i="13" s="1"/>
  <c r="O3779" i="13" l="1"/>
  <c r="N3779" i="13" s="1"/>
  <c r="O3780" i="13" l="1"/>
  <c r="N3780" i="13" s="1"/>
  <c r="O3781" i="13" l="1"/>
  <c r="N3781" i="13" s="1"/>
  <c r="O3782" i="13" l="1"/>
  <c r="N3782" i="13" s="1"/>
  <c r="O3783" i="13" l="1"/>
  <c r="N3783" i="13" s="1"/>
  <c r="O3784" i="13" l="1"/>
  <c r="N3784" i="13" s="1"/>
  <c r="O3785" i="13" l="1"/>
  <c r="N3785" i="13" s="1"/>
  <c r="O3786" i="13" l="1"/>
  <c r="N3786" i="13" s="1"/>
  <c r="O3787" i="13" l="1"/>
  <c r="N3787" i="13" s="1"/>
  <c r="O3788" i="13" l="1"/>
  <c r="N3788" i="13" s="1"/>
  <c r="O3789" i="13" l="1"/>
  <c r="N3789" i="13" s="1"/>
  <c r="O3790" i="13" l="1"/>
  <c r="N3790" i="13" s="1"/>
  <c r="O3791" i="13" l="1"/>
  <c r="N3791" i="13" s="1"/>
  <c r="O3792" i="13" l="1"/>
  <c r="N3792" i="13" s="1"/>
  <c r="O3793" i="13" l="1"/>
  <c r="N3793" i="13" s="1"/>
  <c r="O3794" i="13" l="1"/>
  <c r="N3794" i="13" s="1"/>
  <c r="O3795" i="13" l="1"/>
  <c r="N3795" i="13" s="1"/>
  <c r="O3796" i="13" l="1"/>
  <c r="N3796" i="13" s="1"/>
  <c r="O3797" i="13" l="1"/>
  <c r="N3797" i="13" s="1"/>
  <c r="O3798" i="13" l="1"/>
  <c r="N3798" i="13" s="1"/>
  <c r="O3799" i="13" l="1"/>
  <c r="N3799" i="13" s="1"/>
  <c r="O3800" i="13" l="1"/>
  <c r="N3800" i="13" s="1"/>
  <c r="O3801" i="13" l="1"/>
  <c r="N3801" i="13" s="1"/>
  <c r="O3802" i="13" l="1"/>
  <c r="N3802" i="13" s="1"/>
  <c r="O3803" i="13" l="1"/>
  <c r="N3803" i="13" s="1"/>
  <c r="O3804" i="13" l="1"/>
  <c r="N3804" i="13" s="1"/>
  <c r="O3805" i="13" l="1"/>
  <c r="N3805" i="13" s="1"/>
  <c r="O3806" i="13" l="1"/>
  <c r="N3806" i="13" s="1"/>
  <c r="O3807" i="13" l="1"/>
  <c r="N3807" i="13" s="1"/>
  <c r="O3808" i="13" l="1"/>
  <c r="N3808" i="13" s="1"/>
  <c r="O3809" i="13" l="1"/>
  <c r="N3809" i="13" s="1"/>
  <c r="O3810" i="13" l="1"/>
  <c r="N3810" i="13" s="1"/>
  <c r="O3811" i="13" l="1"/>
  <c r="N3811" i="13" s="1"/>
  <c r="O3812" i="13" l="1"/>
  <c r="N3812" i="13" s="1"/>
  <c r="O3813" i="13" l="1"/>
  <c r="N3813" i="13" s="1"/>
  <c r="O3814" i="13" l="1"/>
  <c r="N3814" i="13" s="1"/>
  <c r="O3815" i="13" l="1"/>
  <c r="N3815" i="13" s="1"/>
  <c r="O3816" i="13" l="1"/>
  <c r="N3816" i="13" s="1"/>
  <c r="O3817" i="13" l="1"/>
  <c r="N3817" i="13" s="1"/>
  <c r="O3818" i="13" l="1"/>
  <c r="N3818" i="13" s="1"/>
  <c r="O3819" i="13" l="1"/>
  <c r="N3819" i="13" s="1"/>
  <c r="O3820" i="13" l="1"/>
  <c r="N3820" i="13" s="1"/>
  <c r="O3821" i="13" l="1"/>
  <c r="N3821" i="13" s="1"/>
  <c r="O3822" i="13" l="1"/>
  <c r="N3822" i="13" s="1"/>
  <c r="O3823" i="13" l="1"/>
  <c r="N3823" i="13" s="1"/>
  <c r="O3824" i="13" l="1"/>
  <c r="N3824" i="13" s="1"/>
  <c r="O3825" i="13" l="1"/>
  <c r="N3825" i="13" s="1"/>
  <c r="O3826" i="13" l="1"/>
  <c r="N3826" i="13" s="1"/>
  <c r="O3827" i="13" l="1"/>
  <c r="N3827" i="13" s="1"/>
  <c r="O3828" i="13" l="1"/>
  <c r="N3828" i="13" s="1"/>
  <c r="O3829" i="13" l="1"/>
  <c r="N3829" i="13" s="1"/>
  <c r="O3830" i="13" l="1"/>
  <c r="N3830" i="13" s="1"/>
  <c r="O3831" i="13" l="1"/>
  <c r="N3831" i="13" s="1"/>
  <c r="O3832" i="13" l="1"/>
  <c r="N3832" i="13" s="1"/>
  <c r="O3833" i="13" l="1"/>
  <c r="N3833" i="13" s="1"/>
  <c r="O3834" i="13" l="1"/>
  <c r="N3834" i="13" s="1"/>
  <c r="O3835" i="13" l="1"/>
  <c r="N3835" i="13" s="1"/>
  <c r="O3836" i="13" l="1"/>
  <c r="N3836" i="13" s="1"/>
  <c r="O3837" i="13" l="1"/>
  <c r="N3837" i="13" s="1"/>
  <c r="O3838" i="13" l="1"/>
  <c r="N3838" i="13" s="1"/>
  <c r="O3839" i="13" l="1"/>
  <c r="N3839" i="13" s="1"/>
  <c r="O3840" i="13" l="1"/>
  <c r="N3840" i="13" s="1"/>
  <c r="O3841" i="13" l="1"/>
  <c r="N3841" i="13" s="1"/>
  <c r="O3842" i="13" l="1"/>
  <c r="N3842" i="13" s="1"/>
  <c r="O3843" i="13" l="1"/>
  <c r="N3843" i="13" s="1"/>
  <c r="O3844" i="13" l="1"/>
  <c r="N3844" i="13" s="1"/>
  <c r="O3845" i="13" l="1"/>
  <c r="N3845" i="13" s="1"/>
  <c r="O3846" i="13" l="1"/>
  <c r="N3846" i="13" s="1"/>
  <c r="O3847" i="13" l="1"/>
  <c r="N3847" i="13" s="1"/>
  <c r="O3848" i="13" l="1"/>
  <c r="N3848" i="13" s="1"/>
  <c r="O3849" i="13" l="1"/>
  <c r="N3849" i="13" s="1"/>
  <c r="O3850" i="13" l="1"/>
  <c r="N3850" i="13" s="1"/>
  <c r="O3851" i="13" l="1"/>
  <c r="N3851" i="13" s="1"/>
  <c r="O3852" i="13" l="1"/>
  <c r="N3852" i="13" s="1"/>
  <c r="O3853" i="13" l="1"/>
  <c r="N3853" i="13" s="1"/>
  <c r="O3854" i="13" l="1"/>
  <c r="N3854" i="13" s="1"/>
  <c r="O3855" i="13" l="1"/>
  <c r="N3855" i="13" s="1"/>
  <c r="O3856" i="13" l="1"/>
  <c r="N3856" i="13" s="1"/>
  <c r="O3857" i="13" l="1"/>
  <c r="N3857" i="13" s="1"/>
  <c r="O3858" i="13" l="1"/>
  <c r="N3858" i="13" s="1"/>
  <c r="O3859" i="13" l="1"/>
  <c r="N3859" i="13" s="1"/>
  <c r="O3860" i="13" l="1"/>
  <c r="N3860" i="13" s="1"/>
  <c r="O3861" i="13" l="1"/>
  <c r="N3861" i="13" s="1"/>
  <c r="O3862" i="13" l="1"/>
  <c r="N3862" i="13" s="1"/>
  <c r="O3863" i="13" l="1"/>
  <c r="N3863" i="13" s="1"/>
  <c r="O3864" i="13" l="1"/>
  <c r="N3864" i="13" s="1"/>
  <c r="O3865" i="13" l="1"/>
  <c r="N3865" i="13" s="1"/>
  <c r="O3866" i="13" l="1"/>
  <c r="N3866" i="13" s="1"/>
  <c r="O3867" i="13" l="1"/>
  <c r="N3867" i="13" s="1"/>
  <c r="O3868" i="13" l="1"/>
  <c r="N3868" i="13" s="1"/>
  <c r="O3869" i="13" l="1"/>
  <c r="N3869" i="13" s="1"/>
  <c r="O3870" i="13" l="1"/>
  <c r="N3870" i="13" s="1"/>
  <c r="O3871" i="13" l="1"/>
  <c r="N3871" i="13" s="1"/>
  <c r="O3872" i="13" l="1"/>
  <c r="N3872" i="13" s="1"/>
  <c r="O3873" i="13" l="1"/>
  <c r="N3873" i="13" s="1"/>
  <c r="O3874" i="13" l="1"/>
  <c r="N3874" i="13" s="1"/>
  <c r="O3875" i="13" l="1"/>
  <c r="N3875" i="13" s="1"/>
  <c r="O3876" i="13" l="1"/>
  <c r="N3876" i="13" s="1"/>
  <c r="O3877" i="13" l="1"/>
  <c r="N3877" i="13" s="1"/>
  <c r="O3878" i="13" l="1"/>
  <c r="N3878" i="13" s="1"/>
  <c r="O3879" i="13" l="1"/>
  <c r="N3879" i="13" s="1"/>
  <c r="O3880" i="13" l="1"/>
  <c r="N3880" i="13" s="1"/>
  <c r="O3881" i="13" l="1"/>
  <c r="N3881" i="13" s="1"/>
  <c r="O3882" i="13" l="1"/>
  <c r="N3882" i="13" s="1"/>
  <c r="O3883" i="13" l="1"/>
  <c r="N3883" i="13" s="1"/>
  <c r="O3884" i="13" l="1"/>
  <c r="N3884" i="13" s="1"/>
  <c r="O3885" i="13" l="1"/>
  <c r="N3885" i="13" s="1"/>
  <c r="O3886" i="13" l="1"/>
  <c r="N3886" i="13" s="1"/>
  <c r="O3887" i="13" l="1"/>
  <c r="N3887" i="13" s="1"/>
  <c r="O3888" i="13" l="1"/>
  <c r="N3888" i="13" s="1"/>
  <c r="O3889" i="13" l="1"/>
  <c r="N3889" i="13" s="1"/>
  <c r="O3890" i="13" l="1"/>
  <c r="N3890" i="13" s="1"/>
  <c r="O3891" i="13" l="1"/>
  <c r="N3891" i="13" s="1"/>
  <c r="O3892" i="13" l="1"/>
  <c r="N3892" i="13" s="1"/>
  <c r="O3893" i="13" l="1"/>
  <c r="N3893" i="13" s="1"/>
  <c r="O3894" i="13" l="1"/>
  <c r="N3894" i="13" s="1"/>
  <c r="O3895" i="13" l="1"/>
  <c r="N3895" i="13" s="1"/>
  <c r="O3896" i="13" l="1"/>
  <c r="N3896" i="13" s="1"/>
  <c r="O3897" i="13" l="1"/>
  <c r="N3897" i="13" s="1"/>
  <c r="O3898" i="13" l="1"/>
  <c r="N3898" i="13" s="1"/>
  <c r="O3899" i="13" l="1"/>
  <c r="N3899" i="13" s="1"/>
  <c r="O3900" i="13" l="1"/>
  <c r="N3900" i="13" s="1"/>
  <c r="O3901" i="13" l="1"/>
  <c r="N3901" i="13" s="1"/>
  <c r="O3902" i="13" l="1"/>
  <c r="N3902" i="13" s="1"/>
  <c r="O3903" i="13" l="1"/>
  <c r="N3903" i="13" s="1"/>
  <c r="O3904" i="13" l="1"/>
  <c r="N3904" i="13" s="1"/>
  <c r="O3905" i="13" l="1"/>
  <c r="N3905" i="13" s="1"/>
  <c r="O3906" i="13" l="1"/>
  <c r="N3906" i="13" s="1"/>
  <c r="O3907" i="13" l="1"/>
  <c r="N3907" i="13" s="1"/>
  <c r="O3908" i="13" l="1"/>
  <c r="N3908" i="13" s="1"/>
  <c r="O3909" i="13" l="1"/>
  <c r="N3909" i="13" s="1"/>
  <c r="O3910" i="13" l="1"/>
  <c r="N3910" i="13" s="1"/>
  <c r="O3911" i="13" l="1"/>
  <c r="N3911" i="13" s="1"/>
  <c r="O3912" i="13" l="1"/>
  <c r="N3912" i="13" s="1"/>
  <c r="O3913" i="13" l="1"/>
  <c r="N3913" i="13" s="1"/>
  <c r="O3914" i="13" l="1"/>
  <c r="N3914" i="13" s="1"/>
  <c r="O3915" i="13" l="1"/>
  <c r="N3915" i="13" s="1"/>
  <c r="O3916" i="13" l="1"/>
  <c r="N3916" i="13" s="1"/>
  <c r="O3917" i="13" l="1"/>
  <c r="N3917" i="13" s="1"/>
  <c r="O3918" i="13" l="1"/>
  <c r="N3918" i="13" s="1"/>
  <c r="O3919" i="13" l="1"/>
  <c r="N3919" i="13" s="1"/>
  <c r="O3920" i="13" l="1"/>
  <c r="N3920" i="13" s="1"/>
  <c r="O3921" i="13" l="1"/>
  <c r="N3921" i="13" s="1"/>
  <c r="O3922" i="13" l="1"/>
  <c r="N3922" i="13" s="1"/>
  <c r="O3923" i="13" l="1"/>
  <c r="N3923" i="13" s="1"/>
  <c r="O3924" i="13" l="1"/>
  <c r="N3924" i="13" s="1"/>
  <c r="O3925" i="13" l="1"/>
  <c r="N3925" i="13" s="1"/>
  <c r="O3926" i="13" l="1"/>
  <c r="N3926" i="13" s="1"/>
  <c r="O3927" i="13" l="1"/>
  <c r="N3927" i="13" s="1"/>
  <c r="O3928" i="13" l="1"/>
  <c r="N3928" i="13" s="1"/>
  <c r="O3929" i="13" l="1"/>
  <c r="N3929" i="13" s="1"/>
  <c r="O3930" i="13" l="1"/>
  <c r="N3930" i="13" s="1"/>
  <c r="O3931" i="13" l="1"/>
  <c r="N3931" i="13" s="1"/>
  <c r="O3932" i="13" l="1"/>
  <c r="N3932" i="13" s="1"/>
  <c r="O3933" i="13" l="1"/>
  <c r="N3933" i="13" s="1"/>
  <c r="O3934" i="13" l="1"/>
  <c r="N3934" i="13" s="1"/>
  <c r="O3935" i="13" l="1"/>
  <c r="N3935" i="13" s="1"/>
  <c r="O3936" i="13" l="1"/>
  <c r="N3936" i="13" s="1"/>
  <c r="O3937" i="13" l="1"/>
  <c r="N3937" i="13" s="1"/>
  <c r="O3938" i="13" l="1"/>
  <c r="N3938" i="13" s="1"/>
  <c r="O3939" i="13" l="1"/>
  <c r="N3939" i="13" s="1"/>
  <c r="O3940" i="13" l="1"/>
  <c r="N3940" i="13" s="1"/>
  <c r="O3941" i="13" l="1"/>
  <c r="N3941" i="13" s="1"/>
  <c r="O3942" i="13" l="1"/>
  <c r="N3942" i="13" s="1"/>
  <c r="O3943" i="13" l="1"/>
  <c r="N3943" i="13" s="1"/>
  <c r="O3944" i="13" l="1"/>
  <c r="N3944" i="13" s="1"/>
  <c r="O3945" i="13" l="1"/>
  <c r="N3945" i="13" s="1"/>
  <c r="O3946" i="13" l="1"/>
  <c r="N3946" i="13" s="1"/>
  <c r="O3947" i="13" l="1"/>
  <c r="N3947" i="13" s="1"/>
  <c r="O3948" i="13" l="1"/>
  <c r="N3948" i="13" s="1"/>
  <c r="O3949" i="13" l="1"/>
  <c r="N3949" i="13" s="1"/>
  <c r="O3950" i="13" l="1"/>
  <c r="N3950" i="13" s="1"/>
  <c r="O3951" i="13" l="1"/>
  <c r="N3951" i="13" s="1"/>
  <c r="O3952" i="13" l="1"/>
  <c r="N3952" i="13" s="1"/>
  <c r="O3953" i="13" l="1"/>
  <c r="N3953" i="13" s="1"/>
  <c r="O3954" i="13" l="1"/>
  <c r="N3954" i="13" s="1"/>
  <c r="O3955" i="13" l="1"/>
  <c r="N3955" i="13" s="1"/>
  <c r="O3956" i="13" l="1"/>
  <c r="N3956" i="13" s="1"/>
  <c r="O3957" i="13" l="1"/>
  <c r="N3957" i="13" s="1"/>
  <c r="O3958" i="13" l="1"/>
  <c r="N3958" i="13" s="1"/>
  <c r="O3959" i="13" l="1"/>
  <c r="N3959" i="13" s="1"/>
  <c r="O3960" i="13" l="1"/>
  <c r="N3960" i="13" s="1"/>
  <c r="O3961" i="13" l="1"/>
  <c r="N3961" i="13" s="1"/>
  <c r="O3962" i="13" l="1"/>
  <c r="N3962" i="13" s="1"/>
  <c r="O3963" i="13" l="1"/>
  <c r="N3963" i="13" s="1"/>
  <c r="O3964" i="13" l="1"/>
  <c r="N3964" i="13" s="1"/>
  <c r="O3965" i="13" l="1"/>
  <c r="N3965" i="13" s="1"/>
  <c r="O3966" i="13" l="1"/>
  <c r="N3966" i="13" s="1"/>
  <c r="O3967" i="13" l="1"/>
  <c r="N3967" i="13" s="1"/>
  <c r="O3968" i="13" l="1"/>
  <c r="N3968" i="13" s="1"/>
  <c r="O3969" i="13" l="1"/>
  <c r="N3969" i="13" s="1"/>
  <c r="O3970" i="13" l="1"/>
  <c r="N3970" i="13" s="1"/>
  <c r="O3971" i="13" l="1"/>
  <c r="N3971" i="13" s="1"/>
  <c r="O3972" i="13" l="1"/>
  <c r="N3972" i="13" s="1"/>
  <c r="O3973" i="13" l="1"/>
  <c r="N3973" i="13" s="1"/>
  <c r="O3974" i="13" l="1"/>
  <c r="N3974" i="13" s="1"/>
  <c r="O3975" i="13" l="1"/>
  <c r="N3975" i="13" s="1"/>
  <c r="O3976" i="13" l="1"/>
  <c r="N3976" i="13" s="1"/>
  <c r="O3977" i="13" l="1"/>
  <c r="N3977" i="13" s="1"/>
  <c r="O3978" i="13" l="1"/>
  <c r="N3978" i="13" s="1"/>
  <c r="O3979" i="13" l="1"/>
  <c r="N3979" i="13" s="1"/>
  <c r="O3980" i="13" l="1"/>
  <c r="N3980" i="13" s="1"/>
  <c r="O3981" i="13" l="1"/>
  <c r="N3981" i="13" s="1"/>
  <c r="O3982" i="13" l="1"/>
  <c r="N3982" i="13" s="1"/>
  <c r="O3983" i="13" l="1"/>
  <c r="N3983" i="13" s="1"/>
  <c r="O3984" i="13" l="1"/>
  <c r="N3984" i="13" s="1"/>
  <c r="O3985" i="13" l="1"/>
  <c r="N3985" i="13" s="1"/>
  <c r="O3986" i="13" l="1"/>
  <c r="N3986" i="13" s="1"/>
  <c r="O3987" i="13" l="1"/>
  <c r="N3987" i="13" s="1"/>
  <c r="O3988" i="13" l="1"/>
  <c r="N3988" i="13" s="1"/>
  <c r="O3989" i="13" l="1"/>
  <c r="N3989" i="13" s="1"/>
  <c r="O3990" i="13" l="1"/>
  <c r="N3990" i="13" s="1"/>
  <c r="O3991" i="13" l="1"/>
  <c r="N3991" i="13" s="1"/>
  <c r="O3992" i="13" l="1"/>
  <c r="N3992" i="13" s="1"/>
  <c r="O3993" i="13" l="1"/>
  <c r="N3993" i="13" s="1"/>
  <c r="O3994" i="13" l="1"/>
  <c r="N3994" i="13" s="1"/>
  <c r="O3995" i="13" l="1"/>
  <c r="N3995" i="13" s="1"/>
  <c r="O3996" i="13" l="1"/>
  <c r="N3996" i="13" s="1"/>
  <c r="O3997" i="13" l="1"/>
  <c r="N3997" i="13" s="1"/>
  <c r="O3998" i="13" l="1"/>
  <c r="N3998" i="13" s="1"/>
  <c r="O3999" i="13" l="1"/>
  <c r="N3999" i="13" s="1"/>
  <c r="O4000" i="13" l="1"/>
  <c r="N4000" i="13" s="1"/>
  <c r="O4001" i="13" l="1"/>
  <c r="N4001" i="13" s="1"/>
  <c r="O4002" i="13" l="1"/>
  <c r="N4002" i="13" s="1"/>
  <c r="O4003" i="13" l="1"/>
  <c r="N4003" i="13" s="1"/>
  <c r="O4004" i="13" l="1"/>
  <c r="N4004" i="13" s="1"/>
  <c r="O4005" i="13" l="1"/>
  <c r="N4005" i="13" s="1"/>
  <c r="O4006" i="13" l="1"/>
  <c r="N4006" i="13" s="1"/>
  <c r="O4007" i="13" l="1"/>
  <c r="N4007" i="13" s="1"/>
  <c r="O4008" i="13" l="1"/>
  <c r="N4008" i="13" s="1"/>
  <c r="O4009" i="13" l="1"/>
  <c r="N4009" i="13" s="1"/>
  <c r="O4010" i="13" l="1"/>
  <c r="N4010" i="13" s="1"/>
  <c r="O4011" i="13" l="1"/>
  <c r="N4011" i="13" s="1"/>
  <c r="O4012" i="13" l="1"/>
  <c r="N4012" i="13" s="1"/>
  <c r="O4013" i="13" l="1"/>
  <c r="N4013" i="13" s="1"/>
  <c r="O4014" i="13" l="1"/>
  <c r="N4014" i="13" s="1"/>
  <c r="O4015" i="13" l="1"/>
  <c r="N4015" i="13" s="1"/>
  <c r="O4016" i="13" l="1"/>
  <c r="N4016" i="13" s="1"/>
  <c r="O4017" i="13" l="1"/>
  <c r="N4017" i="13" s="1"/>
  <c r="O4018" i="13" l="1"/>
  <c r="N4018" i="13" s="1"/>
  <c r="O4019" i="13" l="1"/>
  <c r="N4019" i="13" s="1"/>
  <c r="O4020" i="13" l="1"/>
  <c r="N4020" i="13" s="1"/>
  <c r="O4021" i="13" l="1"/>
  <c r="N4021" i="13" s="1"/>
  <c r="O4022" i="13" l="1"/>
  <c r="N4022" i="13" s="1"/>
  <c r="O4023" i="13" l="1"/>
  <c r="N4023" i="13" s="1"/>
  <c r="O4024" i="13" l="1"/>
  <c r="N4024" i="13" s="1"/>
  <c r="O4025" i="13" l="1"/>
  <c r="N4025" i="13" s="1"/>
  <c r="O4026" i="13" l="1"/>
  <c r="N4026" i="13" s="1"/>
  <c r="O4027" i="13" l="1"/>
  <c r="N4027" i="13" s="1"/>
  <c r="O4028" i="13" l="1"/>
  <c r="N4028" i="13" s="1"/>
  <c r="O4029" i="13" l="1"/>
  <c r="N4029" i="13" s="1"/>
  <c r="O4030" i="13" l="1"/>
  <c r="N4030" i="13" s="1"/>
  <c r="O4031" i="13" l="1"/>
  <c r="N4031" i="13" s="1"/>
  <c r="O4032" i="13" l="1"/>
  <c r="N4032" i="13" s="1"/>
  <c r="O4033" i="13" l="1"/>
  <c r="N4033" i="13" s="1"/>
  <c r="O4034" i="13" l="1"/>
  <c r="N4034" i="13" s="1"/>
  <c r="O4035" i="13" l="1"/>
  <c r="N4035" i="13" s="1"/>
  <c r="O4036" i="13" l="1"/>
  <c r="N4036" i="13" s="1"/>
  <c r="O4037" i="13" l="1"/>
  <c r="N4037" i="13" s="1"/>
  <c r="O4038" i="13" l="1"/>
  <c r="N4038" i="13" s="1"/>
  <c r="O4039" i="13" l="1"/>
  <c r="N4039" i="13" s="1"/>
  <c r="O4040" i="13" l="1"/>
  <c r="N4040" i="13" s="1"/>
  <c r="O4041" i="13" l="1"/>
  <c r="N4041" i="13" s="1"/>
  <c r="O4042" i="13" l="1"/>
  <c r="N4042" i="13" s="1"/>
  <c r="O4043" i="13" l="1"/>
  <c r="N4043" i="13" s="1"/>
  <c r="O4044" i="13" l="1"/>
  <c r="N4044" i="13" s="1"/>
  <c r="O4045" i="13" l="1"/>
  <c r="N4045" i="13" s="1"/>
  <c r="O4046" i="13" l="1"/>
  <c r="N4046" i="13" s="1"/>
  <c r="O4047" i="13" l="1"/>
  <c r="N4047" i="13" s="1"/>
  <c r="O4048" i="13" l="1"/>
  <c r="N4048" i="13" s="1"/>
  <c r="O4049" i="13" l="1"/>
  <c r="N4049" i="13" s="1"/>
  <c r="O4050" i="13" l="1"/>
  <c r="N4050" i="13" s="1"/>
  <c r="O4051" i="13" l="1"/>
  <c r="N4051" i="13" s="1"/>
  <c r="O4052" i="13" l="1"/>
  <c r="N4052" i="13" s="1"/>
  <c r="O4053" i="13" l="1"/>
  <c r="N4053" i="13" s="1"/>
  <c r="O4054" i="13" l="1"/>
  <c r="N4054" i="13" s="1"/>
  <c r="O4055" i="13" l="1"/>
  <c r="N4055" i="13" s="1"/>
  <c r="O4056" i="13" l="1"/>
  <c r="N4056" i="13" s="1"/>
  <c r="O4057" i="13" l="1"/>
  <c r="N4057" i="13" s="1"/>
  <c r="O4058" i="13" l="1"/>
  <c r="N4058" i="13" s="1"/>
  <c r="O4059" i="13" l="1"/>
  <c r="N4059" i="13" s="1"/>
  <c r="O4060" i="13" l="1"/>
  <c r="N4060" i="13" s="1"/>
  <c r="O4061" i="13" l="1"/>
  <c r="N4061" i="13" s="1"/>
  <c r="O4062" i="13" l="1"/>
  <c r="N4062" i="13" s="1"/>
  <c r="O4063" i="13" l="1"/>
  <c r="N4063" i="13" s="1"/>
  <c r="O4064" i="13" l="1"/>
  <c r="N4064" i="13" s="1"/>
  <c r="O4065" i="13" l="1"/>
  <c r="N4065" i="13" s="1"/>
  <c r="O4066" i="13" l="1"/>
  <c r="N4066" i="13" s="1"/>
  <c r="O4067" i="13" l="1"/>
  <c r="N4067" i="13" s="1"/>
  <c r="O4068" i="13" l="1"/>
  <c r="N4068" i="13" s="1"/>
  <c r="O4069" i="13" l="1"/>
  <c r="N4069" i="13" s="1"/>
  <c r="O4070" i="13" l="1"/>
  <c r="N4070" i="13" s="1"/>
  <c r="O4071" i="13" l="1"/>
  <c r="N4071" i="13" s="1"/>
  <c r="O4072" i="13" l="1"/>
  <c r="N4072" i="13" s="1"/>
  <c r="O4073" i="13" l="1"/>
  <c r="N4073" i="13" s="1"/>
  <c r="O4074" i="13" l="1"/>
  <c r="N4074" i="13" s="1"/>
  <c r="O4075" i="13" l="1"/>
  <c r="N4075" i="13" s="1"/>
  <c r="O4076" i="13" l="1"/>
  <c r="N4076" i="13" s="1"/>
  <c r="O4077" i="13" l="1"/>
  <c r="N4077" i="13" s="1"/>
  <c r="O4078" i="13" l="1"/>
  <c r="N4078" i="13" s="1"/>
  <c r="O4079" i="13" l="1"/>
  <c r="N4079" i="13" s="1"/>
  <c r="O4080" i="13" l="1"/>
  <c r="N4080" i="13" s="1"/>
  <c r="O4081" i="13" l="1"/>
  <c r="N4081" i="13" s="1"/>
  <c r="O4082" i="13" l="1"/>
  <c r="N4082" i="13" s="1"/>
  <c r="O4083" i="13" l="1"/>
  <c r="N4083" i="13" s="1"/>
  <c r="O4084" i="13" l="1"/>
  <c r="N4084" i="13" s="1"/>
  <c r="O4085" i="13" l="1"/>
  <c r="N4085" i="13" s="1"/>
  <c r="O4086" i="13" l="1"/>
  <c r="N4086" i="13" s="1"/>
  <c r="O4087" i="13" l="1"/>
  <c r="N4087" i="13" s="1"/>
  <c r="O4088" i="13" l="1"/>
  <c r="N4088" i="13" s="1"/>
  <c r="O4089" i="13" l="1"/>
  <c r="N4089" i="13" s="1"/>
  <c r="O4090" i="13" l="1"/>
  <c r="N4090" i="13" s="1"/>
  <c r="O4091" i="13" l="1"/>
  <c r="N4091" i="13" s="1"/>
  <c r="O4092" i="13" l="1"/>
  <c r="N4092" i="13" s="1"/>
  <c r="O4093" i="13" l="1"/>
  <c r="N4093" i="13" s="1"/>
  <c r="O4094" i="13" l="1"/>
  <c r="N4094" i="13" s="1"/>
  <c r="O4095" i="13" l="1"/>
  <c r="N4095" i="13" s="1"/>
  <c r="O4096" i="13" l="1"/>
  <c r="N4096" i="13" s="1"/>
  <c r="O4097" i="13" l="1"/>
  <c r="N4097" i="13" s="1"/>
  <c r="O4098" i="13" l="1"/>
  <c r="N4098" i="13" s="1"/>
  <c r="O4099" i="13" l="1"/>
  <c r="N4099" i="13" s="1"/>
  <c r="O4100" i="13" l="1"/>
  <c r="N4100" i="13" s="1"/>
  <c r="O4101" i="13" l="1"/>
  <c r="N4101" i="13" s="1"/>
  <c r="O4102" i="13" l="1"/>
  <c r="N4102" i="13" s="1"/>
  <c r="O4103" i="13" l="1"/>
  <c r="N4103" i="13" s="1"/>
  <c r="O4104" i="13" l="1"/>
  <c r="N4104" i="13" s="1"/>
  <c r="O4105" i="13" l="1"/>
  <c r="N4105" i="13" s="1"/>
  <c r="O4106" i="13" l="1"/>
  <c r="N4106" i="13" s="1"/>
  <c r="O4107" i="13" l="1"/>
  <c r="N4107" i="13" s="1"/>
  <c r="O4108" i="13" l="1"/>
  <c r="N4108" i="13" s="1"/>
  <c r="O4109" i="13" l="1"/>
  <c r="N4109" i="13" s="1"/>
  <c r="O4110" i="13" l="1"/>
  <c r="N4110" i="13" s="1"/>
  <c r="O4111" i="13" l="1"/>
  <c r="N4111" i="13" s="1"/>
  <c r="O4112" i="13" l="1"/>
  <c r="N4112" i="13" s="1"/>
  <c r="O4113" i="13" l="1"/>
  <c r="N4113" i="13" s="1"/>
  <c r="O4114" i="13" l="1"/>
  <c r="N4114" i="13" s="1"/>
  <c r="O4115" i="13" l="1"/>
  <c r="N4115" i="13" s="1"/>
  <c r="O4116" i="13" l="1"/>
  <c r="N4116" i="13" s="1"/>
  <c r="O4117" i="13" l="1"/>
  <c r="N4117" i="13" s="1"/>
  <c r="O4118" i="13" l="1"/>
  <c r="N4118" i="13" s="1"/>
  <c r="O4119" i="13" l="1"/>
  <c r="N4119" i="13" s="1"/>
  <c r="O4120" i="13" l="1"/>
  <c r="N4120" i="13" s="1"/>
  <c r="O4121" i="13" l="1"/>
  <c r="N4121" i="13" s="1"/>
  <c r="O4122" i="13" l="1"/>
  <c r="N4122" i="13" s="1"/>
  <c r="O4123" i="13" l="1"/>
  <c r="N4123" i="13" s="1"/>
  <c r="O4124" i="13" l="1"/>
  <c r="N4124" i="13" s="1"/>
  <c r="O4125" i="13" l="1"/>
  <c r="N4125" i="13" s="1"/>
  <c r="O4126" i="13" l="1"/>
  <c r="N4126" i="13" s="1"/>
  <c r="O4127" i="13" l="1"/>
  <c r="N4127" i="13" s="1"/>
  <c r="O4128" i="13" l="1"/>
  <c r="N4128" i="13" s="1"/>
  <c r="O4129" i="13" l="1"/>
  <c r="N4129" i="13" s="1"/>
  <c r="O4130" i="13" l="1"/>
  <c r="N4130" i="13" s="1"/>
  <c r="O4131" i="13" l="1"/>
  <c r="N4131" i="13" s="1"/>
  <c r="O4132" i="13" l="1"/>
  <c r="N4132" i="13" s="1"/>
  <c r="O4133" i="13" l="1"/>
  <c r="N4133" i="13" s="1"/>
  <c r="O4134" i="13" l="1"/>
  <c r="N4134" i="13" s="1"/>
  <c r="O4135" i="13" l="1"/>
  <c r="N4135" i="13" s="1"/>
  <c r="O4136" i="13" l="1"/>
  <c r="N4136" i="13" s="1"/>
  <c r="O4137" i="13" l="1"/>
  <c r="N4137" i="13" s="1"/>
  <c r="O4138" i="13" l="1"/>
  <c r="N4138" i="13" s="1"/>
  <c r="O4139" i="13" l="1"/>
  <c r="N4139" i="13" s="1"/>
  <c r="O4140" i="13" l="1"/>
  <c r="N4140" i="13" s="1"/>
  <c r="O4141" i="13" l="1"/>
  <c r="N4141" i="13" s="1"/>
  <c r="O4142" i="13" l="1"/>
  <c r="N4142" i="13" s="1"/>
  <c r="O4143" i="13" l="1"/>
  <c r="N4143" i="13" s="1"/>
  <c r="O4144" i="13" l="1"/>
  <c r="N4144" i="13" s="1"/>
  <c r="O4145" i="13" l="1"/>
  <c r="N4145" i="13" s="1"/>
  <c r="O4146" i="13" l="1"/>
  <c r="N4146" i="13" s="1"/>
  <c r="O4147" i="13" l="1"/>
  <c r="N4147" i="13" s="1"/>
  <c r="O4148" i="13" l="1"/>
  <c r="N4148" i="13" s="1"/>
  <c r="O4149" i="13" l="1"/>
  <c r="N4149" i="13" s="1"/>
  <c r="O4150" i="13" l="1"/>
  <c r="N4150" i="13" s="1"/>
  <c r="O4151" i="13" l="1"/>
  <c r="N4151" i="13" s="1"/>
  <c r="O4152" i="13" l="1"/>
  <c r="N4152" i="13" s="1"/>
  <c r="O4153" i="13" l="1"/>
  <c r="N4153" i="13" s="1"/>
  <c r="O4154" i="13" l="1"/>
  <c r="N4154" i="13" s="1"/>
  <c r="O4155" i="13" l="1"/>
  <c r="N4155" i="13" s="1"/>
  <c r="O4156" i="13" l="1"/>
  <c r="N4156" i="13" s="1"/>
  <c r="O4157" i="13" l="1"/>
  <c r="N4157" i="13" s="1"/>
  <c r="O4158" i="13" l="1"/>
  <c r="N4158" i="13" s="1"/>
  <c r="O4159" i="13" l="1"/>
  <c r="N4159" i="13" s="1"/>
  <c r="O4160" i="13" l="1"/>
  <c r="N4160" i="13" s="1"/>
  <c r="O4161" i="13" l="1"/>
  <c r="N4161" i="13" s="1"/>
  <c r="O4162" i="13" l="1"/>
  <c r="N4162" i="13" s="1"/>
  <c r="O4163" i="13" l="1"/>
  <c r="N4163" i="13" s="1"/>
  <c r="O4164" i="13" l="1"/>
  <c r="N4164" i="13" s="1"/>
  <c r="O4165" i="13" l="1"/>
  <c r="N4165" i="13" s="1"/>
  <c r="O4166" i="13" l="1"/>
  <c r="N4166" i="13" s="1"/>
  <c r="O4167" i="13" l="1"/>
  <c r="N4167" i="13" s="1"/>
  <c r="O4168" i="13" l="1"/>
  <c r="N4168" i="13" s="1"/>
  <c r="O4169" i="13" l="1"/>
  <c r="N4169" i="13" s="1"/>
  <c r="O4170" i="13" l="1"/>
  <c r="N4170" i="13" s="1"/>
  <c r="O4171" i="13" l="1"/>
  <c r="N4171" i="13" s="1"/>
  <c r="O4172" i="13" l="1"/>
  <c r="N4172" i="13" s="1"/>
  <c r="O4173" i="13" l="1"/>
  <c r="N4173" i="13" s="1"/>
  <c r="O4174" i="13" l="1"/>
  <c r="N4174" i="13" s="1"/>
  <c r="O4175" i="13" l="1"/>
  <c r="N4175" i="13" s="1"/>
  <c r="O4176" i="13" l="1"/>
  <c r="N4176" i="13" s="1"/>
  <c r="O4177" i="13" l="1"/>
  <c r="N4177" i="13" s="1"/>
  <c r="O4178" i="13" l="1"/>
  <c r="N4178" i="13" s="1"/>
  <c r="O4179" i="13" l="1"/>
  <c r="N4179" i="13" s="1"/>
  <c r="O4180" i="13" l="1"/>
  <c r="N4180" i="13" s="1"/>
  <c r="O4181" i="13" l="1"/>
  <c r="N4181" i="13" s="1"/>
  <c r="O4182" i="13" l="1"/>
  <c r="N4182" i="13" s="1"/>
  <c r="O4183" i="13" l="1"/>
  <c r="N4183" i="13" s="1"/>
  <c r="O4184" i="13" l="1"/>
  <c r="N4184" i="13" s="1"/>
  <c r="O4185" i="13" l="1"/>
  <c r="N4185" i="13" s="1"/>
  <c r="O4186" i="13" l="1"/>
  <c r="N4186" i="13" s="1"/>
  <c r="O4187" i="13" l="1"/>
  <c r="N4187" i="13" s="1"/>
  <c r="O4188" i="13" l="1"/>
  <c r="N4188" i="13" s="1"/>
  <c r="O4189" i="13" l="1"/>
  <c r="N4189" i="13" s="1"/>
  <c r="O4190" i="13" l="1"/>
  <c r="N4190" i="13" s="1"/>
  <c r="O4191" i="13" l="1"/>
  <c r="N4191" i="13" s="1"/>
  <c r="O4192" i="13" l="1"/>
  <c r="N4192" i="13" s="1"/>
  <c r="O4193" i="13" l="1"/>
  <c r="N4193" i="13" s="1"/>
  <c r="O4194" i="13" l="1"/>
  <c r="N4194" i="13" s="1"/>
  <c r="O4195" i="13" l="1"/>
  <c r="N4195" i="13" s="1"/>
  <c r="O4196" i="13" l="1"/>
  <c r="N4196" i="13" s="1"/>
  <c r="O4197" i="13" l="1"/>
  <c r="N4197" i="13" s="1"/>
  <c r="O4198" i="13" l="1"/>
  <c r="N4198" i="13" s="1"/>
  <c r="O4199" i="13" l="1"/>
  <c r="N4199" i="13" s="1"/>
  <c r="O4200" i="13" l="1"/>
  <c r="N4200" i="13" s="1"/>
  <c r="O4201" i="13" l="1"/>
  <c r="N4201" i="13" s="1"/>
  <c r="O4202" i="13" l="1"/>
  <c r="N4202" i="13" s="1"/>
  <c r="O4203" i="13" l="1"/>
  <c r="N4203" i="13" s="1"/>
  <c r="O4204" i="13" l="1"/>
  <c r="N4204" i="13" s="1"/>
  <c r="O4205" i="13" l="1"/>
  <c r="N4205" i="13" s="1"/>
  <c r="O4206" i="13" l="1"/>
  <c r="N4206" i="13" s="1"/>
  <c r="O4207" i="13" l="1"/>
  <c r="N4207" i="13" s="1"/>
  <c r="O4208" i="13" l="1"/>
  <c r="N4208" i="13" s="1"/>
  <c r="O4209" i="13" l="1"/>
  <c r="N4209" i="13" s="1"/>
  <c r="O4210" i="13" l="1"/>
  <c r="N4210" i="13" s="1"/>
  <c r="O4211" i="13" l="1"/>
  <c r="N4211" i="13" s="1"/>
  <c r="O4212" i="13" l="1"/>
  <c r="N4212" i="13" s="1"/>
  <c r="O4213" i="13" l="1"/>
  <c r="N4213" i="13" s="1"/>
  <c r="O4214" i="13" l="1"/>
  <c r="N4214" i="13" s="1"/>
  <c r="O4215" i="13" l="1"/>
  <c r="N4215" i="13" s="1"/>
  <c r="O4216" i="13" l="1"/>
  <c r="N4216" i="13" s="1"/>
  <c r="O4217" i="13" l="1"/>
  <c r="N4217" i="13" s="1"/>
  <c r="O4218" i="13" l="1"/>
  <c r="N4218" i="13" s="1"/>
  <c r="O4219" i="13" l="1"/>
  <c r="N4219" i="13" s="1"/>
  <c r="O4220" i="13" l="1"/>
  <c r="N4220" i="13" s="1"/>
  <c r="O4221" i="13" l="1"/>
  <c r="N4221" i="13" s="1"/>
  <c r="O4222" i="13" l="1"/>
  <c r="N4222" i="13" s="1"/>
  <c r="O4223" i="13" l="1"/>
  <c r="N4223" i="13" s="1"/>
  <c r="O4224" i="13" l="1"/>
  <c r="N4224" i="13" s="1"/>
  <c r="O4225" i="13" l="1"/>
  <c r="N4225" i="13" s="1"/>
  <c r="O4226" i="13" l="1"/>
  <c r="N4226" i="13" s="1"/>
  <c r="O4227" i="13" l="1"/>
  <c r="N4227" i="13" s="1"/>
  <c r="O4228" i="13" l="1"/>
  <c r="N4228" i="13" s="1"/>
  <c r="O4229" i="13" l="1"/>
  <c r="N4229" i="13" s="1"/>
  <c r="O4230" i="13" l="1"/>
  <c r="N4230" i="13" s="1"/>
  <c r="O4231" i="13" l="1"/>
  <c r="N4231" i="13" s="1"/>
  <c r="O4232" i="13" l="1"/>
  <c r="N4232" i="13" s="1"/>
  <c r="O4233" i="13" l="1"/>
  <c r="N4233" i="13" s="1"/>
  <c r="O4234" i="13" l="1"/>
  <c r="N4234" i="13" s="1"/>
  <c r="O4235" i="13" l="1"/>
  <c r="N4235" i="13" s="1"/>
  <c r="O4236" i="13" l="1"/>
  <c r="N4236" i="13" s="1"/>
  <c r="O4237" i="13" l="1"/>
  <c r="N4237" i="13" s="1"/>
  <c r="O4238" i="13" l="1"/>
  <c r="N4238" i="13" s="1"/>
  <c r="O4239" i="13" l="1"/>
  <c r="N4239" i="13" s="1"/>
  <c r="O4240" i="13" l="1"/>
  <c r="N4240" i="13" s="1"/>
  <c r="O4241" i="13" l="1"/>
  <c r="N4241" i="13" s="1"/>
  <c r="O4242" i="13" l="1"/>
  <c r="N4242" i="13" s="1"/>
  <c r="O4243" i="13" l="1"/>
  <c r="N4243" i="13" s="1"/>
  <c r="O4244" i="13" l="1"/>
  <c r="N4244" i="13" s="1"/>
  <c r="O4245" i="13" l="1"/>
  <c r="N4245" i="13" s="1"/>
  <c r="O4246" i="13" l="1"/>
  <c r="N4246" i="13" s="1"/>
  <c r="O4247" i="13" l="1"/>
  <c r="N4247" i="13" s="1"/>
  <c r="O4248" i="13" l="1"/>
  <c r="N4248" i="13" s="1"/>
  <c r="O4249" i="13" l="1"/>
  <c r="N4249" i="13" s="1"/>
  <c r="O4250" i="13" l="1"/>
  <c r="N4250" i="13" s="1"/>
  <c r="O4251" i="13" l="1"/>
  <c r="N4251" i="13" s="1"/>
  <c r="O4252" i="13" l="1"/>
  <c r="N4252" i="13" s="1"/>
  <c r="O4253" i="13" l="1"/>
  <c r="N4253" i="13" s="1"/>
  <c r="O4254" i="13" l="1"/>
  <c r="N4254" i="13" s="1"/>
  <c r="O4255" i="13" l="1"/>
  <c r="N4255" i="13" s="1"/>
  <c r="O4256" i="13" l="1"/>
  <c r="N4256" i="13" s="1"/>
  <c r="O4257" i="13" l="1"/>
  <c r="N4257" i="13" s="1"/>
  <c r="O4258" i="13" l="1"/>
  <c r="N4258" i="13" s="1"/>
  <c r="O4259" i="13" l="1"/>
  <c r="N4259" i="13" s="1"/>
  <c r="O4260" i="13" l="1"/>
  <c r="N4260" i="13" s="1"/>
  <c r="O4261" i="13" l="1"/>
  <c r="N4261" i="13" s="1"/>
  <c r="O4262" i="13" l="1"/>
  <c r="N4262" i="13" s="1"/>
  <c r="O4263" i="13" l="1"/>
  <c r="N4263" i="13" s="1"/>
  <c r="O4264" i="13" l="1"/>
  <c r="N4264" i="13" s="1"/>
  <c r="O4265" i="13" l="1"/>
  <c r="N4265" i="13" s="1"/>
  <c r="O4266" i="13" l="1"/>
  <c r="N4266" i="13" s="1"/>
  <c r="O4267" i="13" l="1"/>
  <c r="N4267" i="13" s="1"/>
  <c r="O4268" i="13" l="1"/>
  <c r="N4268" i="13" s="1"/>
  <c r="O4269" i="13" l="1"/>
  <c r="N4269" i="13" s="1"/>
  <c r="O4270" i="13" l="1"/>
  <c r="N4270" i="13" s="1"/>
  <c r="O4271" i="13" l="1"/>
  <c r="N4271" i="13" s="1"/>
  <c r="O4272" i="13" l="1"/>
  <c r="N4272" i="13" s="1"/>
  <c r="O4273" i="13" l="1"/>
  <c r="N4273" i="13" s="1"/>
  <c r="O4274" i="13" l="1"/>
  <c r="N4274" i="13" s="1"/>
  <c r="O4275" i="13" l="1"/>
  <c r="N4275" i="13" s="1"/>
  <c r="O4276" i="13" l="1"/>
  <c r="N4276" i="13" s="1"/>
  <c r="O4277" i="13" l="1"/>
  <c r="N4277" i="13" s="1"/>
  <c r="O4278" i="13" l="1"/>
  <c r="N4278" i="13" s="1"/>
  <c r="O4279" i="13" l="1"/>
  <c r="N4279" i="13" s="1"/>
  <c r="O4280" i="13" l="1"/>
  <c r="N4280" i="13" s="1"/>
  <c r="O4281" i="13" l="1"/>
  <c r="N4281" i="13" s="1"/>
  <c r="O4282" i="13" l="1"/>
  <c r="N4282" i="13" s="1"/>
  <c r="O4283" i="13" l="1"/>
  <c r="N4283" i="13" s="1"/>
  <c r="O4284" i="13" l="1"/>
  <c r="N4284" i="13" s="1"/>
  <c r="O4285" i="13" l="1"/>
  <c r="N4285" i="13" s="1"/>
  <c r="O4286" i="13" l="1"/>
  <c r="N4286" i="13" s="1"/>
  <c r="O4287" i="13" l="1"/>
  <c r="N4287" i="13" s="1"/>
  <c r="O4288" i="13" l="1"/>
  <c r="N4288" i="13" s="1"/>
  <c r="O4289" i="13" l="1"/>
  <c r="N4289" i="13" s="1"/>
  <c r="O4290" i="13" l="1"/>
  <c r="N4290" i="13" s="1"/>
  <c r="O4291" i="13" l="1"/>
  <c r="N4291" i="13" s="1"/>
  <c r="O4292" i="13" l="1"/>
  <c r="N4292" i="13" s="1"/>
  <c r="O4293" i="13" l="1"/>
  <c r="N4293" i="13" s="1"/>
  <c r="O4294" i="13" l="1"/>
  <c r="N4294" i="13" s="1"/>
  <c r="O4295" i="13" l="1"/>
  <c r="N4295" i="13" s="1"/>
  <c r="O4296" i="13" l="1"/>
  <c r="N4296" i="13" s="1"/>
  <c r="O4297" i="13" l="1"/>
  <c r="N4297" i="13" s="1"/>
  <c r="O4298" i="13" l="1"/>
  <c r="N4298" i="13" s="1"/>
  <c r="O4299" i="13" l="1"/>
  <c r="N4299" i="13" s="1"/>
  <c r="O4300" i="13" l="1"/>
  <c r="N4300" i="13" s="1"/>
  <c r="O4301" i="13" l="1"/>
  <c r="N4301" i="13" s="1"/>
  <c r="O4302" i="13" l="1"/>
  <c r="N4302" i="13" s="1"/>
  <c r="O4303" i="13" l="1"/>
  <c r="N4303" i="13" s="1"/>
  <c r="O4304" i="13" l="1"/>
  <c r="N4304" i="13" s="1"/>
  <c r="O4305" i="13" l="1"/>
  <c r="N4305" i="13" s="1"/>
  <c r="O4306" i="13" l="1"/>
  <c r="N4306" i="13" s="1"/>
  <c r="O4307" i="13" l="1"/>
  <c r="N4307" i="13" s="1"/>
  <c r="O4308" i="13" l="1"/>
  <c r="N4308" i="13" s="1"/>
  <c r="O4309" i="13" l="1"/>
  <c r="N4309" i="13" s="1"/>
  <c r="O4310" i="13" l="1"/>
  <c r="N4310" i="13" s="1"/>
  <c r="O4311" i="13" l="1"/>
  <c r="N4311" i="13" s="1"/>
  <c r="O4312" i="13" l="1"/>
  <c r="N4312" i="13" s="1"/>
  <c r="O4313" i="13" l="1"/>
  <c r="N4313" i="13" s="1"/>
  <c r="O4314" i="13" l="1"/>
  <c r="N4314" i="13" s="1"/>
  <c r="O4315" i="13" l="1"/>
  <c r="N4315" i="13" s="1"/>
  <c r="O4316" i="13" l="1"/>
  <c r="N4316" i="13" s="1"/>
  <c r="O4317" i="13" l="1"/>
  <c r="N4317" i="13" s="1"/>
  <c r="O4318" i="13" l="1"/>
  <c r="N4318" i="13" s="1"/>
  <c r="O4319" i="13" l="1"/>
  <c r="N4319" i="13" s="1"/>
  <c r="O4320" i="13" l="1"/>
  <c r="N4320" i="13" s="1"/>
  <c r="O4321" i="13" l="1"/>
  <c r="N4321" i="13" s="1"/>
  <c r="O4322" i="13" l="1"/>
  <c r="N4322" i="13" s="1"/>
  <c r="O4323" i="13" l="1"/>
  <c r="N4323" i="13" s="1"/>
  <c r="O4324" i="13" l="1"/>
  <c r="N4324" i="13" s="1"/>
  <c r="O4325" i="13" l="1"/>
  <c r="N4325" i="13" s="1"/>
  <c r="O4326" i="13" l="1"/>
  <c r="N4326" i="13" s="1"/>
  <c r="O4327" i="13" l="1"/>
  <c r="N4327" i="13" s="1"/>
  <c r="O4328" i="13" l="1"/>
  <c r="N4328" i="13" s="1"/>
  <c r="O4329" i="13" l="1"/>
  <c r="N4329" i="13" s="1"/>
  <c r="O4330" i="13" l="1"/>
  <c r="N4330" i="13" s="1"/>
  <c r="O4331" i="13" l="1"/>
  <c r="N4331" i="13" s="1"/>
  <c r="O4332" i="13" l="1"/>
  <c r="N4332" i="13" s="1"/>
  <c r="O4333" i="13" l="1"/>
  <c r="N4333" i="13" s="1"/>
  <c r="O4334" i="13" l="1"/>
  <c r="N4334" i="13" s="1"/>
  <c r="O4335" i="13" l="1"/>
  <c r="N4335" i="13" s="1"/>
  <c r="O4336" i="13" l="1"/>
  <c r="N4336" i="13" s="1"/>
  <c r="O4337" i="13" l="1"/>
  <c r="N4337" i="13" s="1"/>
  <c r="O4338" i="13" l="1"/>
  <c r="N4338" i="13" s="1"/>
  <c r="O4339" i="13" l="1"/>
  <c r="N4339" i="13" s="1"/>
  <c r="O4340" i="13" l="1"/>
  <c r="N4340" i="13" s="1"/>
  <c r="O4341" i="13" l="1"/>
  <c r="N4341" i="13" s="1"/>
  <c r="O4342" i="13" l="1"/>
  <c r="N4342" i="13" s="1"/>
  <c r="O4343" i="13" l="1"/>
  <c r="N4343" i="13" s="1"/>
  <c r="O4344" i="13" l="1"/>
  <c r="N4344" i="13" s="1"/>
  <c r="O4345" i="13" l="1"/>
  <c r="N4345" i="13" s="1"/>
  <c r="O4346" i="13" l="1"/>
  <c r="N4346" i="13" s="1"/>
  <c r="O4347" i="13" l="1"/>
  <c r="N4347" i="13" s="1"/>
  <c r="O4348" i="13" l="1"/>
  <c r="N4348" i="13" s="1"/>
  <c r="O4349" i="13" l="1"/>
  <c r="N4349" i="13" s="1"/>
  <c r="O4350" i="13" l="1"/>
  <c r="N4350" i="13" s="1"/>
  <c r="O4351" i="13" l="1"/>
  <c r="N4351" i="13" s="1"/>
  <c r="O4352" i="13" l="1"/>
  <c r="N4352" i="13" s="1"/>
  <c r="O4353" i="13" l="1"/>
  <c r="N4353" i="13" s="1"/>
  <c r="O4354" i="13" l="1"/>
  <c r="N4354" i="13" s="1"/>
  <c r="O4355" i="13" l="1"/>
  <c r="N4355" i="13" s="1"/>
  <c r="O4356" i="13" l="1"/>
  <c r="N4356" i="13" s="1"/>
  <c r="O4357" i="13" l="1"/>
  <c r="N4357" i="13" s="1"/>
  <c r="O4358" i="13" l="1"/>
  <c r="N4358" i="13" s="1"/>
  <c r="O4359" i="13" l="1"/>
  <c r="N4359" i="13" s="1"/>
  <c r="O4360" i="13" l="1"/>
  <c r="N4360" i="13" s="1"/>
  <c r="O4361" i="13" l="1"/>
  <c r="N4361" i="13" s="1"/>
  <c r="O4362" i="13" l="1"/>
  <c r="N4362" i="13" s="1"/>
  <c r="O4363" i="13" l="1"/>
  <c r="N4363" i="13" s="1"/>
  <c r="O4364" i="13" l="1"/>
  <c r="N4364" i="13" s="1"/>
  <c r="O4365" i="13" l="1"/>
  <c r="N4365" i="13" s="1"/>
  <c r="O4366" i="13" l="1"/>
  <c r="N4366" i="13" s="1"/>
  <c r="O4367" i="13" l="1"/>
  <c r="N4367" i="13" s="1"/>
  <c r="O4368" i="13" l="1"/>
  <c r="N4368" i="13" s="1"/>
  <c r="O4369" i="13" l="1"/>
  <c r="N4369" i="13" s="1"/>
  <c r="O4370" i="13" l="1"/>
  <c r="N4370" i="13" s="1"/>
  <c r="O4371" i="13" l="1"/>
  <c r="N4371" i="13" s="1"/>
  <c r="O4372" i="13" l="1"/>
  <c r="N4372" i="13" s="1"/>
  <c r="O4373" i="13" l="1"/>
  <c r="N4373" i="13" s="1"/>
  <c r="O4374" i="13" l="1"/>
  <c r="N4374" i="13" s="1"/>
  <c r="O4375" i="13" l="1"/>
  <c r="N4375" i="13" s="1"/>
  <c r="O4376" i="13" l="1"/>
  <c r="N4376" i="13" s="1"/>
  <c r="O4377" i="13" l="1"/>
  <c r="N4377" i="13" s="1"/>
  <c r="O4378" i="13" l="1"/>
  <c r="N4378" i="13" s="1"/>
  <c r="O4379" i="13" l="1"/>
  <c r="N4379" i="13" s="1"/>
  <c r="O4380" i="13" l="1"/>
  <c r="N4380" i="13" s="1"/>
  <c r="O4381" i="13" l="1"/>
  <c r="N4381" i="13" s="1"/>
  <c r="O4382" i="13" l="1"/>
  <c r="N4382" i="13" s="1"/>
  <c r="O4383" i="13" l="1"/>
  <c r="N4383" i="13" s="1"/>
  <c r="O4384" i="13" l="1"/>
  <c r="N4384" i="13" s="1"/>
  <c r="O4385" i="13" l="1"/>
  <c r="N4385" i="13" s="1"/>
  <c r="O4386" i="13" l="1"/>
  <c r="N4386" i="13" s="1"/>
  <c r="O4387" i="13" l="1"/>
  <c r="N4387" i="13" s="1"/>
  <c r="O4388" i="13" l="1"/>
  <c r="N4388" i="13" s="1"/>
  <c r="O4389" i="13" l="1"/>
  <c r="N4389" i="13" s="1"/>
  <c r="O4390" i="13" l="1"/>
  <c r="N4390" i="13" s="1"/>
  <c r="O4391" i="13" l="1"/>
  <c r="N4391" i="13" s="1"/>
  <c r="O4392" i="13" l="1"/>
  <c r="N4392" i="13" s="1"/>
  <c r="O4393" i="13" l="1"/>
  <c r="N4393" i="13" s="1"/>
  <c r="O4394" i="13" l="1"/>
  <c r="N4394" i="13" s="1"/>
  <c r="O4395" i="13" l="1"/>
  <c r="N4395" i="13" s="1"/>
  <c r="O4396" i="13" l="1"/>
  <c r="N4396" i="13" s="1"/>
  <c r="O4397" i="13" l="1"/>
  <c r="N4397" i="13" s="1"/>
  <c r="O4398" i="13" l="1"/>
  <c r="N4398" i="13" s="1"/>
  <c r="O4399" i="13" l="1"/>
  <c r="N4399" i="13" s="1"/>
  <c r="O4400" i="13" l="1"/>
  <c r="N4400" i="13" s="1"/>
  <c r="O4401" i="13" l="1"/>
  <c r="N4401" i="13" s="1"/>
  <c r="O4402" i="13" l="1"/>
  <c r="N4402" i="13" s="1"/>
  <c r="O4403" i="13" l="1"/>
  <c r="N4403" i="13" s="1"/>
  <c r="O4404" i="13" l="1"/>
  <c r="N4404" i="13" s="1"/>
  <c r="O4405" i="13" l="1"/>
  <c r="N4405" i="13" s="1"/>
  <c r="O4406" i="13" l="1"/>
  <c r="N4406" i="13" s="1"/>
  <c r="O4407" i="13" l="1"/>
  <c r="N4407" i="13" s="1"/>
  <c r="O4408" i="13" l="1"/>
  <c r="N4408" i="13" s="1"/>
  <c r="O4409" i="13" l="1"/>
  <c r="N4409" i="13" s="1"/>
  <c r="O4410" i="13" l="1"/>
  <c r="N4410" i="13" s="1"/>
  <c r="O4411" i="13" l="1"/>
  <c r="N4411" i="13" s="1"/>
  <c r="O4412" i="13" l="1"/>
  <c r="N4412" i="13" s="1"/>
  <c r="O4413" i="13" l="1"/>
  <c r="N4413" i="13" s="1"/>
  <c r="O4414" i="13" l="1"/>
  <c r="N4414" i="13" s="1"/>
  <c r="O4415" i="13" l="1"/>
  <c r="N4415" i="13" s="1"/>
  <c r="O4416" i="13" l="1"/>
  <c r="N4416" i="13" s="1"/>
  <c r="O4417" i="13" l="1"/>
  <c r="N4417" i="13" s="1"/>
  <c r="O4418" i="13" l="1"/>
  <c r="N4418" i="13" s="1"/>
  <c r="O4419" i="13" l="1"/>
  <c r="N4419" i="13" s="1"/>
  <c r="O4420" i="13" l="1"/>
  <c r="N4420" i="13" s="1"/>
  <c r="O4421" i="13" l="1"/>
  <c r="N4421" i="13" s="1"/>
  <c r="O4422" i="13" l="1"/>
  <c r="N4422" i="13" s="1"/>
  <c r="O4423" i="13" l="1"/>
  <c r="N4423" i="13" s="1"/>
  <c r="O4424" i="13" l="1"/>
  <c r="N4424" i="13" s="1"/>
  <c r="O4425" i="13" l="1"/>
  <c r="N4425" i="13" s="1"/>
  <c r="O4426" i="13" l="1"/>
  <c r="N4426" i="13" s="1"/>
  <c r="O4427" i="13" l="1"/>
  <c r="N4427" i="13" s="1"/>
  <c r="O4428" i="13" l="1"/>
  <c r="N4428" i="13" s="1"/>
  <c r="O4429" i="13" l="1"/>
  <c r="N4429" i="13" s="1"/>
  <c r="O4430" i="13" l="1"/>
  <c r="N4430" i="13" s="1"/>
  <c r="O4431" i="13" l="1"/>
  <c r="N4431" i="13" s="1"/>
  <c r="O4432" i="13" l="1"/>
  <c r="N4432" i="13" s="1"/>
  <c r="O4433" i="13" l="1"/>
  <c r="N4433" i="13" s="1"/>
  <c r="O4434" i="13" l="1"/>
  <c r="N4434" i="13" s="1"/>
  <c r="O4435" i="13" l="1"/>
  <c r="N4435" i="13" s="1"/>
  <c r="O4436" i="13" l="1"/>
  <c r="N4436" i="13" s="1"/>
  <c r="O4437" i="13" l="1"/>
  <c r="N4437" i="13" s="1"/>
  <c r="O4438" i="13" l="1"/>
  <c r="N4438" i="13" s="1"/>
  <c r="O4439" i="13" l="1"/>
  <c r="N4439" i="13" s="1"/>
  <c r="O4440" i="13" l="1"/>
  <c r="N4440" i="13" s="1"/>
  <c r="O4441" i="13" l="1"/>
  <c r="N4441" i="13" s="1"/>
  <c r="O4442" i="13" l="1"/>
  <c r="N4442" i="13" s="1"/>
  <c r="O4443" i="13" l="1"/>
  <c r="N4443" i="13" s="1"/>
  <c r="O4444" i="13" l="1"/>
  <c r="N4444" i="13" s="1"/>
  <c r="O4445" i="13" l="1"/>
  <c r="N4445" i="13" s="1"/>
  <c r="O4446" i="13" l="1"/>
  <c r="N4446" i="13" s="1"/>
  <c r="O4447" i="13" l="1"/>
  <c r="N4447" i="13" s="1"/>
  <c r="O4448" i="13" l="1"/>
  <c r="N4448" i="13" s="1"/>
  <c r="O4449" i="13" l="1"/>
  <c r="N4449" i="13" s="1"/>
  <c r="O4450" i="13" l="1"/>
  <c r="N4450" i="13" s="1"/>
  <c r="O4451" i="13" l="1"/>
  <c r="N4451" i="13" s="1"/>
  <c r="O4452" i="13" l="1"/>
  <c r="N4452" i="13" s="1"/>
  <c r="O4453" i="13" l="1"/>
  <c r="N4453" i="13" s="1"/>
  <c r="O4454" i="13" l="1"/>
  <c r="N4454" i="13" s="1"/>
  <c r="O4455" i="13" l="1"/>
  <c r="N4455" i="13" s="1"/>
  <c r="O4456" i="13" l="1"/>
  <c r="N4456" i="13" s="1"/>
  <c r="O4457" i="13" l="1"/>
  <c r="N4457" i="13" s="1"/>
  <c r="O4458" i="13" l="1"/>
  <c r="N4458" i="13" s="1"/>
  <c r="O4459" i="13" l="1"/>
  <c r="N4459" i="13" s="1"/>
  <c r="O4460" i="13" l="1"/>
  <c r="N4460" i="13" s="1"/>
  <c r="O4461" i="13" l="1"/>
  <c r="N4461" i="13" s="1"/>
  <c r="O4462" i="13" l="1"/>
  <c r="N4462" i="13" s="1"/>
  <c r="O4463" i="13" l="1"/>
  <c r="N4463" i="13" s="1"/>
  <c r="O4464" i="13" l="1"/>
  <c r="N4464" i="13" s="1"/>
  <c r="O4465" i="13" l="1"/>
  <c r="N4465" i="13" s="1"/>
  <c r="O4466" i="13" l="1"/>
  <c r="N4466" i="13" s="1"/>
  <c r="O4467" i="13" l="1"/>
  <c r="N4467" i="13" s="1"/>
  <c r="O4468" i="13" l="1"/>
  <c r="N4468" i="13" s="1"/>
  <c r="O4469" i="13" l="1"/>
  <c r="N4469" i="13" s="1"/>
  <c r="O4470" i="13" l="1"/>
  <c r="N4470" i="13" s="1"/>
  <c r="O4471" i="13" l="1"/>
  <c r="N4471" i="13" s="1"/>
  <c r="O4472" i="13" l="1"/>
  <c r="N4472" i="13" s="1"/>
  <c r="O4473" i="13" l="1"/>
  <c r="N4473" i="13" s="1"/>
  <c r="O4474" i="13" l="1"/>
  <c r="N4474" i="13" s="1"/>
  <c r="O4475" i="13" l="1"/>
  <c r="N4475" i="13" s="1"/>
  <c r="O4476" i="13" l="1"/>
  <c r="N4476" i="13" s="1"/>
  <c r="O4477" i="13" l="1"/>
  <c r="N4477" i="13" s="1"/>
  <c r="O4478" i="13" l="1"/>
  <c r="N4478" i="13" s="1"/>
  <c r="O4479" i="13" l="1"/>
  <c r="N4479" i="13" s="1"/>
  <c r="O4480" i="13" l="1"/>
  <c r="N4480" i="13" s="1"/>
  <c r="O4481" i="13" l="1"/>
  <c r="N4481" i="13" s="1"/>
  <c r="O4482" i="13" l="1"/>
  <c r="N4482" i="13" s="1"/>
  <c r="O4483" i="13" l="1"/>
  <c r="N4483" i="13" s="1"/>
  <c r="O4484" i="13" l="1"/>
  <c r="N4484" i="13" s="1"/>
  <c r="O4485" i="13" l="1"/>
  <c r="N4485" i="13" s="1"/>
  <c r="O4486" i="13" l="1"/>
  <c r="N4486" i="13" s="1"/>
  <c r="O4487" i="13" l="1"/>
  <c r="N4487" i="13" s="1"/>
  <c r="O4488" i="13" l="1"/>
  <c r="N4488" i="13" s="1"/>
  <c r="O4489" i="13" l="1"/>
  <c r="N4489" i="13" s="1"/>
  <c r="O4490" i="13" l="1"/>
  <c r="N4490" i="13" s="1"/>
  <c r="O4491" i="13" l="1"/>
  <c r="N4491" i="13" s="1"/>
  <c r="O4492" i="13" l="1"/>
  <c r="N4492" i="13" s="1"/>
  <c r="O4493" i="13" l="1"/>
  <c r="N4493" i="13" s="1"/>
  <c r="O4494" i="13" l="1"/>
  <c r="N4494" i="13" s="1"/>
  <c r="O4495" i="13" l="1"/>
  <c r="N4495" i="13" s="1"/>
  <c r="O4496" i="13" l="1"/>
  <c r="N4496" i="13" s="1"/>
  <c r="O4497" i="13" l="1"/>
  <c r="N4497" i="13" s="1"/>
  <c r="O4498" i="13" l="1"/>
  <c r="N4498" i="13" s="1"/>
  <c r="O4499" i="13" l="1"/>
  <c r="N4499" i="13" s="1"/>
  <c r="O4500" i="13" l="1"/>
  <c r="N4500" i="13" s="1"/>
  <c r="O4501" i="13" l="1"/>
  <c r="N4501" i="13" s="1"/>
  <c r="O4502" i="13" l="1"/>
  <c r="N4502" i="13" s="1"/>
  <c r="O4503" i="13" l="1"/>
  <c r="N4503" i="13" s="1"/>
  <c r="O4504" i="13" l="1"/>
  <c r="N4504" i="13" s="1"/>
  <c r="O4505" i="13" l="1"/>
  <c r="N4505" i="13" s="1"/>
  <c r="O4506" i="13" l="1"/>
  <c r="N4506" i="13" s="1"/>
  <c r="O4507" i="13" l="1"/>
  <c r="N4507" i="13" s="1"/>
  <c r="O4508" i="13" l="1"/>
  <c r="N4508" i="13" s="1"/>
  <c r="O4509" i="13" l="1"/>
  <c r="N4509" i="13" s="1"/>
  <c r="O4510" i="13" l="1"/>
  <c r="N4510" i="13" s="1"/>
  <c r="O4511" i="13" l="1"/>
  <c r="N4511" i="13" s="1"/>
  <c r="O4512" i="13" l="1"/>
  <c r="N4512" i="13" s="1"/>
  <c r="O4513" i="13" l="1"/>
  <c r="N4513" i="13" s="1"/>
  <c r="O4514" i="13" l="1"/>
  <c r="N4514" i="13" s="1"/>
  <c r="O4515" i="13" l="1"/>
  <c r="N4515" i="13" s="1"/>
  <c r="O4516" i="13" l="1"/>
  <c r="N4516" i="13" s="1"/>
  <c r="O4517" i="13" l="1"/>
  <c r="N4517" i="13" s="1"/>
  <c r="O4518" i="13" l="1"/>
  <c r="N4518" i="13" s="1"/>
  <c r="O4519" i="13" l="1"/>
  <c r="N4519" i="13" s="1"/>
  <c r="O4520" i="13" l="1"/>
  <c r="N4520" i="13" s="1"/>
  <c r="O4521" i="13" l="1"/>
  <c r="N4521" i="13" s="1"/>
  <c r="O4522" i="13" l="1"/>
  <c r="N4522" i="13" s="1"/>
  <c r="O4523" i="13" l="1"/>
  <c r="N4523" i="13" s="1"/>
  <c r="O4524" i="13" l="1"/>
  <c r="N4524" i="13" s="1"/>
  <c r="O4525" i="13" l="1"/>
  <c r="N4525" i="13" s="1"/>
  <c r="O4526" i="13" l="1"/>
  <c r="N4526" i="13" s="1"/>
  <c r="O4527" i="13" l="1"/>
  <c r="N4527" i="13" s="1"/>
  <c r="O4528" i="13" l="1"/>
  <c r="N4528" i="13" s="1"/>
  <c r="O4529" i="13" l="1"/>
  <c r="N4529" i="13" s="1"/>
  <c r="O4530" i="13" l="1"/>
  <c r="N4530" i="13" s="1"/>
  <c r="O4531" i="13" l="1"/>
  <c r="N4531" i="13" s="1"/>
  <c r="O4532" i="13" l="1"/>
  <c r="N4532" i="13" s="1"/>
  <c r="O4533" i="13" l="1"/>
  <c r="N4533" i="13" s="1"/>
  <c r="O4534" i="13" l="1"/>
  <c r="N4534" i="13" s="1"/>
  <c r="O4535" i="13" l="1"/>
  <c r="N4535" i="13" s="1"/>
  <c r="O4536" i="13" l="1"/>
  <c r="N4536" i="13" s="1"/>
  <c r="O4537" i="13" l="1"/>
  <c r="N4537" i="13" s="1"/>
  <c r="O4538" i="13" l="1"/>
  <c r="N4538" i="13" s="1"/>
  <c r="O4539" i="13" l="1"/>
  <c r="N4539" i="13" s="1"/>
  <c r="O4540" i="13" l="1"/>
  <c r="N4540" i="13" s="1"/>
  <c r="O4541" i="13" l="1"/>
  <c r="N4541" i="13" s="1"/>
  <c r="O4542" i="13" l="1"/>
  <c r="N4542" i="13" s="1"/>
  <c r="O4543" i="13" l="1"/>
  <c r="N4543" i="13" s="1"/>
  <c r="O4544" i="13" l="1"/>
  <c r="N4544" i="13" s="1"/>
  <c r="O4545" i="13" l="1"/>
  <c r="N4545" i="13" s="1"/>
  <c r="O4546" i="13" l="1"/>
  <c r="N4546" i="13" s="1"/>
  <c r="O4547" i="13" l="1"/>
  <c r="N4547" i="13" s="1"/>
  <c r="O4548" i="13" l="1"/>
  <c r="N4548" i="13" s="1"/>
  <c r="O4549" i="13" l="1"/>
  <c r="N4549" i="13" s="1"/>
  <c r="O4550" i="13" l="1"/>
  <c r="N4550" i="13" s="1"/>
  <c r="O4551" i="13" l="1"/>
  <c r="N4551" i="13" s="1"/>
  <c r="O4552" i="13" l="1"/>
  <c r="N4552" i="13" s="1"/>
  <c r="O4553" i="13" l="1"/>
  <c r="N4553" i="13" s="1"/>
  <c r="O4554" i="13" l="1"/>
  <c r="N4554" i="13" s="1"/>
  <c r="O4555" i="13" l="1"/>
  <c r="N4555" i="13" s="1"/>
  <c r="O4556" i="13" l="1"/>
  <c r="N4556" i="13" s="1"/>
  <c r="O4557" i="13" l="1"/>
  <c r="N4557" i="13" s="1"/>
  <c r="O4558" i="13" l="1"/>
  <c r="N4558" i="13" s="1"/>
  <c r="O4559" i="13" l="1"/>
  <c r="N4559" i="13" s="1"/>
  <c r="O4560" i="13" l="1"/>
  <c r="N4560" i="13" s="1"/>
  <c r="O4561" i="13" l="1"/>
  <c r="N4561" i="13" s="1"/>
  <c r="O4562" i="13" l="1"/>
  <c r="N4562" i="13" s="1"/>
  <c r="O4563" i="13" l="1"/>
  <c r="N4563" i="13" s="1"/>
  <c r="O4564" i="13" l="1"/>
  <c r="N4564" i="13" s="1"/>
  <c r="O4565" i="13" l="1"/>
  <c r="N4565" i="13" s="1"/>
  <c r="O4566" i="13" l="1"/>
  <c r="N4566" i="13" s="1"/>
  <c r="O4567" i="13" l="1"/>
  <c r="N4567" i="13" s="1"/>
  <c r="O4568" i="13" l="1"/>
  <c r="N4568" i="13" s="1"/>
  <c r="O4569" i="13" l="1"/>
  <c r="N4569" i="13" s="1"/>
  <c r="O4570" i="13" l="1"/>
  <c r="N4570" i="13" s="1"/>
  <c r="O4571" i="13" l="1"/>
  <c r="N4571" i="13" s="1"/>
  <c r="O4572" i="13" l="1"/>
  <c r="N4572" i="13" s="1"/>
  <c r="O4573" i="13" l="1"/>
  <c r="N4573" i="13" s="1"/>
  <c r="O4574" i="13" l="1"/>
  <c r="N4574" i="13" s="1"/>
  <c r="O4575" i="13" l="1"/>
  <c r="N4575" i="13" s="1"/>
  <c r="O4576" i="13" l="1"/>
  <c r="N4576" i="13" s="1"/>
  <c r="O4577" i="13" l="1"/>
  <c r="N4577" i="13" s="1"/>
  <c r="O4578" i="13" l="1"/>
  <c r="N4578" i="13" s="1"/>
  <c r="O4579" i="13" l="1"/>
  <c r="N4579" i="13" s="1"/>
  <c r="O4580" i="13" l="1"/>
  <c r="N4580" i="13" s="1"/>
  <c r="O4581" i="13" l="1"/>
  <c r="N4581" i="13" s="1"/>
  <c r="O4582" i="13" l="1"/>
  <c r="N4582" i="13" s="1"/>
  <c r="O4583" i="13" l="1"/>
  <c r="N4583" i="13" s="1"/>
  <c r="O4584" i="13" l="1"/>
  <c r="N4584" i="13" s="1"/>
  <c r="O4585" i="13" l="1"/>
  <c r="N4585" i="13" s="1"/>
  <c r="O4586" i="13" l="1"/>
  <c r="N4586" i="13" s="1"/>
  <c r="O4587" i="13" l="1"/>
  <c r="N4587" i="13" s="1"/>
  <c r="O4588" i="13" l="1"/>
  <c r="N4588" i="13" s="1"/>
  <c r="O4589" i="13" l="1"/>
  <c r="N4589" i="13" s="1"/>
  <c r="O4590" i="13" l="1"/>
  <c r="N4590" i="13" s="1"/>
  <c r="O4591" i="13" l="1"/>
  <c r="N4591" i="13" s="1"/>
  <c r="O4592" i="13" l="1"/>
  <c r="N4592" i="13" s="1"/>
  <c r="O4593" i="13" l="1"/>
  <c r="N4593" i="13" s="1"/>
  <c r="O4594" i="13" l="1"/>
  <c r="N4594" i="13" s="1"/>
  <c r="O4595" i="13" l="1"/>
  <c r="N4595" i="13" s="1"/>
  <c r="O4596" i="13" l="1"/>
  <c r="N4596" i="13" s="1"/>
  <c r="O4597" i="13" l="1"/>
  <c r="N4597" i="13" s="1"/>
  <c r="O4598" i="13" l="1"/>
  <c r="N4598" i="13" s="1"/>
  <c r="O4599" i="13" l="1"/>
  <c r="N4599" i="13" s="1"/>
  <c r="O4600" i="13" l="1"/>
  <c r="N4600" i="13" s="1"/>
  <c r="O4601" i="13" l="1"/>
  <c r="N4601" i="13" s="1"/>
  <c r="O4602" i="13" l="1"/>
  <c r="N4602" i="13" s="1"/>
  <c r="O4603" i="13" l="1"/>
  <c r="N4603" i="13" s="1"/>
  <c r="O4604" i="13" l="1"/>
  <c r="N4604" i="13" s="1"/>
  <c r="O4605" i="13" l="1"/>
  <c r="N4605" i="13" s="1"/>
  <c r="O4606" i="13" l="1"/>
  <c r="N4606" i="13" s="1"/>
  <c r="O4607" i="13" l="1"/>
  <c r="N4607" i="13" s="1"/>
  <c r="O4608" i="13" l="1"/>
  <c r="N4608" i="13" s="1"/>
  <c r="O4609" i="13" l="1"/>
  <c r="N4609" i="13" s="1"/>
  <c r="O4610" i="13" l="1"/>
  <c r="N4610" i="13" s="1"/>
  <c r="O4611" i="13" l="1"/>
  <c r="N4611" i="13" s="1"/>
  <c r="O4612" i="13" l="1"/>
  <c r="N4612" i="13" s="1"/>
  <c r="O4613" i="13" l="1"/>
  <c r="N4613" i="13" s="1"/>
  <c r="O4614" i="13" l="1"/>
  <c r="N4614" i="13" s="1"/>
  <c r="O4615" i="13" l="1"/>
  <c r="N4615" i="13" s="1"/>
  <c r="O4616" i="13" l="1"/>
  <c r="N4616" i="13" s="1"/>
  <c r="O4617" i="13" l="1"/>
  <c r="N4617" i="13" s="1"/>
  <c r="O4618" i="13" l="1"/>
  <c r="N4618" i="13" s="1"/>
  <c r="O4619" i="13" l="1"/>
  <c r="N4619" i="13" s="1"/>
  <c r="O4620" i="13" l="1"/>
  <c r="N4620" i="13" s="1"/>
  <c r="O4621" i="13" l="1"/>
  <c r="N4621" i="13" s="1"/>
  <c r="O4622" i="13" l="1"/>
  <c r="N4622" i="13" s="1"/>
  <c r="O4623" i="13" l="1"/>
  <c r="N4623" i="13" s="1"/>
  <c r="O4624" i="13" l="1"/>
  <c r="N4624" i="13" s="1"/>
  <c r="O4625" i="13" l="1"/>
  <c r="N4625" i="13" s="1"/>
  <c r="O4626" i="13" l="1"/>
  <c r="N4626" i="13" s="1"/>
  <c r="O4627" i="13" l="1"/>
  <c r="N4627" i="13" s="1"/>
  <c r="O4628" i="13" l="1"/>
  <c r="N4628" i="13" s="1"/>
  <c r="O4629" i="13" l="1"/>
  <c r="N4629" i="13" s="1"/>
  <c r="O4630" i="13" l="1"/>
  <c r="N4630" i="13" s="1"/>
  <c r="O4631" i="13" l="1"/>
  <c r="N4631" i="13" s="1"/>
  <c r="O4632" i="13" l="1"/>
  <c r="N4632" i="13" s="1"/>
  <c r="O4633" i="13" l="1"/>
  <c r="N4633" i="13" s="1"/>
  <c r="O4634" i="13" l="1"/>
  <c r="N4634" i="13" s="1"/>
  <c r="O4635" i="13" l="1"/>
  <c r="N4635" i="13" s="1"/>
  <c r="O4636" i="13" l="1"/>
  <c r="N4636" i="13" s="1"/>
  <c r="O4637" i="13" l="1"/>
  <c r="N4637" i="13" s="1"/>
  <c r="O4638" i="13" l="1"/>
  <c r="N4638" i="13" s="1"/>
  <c r="O4639" i="13" l="1"/>
  <c r="N4639" i="13" s="1"/>
  <c r="O4640" i="13" l="1"/>
  <c r="N4640" i="13" s="1"/>
  <c r="O4641" i="13" l="1"/>
  <c r="N4641" i="13" s="1"/>
  <c r="O4642" i="13" l="1"/>
  <c r="N4642" i="13" s="1"/>
  <c r="O4643" i="13" l="1"/>
  <c r="N4643" i="13" s="1"/>
  <c r="O4644" i="13" l="1"/>
  <c r="N4644" i="13" s="1"/>
  <c r="O4645" i="13" l="1"/>
  <c r="N4645" i="13" s="1"/>
  <c r="O4646" i="13" l="1"/>
  <c r="N4646" i="13" s="1"/>
  <c r="O4647" i="13" l="1"/>
  <c r="N4647" i="13" s="1"/>
  <c r="O4648" i="13" l="1"/>
  <c r="N4648" i="13" s="1"/>
  <c r="O4649" i="13" l="1"/>
  <c r="N4649" i="13" s="1"/>
  <c r="O4650" i="13" l="1"/>
  <c r="N4650" i="13" s="1"/>
  <c r="O4651" i="13" l="1"/>
  <c r="N4651" i="13" s="1"/>
  <c r="O4652" i="13" l="1"/>
  <c r="N4652" i="13" s="1"/>
  <c r="O4653" i="13" l="1"/>
  <c r="N4653" i="13" s="1"/>
  <c r="O4654" i="13" l="1"/>
  <c r="N4654" i="13" s="1"/>
  <c r="O4655" i="13" l="1"/>
  <c r="N4655" i="13" s="1"/>
  <c r="O4656" i="13" l="1"/>
  <c r="N4656" i="13" s="1"/>
  <c r="O4657" i="13" l="1"/>
  <c r="N4657" i="13" s="1"/>
  <c r="O4658" i="13" l="1"/>
  <c r="N4658" i="13" s="1"/>
  <c r="O4659" i="13" l="1"/>
  <c r="N4659" i="13" s="1"/>
  <c r="O4660" i="13" l="1"/>
  <c r="N4660" i="13" s="1"/>
  <c r="O4661" i="13" l="1"/>
  <c r="N4661" i="13" s="1"/>
  <c r="O4662" i="13" l="1"/>
  <c r="N4662" i="13" s="1"/>
  <c r="O4663" i="13" l="1"/>
  <c r="N4663" i="13" s="1"/>
  <c r="O4664" i="13" l="1"/>
  <c r="N4664" i="13" s="1"/>
  <c r="O4665" i="13" l="1"/>
  <c r="N4665" i="13" s="1"/>
  <c r="O4666" i="13" l="1"/>
  <c r="N4666" i="13" s="1"/>
  <c r="O4667" i="13" l="1"/>
  <c r="N4667" i="13" s="1"/>
  <c r="O4668" i="13" l="1"/>
  <c r="N4668" i="13" s="1"/>
  <c r="O4669" i="13" l="1"/>
  <c r="N4669" i="13" s="1"/>
  <c r="O4670" i="13" l="1"/>
  <c r="N4670" i="13" s="1"/>
  <c r="O4671" i="13" l="1"/>
  <c r="N4671" i="13" s="1"/>
  <c r="O4672" i="13" l="1"/>
  <c r="N4672" i="13" s="1"/>
  <c r="O4673" i="13" l="1"/>
  <c r="N4673" i="13" s="1"/>
  <c r="O4674" i="13" l="1"/>
  <c r="N4674" i="13" s="1"/>
  <c r="O4675" i="13" l="1"/>
  <c r="N4675" i="13" s="1"/>
  <c r="O4676" i="13" l="1"/>
  <c r="N4676" i="13" s="1"/>
  <c r="O4677" i="13" l="1"/>
  <c r="N4677" i="13" s="1"/>
  <c r="O4678" i="13" l="1"/>
  <c r="N4678" i="13" s="1"/>
  <c r="O4679" i="13" l="1"/>
  <c r="N4679" i="13" s="1"/>
  <c r="O4680" i="13" l="1"/>
  <c r="N4680" i="13" s="1"/>
  <c r="O4681" i="13" l="1"/>
  <c r="N4681" i="13" s="1"/>
  <c r="O4682" i="13" l="1"/>
  <c r="N4682" i="13" s="1"/>
  <c r="O4683" i="13" l="1"/>
  <c r="N4683" i="13" s="1"/>
  <c r="O4684" i="13" l="1"/>
  <c r="N4684" i="13" s="1"/>
  <c r="O4685" i="13" l="1"/>
  <c r="N4685" i="13" s="1"/>
  <c r="O4686" i="13" l="1"/>
  <c r="N4686" i="13" s="1"/>
  <c r="O4687" i="13" l="1"/>
  <c r="N4687" i="13" s="1"/>
  <c r="O4688" i="13" l="1"/>
  <c r="N4688" i="13" s="1"/>
  <c r="O4689" i="13" l="1"/>
  <c r="N4689" i="13" s="1"/>
  <c r="O4690" i="13" l="1"/>
  <c r="N4690" i="13" s="1"/>
  <c r="O4691" i="13" l="1"/>
  <c r="N4691" i="13" s="1"/>
  <c r="O4692" i="13" l="1"/>
  <c r="N4692" i="13" s="1"/>
  <c r="O4693" i="13" l="1"/>
  <c r="N4693" i="13" s="1"/>
  <c r="O4694" i="13" l="1"/>
  <c r="N4694" i="13" s="1"/>
  <c r="O4695" i="13" l="1"/>
  <c r="N4695" i="13" s="1"/>
  <c r="O4696" i="13" l="1"/>
  <c r="N4696" i="13" s="1"/>
  <c r="O4697" i="13" l="1"/>
  <c r="N4697" i="13" s="1"/>
  <c r="O4698" i="13" l="1"/>
  <c r="N4698" i="13" s="1"/>
  <c r="O4699" i="13" l="1"/>
  <c r="N4699" i="13" s="1"/>
  <c r="O4700" i="13" l="1"/>
  <c r="N4700" i="13" s="1"/>
  <c r="O4701" i="13" l="1"/>
  <c r="N4701" i="13" s="1"/>
  <c r="O4702" i="13" l="1"/>
  <c r="N4702" i="13" s="1"/>
  <c r="O4703" i="13" l="1"/>
  <c r="N4703" i="13" s="1"/>
  <c r="O4704" i="13" l="1"/>
  <c r="N4704" i="13" s="1"/>
  <c r="O4705" i="13" l="1"/>
  <c r="N4705" i="13" s="1"/>
  <c r="O4706" i="13" l="1"/>
  <c r="N4706" i="13" s="1"/>
  <c r="O4707" i="13" l="1"/>
  <c r="N4707" i="13" s="1"/>
  <c r="O4708" i="13" l="1"/>
  <c r="N4708" i="13" s="1"/>
  <c r="O4709" i="13" l="1"/>
  <c r="N4709" i="13" s="1"/>
  <c r="O4710" i="13" l="1"/>
  <c r="N4710" i="13" s="1"/>
  <c r="O4711" i="13" l="1"/>
  <c r="N4711" i="13" s="1"/>
  <c r="O4712" i="13" l="1"/>
  <c r="N4712" i="13" s="1"/>
  <c r="O4713" i="13" l="1"/>
  <c r="N4713" i="13" s="1"/>
  <c r="O4714" i="13" l="1"/>
  <c r="N4714" i="13" s="1"/>
  <c r="O4715" i="13" l="1"/>
  <c r="N4715" i="13" s="1"/>
  <c r="O4716" i="13" l="1"/>
  <c r="N4716" i="13" s="1"/>
  <c r="O4717" i="13" l="1"/>
  <c r="N4717" i="13" s="1"/>
  <c r="O4718" i="13" l="1"/>
  <c r="N4718" i="13" s="1"/>
  <c r="O4719" i="13" l="1"/>
  <c r="N4719" i="13" s="1"/>
  <c r="O4720" i="13" l="1"/>
  <c r="N4720" i="13" s="1"/>
  <c r="O4721" i="13" l="1"/>
  <c r="N4721" i="13" s="1"/>
  <c r="O4722" i="13" l="1"/>
  <c r="N4722" i="13" s="1"/>
  <c r="O4723" i="13" l="1"/>
  <c r="N4723" i="13" s="1"/>
  <c r="O4724" i="13" l="1"/>
  <c r="N4724" i="13" s="1"/>
  <c r="O4725" i="13" l="1"/>
  <c r="N4725" i="13" s="1"/>
  <c r="O4726" i="13" l="1"/>
  <c r="N4726" i="13" s="1"/>
  <c r="O4727" i="13" l="1"/>
  <c r="N4727" i="13" s="1"/>
  <c r="O4728" i="13" l="1"/>
  <c r="N4728" i="13" s="1"/>
  <c r="O4729" i="13" l="1"/>
  <c r="N4729" i="13" s="1"/>
  <c r="O4730" i="13" l="1"/>
  <c r="N4730" i="13" s="1"/>
  <c r="O4731" i="13" l="1"/>
  <c r="N4731" i="13" s="1"/>
  <c r="O4732" i="13" l="1"/>
  <c r="N4732" i="13" s="1"/>
  <c r="O4733" i="13" l="1"/>
  <c r="N4733" i="13" s="1"/>
  <c r="O4734" i="13" l="1"/>
  <c r="N4734" i="13" s="1"/>
  <c r="O4735" i="13" l="1"/>
  <c r="N4735" i="13" s="1"/>
  <c r="O4736" i="13" l="1"/>
  <c r="N4736" i="13" s="1"/>
  <c r="O4737" i="13" l="1"/>
  <c r="N4737" i="13" s="1"/>
  <c r="O4738" i="13" l="1"/>
  <c r="N4738" i="13" s="1"/>
  <c r="O4739" i="13" l="1"/>
  <c r="N4739" i="13" s="1"/>
  <c r="O4740" i="13" l="1"/>
  <c r="N4740" i="13" s="1"/>
  <c r="O4741" i="13" l="1"/>
  <c r="N4741" i="13" s="1"/>
  <c r="O4742" i="13" l="1"/>
  <c r="N4742" i="13" s="1"/>
  <c r="O4743" i="13" l="1"/>
  <c r="N4743" i="13" s="1"/>
  <c r="O4744" i="13" l="1"/>
  <c r="N4744" i="13" s="1"/>
  <c r="O4745" i="13" l="1"/>
  <c r="N4745" i="13" s="1"/>
  <c r="O4746" i="13" l="1"/>
  <c r="N4746" i="13" s="1"/>
  <c r="O4747" i="13" l="1"/>
  <c r="N4747" i="13" s="1"/>
  <c r="O4748" i="13" l="1"/>
  <c r="N4748" i="13" s="1"/>
  <c r="O4749" i="13" l="1"/>
  <c r="N4749" i="13" s="1"/>
  <c r="O4750" i="13" l="1"/>
  <c r="N4750" i="13" s="1"/>
  <c r="O4751" i="13" l="1"/>
  <c r="N4751" i="13" s="1"/>
  <c r="O4752" i="13" l="1"/>
  <c r="N4752" i="13" s="1"/>
  <c r="O4753" i="13" l="1"/>
  <c r="N4753" i="13" s="1"/>
  <c r="O4754" i="13" l="1"/>
  <c r="N4754" i="13" s="1"/>
  <c r="O4755" i="13" l="1"/>
  <c r="N4755" i="13" s="1"/>
  <c r="O4756" i="13" l="1"/>
  <c r="N4756" i="13" s="1"/>
  <c r="O4757" i="13" l="1"/>
  <c r="N4757" i="13" s="1"/>
  <c r="O4758" i="13" l="1"/>
  <c r="N4758" i="13" s="1"/>
  <c r="O4759" i="13" l="1"/>
  <c r="N4759" i="13" s="1"/>
  <c r="O4760" i="13" l="1"/>
  <c r="N4760" i="13" s="1"/>
  <c r="O4761" i="13" l="1"/>
  <c r="N4761" i="13" s="1"/>
  <c r="O4762" i="13" l="1"/>
  <c r="N4762" i="13" s="1"/>
  <c r="O4763" i="13" l="1"/>
  <c r="N4763" i="13" s="1"/>
  <c r="O4764" i="13" l="1"/>
  <c r="N4764" i="13" s="1"/>
  <c r="O4765" i="13" l="1"/>
  <c r="N4765" i="13" s="1"/>
  <c r="O4766" i="13" l="1"/>
  <c r="N4766" i="13" s="1"/>
  <c r="O4767" i="13" l="1"/>
  <c r="N4767" i="13" s="1"/>
  <c r="O4768" i="13" l="1"/>
  <c r="N4768" i="13" s="1"/>
  <c r="O4769" i="13" l="1"/>
  <c r="N4769" i="13" s="1"/>
  <c r="O4770" i="13" l="1"/>
  <c r="N4770" i="13" s="1"/>
  <c r="O4771" i="13" l="1"/>
  <c r="N4771" i="13" s="1"/>
  <c r="O4772" i="13" l="1"/>
  <c r="N4772" i="13" s="1"/>
  <c r="O4773" i="13" l="1"/>
  <c r="N4773" i="13" s="1"/>
  <c r="O4774" i="13" l="1"/>
  <c r="N4774" i="13" s="1"/>
  <c r="O4775" i="13" l="1"/>
  <c r="N4775" i="13" s="1"/>
  <c r="O4776" i="13" l="1"/>
  <c r="N4776" i="13" s="1"/>
  <c r="O4777" i="13" l="1"/>
  <c r="N4777" i="13" s="1"/>
  <c r="O4778" i="13" l="1"/>
  <c r="N4778" i="13" s="1"/>
  <c r="O4779" i="13" l="1"/>
  <c r="N4779" i="13" s="1"/>
  <c r="O4780" i="13" l="1"/>
  <c r="N4780" i="13" s="1"/>
  <c r="O4781" i="13" l="1"/>
  <c r="N4781" i="13" s="1"/>
  <c r="O4782" i="13" l="1"/>
  <c r="N4782" i="13" s="1"/>
  <c r="O4783" i="13" l="1"/>
  <c r="N4783" i="13" s="1"/>
  <c r="O4784" i="13" l="1"/>
  <c r="N4784" i="13" s="1"/>
  <c r="O4785" i="13" l="1"/>
  <c r="N4785" i="13" s="1"/>
  <c r="O4786" i="13" l="1"/>
  <c r="N4786" i="13" s="1"/>
  <c r="O4787" i="13" l="1"/>
  <c r="N4787" i="13" s="1"/>
  <c r="O4788" i="13" l="1"/>
  <c r="N4788" i="13" s="1"/>
  <c r="O4789" i="13" l="1"/>
  <c r="N4789" i="13" s="1"/>
  <c r="O4790" i="13" l="1"/>
  <c r="N4790" i="13" s="1"/>
  <c r="O4791" i="13" l="1"/>
  <c r="N4791" i="13" s="1"/>
  <c r="O4792" i="13" l="1"/>
  <c r="N4792" i="13" s="1"/>
  <c r="O4793" i="13" l="1"/>
  <c r="N4793" i="13" s="1"/>
  <c r="O4794" i="13" l="1"/>
  <c r="N4794" i="13" s="1"/>
  <c r="O4795" i="13" l="1"/>
  <c r="N4795" i="13" s="1"/>
  <c r="O4796" i="13" l="1"/>
  <c r="N4796" i="13" s="1"/>
  <c r="O4797" i="13" l="1"/>
  <c r="N4797" i="13" s="1"/>
  <c r="O4798" i="13" l="1"/>
  <c r="N4798" i="13" s="1"/>
  <c r="O4799" i="13" l="1"/>
  <c r="N4799" i="13" s="1"/>
  <c r="O4800" i="13" l="1"/>
  <c r="N4800" i="13" s="1"/>
  <c r="O4801" i="13" l="1"/>
  <c r="N4801" i="13" s="1"/>
  <c r="O4802" i="13" l="1"/>
  <c r="N4802" i="13" s="1"/>
  <c r="O4803" i="13" l="1"/>
  <c r="N4803" i="13" s="1"/>
  <c r="O4804" i="13" l="1"/>
  <c r="N4804" i="13" s="1"/>
  <c r="O4805" i="13" l="1"/>
  <c r="N4805" i="13" s="1"/>
  <c r="O4806" i="13" l="1"/>
  <c r="N4806" i="13" s="1"/>
  <c r="O4807" i="13" l="1"/>
  <c r="N4807" i="13" s="1"/>
  <c r="O4808" i="13" l="1"/>
  <c r="N4808" i="13" s="1"/>
  <c r="O4809" i="13" l="1"/>
  <c r="N4809" i="13" s="1"/>
  <c r="O4810" i="13" l="1"/>
  <c r="N4810" i="13" s="1"/>
  <c r="O4811" i="13" l="1"/>
  <c r="N4811" i="13" s="1"/>
  <c r="O4812" i="13" l="1"/>
  <c r="N4812" i="13" s="1"/>
  <c r="O4813" i="13" l="1"/>
  <c r="N4813" i="13" s="1"/>
  <c r="O4814" i="13" l="1"/>
  <c r="N4814" i="13" s="1"/>
  <c r="O4815" i="13" l="1"/>
  <c r="N4815" i="13" s="1"/>
  <c r="O4816" i="13" l="1"/>
  <c r="N4816" i="13" s="1"/>
  <c r="O4817" i="13" l="1"/>
  <c r="N4817" i="13" s="1"/>
  <c r="O4818" i="13" l="1"/>
  <c r="N4818" i="13" s="1"/>
  <c r="O4819" i="13" l="1"/>
  <c r="N4819" i="13" s="1"/>
  <c r="O4820" i="13" l="1"/>
  <c r="N4820" i="13" s="1"/>
  <c r="O4821" i="13" l="1"/>
  <c r="N4821" i="13" s="1"/>
  <c r="O4822" i="13" l="1"/>
  <c r="N4822" i="13" s="1"/>
  <c r="O4823" i="13" l="1"/>
  <c r="N4823" i="13" s="1"/>
  <c r="O4824" i="13" l="1"/>
  <c r="N4824" i="13" s="1"/>
  <c r="O4825" i="13" l="1"/>
  <c r="N4825" i="13" s="1"/>
  <c r="O4826" i="13" l="1"/>
  <c r="N4826" i="13" s="1"/>
  <c r="O4827" i="13" l="1"/>
  <c r="N4827" i="13" s="1"/>
  <c r="O4828" i="13" l="1"/>
  <c r="N4828" i="13" s="1"/>
  <c r="O4829" i="13" l="1"/>
  <c r="N4829" i="13" s="1"/>
  <c r="O4830" i="13" l="1"/>
  <c r="N4830" i="13" s="1"/>
  <c r="O4831" i="13" l="1"/>
  <c r="N4831" i="13" s="1"/>
  <c r="O4832" i="13" l="1"/>
  <c r="N4832" i="13" s="1"/>
  <c r="O4833" i="13" l="1"/>
  <c r="N4833" i="13" s="1"/>
  <c r="O4834" i="13" l="1"/>
  <c r="N4834" i="13" s="1"/>
  <c r="O4835" i="13" l="1"/>
  <c r="N4835" i="13" s="1"/>
  <c r="O4836" i="13" l="1"/>
  <c r="N4836" i="13" s="1"/>
  <c r="O4837" i="13" l="1"/>
  <c r="N4837" i="13" s="1"/>
  <c r="O4838" i="13" l="1"/>
  <c r="N4838" i="13" s="1"/>
  <c r="O4839" i="13" l="1"/>
  <c r="N4839" i="13" s="1"/>
  <c r="O4840" i="13" l="1"/>
  <c r="N4840" i="13" s="1"/>
  <c r="O4841" i="13" l="1"/>
  <c r="N4841" i="13" s="1"/>
  <c r="O4842" i="13" l="1"/>
  <c r="N4842" i="13" s="1"/>
  <c r="O4843" i="13" l="1"/>
  <c r="N4843" i="13" s="1"/>
  <c r="O4844" i="13" l="1"/>
  <c r="N4844" i="13" s="1"/>
  <c r="O4845" i="13" l="1"/>
  <c r="N4845" i="13" s="1"/>
  <c r="O4846" i="13" l="1"/>
  <c r="N4846" i="13" s="1"/>
  <c r="O4847" i="13" l="1"/>
  <c r="N4847" i="13" s="1"/>
  <c r="O4848" i="13" l="1"/>
  <c r="N4848" i="13" s="1"/>
  <c r="O4849" i="13" l="1"/>
  <c r="N4849" i="13" s="1"/>
  <c r="O4850" i="13" l="1"/>
  <c r="N4850" i="13" s="1"/>
  <c r="O4851" i="13" l="1"/>
  <c r="N4851" i="13" s="1"/>
  <c r="O4852" i="13" l="1"/>
  <c r="N4852" i="13" s="1"/>
  <c r="O4853" i="13" l="1"/>
  <c r="N4853" i="13" s="1"/>
  <c r="O4854" i="13" l="1"/>
  <c r="N4854" i="13" s="1"/>
  <c r="O4855" i="13" l="1"/>
  <c r="N4855" i="13" s="1"/>
  <c r="O4856" i="13" l="1"/>
  <c r="N4856" i="13" s="1"/>
  <c r="O4857" i="13" l="1"/>
  <c r="N4857" i="13" s="1"/>
  <c r="O4858" i="13" l="1"/>
  <c r="N4858" i="13" s="1"/>
  <c r="O4859" i="13" l="1"/>
  <c r="N4859" i="13" s="1"/>
  <c r="O4860" i="13" l="1"/>
  <c r="N4860" i="13" s="1"/>
  <c r="O4861" i="13" l="1"/>
  <c r="N4861" i="13" s="1"/>
  <c r="O4862" i="13" l="1"/>
  <c r="N4862" i="13" s="1"/>
  <c r="O4863" i="13" l="1"/>
  <c r="N4863" i="13" s="1"/>
  <c r="O4864" i="13" l="1"/>
  <c r="N4864" i="13" s="1"/>
  <c r="O4865" i="13" l="1"/>
  <c r="N4865" i="13" s="1"/>
  <c r="O4866" i="13" l="1"/>
  <c r="N4866" i="13" s="1"/>
  <c r="O4867" i="13" l="1"/>
  <c r="N4867" i="13" s="1"/>
  <c r="O4868" i="13" l="1"/>
  <c r="N4868" i="13" s="1"/>
  <c r="O4869" i="13" l="1"/>
  <c r="N4869" i="13" s="1"/>
  <c r="O4870" i="13" l="1"/>
  <c r="N4870" i="13" s="1"/>
  <c r="O4871" i="13" l="1"/>
  <c r="N4871" i="13" s="1"/>
  <c r="O4872" i="13" l="1"/>
  <c r="N4872" i="13" s="1"/>
  <c r="O4873" i="13" l="1"/>
  <c r="N4873" i="13" s="1"/>
  <c r="O4874" i="13" l="1"/>
  <c r="N4874" i="13" s="1"/>
  <c r="O4875" i="13" l="1"/>
  <c r="N4875" i="13" s="1"/>
  <c r="O4876" i="13" l="1"/>
  <c r="N4876" i="13" s="1"/>
  <c r="O4877" i="13" l="1"/>
  <c r="N4877" i="13" s="1"/>
  <c r="O4878" i="13" l="1"/>
  <c r="N4878" i="13" s="1"/>
  <c r="O4879" i="13" l="1"/>
  <c r="N4879" i="13" s="1"/>
  <c r="O4880" i="13" l="1"/>
  <c r="N4880" i="13" s="1"/>
  <c r="O4881" i="13" l="1"/>
  <c r="N4881" i="13" s="1"/>
  <c r="O4882" i="13" l="1"/>
  <c r="N4882" i="13" s="1"/>
  <c r="O4883" i="13" l="1"/>
  <c r="N4883" i="13" s="1"/>
  <c r="O4884" i="13" l="1"/>
  <c r="N4884" i="13" s="1"/>
  <c r="O4885" i="13" l="1"/>
  <c r="N4885" i="13" s="1"/>
  <c r="O4886" i="13" l="1"/>
  <c r="N4886" i="13" s="1"/>
  <c r="O4887" i="13" l="1"/>
  <c r="N4887" i="13" s="1"/>
  <c r="O4888" i="13" l="1"/>
  <c r="N4888" i="13" s="1"/>
  <c r="O4889" i="13" l="1"/>
  <c r="N4889" i="13" s="1"/>
  <c r="O4890" i="13" l="1"/>
  <c r="N4890" i="13" s="1"/>
  <c r="O4891" i="13" l="1"/>
  <c r="N4891" i="13" s="1"/>
  <c r="O4892" i="13" l="1"/>
  <c r="N4892" i="13" s="1"/>
  <c r="O4893" i="13" l="1"/>
  <c r="N4893" i="13" s="1"/>
  <c r="O4894" i="13" l="1"/>
  <c r="N4894" i="13" s="1"/>
  <c r="O4895" i="13" l="1"/>
  <c r="N4895" i="13" s="1"/>
  <c r="O4896" i="13" l="1"/>
  <c r="N4896" i="13" s="1"/>
  <c r="O4897" i="13" l="1"/>
  <c r="N4897" i="13" s="1"/>
  <c r="O4898" i="13" l="1"/>
  <c r="N4898" i="13" s="1"/>
  <c r="O4899" i="13" l="1"/>
  <c r="N4899" i="13" s="1"/>
  <c r="O4900" i="13" l="1"/>
  <c r="N4900" i="13" s="1"/>
  <c r="O4901" i="13" l="1"/>
  <c r="N4901" i="13" s="1"/>
  <c r="O4902" i="13" l="1"/>
  <c r="N4902" i="13" s="1"/>
  <c r="O4903" i="13" l="1"/>
  <c r="N4903" i="13" s="1"/>
  <c r="O4904" i="13" l="1"/>
  <c r="N4904" i="13" s="1"/>
  <c r="O4905" i="13" l="1"/>
  <c r="N4905" i="13" s="1"/>
  <c r="O4906" i="13" l="1"/>
  <c r="N4906" i="13" s="1"/>
  <c r="O4907" i="13" l="1"/>
  <c r="N4907" i="13" s="1"/>
  <c r="O4908" i="13" l="1"/>
  <c r="N4908" i="13" s="1"/>
  <c r="O4909" i="13" l="1"/>
  <c r="N4909" i="13" s="1"/>
  <c r="O4910" i="13" l="1"/>
  <c r="N4910" i="13" s="1"/>
  <c r="O4911" i="13" l="1"/>
  <c r="N4911" i="13" s="1"/>
  <c r="O4912" i="13" l="1"/>
  <c r="N4912" i="13" s="1"/>
  <c r="O4913" i="13" l="1"/>
  <c r="N4913" i="13" s="1"/>
  <c r="O4914" i="13" l="1"/>
  <c r="N4914" i="13" s="1"/>
  <c r="O4915" i="13" l="1"/>
  <c r="N4915" i="13" s="1"/>
  <c r="O4916" i="13" l="1"/>
  <c r="N4916" i="13" s="1"/>
  <c r="O4917" i="13" l="1"/>
  <c r="N4917" i="13" s="1"/>
  <c r="O4918" i="13" l="1"/>
  <c r="N4918" i="13" s="1"/>
  <c r="O4919" i="13" l="1"/>
  <c r="N4919" i="13" s="1"/>
  <c r="O4920" i="13" l="1"/>
  <c r="N4920" i="13" s="1"/>
  <c r="O4921" i="13" l="1"/>
  <c r="N4921" i="13" s="1"/>
  <c r="O4922" i="13" l="1"/>
  <c r="N4922" i="13" s="1"/>
  <c r="O4923" i="13" l="1"/>
  <c r="N4923" i="13" s="1"/>
  <c r="O4924" i="13" l="1"/>
  <c r="N4924" i="13" s="1"/>
  <c r="O4925" i="13" l="1"/>
  <c r="N4925" i="13" s="1"/>
  <c r="O4926" i="13" l="1"/>
  <c r="N4926" i="13" s="1"/>
  <c r="O4927" i="13" l="1"/>
  <c r="N4927" i="13" s="1"/>
  <c r="O4928" i="13" l="1"/>
  <c r="N4928" i="13" s="1"/>
  <c r="O4929" i="13" l="1"/>
  <c r="N4929" i="13" s="1"/>
  <c r="O4930" i="13" l="1"/>
  <c r="N4930" i="13" s="1"/>
  <c r="O4931" i="13" l="1"/>
  <c r="N4931" i="13" s="1"/>
  <c r="O4932" i="13" l="1"/>
  <c r="N4932" i="13" s="1"/>
  <c r="O4933" i="13" l="1"/>
  <c r="N4933" i="13" s="1"/>
  <c r="O4934" i="13" l="1"/>
  <c r="N4934" i="13" s="1"/>
  <c r="O4935" i="13" l="1"/>
  <c r="N4935" i="13" s="1"/>
  <c r="O4936" i="13" l="1"/>
  <c r="N4936" i="13" s="1"/>
  <c r="O4937" i="13" l="1"/>
  <c r="N4937" i="13" s="1"/>
  <c r="O4938" i="13" l="1"/>
  <c r="N4938" i="13" s="1"/>
  <c r="O4939" i="13" l="1"/>
  <c r="N4939" i="13" s="1"/>
  <c r="O4940" i="13" l="1"/>
  <c r="N4940" i="13" s="1"/>
  <c r="O4941" i="13" l="1"/>
  <c r="N4941" i="13" s="1"/>
  <c r="O4942" i="13" l="1"/>
  <c r="N4942" i="13" s="1"/>
  <c r="O4943" i="13" l="1"/>
  <c r="N4943" i="13" s="1"/>
  <c r="O4944" i="13" l="1"/>
  <c r="N4944" i="13" s="1"/>
  <c r="O4945" i="13" l="1"/>
  <c r="N4945" i="13" s="1"/>
  <c r="O4946" i="13" l="1"/>
  <c r="N4946" i="13" s="1"/>
  <c r="O4947" i="13" l="1"/>
  <c r="N4947" i="13" s="1"/>
  <c r="O4948" i="13" l="1"/>
  <c r="N4948" i="13" s="1"/>
  <c r="O4949" i="13" l="1"/>
  <c r="N4949" i="13" s="1"/>
  <c r="O4950" i="13" l="1"/>
  <c r="N4950" i="13" s="1"/>
  <c r="O4951" i="13" l="1"/>
  <c r="N4951" i="13" s="1"/>
  <c r="O4952" i="13" l="1"/>
  <c r="N4952" i="13" s="1"/>
  <c r="O4953" i="13" l="1"/>
  <c r="N4953" i="13" s="1"/>
  <c r="O4954" i="13" l="1"/>
  <c r="N4954" i="13" s="1"/>
  <c r="O4955" i="13" l="1"/>
  <c r="N4955" i="13" s="1"/>
  <c r="O4956" i="13" l="1"/>
  <c r="N4956" i="13" s="1"/>
  <c r="O4957" i="13" l="1"/>
  <c r="N4957" i="13" s="1"/>
  <c r="O4958" i="13" l="1"/>
  <c r="N4958" i="13" s="1"/>
  <c r="O4959" i="13" l="1"/>
  <c r="N4959" i="13" s="1"/>
  <c r="O4960" i="13" l="1"/>
  <c r="N4960" i="13" s="1"/>
  <c r="O4961" i="13" l="1"/>
  <c r="N4961" i="13" s="1"/>
  <c r="O4962" i="13" l="1"/>
  <c r="N4962" i="13" s="1"/>
  <c r="O4963" i="13" l="1"/>
  <c r="N4963" i="13" s="1"/>
  <c r="O4964" i="13" l="1"/>
  <c r="N4964" i="13" s="1"/>
  <c r="O4965" i="13" l="1"/>
  <c r="N4965" i="13" s="1"/>
  <c r="O4966" i="13" l="1"/>
  <c r="N4966" i="13" s="1"/>
  <c r="O4967" i="13" l="1"/>
  <c r="N4967" i="13" s="1"/>
  <c r="O4968" i="13" l="1"/>
  <c r="N4968" i="13" s="1"/>
  <c r="O4969" i="13" l="1"/>
  <c r="N4969" i="13" s="1"/>
  <c r="O4970" i="13" l="1"/>
  <c r="N4970" i="13" s="1"/>
  <c r="O4971" i="13" l="1"/>
  <c r="N4971" i="13" s="1"/>
  <c r="O4972" i="13" l="1"/>
  <c r="N4972" i="13" s="1"/>
  <c r="O4973" i="13" l="1"/>
  <c r="N4973" i="13" s="1"/>
  <c r="O4974" i="13" l="1"/>
  <c r="N4974" i="13" s="1"/>
  <c r="O4975" i="13" l="1"/>
  <c r="N4975" i="13" s="1"/>
  <c r="O4976" i="13" l="1"/>
  <c r="N4976" i="13" s="1"/>
  <c r="O4977" i="13" l="1"/>
  <c r="N4977" i="13" s="1"/>
  <c r="O4978" i="13" l="1"/>
  <c r="N4978" i="13" s="1"/>
  <c r="O4979" i="13" l="1"/>
  <c r="N4979" i="13" s="1"/>
  <c r="O4980" i="13" l="1"/>
  <c r="N4980" i="13" s="1"/>
  <c r="O4981" i="13" l="1"/>
  <c r="N4981" i="13" s="1"/>
  <c r="O4982" i="13" l="1"/>
  <c r="N4982" i="13" s="1"/>
  <c r="O4983" i="13" l="1"/>
  <c r="N4983" i="13" s="1"/>
  <c r="O4984" i="13" l="1"/>
  <c r="N4984" i="13" s="1"/>
  <c r="O4985" i="13" l="1"/>
  <c r="N4985" i="13" s="1"/>
  <c r="O4986" i="13" l="1"/>
  <c r="N4986" i="13" s="1"/>
  <c r="O4987" i="13" l="1"/>
  <c r="N4987" i="13" s="1"/>
  <c r="O4988" i="13" l="1"/>
  <c r="N4988" i="13" s="1"/>
  <c r="O4989" i="13" l="1"/>
  <c r="N4989" i="13" s="1"/>
  <c r="O4990" i="13" l="1"/>
  <c r="N4990" i="13" s="1"/>
  <c r="O4991" i="13" l="1"/>
  <c r="N4991" i="13" s="1"/>
  <c r="O4992" i="13" l="1"/>
  <c r="N4992" i="13" s="1"/>
  <c r="O4993" i="13" l="1"/>
  <c r="N4993" i="13" s="1"/>
  <c r="O4994" i="13" l="1"/>
  <c r="N4994" i="13" s="1"/>
  <c r="O4995" i="13" l="1"/>
  <c r="N4995" i="13" s="1"/>
  <c r="O4996" i="13" l="1"/>
  <c r="N4996" i="13" s="1"/>
  <c r="O4997" i="13" l="1"/>
  <c r="N4997" i="13" s="1"/>
  <c r="O4998" i="13" l="1"/>
  <c r="N4998" i="13" s="1"/>
  <c r="O4999" i="13" l="1"/>
  <c r="N4999" i="13" s="1"/>
  <c r="O5000" i="13" l="1"/>
  <c r="N5000" i="13" s="1"/>
  <c r="O5001" i="13" l="1"/>
  <c r="N5001" i="13" s="1"/>
  <c r="O5002" i="13" l="1"/>
  <c r="N5002" i="13" s="1"/>
  <c r="O5003" i="13" l="1"/>
  <c r="N5003" i="13" s="1"/>
  <c r="O5004" i="13" l="1"/>
  <c r="N5004" i="13" s="1"/>
  <c r="O5005" i="13" l="1"/>
  <c r="N5005" i="13" s="1"/>
  <c r="O5006" i="13" l="1"/>
  <c r="N5006" i="13" s="1"/>
  <c r="O5007" i="13" l="1"/>
  <c r="N5007" i="13" s="1"/>
  <c r="O5008" i="13" l="1"/>
  <c r="N5008" i="13" s="1"/>
  <c r="O5009" i="13" l="1"/>
  <c r="N5009" i="13" s="1"/>
  <c r="O5010" i="13" l="1"/>
  <c r="N5010" i="13" s="1"/>
  <c r="O5011" i="13" l="1"/>
  <c r="N5011" i="13" s="1"/>
  <c r="O5012" i="13" l="1"/>
  <c r="N5012" i="13" s="1"/>
  <c r="O5013" i="13" l="1"/>
  <c r="N5013" i="13" s="1"/>
  <c r="O5014" i="13" l="1"/>
  <c r="N5014" i="13" s="1"/>
  <c r="O5015" i="13" l="1"/>
  <c r="N5015" i="13" s="1"/>
  <c r="O5016" i="13" l="1"/>
  <c r="N5016" i="13" s="1"/>
  <c r="O5017" i="13" l="1"/>
  <c r="N5017" i="13" s="1"/>
  <c r="O5018" i="13" l="1"/>
  <c r="N5018" i="13" s="1"/>
  <c r="O5019" i="13" l="1"/>
  <c r="N5019" i="13" s="1"/>
  <c r="O5020" i="13" l="1"/>
  <c r="N5020" i="13" s="1"/>
  <c r="O5021" i="13" l="1"/>
  <c r="N5021" i="13" s="1"/>
  <c r="O5022" i="13" l="1"/>
  <c r="N5022" i="13" s="1"/>
  <c r="O5023" i="13" l="1"/>
  <c r="N5023" i="13" s="1"/>
  <c r="O5024" i="13" l="1"/>
  <c r="N5024" i="13" s="1"/>
  <c r="O5025" i="13" l="1"/>
  <c r="N5025" i="13" s="1"/>
  <c r="O5026" i="13" l="1"/>
  <c r="N5026" i="13" s="1"/>
  <c r="O5027" i="13" l="1"/>
  <c r="N5027" i="13" s="1"/>
  <c r="O5028" i="13" l="1"/>
  <c r="N5028" i="13" s="1"/>
  <c r="O5029" i="13" l="1"/>
  <c r="N5029" i="13" s="1"/>
  <c r="O5030" i="13" l="1"/>
  <c r="N5030" i="13" s="1"/>
  <c r="O5031" i="13" l="1"/>
  <c r="N5031" i="13" s="1"/>
  <c r="O5032" i="13" l="1"/>
  <c r="N5032" i="13" s="1"/>
  <c r="O5033" i="13" l="1"/>
  <c r="N5033" i="13" s="1"/>
  <c r="O5034" i="13" l="1"/>
  <c r="N5034" i="13" s="1"/>
  <c r="O5035" i="13" l="1"/>
  <c r="N5035" i="13" s="1"/>
  <c r="O5036" i="13" l="1"/>
  <c r="N5036" i="13" s="1"/>
  <c r="O5037" i="13" l="1"/>
  <c r="N5037" i="13" s="1"/>
  <c r="O5038" i="13" l="1"/>
  <c r="N5038" i="13" s="1"/>
  <c r="O5039" i="13" l="1"/>
  <c r="N5039" i="13" s="1"/>
  <c r="O5040" i="13" l="1"/>
  <c r="N5040" i="13" s="1"/>
  <c r="O5041" i="13" l="1"/>
  <c r="N5041" i="13" s="1"/>
  <c r="O5042" i="13" l="1"/>
  <c r="N5042" i="13" s="1"/>
  <c r="O5043" i="13" l="1"/>
  <c r="N5043" i="13" s="1"/>
  <c r="O5044" i="13" l="1"/>
  <c r="N5044" i="13" s="1"/>
  <c r="O5045" i="13" l="1"/>
  <c r="N5045" i="13" s="1"/>
  <c r="O5046" i="13" l="1"/>
  <c r="N5046" i="13" s="1"/>
  <c r="O5047" i="13" l="1"/>
  <c r="N5047" i="13" s="1"/>
  <c r="O5048" i="13" l="1"/>
  <c r="N5048" i="13" s="1"/>
  <c r="O5049" i="13" l="1"/>
  <c r="N5049" i="13" s="1"/>
  <c r="O5050" i="13" l="1"/>
  <c r="N5050" i="13" s="1"/>
  <c r="O5051" i="13" l="1"/>
  <c r="N5051" i="13" s="1"/>
  <c r="O5052" i="13" l="1"/>
  <c r="N5052" i="13" s="1"/>
  <c r="O5053" i="13" l="1"/>
  <c r="N5053" i="13" s="1"/>
  <c r="O5054" i="13" l="1"/>
  <c r="N5054" i="13" s="1"/>
  <c r="O5055" i="13" l="1"/>
  <c r="N5055" i="13" s="1"/>
  <c r="O5056" i="13" l="1"/>
  <c r="N5056" i="13" s="1"/>
  <c r="O5057" i="13" l="1"/>
  <c r="N5057" i="13" s="1"/>
  <c r="O5058" i="13" l="1"/>
  <c r="N5058" i="13" s="1"/>
  <c r="O5059" i="13" l="1"/>
  <c r="N5059" i="13" s="1"/>
  <c r="O5060" i="13" l="1"/>
  <c r="N5060" i="13" s="1"/>
  <c r="O5061" i="13" l="1"/>
  <c r="N5061" i="13" s="1"/>
  <c r="O5062" i="13" l="1"/>
  <c r="N5062" i="13" s="1"/>
  <c r="O5063" i="13" l="1"/>
  <c r="N5063" i="13" s="1"/>
  <c r="O5064" i="13" l="1"/>
  <c r="N5064" i="13" s="1"/>
  <c r="O5065" i="13" l="1"/>
  <c r="N5065" i="13" s="1"/>
  <c r="O5066" i="13" l="1"/>
  <c r="N5066" i="13" s="1"/>
  <c r="O5067" i="13" l="1"/>
  <c r="N5067" i="13" s="1"/>
  <c r="O5068" i="13" l="1"/>
  <c r="N5068" i="13" s="1"/>
  <c r="O5069" i="13" l="1"/>
  <c r="N5069" i="13" s="1"/>
  <c r="O5070" i="13" l="1"/>
  <c r="N5070" i="13" s="1"/>
  <c r="O5071" i="13" l="1"/>
  <c r="N5071" i="13" s="1"/>
  <c r="O5072" i="13" l="1"/>
  <c r="N5072" i="13" s="1"/>
  <c r="O5073" i="13" l="1"/>
  <c r="N5073" i="13" s="1"/>
  <c r="O5074" i="13" l="1"/>
  <c r="N5074" i="13" s="1"/>
  <c r="O5075" i="13" l="1"/>
  <c r="N5075" i="13" s="1"/>
  <c r="O5076" i="13" l="1"/>
  <c r="N5076" i="13" s="1"/>
  <c r="O5077" i="13" l="1"/>
  <c r="N5077" i="13" s="1"/>
  <c r="O5078" i="13" l="1"/>
  <c r="N5078" i="13" s="1"/>
  <c r="O5079" i="13" l="1"/>
  <c r="N5079" i="13" s="1"/>
  <c r="O5080" i="13" l="1"/>
  <c r="N5080" i="13" s="1"/>
  <c r="O5081" i="13" l="1"/>
  <c r="N5081" i="13" s="1"/>
  <c r="O5082" i="13" l="1"/>
  <c r="N5082" i="13" s="1"/>
  <c r="O5083" i="13" l="1"/>
  <c r="N5083" i="13" s="1"/>
  <c r="O5084" i="13" l="1"/>
  <c r="N5084" i="13" s="1"/>
  <c r="O5085" i="13" l="1"/>
  <c r="N5085" i="13" s="1"/>
  <c r="O5086" i="13" l="1"/>
  <c r="N5086" i="13" s="1"/>
  <c r="O5087" i="13" l="1"/>
  <c r="N5087" i="13" s="1"/>
  <c r="O5088" i="13" l="1"/>
  <c r="N5088" i="13" s="1"/>
  <c r="O5089" i="13" l="1"/>
  <c r="N5089" i="13" s="1"/>
  <c r="O5090" i="13" l="1"/>
  <c r="N5090" i="13" s="1"/>
  <c r="O5091" i="13" l="1"/>
  <c r="N5091" i="13" s="1"/>
  <c r="O5092" i="13" l="1"/>
  <c r="N5092" i="13" s="1"/>
  <c r="O5093" i="13" l="1"/>
  <c r="N5093" i="13" s="1"/>
  <c r="O5094" i="13" l="1"/>
  <c r="N5094" i="13" s="1"/>
  <c r="O5095" i="13" l="1"/>
  <c r="N5095" i="13" s="1"/>
  <c r="O5096" i="13" l="1"/>
  <c r="N5096" i="13" s="1"/>
  <c r="O5097" i="13" l="1"/>
  <c r="N5097" i="13" s="1"/>
  <c r="O5098" i="13" l="1"/>
  <c r="N5098" i="13" s="1"/>
  <c r="O5099" i="13" l="1"/>
  <c r="N5099" i="13" s="1"/>
  <c r="O5100" i="13" l="1"/>
  <c r="N5100" i="13" s="1"/>
  <c r="O5101" i="13" l="1"/>
  <c r="N5101" i="13" s="1"/>
  <c r="O5102" i="13" l="1"/>
  <c r="N5102" i="13" s="1"/>
  <c r="O5103" i="13" l="1"/>
  <c r="N5103" i="13" s="1"/>
  <c r="O5104" i="13" l="1"/>
  <c r="N5104" i="13" s="1"/>
  <c r="O5105" i="13" l="1"/>
  <c r="N5105" i="13" s="1"/>
  <c r="O5106" i="13" l="1"/>
  <c r="N5106" i="13" s="1"/>
  <c r="O5107" i="13" l="1"/>
  <c r="N5107" i="13" s="1"/>
  <c r="O5108" i="13" l="1"/>
  <c r="N5108" i="13" s="1"/>
  <c r="O5109" i="13" l="1"/>
  <c r="N5109" i="13" s="1"/>
  <c r="O5110" i="13" l="1"/>
  <c r="N5110" i="13" s="1"/>
  <c r="O5111" i="13" l="1"/>
  <c r="N5111" i="13" s="1"/>
  <c r="O5112" i="13" l="1"/>
  <c r="N5112" i="13" s="1"/>
  <c r="O5113" i="13" l="1"/>
  <c r="N5113" i="13" s="1"/>
  <c r="O5114" i="13" l="1"/>
  <c r="N5114" i="13" s="1"/>
  <c r="O5115" i="13" l="1"/>
  <c r="N5115" i="13" s="1"/>
  <c r="O5116" i="13" l="1"/>
  <c r="N5116" i="13" s="1"/>
  <c r="O5117" i="13" l="1"/>
  <c r="N5117" i="13" s="1"/>
  <c r="O5118" i="13" l="1"/>
  <c r="N5118" i="13" s="1"/>
  <c r="O5119" i="13" l="1"/>
  <c r="N5119" i="13" s="1"/>
  <c r="O5120" i="13" l="1"/>
  <c r="N5120" i="13" s="1"/>
  <c r="O5121" i="13" l="1"/>
  <c r="N5121" i="13" s="1"/>
  <c r="O5122" i="13" l="1"/>
  <c r="N5122" i="13" s="1"/>
  <c r="O5123" i="13" l="1"/>
  <c r="N5123" i="13" s="1"/>
  <c r="O5124" i="13" l="1"/>
  <c r="N5124" i="13" s="1"/>
  <c r="O5125" i="13" l="1"/>
  <c r="N5125" i="13" s="1"/>
  <c r="O5126" i="13" l="1"/>
  <c r="N5126" i="13" s="1"/>
  <c r="O5127" i="13" l="1"/>
  <c r="N5127" i="13" s="1"/>
  <c r="O5128" i="13" l="1"/>
  <c r="N5128" i="13" s="1"/>
  <c r="O5129" i="13" l="1"/>
  <c r="N5129" i="13" s="1"/>
  <c r="O5130" i="13" l="1"/>
  <c r="N5130" i="13" s="1"/>
  <c r="O5131" i="13" l="1"/>
  <c r="N5131" i="13" s="1"/>
  <c r="O5132" i="13" l="1"/>
  <c r="N5132" i="13" s="1"/>
  <c r="O5133" i="13" l="1"/>
  <c r="N5133" i="13" s="1"/>
  <c r="O5134" i="13" l="1"/>
  <c r="N5134" i="13" s="1"/>
  <c r="O5135" i="13" l="1"/>
  <c r="N5135" i="13" s="1"/>
  <c r="O5136" i="13" l="1"/>
  <c r="N5136" i="13" s="1"/>
  <c r="O5137" i="13" l="1"/>
  <c r="N5137" i="13" s="1"/>
  <c r="O5138" i="13" l="1"/>
  <c r="N5138" i="13" s="1"/>
  <c r="O5139" i="13" l="1"/>
  <c r="N5139" i="13" s="1"/>
  <c r="O5140" i="13" l="1"/>
  <c r="N5140" i="13" s="1"/>
  <c r="O5141" i="13" l="1"/>
  <c r="N5141" i="13" s="1"/>
  <c r="O5142" i="13" l="1"/>
  <c r="N5142" i="13" s="1"/>
  <c r="O5143" i="13" l="1"/>
  <c r="N5143" i="13" s="1"/>
  <c r="O5144" i="13" l="1"/>
  <c r="N5144" i="13" s="1"/>
  <c r="O5145" i="13" l="1"/>
  <c r="N5145" i="13" s="1"/>
  <c r="O5146" i="13" l="1"/>
  <c r="N5146" i="13" s="1"/>
  <c r="O5147" i="13" l="1"/>
  <c r="N5147" i="13" s="1"/>
  <c r="O5148" i="13" l="1"/>
  <c r="N5148" i="13" s="1"/>
  <c r="O5149" i="13" l="1"/>
  <c r="N5149" i="13" s="1"/>
  <c r="O5150" i="13" l="1"/>
  <c r="N5150" i="13" s="1"/>
  <c r="O5151" i="13" l="1"/>
  <c r="N5151" i="13" s="1"/>
  <c r="O5152" i="13" l="1"/>
  <c r="N5152" i="13" s="1"/>
  <c r="O5153" i="13" l="1"/>
  <c r="N5153" i="13" s="1"/>
  <c r="O5154" i="13" l="1"/>
  <c r="N5154" i="13" s="1"/>
  <c r="O5155" i="13" l="1"/>
  <c r="N5155" i="13" s="1"/>
  <c r="O5156" i="13" l="1"/>
  <c r="N5156" i="13" s="1"/>
  <c r="O5157" i="13" l="1"/>
  <c r="N5157" i="13" s="1"/>
  <c r="O5158" i="13" l="1"/>
  <c r="N5158" i="13" s="1"/>
  <c r="O5159" i="13" l="1"/>
  <c r="N5159" i="13" s="1"/>
  <c r="O5160" i="13" l="1"/>
  <c r="N5160" i="13" s="1"/>
  <c r="O5161" i="13" l="1"/>
  <c r="N5161" i="13" s="1"/>
  <c r="O5162" i="13" l="1"/>
  <c r="N5162" i="13" s="1"/>
  <c r="O5163" i="13" l="1"/>
  <c r="N5163" i="13" s="1"/>
  <c r="O5164" i="13" l="1"/>
  <c r="N5164" i="13" s="1"/>
  <c r="O5165" i="13" l="1"/>
  <c r="N5165" i="13" s="1"/>
  <c r="O5166" i="13" l="1"/>
  <c r="N5166" i="13" s="1"/>
  <c r="O5167" i="13" l="1"/>
  <c r="N5167" i="13" s="1"/>
  <c r="O5168" i="13" l="1"/>
  <c r="N5168" i="13" s="1"/>
  <c r="O5169" i="13" l="1"/>
  <c r="N5169" i="13" s="1"/>
  <c r="O5170" i="13" l="1"/>
  <c r="N5170" i="13" s="1"/>
  <c r="O5171" i="13" l="1"/>
  <c r="N5171" i="13" s="1"/>
  <c r="O5172" i="13" l="1"/>
  <c r="N5172" i="13" s="1"/>
  <c r="O5173" i="13" l="1"/>
  <c r="N5173" i="13" s="1"/>
  <c r="O5174" i="13" l="1"/>
  <c r="N5174" i="13" s="1"/>
  <c r="O5175" i="13" l="1"/>
  <c r="N5175" i="13" s="1"/>
  <c r="O5176" i="13" l="1"/>
  <c r="N5176" i="13" s="1"/>
  <c r="O5177" i="13" l="1"/>
  <c r="N5177" i="13" s="1"/>
  <c r="O5178" i="13" l="1"/>
  <c r="N5178" i="13" s="1"/>
  <c r="O5179" i="13" l="1"/>
  <c r="N5179" i="13" s="1"/>
  <c r="O5180" i="13" l="1"/>
  <c r="N5180" i="13" s="1"/>
  <c r="O5181" i="13" l="1"/>
  <c r="N5181" i="13" s="1"/>
  <c r="O5182" i="13" l="1"/>
  <c r="N5182" i="13" s="1"/>
  <c r="O5183" i="13" l="1"/>
  <c r="N5183" i="13" s="1"/>
  <c r="O5184" i="13" l="1"/>
  <c r="N5184" i="13" s="1"/>
  <c r="O5185" i="13" l="1"/>
  <c r="N5185" i="13" s="1"/>
  <c r="O5186" i="13" l="1"/>
  <c r="N5186" i="13" s="1"/>
  <c r="O5187" i="13" l="1"/>
  <c r="N5187" i="13" s="1"/>
  <c r="O5188" i="13" l="1"/>
  <c r="N5188" i="13" s="1"/>
  <c r="O5189" i="13" l="1"/>
  <c r="N5189" i="13" s="1"/>
  <c r="O5190" i="13" l="1"/>
  <c r="N5190" i="13" s="1"/>
  <c r="O5191" i="13" l="1"/>
  <c r="N5191" i="13" s="1"/>
  <c r="O5192" i="13" l="1"/>
  <c r="N5192" i="13" s="1"/>
  <c r="O5193" i="13" l="1"/>
  <c r="N5193" i="13" s="1"/>
  <c r="O5194" i="13" l="1"/>
  <c r="N5194" i="13" s="1"/>
  <c r="O5195" i="13" l="1"/>
  <c r="N5195" i="13" s="1"/>
  <c r="O5196" i="13" l="1"/>
  <c r="N5196" i="13" s="1"/>
  <c r="O5197" i="13" l="1"/>
  <c r="N5197" i="13" s="1"/>
  <c r="O5198" i="13" l="1"/>
  <c r="N5198" i="13" s="1"/>
  <c r="O5199" i="13" l="1"/>
  <c r="N5199" i="13" s="1"/>
  <c r="O5200" i="13" l="1"/>
  <c r="N5200" i="13" s="1"/>
  <c r="O5201" i="13" l="1"/>
  <c r="N5201" i="13" s="1"/>
  <c r="O5202" i="13" l="1"/>
  <c r="N5202" i="13" s="1"/>
  <c r="O5203" i="13" l="1"/>
  <c r="N5203" i="13" s="1"/>
  <c r="O5204" i="13" l="1"/>
  <c r="N5204" i="13" s="1"/>
  <c r="O5205" i="13" l="1"/>
  <c r="N5205" i="13" s="1"/>
  <c r="O5206" i="13" l="1"/>
  <c r="N5206" i="13" s="1"/>
  <c r="O5207" i="13" l="1"/>
  <c r="N5207" i="13" s="1"/>
  <c r="O5208" i="13" l="1"/>
  <c r="N5208" i="13" s="1"/>
  <c r="O5209" i="13" l="1"/>
  <c r="N5209" i="13" s="1"/>
  <c r="O5210" i="13" l="1"/>
  <c r="N5210" i="13" s="1"/>
  <c r="O5211" i="13" l="1"/>
  <c r="N5211" i="13" s="1"/>
  <c r="O5212" i="13" l="1"/>
  <c r="N5212" i="13" s="1"/>
  <c r="O5213" i="13" l="1"/>
  <c r="N5213" i="13" s="1"/>
  <c r="O5214" i="13" l="1"/>
  <c r="N5214" i="13" s="1"/>
  <c r="O5215" i="13" l="1"/>
  <c r="N5215" i="13" s="1"/>
  <c r="O5216" i="13" l="1"/>
  <c r="N5216" i="13" s="1"/>
  <c r="O5217" i="13" l="1"/>
  <c r="N5217" i="13" s="1"/>
  <c r="O5218" i="13" l="1"/>
  <c r="N5218" i="13" s="1"/>
  <c r="O5219" i="13" l="1"/>
  <c r="N5219" i="13" s="1"/>
  <c r="O5220" i="13" l="1"/>
  <c r="N5220" i="13" s="1"/>
  <c r="O5221" i="13" l="1"/>
  <c r="N5221" i="13" s="1"/>
  <c r="O5222" i="13" l="1"/>
  <c r="N5222" i="13" s="1"/>
  <c r="O5223" i="13" l="1"/>
  <c r="N5223" i="13" s="1"/>
  <c r="O5224" i="13" l="1"/>
  <c r="N5224" i="13" s="1"/>
  <c r="O5225" i="13" l="1"/>
  <c r="N5225" i="13" s="1"/>
  <c r="O5226" i="13" l="1"/>
  <c r="N5226" i="13" s="1"/>
  <c r="O5227" i="13" l="1"/>
  <c r="N5227" i="13" s="1"/>
  <c r="O5228" i="13" l="1"/>
  <c r="N5228" i="13" s="1"/>
  <c r="O5229" i="13" l="1"/>
  <c r="N5229" i="13" s="1"/>
  <c r="O5230" i="13" l="1"/>
  <c r="N5230" i="13" s="1"/>
  <c r="O5231" i="13" l="1"/>
  <c r="N5231" i="13" s="1"/>
  <c r="O5232" i="13" l="1"/>
  <c r="N5232" i="13" s="1"/>
  <c r="O5233" i="13" l="1"/>
  <c r="N5233" i="13" s="1"/>
  <c r="O5234" i="13" l="1"/>
  <c r="N5234" i="13" s="1"/>
  <c r="O5235" i="13" l="1"/>
  <c r="N5235" i="13" s="1"/>
  <c r="O5236" i="13" l="1"/>
  <c r="N5236" i="13" s="1"/>
  <c r="O5237" i="13" l="1"/>
  <c r="N5237" i="13" s="1"/>
  <c r="O5238" i="13" l="1"/>
  <c r="N5238" i="13" s="1"/>
  <c r="O5239" i="13" l="1"/>
  <c r="N5239" i="13" s="1"/>
  <c r="O5240" i="13" l="1"/>
  <c r="N5240" i="13" s="1"/>
  <c r="O5241" i="13" l="1"/>
  <c r="N5241" i="13" s="1"/>
  <c r="O5242" i="13" l="1"/>
  <c r="N5242" i="13" s="1"/>
  <c r="O5243" i="13" l="1"/>
  <c r="N5243" i="13" s="1"/>
  <c r="O5244" i="13" l="1"/>
  <c r="N5244" i="13" s="1"/>
  <c r="O5245" i="13" l="1"/>
  <c r="N5245" i="13" s="1"/>
  <c r="O5246" i="13" l="1"/>
  <c r="N5246" i="13" s="1"/>
  <c r="O5247" i="13" l="1"/>
  <c r="N5247" i="13" s="1"/>
  <c r="O5248" i="13" l="1"/>
  <c r="N5248" i="13" s="1"/>
  <c r="O5249" i="13" l="1"/>
  <c r="N5249" i="13" s="1"/>
  <c r="O5250" i="13" l="1"/>
  <c r="N5250" i="13" s="1"/>
  <c r="O5251" i="13" l="1"/>
  <c r="N5251" i="13" s="1"/>
  <c r="O5252" i="13" l="1"/>
  <c r="N5252" i="13" s="1"/>
  <c r="O5253" i="13" l="1"/>
  <c r="N5253" i="13" s="1"/>
  <c r="O5254" i="13" l="1"/>
  <c r="N5254" i="13" s="1"/>
  <c r="O5255" i="13" l="1"/>
  <c r="N5255" i="13" s="1"/>
  <c r="O5256" i="13" l="1"/>
  <c r="N5256" i="13" s="1"/>
  <c r="O5257" i="13" l="1"/>
  <c r="N5257" i="13" s="1"/>
  <c r="O5258" i="13" l="1"/>
  <c r="N5258" i="13" s="1"/>
  <c r="O5259" i="13" l="1"/>
  <c r="N5259" i="13" s="1"/>
  <c r="O5260" i="13" l="1"/>
  <c r="N5260" i="13" s="1"/>
  <c r="O5261" i="13" l="1"/>
  <c r="N5261" i="13" s="1"/>
  <c r="O5262" i="13" l="1"/>
  <c r="N5262" i="13" s="1"/>
  <c r="O5263" i="13" l="1"/>
  <c r="N5263" i="13" s="1"/>
  <c r="O5264" i="13" l="1"/>
  <c r="N5264" i="13" s="1"/>
  <c r="O5265" i="13" l="1"/>
  <c r="N5265" i="13" s="1"/>
  <c r="O5266" i="13" l="1"/>
  <c r="N5266" i="13" s="1"/>
  <c r="O5267" i="13" l="1"/>
  <c r="N5267" i="13" s="1"/>
  <c r="O5268" i="13" l="1"/>
  <c r="N5268" i="13" s="1"/>
  <c r="O5269" i="13" l="1"/>
  <c r="N5269" i="13" s="1"/>
  <c r="O5270" i="13" l="1"/>
  <c r="N5270" i="13" s="1"/>
  <c r="O5271" i="13" l="1"/>
  <c r="N5271" i="13" s="1"/>
  <c r="O5272" i="13" l="1"/>
  <c r="N5272" i="13" s="1"/>
  <c r="O5273" i="13" l="1"/>
  <c r="N5273" i="13" s="1"/>
  <c r="O5274" i="13" l="1"/>
  <c r="N5274" i="13" s="1"/>
  <c r="O5275" i="13" l="1"/>
  <c r="N5275" i="13" s="1"/>
  <c r="O5276" i="13" l="1"/>
  <c r="N5276" i="13" s="1"/>
  <c r="O5277" i="13" l="1"/>
  <c r="N5277" i="13" s="1"/>
  <c r="O5278" i="13" l="1"/>
  <c r="N5278" i="13" s="1"/>
  <c r="O5279" i="13" l="1"/>
  <c r="N5279" i="13" s="1"/>
  <c r="O5280" i="13" l="1"/>
  <c r="N5280" i="13" s="1"/>
  <c r="O5281" i="13" l="1"/>
  <c r="N5281" i="13" s="1"/>
  <c r="O5282" i="13" l="1"/>
  <c r="N5282" i="13" s="1"/>
  <c r="O5283" i="13" l="1"/>
  <c r="N5283" i="13" s="1"/>
  <c r="O5284" i="13" l="1"/>
  <c r="N5284" i="13" s="1"/>
  <c r="O5285" i="13" l="1"/>
  <c r="N5285" i="13" s="1"/>
  <c r="O5286" i="13" l="1"/>
  <c r="N5286" i="13" s="1"/>
  <c r="O5287" i="13" l="1"/>
  <c r="N5287" i="13" s="1"/>
  <c r="O5288" i="13" l="1"/>
  <c r="N5288" i="13" s="1"/>
  <c r="O5289" i="13" l="1"/>
  <c r="N5289" i="13" s="1"/>
  <c r="O5290" i="13" l="1"/>
  <c r="N5290" i="13" s="1"/>
  <c r="O5291" i="13" l="1"/>
  <c r="N5291" i="13" s="1"/>
  <c r="O5292" i="13" l="1"/>
  <c r="N5292" i="13" s="1"/>
  <c r="O5293" i="13" l="1"/>
  <c r="N5293" i="13" s="1"/>
  <c r="O5294" i="13" l="1"/>
  <c r="N5294" i="13" s="1"/>
  <c r="O5295" i="13" l="1"/>
  <c r="N5295" i="13" s="1"/>
  <c r="O5296" i="13" l="1"/>
  <c r="N5296" i="13" s="1"/>
  <c r="O5297" i="13" l="1"/>
  <c r="N5297" i="13" s="1"/>
  <c r="O5298" i="13" l="1"/>
  <c r="N5298" i="13" s="1"/>
  <c r="O5299" i="13" l="1"/>
  <c r="N5299" i="13" s="1"/>
  <c r="O5300" i="13" l="1"/>
  <c r="N5300" i="13" s="1"/>
  <c r="O5301" i="13" l="1"/>
  <c r="N5301" i="13" s="1"/>
  <c r="O5302" i="13" l="1"/>
  <c r="N5302" i="13" s="1"/>
  <c r="O5303" i="13" l="1"/>
  <c r="N5303" i="13" s="1"/>
  <c r="O5304" i="13" l="1"/>
  <c r="N5304" i="13" s="1"/>
  <c r="O5305" i="13" l="1"/>
  <c r="N5305" i="13" s="1"/>
  <c r="O5306" i="13" l="1"/>
  <c r="N5306" i="13" s="1"/>
  <c r="O5307" i="13" l="1"/>
  <c r="N5307" i="13" s="1"/>
  <c r="O5308" i="13" l="1"/>
  <c r="N5308" i="13" s="1"/>
  <c r="O5309" i="13" l="1"/>
  <c r="N5309" i="13" s="1"/>
  <c r="O5310" i="13" l="1"/>
  <c r="N5310" i="13" s="1"/>
  <c r="O5311" i="13" l="1"/>
  <c r="N5311" i="13" s="1"/>
  <c r="O5312" i="13" l="1"/>
  <c r="N5312" i="13" s="1"/>
  <c r="O5313" i="13" l="1"/>
  <c r="N5313" i="13" s="1"/>
  <c r="O5314" i="13" l="1"/>
  <c r="N5314" i="13" s="1"/>
  <c r="O5315" i="13" l="1"/>
  <c r="N5315" i="13" s="1"/>
  <c r="O5316" i="13" l="1"/>
  <c r="N5316" i="13" s="1"/>
  <c r="O5317" i="13" l="1"/>
  <c r="N5317" i="13" s="1"/>
  <c r="O5318" i="13" l="1"/>
  <c r="N5318" i="13" s="1"/>
  <c r="O5319" i="13" l="1"/>
  <c r="N5319" i="13" s="1"/>
  <c r="O5320" i="13" l="1"/>
  <c r="N5320" i="13" s="1"/>
  <c r="O5321" i="13" l="1"/>
  <c r="N5321" i="13" s="1"/>
  <c r="O5322" i="13" l="1"/>
  <c r="N5322" i="13" s="1"/>
  <c r="O5323" i="13" l="1"/>
  <c r="N5323" i="13" s="1"/>
  <c r="O5324" i="13" l="1"/>
  <c r="N5324" i="13" s="1"/>
  <c r="O5325" i="13" l="1"/>
  <c r="N5325" i="13" s="1"/>
  <c r="O5326" i="13" l="1"/>
  <c r="N5326" i="13" s="1"/>
  <c r="O5327" i="13" l="1"/>
  <c r="N5327" i="13" s="1"/>
  <c r="O5328" i="13" l="1"/>
  <c r="N5328" i="13" s="1"/>
  <c r="O5329" i="13" l="1"/>
  <c r="N5329" i="13" s="1"/>
  <c r="O5330" i="13" l="1"/>
  <c r="N5330" i="13" s="1"/>
  <c r="O5331" i="13" l="1"/>
  <c r="N5331" i="13" s="1"/>
  <c r="O5332" i="13" l="1"/>
  <c r="N5332" i="13" s="1"/>
  <c r="O5333" i="13" l="1"/>
  <c r="N5333" i="13" s="1"/>
  <c r="O5334" i="13" l="1"/>
  <c r="N5334" i="13" s="1"/>
  <c r="O5335" i="13" l="1"/>
  <c r="N5335" i="13" s="1"/>
  <c r="O5336" i="13" l="1"/>
  <c r="N5336" i="13" s="1"/>
  <c r="O5337" i="13" l="1"/>
  <c r="N5337" i="13" s="1"/>
  <c r="O5338" i="13" l="1"/>
  <c r="N5338" i="13" s="1"/>
  <c r="O5339" i="13" l="1"/>
  <c r="N5339" i="13" s="1"/>
  <c r="O5340" i="13" l="1"/>
  <c r="N5340" i="13" s="1"/>
  <c r="O5341" i="13" l="1"/>
  <c r="N5341" i="13" s="1"/>
  <c r="O5342" i="13" l="1"/>
  <c r="N5342" i="13" s="1"/>
  <c r="O5343" i="13" l="1"/>
  <c r="N5343" i="13" s="1"/>
  <c r="O5344" i="13" l="1"/>
  <c r="N5344" i="13" s="1"/>
  <c r="O5345" i="13" l="1"/>
  <c r="N5345" i="13" s="1"/>
  <c r="O5346" i="13" l="1"/>
  <c r="N5346" i="13" s="1"/>
  <c r="O5347" i="13" l="1"/>
  <c r="N5347" i="13" s="1"/>
  <c r="O5348" i="13" l="1"/>
  <c r="N5348" i="13" s="1"/>
  <c r="O5349" i="13" l="1"/>
  <c r="N5349" i="13" s="1"/>
  <c r="O5350" i="13" l="1"/>
  <c r="N5350" i="13" s="1"/>
  <c r="O5351" i="13" l="1"/>
  <c r="N5351" i="13" s="1"/>
  <c r="O5352" i="13" l="1"/>
  <c r="N5352" i="13" s="1"/>
  <c r="O5353" i="13" l="1"/>
  <c r="N5353" i="13" s="1"/>
  <c r="O5354" i="13" l="1"/>
  <c r="N5354" i="13" s="1"/>
  <c r="O5355" i="13" l="1"/>
  <c r="N5355" i="13" s="1"/>
  <c r="O5356" i="13" l="1"/>
  <c r="N5356" i="13" s="1"/>
  <c r="O5357" i="13" l="1"/>
  <c r="N5357" i="13" s="1"/>
  <c r="O5358" i="13" l="1"/>
  <c r="N5358" i="13" s="1"/>
  <c r="O5359" i="13" l="1"/>
  <c r="N5359" i="13" s="1"/>
  <c r="O5360" i="13" l="1"/>
  <c r="N5360" i="13" s="1"/>
  <c r="O5361" i="13" l="1"/>
  <c r="N5361" i="13" s="1"/>
  <c r="O5362" i="13" l="1"/>
  <c r="N5362" i="13" s="1"/>
  <c r="O5363" i="13" l="1"/>
  <c r="N5363" i="13" s="1"/>
  <c r="O5364" i="13" l="1"/>
  <c r="N5364" i="13" s="1"/>
  <c r="O5365" i="13" l="1"/>
  <c r="N5365" i="13" s="1"/>
  <c r="O5366" i="13" l="1"/>
  <c r="N5366" i="13" s="1"/>
  <c r="O5367" i="13" l="1"/>
  <c r="N5367" i="13" s="1"/>
  <c r="O5368" i="13" l="1"/>
  <c r="N5368" i="13" s="1"/>
  <c r="O5369" i="13" l="1"/>
  <c r="N5369" i="13" s="1"/>
  <c r="O5370" i="13" l="1"/>
  <c r="N5370" i="13" s="1"/>
  <c r="O5371" i="13" l="1"/>
  <c r="N5371" i="13" s="1"/>
  <c r="O5372" i="13" l="1"/>
  <c r="N5372" i="13" s="1"/>
  <c r="O5373" i="13" l="1"/>
  <c r="N5373" i="13" s="1"/>
  <c r="O5374" i="13" l="1"/>
  <c r="N5374" i="13" s="1"/>
  <c r="O5375" i="13" l="1"/>
  <c r="N5375" i="13" s="1"/>
  <c r="O5376" i="13" l="1"/>
  <c r="N5376" i="13" s="1"/>
  <c r="O5377" i="13" l="1"/>
  <c r="N5377" i="13" s="1"/>
  <c r="O5378" i="13" l="1"/>
  <c r="N5378" i="13" s="1"/>
  <c r="O5379" i="13" l="1"/>
  <c r="N5379" i="13" s="1"/>
  <c r="O5380" i="13" l="1"/>
  <c r="N5380" i="13" s="1"/>
  <c r="O5381" i="13" l="1"/>
  <c r="N5381" i="13" s="1"/>
  <c r="O5382" i="13" l="1"/>
  <c r="N5382" i="13" s="1"/>
  <c r="O5383" i="13" l="1"/>
  <c r="N5383" i="13" s="1"/>
  <c r="O5384" i="13" l="1"/>
  <c r="N5384" i="13" s="1"/>
  <c r="O5385" i="13" l="1"/>
  <c r="N5385" i="13" s="1"/>
  <c r="O5386" i="13" l="1"/>
  <c r="N5386" i="13" s="1"/>
  <c r="O5387" i="13" l="1"/>
  <c r="N5387" i="13" s="1"/>
  <c r="O5388" i="13" l="1"/>
  <c r="N5388" i="13" s="1"/>
  <c r="O5389" i="13" l="1"/>
  <c r="N5389" i="13" s="1"/>
  <c r="O5390" i="13" l="1"/>
  <c r="N5390" i="13" s="1"/>
  <c r="O5391" i="13" l="1"/>
  <c r="N5391" i="13" s="1"/>
  <c r="O5392" i="13" l="1"/>
  <c r="N5392" i="13" s="1"/>
  <c r="O5393" i="13" l="1"/>
  <c r="N5393" i="13" s="1"/>
  <c r="O5394" i="13" l="1"/>
  <c r="N5394" i="13" s="1"/>
  <c r="O5395" i="13" l="1"/>
  <c r="N5395" i="13" s="1"/>
  <c r="O5396" i="13" l="1"/>
  <c r="N5396" i="13" s="1"/>
  <c r="O5397" i="13" l="1"/>
  <c r="N5397" i="13" s="1"/>
  <c r="O5398" i="13" l="1"/>
  <c r="N5398" i="13" s="1"/>
  <c r="O5399" i="13" l="1"/>
  <c r="N5399" i="13" s="1"/>
  <c r="O5400" i="13" l="1"/>
  <c r="N5400" i="13" s="1"/>
  <c r="O5401" i="13" l="1"/>
  <c r="N5401" i="13" s="1"/>
  <c r="O5402" i="13" l="1"/>
  <c r="N5402" i="13" s="1"/>
  <c r="O5403" i="13" l="1"/>
  <c r="N5403" i="13" s="1"/>
  <c r="O5404" i="13" l="1"/>
  <c r="N5404" i="13" s="1"/>
  <c r="O5405" i="13" l="1"/>
  <c r="N5405" i="13" s="1"/>
  <c r="O5406" i="13" l="1"/>
  <c r="N5406" i="13" s="1"/>
  <c r="O5407" i="13" l="1"/>
  <c r="N5407" i="13" s="1"/>
  <c r="O5408" i="13" l="1"/>
  <c r="N5408" i="13" s="1"/>
  <c r="O5409" i="13" l="1"/>
  <c r="N5409" i="13" s="1"/>
  <c r="O5410" i="13" l="1"/>
  <c r="N5410" i="13" s="1"/>
  <c r="O5411" i="13" l="1"/>
  <c r="N5411" i="13" s="1"/>
  <c r="O5412" i="13" l="1"/>
  <c r="N5412" i="13" s="1"/>
  <c r="O5413" i="13" l="1"/>
  <c r="N5413" i="13" s="1"/>
  <c r="O5414" i="13" l="1"/>
  <c r="N5414" i="13" s="1"/>
  <c r="O5415" i="13" l="1"/>
  <c r="N5415" i="13" s="1"/>
  <c r="O5416" i="13" l="1"/>
  <c r="N5416" i="13" s="1"/>
  <c r="O5417" i="13" l="1"/>
  <c r="N5417" i="13" s="1"/>
  <c r="O5418" i="13" l="1"/>
  <c r="N5418" i="13" s="1"/>
  <c r="O5419" i="13" l="1"/>
  <c r="N5419" i="13" s="1"/>
  <c r="O5420" i="13" l="1"/>
  <c r="N5420" i="13" s="1"/>
  <c r="O5421" i="13" l="1"/>
  <c r="N5421" i="13" s="1"/>
  <c r="O5422" i="13" l="1"/>
  <c r="N5422" i="13" s="1"/>
  <c r="O5423" i="13" l="1"/>
  <c r="N5423" i="13" s="1"/>
  <c r="O5424" i="13" l="1"/>
  <c r="N5424" i="13" s="1"/>
  <c r="O5425" i="13" l="1"/>
  <c r="N5425" i="13" s="1"/>
  <c r="O5426" i="13" l="1"/>
  <c r="N5426" i="13" s="1"/>
  <c r="O5427" i="13" l="1"/>
  <c r="N5427" i="13" s="1"/>
  <c r="O5428" i="13" l="1"/>
  <c r="N5428" i="13" s="1"/>
  <c r="O5429" i="13" l="1"/>
  <c r="N5429" i="13" s="1"/>
  <c r="O5430" i="13" l="1"/>
  <c r="N5430" i="13" s="1"/>
  <c r="O5431" i="13" l="1"/>
  <c r="N5431" i="13" s="1"/>
  <c r="O5432" i="13" l="1"/>
  <c r="N5432" i="13" s="1"/>
  <c r="O5433" i="13" l="1"/>
  <c r="N5433" i="13" s="1"/>
  <c r="O5434" i="13" l="1"/>
  <c r="N5434" i="13" s="1"/>
  <c r="O5435" i="13" l="1"/>
  <c r="N5435" i="13" s="1"/>
  <c r="O5436" i="13" l="1"/>
  <c r="N5436" i="13" s="1"/>
  <c r="O5437" i="13" l="1"/>
  <c r="N5437" i="13" s="1"/>
  <c r="O5438" i="13" l="1"/>
  <c r="N5438" i="13" s="1"/>
  <c r="O5439" i="13" l="1"/>
  <c r="N5439" i="13" s="1"/>
  <c r="O5440" i="13" l="1"/>
  <c r="N5440" i="13" s="1"/>
  <c r="O5441" i="13" l="1"/>
  <c r="N5441" i="13" s="1"/>
  <c r="O5442" i="13" l="1"/>
  <c r="N5442" i="13" s="1"/>
  <c r="O5443" i="13" l="1"/>
  <c r="N5443" i="13" s="1"/>
  <c r="O5444" i="13" l="1"/>
  <c r="N5444" i="13" s="1"/>
  <c r="O5445" i="13" l="1"/>
  <c r="N5445" i="13" s="1"/>
  <c r="O5446" i="13" l="1"/>
  <c r="N5446" i="13" s="1"/>
  <c r="O5447" i="13" l="1"/>
  <c r="N5447" i="13" s="1"/>
  <c r="O5448" i="13" l="1"/>
  <c r="N5448" i="13" s="1"/>
  <c r="O5449" i="13" l="1"/>
  <c r="N5449" i="13" s="1"/>
  <c r="O5450" i="13" l="1"/>
  <c r="N5450" i="13" s="1"/>
  <c r="O5451" i="13" l="1"/>
  <c r="N5451" i="13" s="1"/>
  <c r="O5452" i="13" l="1"/>
  <c r="N5452" i="13" s="1"/>
  <c r="O5453" i="13" l="1"/>
  <c r="N5453" i="13" s="1"/>
  <c r="O5454" i="13" l="1"/>
  <c r="N5454" i="13" s="1"/>
  <c r="O5455" i="13" l="1"/>
  <c r="N5455" i="13" s="1"/>
  <c r="O5456" i="13" l="1"/>
  <c r="N5456" i="13" s="1"/>
  <c r="O5457" i="13" l="1"/>
  <c r="N5457" i="13" s="1"/>
  <c r="O5458" i="13" l="1"/>
  <c r="N5458" i="13" s="1"/>
  <c r="O5459" i="13" l="1"/>
  <c r="N5459" i="13" s="1"/>
  <c r="O5460" i="13" l="1"/>
  <c r="N5460" i="13" s="1"/>
  <c r="O5461" i="13" l="1"/>
  <c r="N5461" i="13" s="1"/>
  <c r="O5462" i="13" l="1"/>
  <c r="N5462" i="13" s="1"/>
  <c r="O5463" i="13" l="1"/>
  <c r="N5463" i="13" s="1"/>
  <c r="O5464" i="13" l="1"/>
  <c r="N5464" i="13" s="1"/>
  <c r="O5465" i="13" l="1"/>
  <c r="N5465" i="13" s="1"/>
  <c r="O5466" i="13" l="1"/>
  <c r="N5466" i="13" s="1"/>
  <c r="O5467" i="13" l="1"/>
  <c r="N5467" i="13" s="1"/>
  <c r="O5468" i="13" l="1"/>
  <c r="N5468" i="13" s="1"/>
  <c r="O5469" i="13" l="1"/>
  <c r="N5469" i="13" s="1"/>
  <c r="O5470" i="13" l="1"/>
  <c r="N5470" i="13" s="1"/>
  <c r="O5471" i="13" l="1"/>
  <c r="N5471" i="13" s="1"/>
  <c r="O5472" i="13" l="1"/>
  <c r="N5472" i="13" s="1"/>
  <c r="O5473" i="13" l="1"/>
  <c r="N5473" i="13" s="1"/>
  <c r="O5474" i="13" l="1"/>
  <c r="N5474" i="13" s="1"/>
  <c r="O5475" i="13" l="1"/>
  <c r="N5475" i="13" s="1"/>
  <c r="O5476" i="13" l="1"/>
  <c r="N5476" i="13" s="1"/>
  <c r="O5477" i="13" l="1"/>
  <c r="N5477" i="13" s="1"/>
  <c r="O5478" i="13" l="1"/>
  <c r="N5478" i="13" s="1"/>
  <c r="O5479" i="13" l="1"/>
  <c r="N5479" i="13" s="1"/>
  <c r="O5480" i="13" l="1"/>
  <c r="N5480" i="13" s="1"/>
  <c r="O5481" i="13" l="1"/>
  <c r="N5481" i="13" s="1"/>
  <c r="O5482" i="13" l="1"/>
  <c r="N5482" i="13" s="1"/>
  <c r="O5483" i="13" l="1"/>
  <c r="N5483" i="13" s="1"/>
  <c r="O5484" i="13" l="1"/>
  <c r="N5484" i="13" s="1"/>
  <c r="O5485" i="13" l="1"/>
  <c r="N5485" i="13" s="1"/>
  <c r="O5486" i="13" l="1"/>
  <c r="N5486" i="13" s="1"/>
  <c r="O5487" i="13" l="1"/>
  <c r="N5487" i="13" s="1"/>
  <c r="O5488" i="13" l="1"/>
  <c r="N5488" i="13" s="1"/>
  <c r="O5489" i="13" l="1"/>
  <c r="N5489" i="13" s="1"/>
  <c r="O5490" i="13" l="1"/>
  <c r="N5490" i="13" s="1"/>
  <c r="O5491" i="13" l="1"/>
  <c r="N5491" i="13" s="1"/>
  <c r="O5492" i="13" l="1"/>
  <c r="N5492" i="13" s="1"/>
  <c r="O5493" i="13" l="1"/>
  <c r="N5493" i="13" s="1"/>
  <c r="O5494" i="13" l="1"/>
  <c r="N5494" i="13" s="1"/>
  <c r="O5495" i="13" l="1"/>
  <c r="N5495" i="13" s="1"/>
  <c r="O5496" i="13" l="1"/>
  <c r="N5496" i="13" s="1"/>
  <c r="O5497" i="13" l="1"/>
  <c r="N5497" i="13" s="1"/>
  <c r="O5498" i="13" l="1"/>
  <c r="N5498" i="13" s="1"/>
  <c r="O5499" i="13" l="1"/>
  <c r="N5499" i="13" s="1"/>
  <c r="O5500" i="13" l="1"/>
  <c r="N5500" i="13" s="1"/>
  <c r="O5501" i="13" l="1"/>
  <c r="N5501" i="13" s="1"/>
  <c r="O5502" i="13" l="1"/>
  <c r="N5502" i="13" s="1"/>
  <c r="O5503" i="13" l="1"/>
  <c r="N5503" i="13" s="1"/>
  <c r="O5504" i="13" l="1"/>
  <c r="N5504" i="13" s="1"/>
  <c r="O5505" i="13" l="1"/>
  <c r="N5505" i="13" s="1"/>
  <c r="O5506" i="13" l="1"/>
  <c r="N5506" i="13" s="1"/>
  <c r="O5507" i="13" l="1"/>
  <c r="N5507" i="13" s="1"/>
  <c r="O5508" i="13" l="1"/>
  <c r="N5508" i="13" s="1"/>
  <c r="O5509" i="13" l="1"/>
  <c r="N5509" i="13" s="1"/>
  <c r="O5510" i="13" l="1"/>
  <c r="N5510" i="13" s="1"/>
  <c r="O5511" i="13" l="1"/>
  <c r="N5511" i="13" s="1"/>
  <c r="O5512" i="13" l="1"/>
  <c r="N5512" i="13" s="1"/>
  <c r="O5513" i="13" l="1"/>
  <c r="N5513" i="13" s="1"/>
  <c r="O5514" i="13" l="1"/>
  <c r="N5514" i="13" s="1"/>
  <c r="O5515" i="13" l="1"/>
  <c r="N5515" i="13" s="1"/>
  <c r="O5516" i="13" l="1"/>
  <c r="N5516" i="13" s="1"/>
  <c r="O5517" i="13" l="1"/>
  <c r="N5517" i="13" s="1"/>
  <c r="O5518" i="13" l="1"/>
  <c r="N5518" i="13" s="1"/>
  <c r="O5519" i="13" l="1"/>
  <c r="N5519" i="13" s="1"/>
  <c r="O5520" i="13" l="1"/>
  <c r="N5520" i="13" s="1"/>
  <c r="O5521" i="13" l="1"/>
  <c r="N5521" i="13" s="1"/>
  <c r="O5522" i="13" l="1"/>
  <c r="N5522" i="13" s="1"/>
  <c r="O5523" i="13" l="1"/>
  <c r="N5523" i="13" s="1"/>
  <c r="O5524" i="13" l="1"/>
  <c r="N5524" i="13" s="1"/>
  <c r="O5525" i="13" l="1"/>
  <c r="N5525" i="13" s="1"/>
  <c r="O5526" i="13" l="1"/>
  <c r="N5526" i="13" s="1"/>
  <c r="O5527" i="13" l="1"/>
  <c r="N5527" i="13" s="1"/>
  <c r="O5528" i="13" l="1"/>
  <c r="N5528" i="13" s="1"/>
  <c r="O5529" i="13" l="1"/>
  <c r="N5529" i="13" s="1"/>
  <c r="O5530" i="13" l="1"/>
  <c r="N5530" i="13" s="1"/>
  <c r="O5531" i="13" l="1"/>
  <c r="N5531" i="13" s="1"/>
  <c r="O5532" i="13" l="1"/>
  <c r="N5532" i="13" s="1"/>
  <c r="O5533" i="13" l="1"/>
  <c r="N5533" i="13" s="1"/>
  <c r="O5534" i="13" l="1"/>
  <c r="N5534" i="13" s="1"/>
  <c r="O5535" i="13" l="1"/>
  <c r="N5535" i="13" s="1"/>
  <c r="O5536" i="13" l="1"/>
  <c r="N5536" i="13" s="1"/>
  <c r="O5537" i="13" l="1"/>
  <c r="N5537" i="13" s="1"/>
  <c r="O5538" i="13" l="1"/>
  <c r="N5538" i="13" s="1"/>
  <c r="O5539" i="13" l="1"/>
  <c r="N5539" i="13" s="1"/>
  <c r="O5540" i="13" l="1"/>
  <c r="N5540" i="13" s="1"/>
  <c r="O5541" i="13" l="1"/>
  <c r="N5541" i="13" s="1"/>
  <c r="O5542" i="13" l="1"/>
  <c r="N5542" i="13" s="1"/>
  <c r="O5543" i="13" l="1"/>
  <c r="N5543" i="13" s="1"/>
  <c r="O5544" i="13" l="1"/>
  <c r="N5544" i="13" s="1"/>
  <c r="O5545" i="13" l="1"/>
  <c r="N5545" i="13" s="1"/>
  <c r="O5546" i="13" l="1"/>
  <c r="N5546" i="13" s="1"/>
  <c r="O5547" i="13" l="1"/>
  <c r="N5547" i="13" s="1"/>
  <c r="O5548" i="13" l="1"/>
  <c r="N5548" i="13" s="1"/>
  <c r="O5549" i="13" l="1"/>
  <c r="N5549" i="13" s="1"/>
  <c r="O5550" i="13" l="1"/>
  <c r="N5550" i="13" s="1"/>
  <c r="O5551" i="13" l="1"/>
  <c r="N5551" i="13" s="1"/>
  <c r="O5552" i="13" l="1"/>
  <c r="N5552" i="13" s="1"/>
  <c r="O5553" i="13" l="1"/>
  <c r="N5553" i="13" s="1"/>
  <c r="O5554" i="13" l="1"/>
  <c r="N5554" i="13" s="1"/>
  <c r="O5555" i="13" l="1"/>
  <c r="N5555" i="13" s="1"/>
  <c r="O5556" i="13" l="1"/>
  <c r="N5556" i="13" s="1"/>
  <c r="O5557" i="13" l="1"/>
  <c r="N5557" i="13" s="1"/>
  <c r="O5558" i="13" l="1"/>
  <c r="N5558" i="13" s="1"/>
  <c r="O5559" i="13" l="1"/>
  <c r="N5559" i="13" s="1"/>
  <c r="O5560" i="13" l="1"/>
  <c r="N5560" i="13" s="1"/>
  <c r="O5561" i="13" l="1"/>
  <c r="N5561" i="13" s="1"/>
  <c r="O5562" i="13" l="1"/>
  <c r="N5562" i="13" s="1"/>
  <c r="O5563" i="13" l="1"/>
  <c r="N5563" i="13" s="1"/>
  <c r="O5564" i="13" l="1"/>
  <c r="N5564" i="13" s="1"/>
  <c r="O5565" i="13" l="1"/>
  <c r="N5565" i="13" s="1"/>
  <c r="O5566" i="13" l="1"/>
  <c r="N5566" i="13" s="1"/>
  <c r="O5567" i="13" l="1"/>
  <c r="N5567" i="13" s="1"/>
  <c r="O5568" i="13" l="1"/>
  <c r="N5568" i="13" s="1"/>
  <c r="O5569" i="13" l="1"/>
  <c r="N5569" i="13" s="1"/>
  <c r="O5570" i="13" l="1"/>
  <c r="N5570" i="13" s="1"/>
  <c r="O5571" i="13" l="1"/>
  <c r="N5571" i="13" s="1"/>
  <c r="O5572" i="13" l="1"/>
  <c r="N5572" i="13" s="1"/>
  <c r="O5573" i="13" l="1"/>
  <c r="N5573" i="13" s="1"/>
  <c r="O5574" i="13" l="1"/>
  <c r="N5574" i="13" s="1"/>
  <c r="O5575" i="13" l="1"/>
  <c r="N5575" i="13" s="1"/>
  <c r="O5576" i="13" l="1"/>
  <c r="N5576" i="13" s="1"/>
  <c r="O5577" i="13" l="1"/>
  <c r="N5577" i="13" s="1"/>
  <c r="O5578" i="13" l="1"/>
  <c r="N5578" i="13" s="1"/>
  <c r="O5579" i="13" l="1"/>
  <c r="N5579" i="13" s="1"/>
  <c r="O5580" i="13" l="1"/>
  <c r="N5580" i="13" s="1"/>
  <c r="O5581" i="13" l="1"/>
  <c r="N5581" i="13" s="1"/>
  <c r="O5582" i="13" l="1"/>
  <c r="N5582" i="13" s="1"/>
  <c r="O5583" i="13" l="1"/>
  <c r="N5583" i="13" s="1"/>
  <c r="O5584" i="13" l="1"/>
  <c r="N5584" i="13" s="1"/>
  <c r="O5585" i="13" l="1"/>
  <c r="N5585" i="13" s="1"/>
  <c r="O5586" i="13" l="1"/>
  <c r="N5586" i="13" s="1"/>
  <c r="O5587" i="13" l="1"/>
  <c r="N5587" i="13" s="1"/>
  <c r="O5588" i="13" l="1"/>
  <c r="N5588" i="13" s="1"/>
  <c r="O5589" i="13" l="1"/>
  <c r="N5589" i="13" s="1"/>
  <c r="O5590" i="13" l="1"/>
  <c r="N5590" i="13" s="1"/>
  <c r="O5591" i="13" l="1"/>
  <c r="N5591" i="13" s="1"/>
  <c r="O5592" i="13" l="1"/>
  <c r="N5592" i="13" s="1"/>
  <c r="O5593" i="13" l="1"/>
  <c r="N5593" i="13" s="1"/>
  <c r="O5594" i="13" l="1"/>
  <c r="N5594" i="13" s="1"/>
  <c r="O5595" i="13" l="1"/>
  <c r="N5595" i="13" s="1"/>
  <c r="O5596" i="13" l="1"/>
  <c r="N5596" i="13" s="1"/>
  <c r="O5597" i="13" l="1"/>
  <c r="N5597" i="13" s="1"/>
  <c r="O5598" i="13" l="1"/>
  <c r="N5598" i="13" s="1"/>
  <c r="O5599" i="13" l="1"/>
  <c r="N5599" i="13" s="1"/>
  <c r="O5600" i="13" l="1"/>
  <c r="N5600" i="13" s="1"/>
  <c r="O5601" i="13" l="1"/>
  <c r="N5601" i="13" s="1"/>
  <c r="O5602" i="13" l="1"/>
  <c r="N5602" i="13" s="1"/>
  <c r="O5603" i="13" l="1"/>
  <c r="N5603" i="13" s="1"/>
  <c r="O5604" i="13" l="1"/>
  <c r="N5604" i="13" s="1"/>
  <c r="O5605" i="13" l="1"/>
  <c r="N5605" i="13" s="1"/>
  <c r="O5606" i="13" l="1"/>
  <c r="N5606" i="13" s="1"/>
  <c r="O5607" i="13" l="1"/>
  <c r="N5607" i="13" s="1"/>
  <c r="O5608" i="13" l="1"/>
  <c r="N5608" i="13" s="1"/>
  <c r="O5609" i="13" l="1"/>
  <c r="N5609" i="13" s="1"/>
  <c r="O5610" i="13" l="1"/>
  <c r="N5610" i="13" s="1"/>
  <c r="O5611" i="13" l="1"/>
  <c r="N5611" i="13" s="1"/>
  <c r="O5612" i="13" l="1"/>
  <c r="N5612" i="13" s="1"/>
  <c r="O5613" i="13" l="1"/>
  <c r="N5613" i="13" s="1"/>
  <c r="O5614" i="13" l="1"/>
  <c r="N5614" i="13" s="1"/>
  <c r="O5615" i="13" l="1"/>
  <c r="N5615" i="13" s="1"/>
  <c r="O5616" i="13" l="1"/>
  <c r="N5616" i="13" s="1"/>
  <c r="O5617" i="13" l="1"/>
  <c r="N5617" i="13" s="1"/>
  <c r="O5618" i="13" l="1"/>
  <c r="N5618" i="13" s="1"/>
  <c r="O5619" i="13" l="1"/>
  <c r="N5619" i="13" s="1"/>
  <c r="O5620" i="13" l="1"/>
  <c r="N5620" i="13" s="1"/>
  <c r="O5621" i="13" l="1"/>
  <c r="N5621" i="13" s="1"/>
  <c r="O5622" i="13" l="1"/>
  <c r="N5622" i="13" s="1"/>
  <c r="O5623" i="13" l="1"/>
  <c r="N5623" i="13" s="1"/>
  <c r="O5624" i="13" l="1"/>
  <c r="N5624" i="13" s="1"/>
  <c r="O5625" i="13" l="1"/>
  <c r="N5625" i="13" s="1"/>
  <c r="O5626" i="13" l="1"/>
  <c r="N5626" i="13" s="1"/>
  <c r="O5627" i="13" l="1"/>
  <c r="N5627" i="13" s="1"/>
  <c r="O5628" i="13" l="1"/>
  <c r="N5628" i="13" s="1"/>
  <c r="O5629" i="13" l="1"/>
  <c r="N5629" i="13" s="1"/>
  <c r="O5630" i="13" l="1"/>
  <c r="N5630" i="13" s="1"/>
  <c r="O5631" i="13" l="1"/>
  <c r="N5631" i="13" s="1"/>
  <c r="O5632" i="13" l="1"/>
  <c r="N5632" i="13" s="1"/>
  <c r="O5633" i="13" l="1"/>
  <c r="N5633" i="13" s="1"/>
  <c r="O5634" i="13" l="1"/>
  <c r="N5634" i="13" s="1"/>
  <c r="O5635" i="13" l="1"/>
  <c r="N5635" i="13" s="1"/>
  <c r="O5636" i="13" l="1"/>
  <c r="N5636" i="13" s="1"/>
  <c r="O5637" i="13" l="1"/>
  <c r="N5637" i="13" s="1"/>
  <c r="O5638" i="13" l="1"/>
  <c r="N5638" i="13" s="1"/>
  <c r="O5639" i="13" l="1"/>
  <c r="N5639" i="13" s="1"/>
  <c r="O5640" i="13" l="1"/>
  <c r="N5640" i="13" s="1"/>
  <c r="O5641" i="13" l="1"/>
  <c r="N5641" i="13" s="1"/>
  <c r="O5642" i="13" l="1"/>
  <c r="N5642" i="13" s="1"/>
  <c r="O5643" i="13" l="1"/>
  <c r="N5643" i="13" s="1"/>
  <c r="O5644" i="13" l="1"/>
  <c r="N5644" i="13" s="1"/>
  <c r="O5645" i="13" l="1"/>
  <c r="N5645" i="13" s="1"/>
  <c r="O5646" i="13" l="1"/>
  <c r="N5646" i="13" s="1"/>
  <c r="O5647" i="13" l="1"/>
  <c r="N5647" i="13" s="1"/>
  <c r="O5648" i="13" l="1"/>
  <c r="N5648" i="13" s="1"/>
  <c r="O5649" i="13" l="1"/>
  <c r="N5649" i="13" s="1"/>
  <c r="O5650" i="13" l="1"/>
  <c r="N5650" i="13" s="1"/>
  <c r="O5651" i="13" l="1"/>
  <c r="N5651" i="13" s="1"/>
  <c r="O5652" i="13" l="1"/>
  <c r="N5652" i="13" s="1"/>
  <c r="O5653" i="13" l="1"/>
  <c r="N5653" i="13" s="1"/>
  <c r="O5654" i="13" l="1"/>
  <c r="N5654" i="13" s="1"/>
  <c r="O5655" i="13" l="1"/>
  <c r="N5655" i="13" s="1"/>
  <c r="O5656" i="13" l="1"/>
  <c r="N5656" i="13" s="1"/>
  <c r="O5657" i="13" l="1"/>
  <c r="N5657" i="13" s="1"/>
  <c r="O5658" i="13" l="1"/>
  <c r="N5658" i="13" s="1"/>
  <c r="O5659" i="13" l="1"/>
  <c r="N5659" i="13" s="1"/>
  <c r="O5660" i="13" l="1"/>
  <c r="N5660" i="13" s="1"/>
  <c r="O5661" i="13" l="1"/>
  <c r="N5661" i="13" s="1"/>
  <c r="O5662" i="13" l="1"/>
  <c r="N5662" i="13" s="1"/>
  <c r="O5663" i="13" l="1"/>
  <c r="N5663" i="13" s="1"/>
  <c r="O5664" i="13" l="1"/>
  <c r="N5664" i="13" s="1"/>
  <c r="O5665" i="13" l="1"/>
  <c r="N5665" i="13" s="1"/>
  <c r="O5666" i="13" l="1"/>
  <c r="N5666" i="13" s="1"/>
  <c r="O5667" i="13" l="1"/>
  <c r="N5667" i="13" s="1"/>
  <c r="O5668" i="13" l="1"/>
  <c r="N5668" i="13" s="1"/>
  <c r="O5669" i="13" l="1"/>
  <c r="N5669" i="13" s="1"/>
  <c r="O5670" i="13" l="1"/>
  <c r="N5670" i="13" s="1"/>
  <c r="O5671" i="13" l="1"/>
  <c r="N5671" i="13" s="1"/>
  <c r="O5672" i="13" l="1"/>
  <c r="N5672" i="13" s="1"/>
  <c r="O5673" i="13" l="1"/>
  <c r="N5673" i="13" s="1"/>
  <c r="O5674" i="13" l="1"/>
  <c r="N5674" i="13" s="1"/>
  <c r="O5675" i="13" l="1"/>
  <c r="N5675" i="13" s="1"/>
  <c r="O5676" i="13" l="1"/>
  <c r="N5676" i="13" s="1"/>
  <c r="O5677" i="13" l="1"/>
  <c r="N5677" i="13" s="1"/>
  <c r="O5678" i="13" l="1"/>
  <c r="N5678" i="13" s="1"/>
  <c r="O5679" i="13" l="1"/>
  <c r="N5679" i="13" s="1"/>
  <c r="O5680" i="13" l="1"/>
  <c r="N5680" i="13" s="1"/>
  <c r="O5681" i="13" l="1"/>
  <c r="N5681" i="13" s="1"/>
  <c r="O5682" i="13" l="1"/>
  <c r="N5682" i="13" s="1"/>
  <c r="O5683" i="13" l="1"/>
  <c r="N5683" i="13" s="1"/>
  <c r="O5684" i="13" l="1"/>
  <c r="N5684" i="13" s="1"/>
  <c r="O5685" i="13" l="1"/>
  <c r="N5685" i="13" s="1"/>
  <c r="O5686" i="13" l="1"/>
  <c r="N5686" i="13" s="1"/>
  <c r="O5687" i="13" l="1"/>
  <c r="N5687" i="13" s="1"/>
  <c r="O5688" i="13" l="1"/>
  <c r="N5688" i="13" s="1"/>
  <c r="O5689" i="13" l="1"/>
  <c r="N5689" i="13" s="1"/>
  <c r="O5690" i="13" l="1"/>
  <c r="N5690" i="13" s="1"/>
  <c r="O5691" i="13" l="1"/>
  <c r="N5691" i="13" s="1"/>
  <c r="O5692" i="13" l="1"/>
  <c r="N5692" i="13" s="1"/>
  <c r="O5693" i="13" l="1"/>
  <c r="N5693" i="13" s="1"/>
  <c r="O5694" i="13" l="1"/>
  <c r="N5694" i="13" s="1"/>
  <c r="O5695" i="13" l="1"/>
  <c r="N5695" i="13" s="1"/>
  <c r="O5696" i="13" l="1"/>
  <c r="N5696" i="13" s="1"/>
  <c r="O5697" i="13" l="1"/>
  <c r="N5697" i="13" s="1"/>
  <c r="O5698" i="13" l="1"/>
  <c r="N5698" i="13" s="1"/>
  <c r="O5699" i="13" l="1"/>
  <c r="N5699" i="13" s="1"/>
  <c r="O5700" i="13" l="1"/>
  <c r="N5700" i="13" s="1"/>
  <c r="O5701" i="13" l="1"/>
  <c r="N5701" i="13" s="1"/>
  <c r="O5702" i="13" l="1"/>
  <c r="N5702" i="13" s="1"/>
  <c r="O5703" i="13" l="1"/>
  <c r="N5703" i="13" s="1"/>
  <c r="O5704" i="13" l="1"/>
  <c r="N5704" i="13" s="1"/>
  <c r="O5705" i="13" l="1"/>
  <c r="N5705" i="13" s="1"/>
  <c r="O5706" i="13" l="1"/>
  <c r="N5706" i="13" s="1"/>
  <c r="O5707" i="13" l="1"/>
  <c r="N5707" i="13" s="1"/>
  <c r="O5708" i="13" l="1"/>
  <c r="N5708" i="13" s="1"/>
  <c r="O5709" i="13" l="1"/>
  <c r="N5709" i="13" s="1"/>
  <c r="O5710" i="13" l="1"/>
  <c r="N5710" i="13" s="1"/>
  <c r="O5711" i="13" l="1"/>
  <c r="N5711" i="13" s="1"/>
  <c r="O5712" i="13" l="1"/>
  <c r="N5712" i="13" s="1"/>
  <c r="O5713" i="13" l="1"/>
  <c r="N5713" i="13" s="1"/>
  <c r="O5714" i="13" l="1"/>
  <c r="N5714" i="13" s="1"/>
  <c r="O5715" i="13" l="1"/>
  <c r="N5715" i="13" s="1"/>
  <c r="O5716" i="13" l="1"/>
  <c r="N5716" i="13" s="1"/>
  <c r="O5717" i="13" l="1"/>
  <c r="N5717" i="13" s="1"/>
  <c r="O5718" i="13" l="1"/>
  <c r="N5718" i="13" s="1"/>
  <c r="O5719" i="13" l="1"/>
  <c r="N5719" i="13" s="1"/>
  <c r="O5720" i="13" l="1"/>
  <c r="N5720" i="13" s="1"/>
  <c r="O5721" i="13" l="1"/>
  <c r="N5721" i="13" s="1"/>
  <c r="O5722" i="13" l="1"/>
  <c r="N5722" i="13" s="1"/>
  <c r="O5723" i="13" l="1"/>
  <c r="N5723" i="13" s="1"/>
  <c r="O5724" i="13" l="1"/>
  <c r="N5724" i="13" s="1"/>
  <c r="O5725" i="13" l="1"/>
  <c r="N5725" i="13" s="1"/>
  <c r="O5726" i="13" l="1"/>
  <c r="N5726" i="13" s="1"/>
  <c r="O5727" i="13" l="1"/>
  <c r="N5727" i="13" s="1"/>
  <c r="O5728" i="13" l="1"/>
  <c r="N5728" i="13" s="1"/>
  <c r="O5729" i="13" l="1"/>
  <c r="N5729" i="13" s="1"/>
  <c r="O5730" i="13" l="1"/>
  <c r="N5730" i="13" s="1"/>
  <c r="O5731" i="13" l="1"/>
  <c r="N5731" i="13" s="1"/>
  <c r="O5732" i="13" l="1"/>
  <c r="N5732" i="13" s="1"/>
  <c r="O5733" i="13" l="1"/>
  <c r="N5733" i="13" s="1"/>
  <c r="O5734" i="13" l="1"/>
  <c r="N5734" i="13" s="1"/>
  <c r="O5735" i="13" l="1"/>
  <c r="N5735" i="13" s="1"/>
  <c r="O5736" i="13" l="1"/>
  <c r="N5736" i="13" s="1"/>
  <c r="O5737" i="13" l="1"/>
  <c r="N5737" i="13" s="1"/>
  <c r="O5738" i="13" l="1"/>
  <c r="N5738" i="13" s="1"/>
  <c r="O5739" i="13" l="1"/>
  <c r="N5739" i="13" s="1"/>
  <c r="O5740" i="13" l="1"/>
  <c r="N5740" i="13" s="1"/>
  <c r="O5741" i="13" l="1"/>
  <c r="N5741" i="13" s="1"/>
  <c r="O5742" i="13" l="1"/>
  <c r="N5742" i="13" s="1"/>
  <c r="O5743" i="13" l="1"/>
  <c r="N5743" i="13" s="1"/>
  <c r="O5744" i="13" l="1"/>
  <c r="N5744" i="13" s="1"/>
  <c r="O5745" i="13" l="1"/>
  <c r="N5745" i="13" s="1"/>
  <c r="O5746" i="13" l="1"/>
  <c r="N5746" i="13" s="1"/>
  <c r="O5747" i="13" l="1"/>
  <c r="N5747" i="13" s="1"/>
  <c r="O5748" i="13" l="1"/>
  <c r="N5748" i="13" s="1"/>
  <c r="O5749" i="13" l="1"/>
  <c r="N5749" i="13" s="1"/>
  <c r="O5750" i="13" l="1"/>
  <c r="N5750" i="13" s="1"/>
  <c r="O5751" i="13" l="1"/>
  <c r="N5751" i="13" s="1"/>
  <c r="O5752" i="13" l="1"/>
  <c r="N5752" i="13" s="1"/>
  <c r="O5753" i="13" l="1"/>
  <c r="N5753" i="13" s="1"/>
  <c r="O5754" i="13" l="1"/>
  <c r="N5754" i="13" s="1"/>
  <c r="O5755" i="13" l="1"/>
  <c r="N5755" i="13" s="1"/>
  <c r="O5756" i="13" l="1"/>
  <c r="N5756" i="13" s="1"/>
  <c r="O5757" i="13" l="1"/>
  <c r="N5757" i="13" s="1"/>
  <c r="O5758" i="13" l="1"/>
  <c r="N5758" i="13" s="1"/>
  <c r="O5759" i="13" l="1"/>
  <c r="N5759" i="13" s="1"/>
  <c r="O5760" i="13" l="1"/>
  <c r="N5760" i="13" s="1"/>
  <c r="O5761" i="13" l="1"/>
  <c r="N5761" i="13" s="1"/>
  <c r="O5762" i="13" l="1"/>
  <c r="N5762" i="13" s="1"/>
  <c r="O5763" i="13" l="1"/>
  <c r="N5763" i="13" s="1"/>
  <c r="O5764" i="13" l="1"/>
  <c r="N5764" i="13" s="1"/>
  <c r="O5765" i="13" l="1"/>
  <c r="N5765" i="13" s="1"/>
  <c r="O5766" i="13" l="1"/>
  <c r="N5766" i="13" s="1"/>
  <c r="O5767" i="13" l="1"/>
  <c r="N5767" i="13" s="1"/>
  <c r="O5768" i="13" l="1"/>
  <c r="N5768" i="13" s="1"/>
  <c r="O5769" i="13" l="1"/>
  <c r="N5769" i="13" s="1"/>
  <c r="O5770" i="13" l="1"/>
  <c r="N5770" i="13" s="1"/>
  <c r="O5771" i="13" l="1"/>
  <c r="N5771" i="13" s="1"/>
  <c r="O5772" i="13" l="1"/>
  <c r="N5772" i="13" s="1"/>
  <c r="O5773" i="13" l="1"/>
  <c r="N5773" i="13" s="1"/>
  <c r="O5774" i="13" l="1"/>
  <c r="N5774" i="13" s="1"/>
  <c r="O5775" i="13" l="1"/>
  <c r="N5775" i="13" s="1"/>
  <c r="O5776" i="13" l="1"/>
  <c r="N5776" i="13" s="1"/>
  <c r="O5777" i="13" l="1"/>
  <c r="N5777" i="13" s="1"/>
  <c r="O5778" i="13" l="1"/>
  <c r="N5778" i="13" s="1"/>
  <c r="O5779" i="13" l="1"/>
  <c r="N5779" i="13" s="1"/>
  <c r="O5780" i="13" l="1"/>
  <c r="N5780" i="13" s="1"/>
  <c r="O5781" i="13" l="1"/>
  <c r="N5781" i="13" s="1"/>
  <c r="O5782" i="13" l="1"/>
  <c r="N5782" i="13" s="1"/>
  <c r="O5783" i="13" l="1"/>
  <c r="N5783" i="13" s="1"/>
  <c r="O5784" i="13" l="1"/>
  <c r="N5784" i="13" s="1"/>
  <c r="O5785" i="13" l="1"/>
  <c r="N5785" i="13" s="1"/>
  <c r="O5786" i="13" l="1"/>
  <c r="N5786" i="13" s="1"/>
  <c r="O5787" i="13" l="1"/>
  <c r="N5787" i="13" s="1"/>
  <c r="O5788" i="13" l="1"/>
  <c r="N5788" i="13" s="1"/>
  <c r="O5789" i="13" l="1"/>
  <c r="N5789" i="13" s="1"/>
  <c r="O5790" i="13" l="1"/>
  <c r="N5790" i="13" s="1"/>
  <c r="O5791" i="13" l="1"/>
  <c r="N5791" i="13" s="1"/>
  <c r="O5792" i="13" l="1"/>
  <c r="N5792" i="13" s="1"/>
  <c r="O5793" i="13" l="1"/>
  <c r="N5793" i="13" s="1"/>
  <c r="O5794" i="13" l="1"/>
  <c r="N5794" i="13" s="1"/>
  <c r="O5795" i="13" l="1"/>
  <c r="N5795" i="13" s="1"/>
  <c r="O5796" i="13" l="1"/>
  <c r="N5796" i="13" s="1"/>
  <c r="O5797" i="13" l="1"/>
  <c r="N5797" i="13" s="1"/>
  <c r="O5798" i="13" l="1"/>
  <c r="N5798" i="13" s="1"/>
  <c r="O5799" i="13" l="1"/>
  <c r="N5799" i="13" s="1"/>
  <c r="O5800" i="13" l="1"/>
  <c r="N5800" i="13" s="1"/>
  <c r="O5801" i="13" l="1"/>
  <c r="N5801" i="13" s="1"/>
  <c r="O5802" i="13" l="1"/>
  <c r="N5802" i="13" s="1"/>
  <c r="O5803" i="13" l="1"/>
  <c r="N5803" i="13" s="1"/>
  <c r="O5804" i="13" l="1"/>
  <c r="N5804" i="13" s="1"/>
  <c r="O5805" i="13" l="1"/>
  <c r="N5805" i="13" s="1"/>
  <c r="O5806" i="13" l="1"/>
  <c r="N5806" i="13" s="1"/>
  <c r="O5807" i="13" l="1"/>
  <c r="N5807" i="13" s="1"/>
  <c r="O5808" i="13" l="1"/>
  <c r="N5808" i="13" s="1"/>
  <c r="O5809" i="13" l="1"/>
  <c r="N5809" i="13" s="1"/>
  <c r="O5810" i="13" l="1"/>
  <c r="N5810" i="13" s="1"/>
  <c r="O5811" i="13" l="1"/>
  <c r="N5811" i="13" s="1"/>
  <c r="O5812" i="13" l="1"/>
  <c r="N5812" i="13" s="1"/>
  <c r="O5813" i="13" l="1"/>
  <c r="N5813" i="13" s="1"/>
  <c r="O5814" i="13" l="1"/>
  <c r="N5814" i="13" s="1"/>
  <c r="O5815" i="13" l="1"/>
  <c r="N5815" i="13" s="1"/>
  <c r="O5816" i="13" l="1"/>
  <c r="N5816" i="13" s="1"/>
  <c r="O5817" i="13" l="1"/>
  <c r="N5817" i="13" s="1"/>
  <c r="O5818" i="13" l="1"/>
  <c r="N5818" i="13" s="1"/>
  <c r="O5819" i="13" l="1"/>
  <c r="N5819" i="13" s="1"/>
  <c r="O5820" i="13" l="1"/>
  <c r="N5820" i="13" s="1"/>
  <c r="O5821" i="13" l="1"/>
  <c r="N5821" i="13" s="1"/>
  <c r="O5822" i="13" l="1"/>
  <c r="N5822" i="13" s="1"/>
  <c r="O5823" i="13" l="1"/>
  <c r="N5823" i="13" s="1"/>
  <c r="O5824" i="13" l="1"/>
  <c r="N5824" i="13" s="1"/>
  <c r="O5825" i="13" l="1"/>
  <c r="N5825" i="13" s="1"/>
  <c r="O5826" i="13" l="1"/>
  <c r="N5826" i="13" s="1"/>
  <c r="O5827" i="13" l="1"/>
  <c r="N5827" i="13" s="1"/>
  <c r="O5828" i="13" l="1"/>
  <c r="N5828" i="13" s="1"/>
  <c r="O5829" i="13" l="1"/>
  <c r="N5829" i="13" s="1"/>
  <c r="O5830" i="13" l="1"/>
  <c r="N5830" i="13" s="1"/>
  <c r="O5831" i="13" l="1"/>
  <c r="N5831" i="13" s="1"/>
  <c r="O5832" i="13" l="1"/>
  <c r="N5832" i="13" s="1"/>
  <c r="O5833" i="13" l="1"/>
  <c r="N5833" i="13" s="1"/>
  <c r="O5834" i="13" l="1"/>
  <c r="N5834" i="13" s="1"/>
  <c r="O5835" i="13" l="1"/>
  <c r="N5835" i="13" s="1"/>
  <c r="O5836" i="13" l="1"/>
  <c r="N5836" i="13" s="1"/>
  <c r="O5837" i="13" l="1"/>
  <c r="N5837" i="13" s="1"/>
  <c r="O5838" i="13" l="1"/>
  <c r="N5838" i="13" s="1"/>
  <c r="O5839" i="13" l="1"/>
  <c r="N5839" i="13" s="1"/>
  <c r="O5840" i="13" l="1"/>
  <c r="N5840" i="13" s="1"/>
  <c r="O5841" i="13" l="1"/>
  <c r="N5841" i="13" s="1"/>
  <c r="O5842" i="13" l="1"/>
  <c r="N5842" i="13" s="1"/>
  <c r="O5843" i="13" l="1"/>
  <c r="N5843" i="13" s="1"/>
  <c r="O5844" i="13" l="1"/>
  <c r="N5844" i="13" s="1"/>
  <c r="O5845" i="13" l="1"/>
  <c r="N5845" i="13" s="1"/>
  <c r="O5846" i="13" l="1"/>
  <c r="N5846" i="13" s="1"/>
  <c r="O5847" i="13" l="1"/>
  <c r="N5847" i="13" s="1"/>
  <c r="O5848" i="13" l="1"/>
  <c r="N5848" i="13" s="1"/>
  <c r="O5849" i="13" l="1"/>
  <c r="N5849" i="13" s="1"/>
  <c r="O5850" i="13" l="1"/>
  <c r="N5850" i="13" s="1"/>
  <c r="O5851" i="13" l="1"/>
  <c r="N5851" i="13" s="1"/>
  <c r="O5852" i="13" l="1"/>
  <c r="N5852" i="13" s="1"/>
  <c r="O5853" i="13" l="1"/>
  <c r="N5853" i="13" s="1"/>
  <c r="O5854" i="13" l="1"/>
  <c r="N5854" i="13" s="1"/>
  <c r="O5855" i="13" l="1"/>
  <c r="N5855" i="13" s="1"/>
  <c r="O5856" i="13" l="1"/>
  <c r="N5856" i="13" s="1"/>
  <c r="O5857" i="13" l="1"/>
  <c r="N5857" i="13" s="1"/>
  <c r="O5858" i="13" l="1"/>
  <c r="N5858" i="13" s="1"/>
  <c r="O5859" i="13" l="1"/>
  <c r="N5859" i="13" s="1"/>
  <c r="O5860" i="13" l="1"/>
  <c r="N5860" i="13" s="1"/>
  <c r="O5861" i="13" l="1"/>
  <c r="N5861" i="13" s="1"/>
  <c r="O5862" i="13" l="1"/>
  <c r="N5862" i="13" s="1"/>
  <c r="O5863" i="13" l="1"/>
  <c r="N5863" i="13" s="1"/>
  <c r="O5864" i="13" l="1"/>
  <c r="N5864" i="13" s="1"/>
  <c r="O5865" i="13" l="1"/>
  <c r="N5865" i="13" s="1"/>
  <c r="O5866" i="13" l="1"/>
  <c r="N5866" i="13" s="1"/>
  <c r="O5867" i="13" l="1"/>
  <c r="N5867" i="13" s="1"/>
  <c r="O5868" i="13" l="1"/>
  <c r="N5868" i="13" s="1"/>
  <c r="O5869" i="13" l="1"/>
  <c r="N5869" i="13" s="1"/>
  <c r="O5870" i="13" l="1"/>
  <c r="N5870" i="13" s="1"/>
  <c r="O5871" i="13" l="1"/>
  <c r="N5871" i="13" s="1"/>
  <c r="O5872" i="13" l="1"/>
  <c r="N5872" i="13" s="1"/>
  <c r="O5873" i="13" l="1"/>
  <c r="N5873" i="13" s="1"/>
  <c r="O5874" i="13" l="1"/>
  <c r="N5874" i="13" s="1"/>
  <c r="O5875" i="13" l="1"/>
  <c r="N5875" i="13" s="1"/>
  <c r="O5876" i="13" l="1"/>
  <c r="N5876" i="13" s="1"/>
  <c r="O5877" i="13" l="1"/>
  <c r="N5877" i="13" s="1"/>
  <c r="O5878" i="13" l="1"/>
  <c r="N5878" i="13" s="1"/>
  <c r="O5879" i="13" l="1"/>
  <c r="N5879" i="13" s="1"/>
  <c r="O5880" i="13" l="1"/>
  <c r="N5880" i="13" s="1"/>
  <c r="O5881" i="13" l="1"/>
  <c r="N5881" i="13" s="1"/>
  <c r="O5882" i="13" l="1"/>
  <c r="N5882" i="13" s="1"/>
  <c r="O5883" i="13" l="1"/>
  <c r="N5883" i="13" s="1"/>
  <c r="O5884" i="13" l="1"/>
  <c r="N5884" i="13" s="1"/>
  <c r="O5885" i="13" l="1"/>
  <c r="N5885" i="13" s="1"/>
  <c r="O5886" i="13" l="1"/>
  <c r="N5886" i="13" s="1"/>
  <c r="O5887" i="13" l="1"/>
  <c r="N5887" i="13" s="1"/>
  <c r="O5888" i="13" l="1"/>
  <c r="N5888" i="13" s="1"/>
  <c r="O5889" i="13" l="1"/>
  <c r="N5889" i="13" s="1"/>
  <c r="O5890" i="13" l="1"/>
  <c r="N5890" i="13" s="1"/>
  <c r="O5891" i="13" l="1"/>
  <c r="N5891" i="13" s="1"/>
  <c r="O5892" i="13" l="1"/>
  <c r="N5892" i="13" s="1"/>
  <c r="O5893" i="13" l="1"/>
  <c r="N5893" i="13" s="1"/>
  <c r="O5894" i="13" l="1"/>
  <c r="N5894" i="13" s="1"/>
  <c r="O5895" i="13" l="1"/>
  <c r="N5895" i="13" s="1"/>
  <c r="O5896" i="13" l="1"/>
  <c r="N5896" i="13" s="1"/>
  <c r="O5897" i="13" l="1"/>
  <c r="N5897" i="13" s="1"/>
  <c r="O5898" i="13" l="1"/>
  <c r="N5898" i="13" s="1"/>
  <c r="O5899" i="13" l="1"/>
  <c r="N5899" i="13" s="1"/>
  <c r="O5900" i="13" l="1"/>
  <c r="N5900" i="13" s="1"/>
  <c r="O5901" i="13" l="1"/>
  <c r="N5901" i="13" s="1"/>
  <c r="O5902" i="13" l="1"/>
  <c r="N5902" i="13" s="1"/>
  <c r="O5903" i="13" l="1"/>
  <c r="N5903" i="13" s="1"/>
  <c r="O5904" i="13" l="1"/>
  <c r="N5904" i="13" s="1"/>
  <c r="O5905" i="13" l="1"/>
  <c r="N5905" i="13" s="1"/>
  <c r="O5906" i="13" l="1"/>
  <c r="N5906" i="13" s="1"/>
  <c r="O5907" i="13" l="1"/>
  <c r="N5907" i="13" s="1"/>
  <c r="O5908" i="13" l="1"/>
  <c r="N5908" i="13" s="1"/>
  <c r="O5909" i="13" l="1"/>
  <c r="N5909" i="13" s="1"/>
  <c r="O5910" i="13" l="1"/>
  <c r="N5910" i="13" s="1"/>
  <c r="O5911" i="13" l="1"/>
  <c r="N5911" i="13" s="1"/>
  <c r="O5912" i="13" l="1"/>
  <c r="N5912" i="13" s="1"/>
  <c r="O5913" i="13" l="1"/>
  <c r="N5913" i="13" s="1"/>
  <c r="O5914" i="13" l="1"/>
  <c r="N5914" i="13" s="1"/>
  <c r="O5915" i="13" l="1"/>
  <c r="N5915" i="13" s="1"/>
  <c r="O5916" i="13" l="1"/>
  <c r="N5916" i="13" s="1"/>
  <c r="O5917" i="13" l="1"/>
  <c r="N5917" i="13" s="1"/>
  <c r="O5918" i="13" l="1"/>
  <c r="N5918" i="13" s="1"/>
  <c r="O5919" i="13" l="1"/>
  <c r="N5919" i="13" s="1"/>
  <c r="O5920" i="13" l="1"/>
  <c r="N5920" i="13" s="1"/>
  <c r="O5921" i="13" l="1"/>
  <c r="N5921" i="13" s="1"/>
  <c r="O5922" i="13" l="1"/>
  <c r="N5922" i="13" s="1"/>
  <c r="O5923" i="13" l="1"/>
  <c r="N5923" i="13" s="1"/>
  <c r="O5924" i="13" l="1"/>
  <c r="N5924" i="13" s="1"/>
  <c r="O5925" i="13" l="1"/>
  <c r="N5925" i="13" s="1"/>
  <c r="O5926" i="13" l="1"/>
  <c r="N5926" i="13" s="1"/>
  <c r="O5927" i="13" l="1"/>
  <c r="N5927" i="13" s="1"/>
  <c r="O5928" i="13" l="1"/>
  <c r="N5928" i="13" s="1"/>
  <c r="O5929" i="13" l="1"/>
  <c r="N5929" i="13" s="1"/>
  <c r="O5930" i="13" l="1"/>
  <c r="N5930" i="13" s="1"/>
  <c r="O5931" i="13" l="1"/>
  <c r="N5931" i="13" s="1"/>
  <c r="O5932" i="13" l="1"/>
  <c r="N5932" i="13" s="1"/>
  <c r="O5933" i="13" l="1"/>
  <c r="N5933" i="13" s="1"/>
  <c r="O5934" i="13" l="1"/>
  <c r="N5934" i="13" s="1"/>
  <c r="O5935" i="13" l="1"/>
  <c r="N5935" i="13" s="1"/>
  <c r="O5936" i="13" l="1"/>
  <c r="N5936" i="13" s="1"/>
  <c r="O5937" i="13" l="1"/>
  <c r="N5937" i="13" s="1"/>
  <c r="O5938" i="13" l="1"/>
  <c r="N5938" i="13" s="1"/>
  <c r="O5939" i="13" l="1"/>
  <c r="N5939" i="13" s="1"/>
  <c r="O5940" i="13" l="1"/>
  <c r="N5940" i="13" s="1"/>
  <c r="O5941" i="13" l="1"/>
  <c r="N5941" i="13" s="1"/>
  <c r="O5942" i="13" l="1"/>
  <c r="N5942" i="13" s="1"/>
  <c r="O5943" i="13" l="1"/>
  <c r="N5943" i="13" s="1"/>
  <c r="O5944" i="13" l="1"/>
  <c r="N5944" i="13" s="1"/>
  <c r="O5945" i="13" l="1"/>
  <c r="N5945" i="13" s="1"/>
  <c r="O5946" i="13" l="1"/>
  <c r="N5946" i="13" s="1"/>
  <c r="O5947" i="13" l="1"/>
  <c r="N5947" i="13" s="1"/>
  <c r="O5948" i="13" l="1"/>
  <c r="N5948" i="13" s="1"/>
  <c r="O5949" i="13" l="1"/>
  <c r="N5949" i="13" s="1"/>
  <c r="O5950" i="13" l="1"/>
  <c r="N5950" i="13" s="1"/>
  <c r="O5951" i="13" l="1"/>
  <c r="N5951" i="13" s="1"/>
  <c r="O5952" i="13" l="1"/>
  <c r="N5952" i="13" s="1"/>
  <c r="O5953" i="13" l="1"/>
  <c r="N5953" i="13" s="1"/>
  <c r="O5954" i="13" l="1"/>
  <c r="N5954" i="13" s="1"/>
  <c r="O5955" i="13" l="1"/>
  <c r="N5955" i="13" s="1"/>
  <c r="O5956" i="13" l="1"/>
  <c r="N5956" i="13" s="1"/>
  <c r="O5957" i="13" l="1"/>
  <c r="N5957" i="13" s="1"/>
  <c r="O5958" i="13" l="1"/>
  <c r="N5958" i="13" s="1"/>
  <c r="O5959" i="13" l="1"/>
  <c r="N5959" i="13" s="1"/>
  <c r="O5960" i="13" l="1"/>
  <c r="N5960" i="13" s="1"/>
  <c r="O5961" i="13" l="1"/>
  <c r="N5961" i="13" s="1"/>
  <c r="O5962" i="13" l="1"/>
  <c r="N5962" i="13" s="1"/>
  <c r="O5963" i="13" l="1"/>
  <c r="N5963" i="13" s="1"/>
  <c r="O5964" i="13" l="1"/>
  <c r="N5964" i="13" s="1"/>
  <c r="O5965" i="13" l="1"/>
  <c r="N5965" i="13" s="1"/>
  <c r="O5966" i="13" l="1"/>
  <c r="N5966" i="13" s="1"/>
  <c r="O5967" i="13" l="1"/>
  <c r="N5967" i="13" s="1"/>
  <c r="O5968" i="13" l="1"/>
  <c r="N5968" i="13" s="1"/>
  <c r="O5969" i="13" l="1"/>
  <c r="N5969" i="13" s="1"/>
  <c r="O5970" i="13" l="1"/>
  <c r="N5970" i="13" s="1"/>
  <c r="O5971" i="13" l="1"/>
  <c r="N5971" i="13" s="1"/>
  <c r="O5972" i="13" l="1"/>
  <c r="N5972" i="13" s="1"/>
  <c r="O5973" i="13" l="1"/>
  <c r="N5973" i="13" s="1"/>
  <c r="O5974" i="13" l="1"/>
  <c r="N5974" i="13" s="1"/>
  <c r="O5975" i="13" l="1"/>
  <c r="N5975" i="13" s="1"/>
  <c r="O5976" i="13" l="1"/>
  <c r="N5976" i="13" s="1"/>
  <c r="O5977" i="13" l="1"/>
  <c r="N5977" i="13" s="1"/>
  <c r="O5978" i="13" l="1"/>
  <c r="N5978" i="13" s="1"/>
  <c r="O5979" i="13" l="1"/>
  <c r="N5979" i="13" s="1"/>
  <c r="O5980" i="13" l="1"/>
  <c r="N5980" i="13" s="1"/>
  <c r="O5981" i="13" l="1"/>
  <c r="N5981" i="13" s="1"/>
  <c r="O5982" i="13" l="1"/>
  <c r="N5982" i="13" s="1"/>
  <c r="O5983" i="13" l="1"/>
  <c r="N5983" i="13" s="1"/>
  <c r="O5984" i="13" l="1"/>
  <c r="N5984" i="13" s="1"/>
  <c r="O5985" i="13" l="1"/>
  <c r="N5985" i="13" s="1"/>
  <c r="O5986" i="13" l="1"/>
  <c r="N5986" i="13" s="1"/>
  <c r="O5987" i="13" l="1"/>
  <c r="N5987" i="13" s="1"/>
  <c r="O5988" i="13" l="1"/>
  <c r="N5988" i="13" s="1"/>
  <c r="O5989" i="13" l="1"/>
  <c r="N5989" i="13" s="1"/>
  <c r="O5990" i="13" l="1"/>
  <c r="N5990" i="13" s="1"/>
  <c r="O5991" i="13" l="1"/>
  <c r="N5991" i="13" s="1"/>
  <c r="O5992" i="13" l="1"/>
  <c r="N5992" i="13" s="1"/>
  <c r="O5993" i="13" l="1"/>
  <c r="N5993" i="13" s="1"/>
  <c r="O5994" i="13" l="1"/>
  <c r="N5994" i="13" s="1"/>
  <c r="O5995" i="13" l="1"/>
  <c r="N5995" i="13" s="1"/>
  <c r="O5996" i="13" l="1"/>
  <c r="N5996" i="13" s="1"/>
  <c r="O5997" i="13" l="1"/>
  <c r="N5997" i="13" s="1"/>
  <c r="O5998" i="13" l="1"/>
  <c r="N5998" i="13" s="1"/>
  <c r="O5999" i="13" l="1"/>
  <c r="N5999" i="13" s="1"/>
  <c r="O6000" i="13" l="1"/>
  <c r="N6000" i="13" s="1"/>
  <c r="O6001" i="13" l="1"/>
  <c r="N6001" i="13" s="1"/>
  <c r="O6002" i="13" l="1"/>
  <c r="N6002" i="13" s="1"/>
  <c r="O6003" i="13" l="1"/>
  <c r="N6003" i="13" s="1"/>
  <c r="O6004" i="13" l="1"/>
  <c r="N6004" i="13" s="1"/>
  <c r="O6005" i="13" l="1"/>
  <c r="N6005" i="13" s="1"/>
  <c r="O6006" i="13" l="1"/>
  <c r="N6006" i="13" s="1"/>
  <c r="O6007" i="13" l="1"/>
  <c r="N6007" i="13" s="1"/>
  <c r="O6008" i="13" l="1"/>
  <c r="N6008" i="13" s="1"/>
  <c r="O6009" i="13" l="1"/>
  <c r="N6009" i="13" s="1"/>
  <c r="O6010" i="13" l="1"/>
  <c r="N6010" i="13" s="1"/>
  <c r="O6011" i="13" l="1"/>
  <c r="N6011" i="13" s="1"/>
  <c r="O6012" i="13" l="1"/>
  <c r="N6012" i="13" s="1"/>
  <c r="O6013" i="13" l="1"/>
  <c r="N6013" i="13" s="1"/>
  <c r="O6014" i="13" l="1"/>
  <c r="N6014" i="13" s="1"/>
  <c r="O6015" i="13" l="1"/>
  <c r="N6015" i="13" s="1"/>
  <c r="O6016" i="13" l="1"/>
  <c r="N6016" i="13" s="1"/>
  <c r="O6017" i="13" l="1"/>
  <c r="N6017" i="13" s="1"/>
  <c r="O6018" i="13" l="1"/>
  <c r="N6018" i="13" s="1"/>
  <c r="O6019" i="13" l="1"/>
  <c r="N6019" i="13" s="1"/>
  <c r="O6020" i="13" l="1"/>
  <c r="N6020" i="13" s="1"/>
  <c r="O6021" i="13" l="1"/>
  <c r="N6021" i="13" s="1"/>
  <c r="O6022" i="13" l="1"/>
  <c r="N6022" i="13" s="1"/>
  <c r="O6023" i="13" l="1"/>
  <c r="N6023" i="13" s="1"/>
  <c r="O6024" i="13" l="1"/>
  <c r="N6024" i="13" s="1"/>
  <c r="O6025" i="13" l="1"/>
  <c r="N6025" i="13" s="1"/>
  <c r="O6026" i="13" l="1"/>
  <c r="N6026" i="13" s="1"/>
  <c r="O6027" i="13" l="1"/>
  <c r="N6027" i="13" s="1"/>
  <c r="O6028" i="13" l="1"/>
  <c r="N6028" i="13" s="1"/>
  <c r="O6029" i="13" l="1"/>
  <c r="N6029" i="13" s="1"/>
  <c r="O6030" i="13" l="1"/>
  <c r="N6030" i="13" s="1"/>
  <c r="O6031" i="13" l="1"/>
  <c r="N6031" i="13" s="1"/>
  <c r="O6032" i="13" l="1"/>
  <c r="N6032" i="13" s="1"/>
  <c r="O6033" i="13" l="1"/>
  <c r="N6033" i="13" s="1"/>
  <c r="O6034" i="13" l="1"/>
  <c r="N6034" i="13" s="1"/>
  <c r="O6035" i="13" l="1"/>
  <c r="N6035" i="13" s="1"/>
  <c r="O6036" i="13" l="1"/>
  <c r="N6036" i="13" s="1"/>
  <c r="O6037" i="13" l="1"/>
  <c r="N6037" i="13" s="1"/>
  <c r="O6038" i="13" l="1"/>
  <c r="N6038" i="13" s="1"/>
  <c r="O6039" i="13" l="1"/>
  <c r="N6039" i="13" s="1"/>
  <c r="O6040" i="13" l="1"/>
  <c r="N6040" i="13" s="1"/>
  <c r="O6041" i="13" l="1"/>
  <c r="N6041" i="13" s="1"/>
  <c r="O6042" i="13" l="1"/>
  <c r="N6042" i="13" s="1"/>
  <c r="O6043" i="13" l="1"/>
  <c r="N6043" i="13" s="1"/>
  <c r="O6044" i="13" l="1"/>
  <c r="N6044" i="13" s="1"/>
  <c r="O6045" i="13" l="1"/>
  <c r="N6045" i="13" s="1"/>
  <c r="O6046" i="13" l="1"/>
  <c r="N6046" i="13" s="1"/>
  <c r="O6047" i="13" l="1"/>
  <c r="N6047" i="13" s="1"/>
  <c r="O6048" i="13" l="1"/>
  <c r="N6048" i="13" s="1"/>
  <c r="O6049" i="13" l="1"/>
  <c r="N6049" i="13" s="1"/>
  <c r="O6050" i="13" l="1"/>
  <c r="N6050" i="13" s="1"/>
  <c r="O6051" i="13" l="1"/>
  <c r="N6051" i="13" s="1"/>
  <c r="O6052" i="13" l="1"/>
  <c r="N6052" i="13" s="1"/>
  <c r="O6053" i="13" l="1"/>
  <c r="N6053" i="13" s="1"/>
  <c r="O6054" i="13" l="1"/>
  <c r="N6054" i="13" s="1"/>
  <c r="O6055" i="13" l="1"/>
  <c r="N6055" i="13" s="1"/>
  <c r="O6056" i="13" l="1"/>
  <c r="N6056" i="13" s="1"/>
  <c r="O6057" i="13" l="1"/>
  <c r="N6057" i="13" s="1"/>
  <c r="O6058" i="13" l="1"/>
  <c r="N6058" i="13" s="1"/>
  <c r="O6059" i="13" l="1"/>
  <c r="N6059" i="13" s="1"/>
  <c r="O6060" i="13" l="1"/>
  <c r="N6060" i="13" s="1"/>
  <c r="O6061" i="13" l="1"/>
  <c r="N6061" i="13" s="1"/>
  <c r="O6062" i="13" l="1"/>
  <c r="N6062" i="13" s="1"/>
  <c r="O6063" i="13" l="1"/>
  <c r="N6063" i="13" s="1"/>
  <c r="O6064" i="13" l="1"/>
  <c r="N6064" i="13" s="1"/>
  <c r="O6065" i="13" l="1"/>
  <c r="N6065" i="13" s="1"/>
  <c r="O6066" i="13" l="1"/>
  <c r="N6066" i="13" s="1"/>
  <c r="O6067" i="13" l="1"/>
  <c r="N6067" i="13" s="1"/>
  <c r="O6068" i="13" l="1"/>
  <c r="N6068" i="13" s="1"/>
  <c r="O6069" i="13" l="1"/>
  <c r="N6069" i="13" s="1"/>
  <c r="O6070" i="13" l="1"/>
  <c r="N6070" i="13" s="1"/>
  <c r="O6071" i="13" l="1"/>
  <c r="N6071" i="13" s="1"/>
  <c r="O6072" i="13" l="1"/>
  <c r="N6072" i="13" s="1"/>
  <c r="O6073" i="13" l="1"/>
  <c r="N6073" i="13" s="1"/>
  <c r="O6074" i="13" l="1"/>
  <c r="N6074" i="13" s="1"/>
  <c r="O6075" i="13" l="1"/>
  <c r="N6075" i="13" s="1"/>
  <c r="O6076" i="13" l="1"/>
  <c r="N6076" i="13" s="1"/>
  <c r="O6077" i="13" l="1"/>
  <c r="N6077" i="13" s="1"/>
  <c r="O6078" i="13" l="1"/>
  <c r="N6078" i="13" s="1"/>
  <c r="O6079" i="13" l="1"/>
  <c r="N6079" i="13" s="1"/>
  <c r="O6080" i="13" l="1"/>
  <c r="N6080" i="13" s="1"/>
  <c r="O6081" i="13" l="1"/>
  <c r="N6081" i="13" s="1"/>
  <c r="O6082" i="13" l="1"/>
  <c r="N6082" i="13" s="1"/>
  <c r="O6083" i="13" l="1"/>
  <c r="N6083" i="13" s="1"/>
  <c r="O6084" i="13" l="1"/>
  <c r="N6084" i="13" s="1"/>
  <c r="O6085" i="13" l="1"/>
  <c r="N6085" i="13" s="1"/>
  <c r="O6086" i="13" l="1"/>
  <c r="N6086" i="13" s="1"/>
  <c r="O6087" i="13" l="1"/>
  <c r="N6087" i="13" s="1"/>
  <c r="O6088" i="13" l="1"/>
  <c r="N6088" i="13" s="1"/>
  <c r="O6089" i="13" l="1"/>
  <c r="N6089" i="13" s="1"/>
  <c r="O6090" i="13" l="1"/>
  <c r="N6090" i="13" s="1"/>
  <c r="O6091" i="13" l="1"/>
  <c r="N6091" i="13" s="1"/>
  <c r="O6092" i="13" l="1"/>
  <c r="N6092" i="13" s="1"/>
  <c r="O6093" i="13" l="1"/>
  <c r="N6093" i="13" s="1"/>
  <c r="O6094" i="13" l="1"/>
  <c r="N6094" i="13" s="1"/>
  <c r="O6095" i="13" l="1"/>
  <c r="N6095" i="13" s="1"/>
  <c r="O6096" i="13" l="1"/>
  <c r="N6096" i="13" s="1"/>
  <c r="O6097" i="13" l="1"/>
  <c r="N6097" i="13" s="1"/>
  <c r="O6098" i="13" l="1"/>
  <c r="N6098" i="13" s="1"/>
  <c r="O6099" i="13" l="1"/>
  <c r="N6099" i="13" s="1"/>
  <c r="O6100" i="13" l="1"/>
  <c r="N6100" i="13" s="1"/>
  <c r="O6101" i="13" l="1"/>
  <c r="N6101" i="13" s="1"/>
  <c r="O6102" i="13" l="1"/>
  <c r="N6102" i="13" s="1"/>
  <c r="O6103" i="13" l="1"/>
  <c r="N6103" i="13" s="1"/>
  <c r="O6104" i="13" l="1"/>
  <c r="N6104" i="13" s="1"/>
  <c r="O6105" i="13" l="1"/>
  <c r="N6105" i="13" s="1"/>
  <c r="O6106" i="13" l="1"/>
  <c r="N6106" i="13" s="1"/>
  <c r="O6107" i="13" l="1"/>
  <c r="N6107" i="13" s="1"/>
  <c r="O6108" i="13" l="1"/>
  <c r="N6108" i="13" s="1"/>
  <c r="O6109" i="13" l="1"/>
  <c r="N6109" i="13" s="1"/>
  <c r="O6110" i="13" l="1"/>
  <c r="N6110" i="13" s="1"/>
  <c r="O6111" i="13" l="1"/>
  <c r="N6111" i="13" s="1"/>
  <c r="O6112" i="13" l="1"/>
  <c r="N6112" i="13" s="1"/>
  <c r="O6113" i="13" l="1"/>
  <c r="N6113" i="13" s="1"/>
  <c r="O6114" i="13" l="1"/>
  <c r="N6114" i="13" s="1"/>
  <c r="O6115" i="13" l="1"/>
  <c r="N6115" i="13" s="1"/>
  <c r="O6116" i="13" l="1"/>
  <c r="N6116" i="13" s="1"/>
  <c r="O6117" i="13" l="1"/>
  <c r="N6117" i="13" s="1"/>
  <c r="O6118" i="13" l="1"/>
  <c r="N6118" i="13" s="1"/>
  <c r="O6119" i="13" l="1"/>
  <c r="N6119" i="13" s="1"/>
  <c r="O6120" i="13" l="1"/>
  <c r="N6120" i="13" s="1"/>
  <c r="O6121" i="13" l="1"/>
  <c r="N6121" i="13" s="1"/>
  <c r="O6122" i="13" l="1"/>
  <c r="N6122" i="13" s="1"/>
  <c r="O6123" i="13" l="1"/>
  <c r="N6123" i="13" s="1"/>
  <c r="O6124" i="13" l="1"/>
  <c r="N6124" i="13" s="1"/>
  <c r="O6125" i="13" l="1"/>
  <c r="N6125" i="13" s="1"/>
  <c r="O6126" i="13" l="1"/>
  <c r="N6126" i="13" s="1"/>
  <c r="O6127" i="13" l="1"/>
  <c r="N6127" i="13" s="1"/>
  <c r="O6128" i="13" l="1"/>
  <c r="N6128" i="13" s="1"/>
  <c r="O6129" i="13" l="1"/>
  <c r="N6129" i="13" s="1"/>
  <c r="O6130" i="13" l="1"/>
  <c r="N6130" i="13" s="1"/>
  <c r="O6131" i="13" l="1"/>
  <c r="N6131" i="13" s="1"/>
  <c r="O6132" i="13" l="1"/>
  <c r="N6132" i="13" s="1"/>
  <c r="O6133" i="13" l="1"/>
  <c r="N6133" i="13" s="1"/>
  <c r="O6134" i="13" l="1"/>
  <c r="N6134" i="13" s="1"/>
  <c r="O6135" i="13" l="1"/>
  <c r="N6135" i="13" s="1"/>
  <c r="O6136" i="13" l="1"/>
  <c r="N6136" i="13" s="1"/>
  <c r="O6137" i="13" l="1"/>
  <c r="N6137" i="13" s="1"/>
  <c r="O6138" i="13" l="1"/>
  <c r="N6138" i="13" s="1"/>
  <c r="O6139" i="13" l="1"/>
  <c r="N6139" i="13" s="1"/>
  <c r="O6140" i="13" l="1"/>
  <c r="N6140" i="13" s="1"/>
  <c r="O6141" i="13" l="1"/>
  <c r="N6141" i="13" s="1"/>
  <c r="O6142" i="13" l="1"/>
  <c r="N6142" i="13" s="1"/>
  <c r="O6143" i="13" l="1"/>
  <c r="N6143" i="13" s="1"/>
  <c r="O6144" i="13" l="1"/>
  <c r="N6144" i="13" s="1"/>
  <c r="O6145" i="13" l="1"/>
  <c r="N6145" i="13" s="1"/>
  <c r="O6146" i="13" l="1"/>
  <c r="N6146" i="13" s="1"/>
  <c r="O6147" i="13" l="1"/>
  <c r="N6147" i="13" s="1"/>
  <c r="O6148" i="13" l="1"/>
  <c r="N6148" i="13" s="1"/>
  <c r="O6149" i="13" l="1"/>
  <c r="N6149" i="13" s="1"/>
  <c r="O6150" i="13" l="1"/>
  <c r="N6150" i="13" s="1"/>
  <c r="O6151" i="13" l="1"/>
  <c r="N6151" i="13" s="1"/>
  <c r="O6152" i="13" l="1"/>
  <c r="N6152" i="13" s="1"/>
  <c r="O6153" i="13" l="1"/>
  <c r="N6153" i="13" s="1"/>
  <c r="O6154" i="13" l="1"/>
  <c r="N6154" i="13" s="1"/>
  <c r="O6155" i="13" l="1"/>
  <c r="N6155" i="13" s="1"/>
  <c r="O6156" i="13" l="1"/>
  <c r="N6156" i="13" s="1"/>
  <c r="O6157" i="13" l="1"/>
  <c r="N6157" i="13" s="1"/>
  <c r="O6158" i="13" l="1"/>
  <c r="N6158" i="13" s="1"/>
  <c r="O6159" i="13" l="1"/>
  <c r="N6159" i="13" s="1"/>
  <c r="O6160" i="13" l="1"/>
  <c r="N6160" i="13" s="1"/>
  <c r="O6161" i="13" l="1"/>
  <c r="N6161" i="13" s="1"/>
  <c r="O6162" i="13" l="1"/>
  <c r="N6162" i="13" s="1"/>
  <c r="O6163" i="13" l="1"/>
  <c r="N6163" i="13" s="1"/>
  <c r="O6164" i="13" l="1"/>
  <c r="N6164" i="13" s="1"/>
  <c r="O6165" i="13" l="1"/>
  <c r="N6165" i="13" s="1"/>
  <c r="O6166" i="13" l="1"/>
  <c r="N6166" i="13" s="1"/>
  <c r="O6167" i="13" l="1"/>
  <c r="N6167" i="13" s="1"/>
  <c r="O6168" i="13" l="1"/>
  <c r="N6168" i="13" s="1"/>
  <c r="O6169" i="13" l="1"/>
  <c r="N6169" i="13" s="1"/>
  <c r="O6170" i="13" l="1"/>
  <c r="N6170" i="13" s="1"/>
  <c r="O6171" i="13" l="1"/>
  <c r="N6171" i="13" s="1"/>
  <c r="O6172" i="13" l="1"/>
  <c r="N6172" i="13" s="1"/>
  <c r="O6173" i="13" l="1"/>
  <c r="N6173" i="13" s="1"/>
  <c r="O6174" i="13" l="1"/>
  <c r="N6174" i="13" s="1"/>
  <c r="O6175" i="13" l="1"/>
  <c r="N6175" i="13" s="1"/>
  <c r="O6176" i="13" l="1"/>
  <c r="N6176" i="13" s="1"/>
  <c r="O6177" i="13" l="1"/>
  <c r="N6177" i="13" s="1"/>
  <c r="O6178" i="13" l="1"/>
  <c r="N6178" i="13" s="1"/>
  <c r="O6179" i="13" l="1"/>
  <c r="N6179" i="13" s="1"/>
  <c r="O6180" i="13" l="1"/>
  <c r="N6180" i="13" s="1"/>
  <c r="O6181" i="13" l="1"/>
  <c r="N6181" i="13" s="1"/>
  <c r="O6182" i="13" l="1"/>
  <c r="N6182" i="13" s="1"/>
  <c r="O6183" i="13" l="1"/>
  <c r="N6183" i="13" s="1"/>
  <c r="O6184" i="13" l="1"/>
  <c r="N6184" i="13" s="1"/>
  <c r="O6185" i="13" l="1"/>
  <c r="N6185" i="13" s="1"/>
  <c r="O6186" i="13" l="1"/>
  <c r="N6186" i="13" s="1"/>
  <c r="O6187" i="13" l="1"/>
  <c r="N6187" i="13" s="1"/>
  <c r="O6188" i="13" l="1"/>
  <c r="N6188" i="13" s="1"/>
  <c r="O6189" i="13" l="1"/>
  <c r="N6189" i="13" s="1"/>
  <c r="O6190" i="13" l="1"/>
  <c r="N6190" i="13" s="1"/>
  <c r="O6191" i="13" l="1"/>
  <c r="N6191" i="13" s="1"/>
  <c r="O6192" i="13" l="1"/>
  <c r="N6192" i="13" s="1"/>
  <c r="O6193" i="13" l="1"/>
  <c r="N6193" i="13" s="1"/>
  <c r="O6194" i="13" l="1"/>
  <c r="N6194" i="13" s="1"/>
  <c r="O6195" i="13" l="1"/>
  <c r="N6195" i="13" s="1"/>
  <c r="O6196" i="13" l="1"/>
  <c r="N6196" i="13" s="1"/>
  <c r="O6197" i="13" l="1"/>
  <c r="N6197" i="13" s="1"/>
  <c r="O6198" i="13" l="1"/>
  <c r="N6198" i="13" s="1"/>
  <c r="O6199" i="13" l="1"/>
  <c r="N6199" i="13" s="1"/>
  <c r="O6200" i="13" l="1"/>
  <c r="N6200" i="13" s="1"/>
  <c r="O6201" i="13" l="1"/>
  <c r="N6201" i="13" s="1"/>
  <c r="O6202" i="13" l="1"/>
  <c r="N6202" i="13" s="1"/>
  <c r="O6203" i="13" l="1"/>
  <c r="N6203" i="13" s="1"/>
  <c r="O6204" i="13" l="1"/>
  <c r="N6204" i="13" s="1"/>
  <c r="O6205" i="13" l="1"/>
  <c r="N6205" i="13" s="1"/>
  <c r="O6206" i="13" l="1"/>
  <c r="N6206" i="13" s="1"/>
  <c r="O6207" i="13" l="1"/>
  <c r="N6207" i="13" s="1"/>
  <c r="O6208" i="13" l="1"/>
  <c r="N6208" i="13" s="1"/>
  <c r="O6209" i="13" l="1"/>
  <c r="N6209" i="13" s="1"/>
  <c r="O6210" i="13" l="1"/>
  <c r="N6210" i="13" s="1"/>
  <c r="O6211" i="13" l="1"/>
  <c r="N6211" i="13" s="1"/>
  <c r="O6212" i="13" l="1"/>
  <c r="N6212" i="13" s="1"/>
  <c r="O6213" i="13" l="1"/>
  <c r="N6213" i="13" s="1"/>
  <c r="O6214" i="13" l="1"/>
  <c r="N6214" i="13" s="1"/>
  <c r="O6215" i="13" l="1"/>
  <c r="N6215" i="13" s="1"/>
  <c r="O6216" i="13" l="1"/>
  <c r="N6216" i="13" s="1"/>
  <c r="O6217" i="13" l="1"/>
  <c r="N6217" i="13" s="1"/>
  <c r="O6218" i="13" l="1"/>
  <c r="N6218" i="13" s="1"/>
  <c r="O6219" i="13" l="1"/>
  <c r="N6219" i="13" s="1"/>
  <c r="O6220" i="13" l="1"/>
  <c r="N6220" i="13" s="1"/>
  <c r="O6221" i="13" l="1"/>
  <c r="N6221" i="13" s="1"/>
  <c r="O6222" i="13" l="1"/>
  <c r="N6222" i="13" s="1"/>
  <c r="O6223" i="13" l="1"/>
  <c r="N6223" i="13" s="1"/>
  <c r="O6224" i="13" l="1"/>
  <c r="N6224" i="13" s="1"/>
  <c r="O6225" i="13" l="1"/>
  <c r="N6225" i="13" s="1"/>
  <c r="O6226" i="13" l="1"/>
  <c r="N6226" i="13" s="1"/>
  <c r="O6227" i="13" l="1"/>
  <c r="N6227" i="13" s="1"/>
  <c r="O6228" i="13" l="1"/>
  <c r="N6228" i="13" s="1"/>
  <c r="O6229" i="13" l="1"/>
  <c r="N6229" i="13" s="1"/>
  <c r="O6230" i="13" l="1"/>
  <c r="N6230" i="13" s="1"/>
  <c r="O6231" i="13" l="1"/>
  <c r="N6231" i="13" s="1"/>
  <c r="O6232" i="13" l="1"/>
  <c r="N6232" i="13" s="1"/>
  <c r="O6233" i="13" l="1"/>
  <c r="N6233" i="13" s="1"/>
  <c r="O6234" i="13" l="1"/>
  <c r="N6234" i="13" s="1"/>
  <c r="O6235" i="13" l="1"/>
  <c r="N6235" i="13" s="1"/>
  <c r="O6236" i="13" l="1"/>
  <c r="N6236" i="13" s="1"/>
  <c r="O6237" i="13" l="1"/>
  <c r="N6237" i="13" s="1"/>
  <c r="O6238" i="13" l="1"/>
  <c r="N6238" i="13" s="1"/>
  <c r="O6239" i="13" l="1"/>
  <c r="N6239" i="13" s="1"/>
  <c r="O6240" i="13" l="1"/>
  <c r="N6240" i="13" s="1"/>
  <c r="O6241" i="13" l="1"/>
  <c r="N6241" i="13" s="1"/>
  <c r="O6242" i="13" l="1"/>
  <c r="N6242" i="13" s="1"/>
  <c r="O6243" i="13" l="1"/>
  <c r="N6243" i="13" s="1"/>
  <c r="O6244" i="13" l="1"/>
  <c r="N6244" i="13" s="1"/>
  <c r="O6245" i="13" l="1"/>
  <c r="N6245" i="13" s="1"/>
  <c r="O6246" i="13" l="1"/>
  <c r="N6246" i="13" s="1"/>
  <c r="O6247" i="13" l="1"/>
  <c r="N6247" i="13" s="1"/>
  <c r="O6248" i="13" l="1"/>
  <c r="N6248" i="13" s="1"/>
  <c r="O6249" i="13" l="1"/>
  <c r="N6249" i="13" s="1"/>
  <c r="O6250" i="13" l="1"/>
  <c r="N6250" i="13" s="1"/>
  <c r="O6251" i="13" l="1"/>
  <c r="N6251" i="13" s="1"/>
  <c r="O6252" i="13" l="1"/>
  <c r="N6252" i="13" s="1"/>
  <c r="O6253" i="13" l="1"/>
  <c r="N6253" i="13" s="1"/>
  <c r="O6254" i="13" l="1"/>
  <c r="N6254" i="13" s="1"/>
  <c r="O6255" i="13" l="1"/>
  <c r="N6255" i="13" s="1"/>
  <c r="O6256" i="13" l="1"/>
  <c r="N6256" i="13" s="1"/>
  <c r="O6257" i="13" l="1"/>
  <c r="N6257" i="13" s="1"/>
  <c r="O6258" i="13" l="1"/>
  <c r="N6258" i="13" s="1"/>
  <c r="O6259" i="13" l="1"/>
  <c r="N6259" i="13" s="1"/>
  <c r="O6260" i="13" l="1"/>
  <c r="N6260" i="13" s="1"/>
  <c r="O6261" i="13" l="1"/>
  <c r="N6261" i="13" s="1"/>
  <c r="O6262" i="13" l="1"/>
  <c r="N6262" i="13" s="1"/>
  <c r="O6263" i="13" l="1"/>
  <c r="N6263" i="13" s="1"/>
  <c r="O6264" i="13" l="1"/>
  <c r="N6264" i="13" s="1"/>
  <c r="O6265" i="13" l="1"/>
  <c r="N6265" i="13" s="1"/>
  <c r="O6266" i="13" l="1"/>
  <c r="N6266" i="13" s="1"/>
  <c r="O6267" i="13" l="1"/>
  <c r="N6267" i="13" s="1"/>
  <c r="O6268" i="13" l="1"/>
  <c r="N6268" i="13" s="1"/>
  <c r="O6269" i="13" l="1"/>
  <c r="N6269" i="13" s="1"/>
  <c r="O6270" i="13" l="1"/>
  <c r="N6270" i="13" s="1"/>
  <c r="O6271" i="13" l="1"/>
  <c r="N6271" i="13" s="1"/>
  <c r="O6272" i="13" l="1"/>
  <c r="N6272" i="13" s="1"/>
  <c r="O6273" i="13" l="1"/>
  <c r="N6273" i="13" s="1"/>
  <c r="O6274" i="13" l="1"/>
  <c r="N6274" i="13" s="1"/>
  <c r="O6275" i="13" l="1"/>
  <c r="N6275" i="13" s="1"/>
  <c r="O6276" i="13" l="1"/>
  <c r="N6276" i="13" s="1"/>
  <c r="O6277" i="13" l="1"/>
  <c r="N6277" i="13" s="1"/>
  <c r="O6278" i="13" l="1"/>
  <c r="N6278" i="13" s="1"/>
  <c r="O6279" i="13" l="1"/>
  <c r="N6279" i="13" s="1"/>
  <c r="O6280" i="13" l="1"/>
  <c r="N6280" i="13" s="1"/>
  <c r="O6281" i="13" l="1"/>
  <c r="N6281" i="13" s="1"/>
  <c r="O6282" i="13" l="1"/>
  <c r="N6282" i="13" s="1"/>
  <c r="O6283" i="13" l="1"/>
  <c r="N6283" i="13" s="1"/>
  <c r="O6284" i="13" l="1"/>
  <c r="N6284" i="13" s="1"/>
  <c r="O6285" i="13" l="1"/>
  <c r="N6285" i="13" s="1"/>
  <c r="O6286" i="13" l="1"/>
  <c r="N6286" i="13" s="1"/>
  <c r="O6287" i="13" l="1"/>
  <c r="N6287" i="13" s="1"/>
  <c r="O6288" i="13" l="1"/>
  <c r="N6288" i="13" s="1"/>
  <c r="O6289" i="13" l="1"/>
  <c r="N6289" i="13" s="1"/>
  <c r="O6290" i="13" l="1"/>
  <c r="N6290" i="13" s="1"/>
  <c r="O6291" i="13" l="1"/>
  <c r="N6291" i="13" s="1"/>
  <c r="O6292" i="13" l="1"/>
  <c r="N6292" i="13" s="1"/>
  <c r="O6293" i="13" l="1"/>
  <c r="N6293" i="13" s="1"/>
  <c r="O6294" i="13" l="1"/>
  <c r="N6294" i="13" s="1"/>
  <c r="O6295" i="13" l="1"/>
  <c r="N6295" i="13" s="1"/>
  <c r="O6296" i="13" l="1"/>
  <c r="N6296" i="13" s="1"/>
  <c r="O6297" i="13" l="1"/>
  <c r="N6297" i="13" s="1"/>
  <c r="O6298" i="13" l="1"/>
  <c r="N6298" i="13" s="1"/>
  <c r="O6299" i="13" l="1"/>
  <c r="N6299" i="13" s="1"/>
  <c r="O6300" i="13" l="1"/>
  <c r="N6300" i="13" s="1"/>
  <c r="O6301" i="13" l="1"/>
  <c r="N6301" i="13" s="1"/>
  <c r="O6302" i="13" l="1"/>
  <c r="N6302" i="13" s="1"/>
  <c r="O6303" i="13" l="1"/>
  <c r="N6303" i="13" s="1"/>
  <c r="O6304" i="13" l="1"/>
  <c r="N6304" i="13" s="1"/>
  <c r="O6305" i="13" l="1"/>
  <c r="N6305" i="13" s="1"/>
  <c r="O6306" i="13" l="1"/>
  <c r="N6306" i="13" s="1"/>
  <c r="O6307" i="13" l="1"/>
  <c r="N6307" i="13" s="1"/>
  <c r="O6308" i="13" l="1"/>
  <c r="N6308" i="13" s="1"/>
  <c r="O6309" i="13" l="1"/>
  <c r="N6309" i="13" s="1"/>
  <c r="O6310" i="13" l="1"/>
  <c r="N6310" i="13" s="1"/>
  <c r="O6311" i="13" l="1"/>
  <c r="N6311" i="13" s="1"/>
  <c r="O6312" i="13" l="1"/>
  <c r="N6312" i="13" s="1"/>
  <c r="O6313" i="13" l="1"/>
  <c r="N6313" i="13" s="1"/>
  <c r="O6314" i="13" l="1"/>
  <c r="N6314" i="13" s="1"/>
  <c r="O6315" i="13" l="1"/>
  <c r="N6315" i="13" s="1"/>
  <c r="O6316" i="13" l="1"/>
  <c r="N6316" i="13" s="1"/>
  <c r="O6317" i="13" l="1"/>
  <c r="N6317" i="13" s="1"/>
  <c r="O6318" i="13" l="1"/>
  <c r="N6318" i="13" s="1"/>
  <c r="O6319" i="13" l="1"/>
  <c r="N6319" i="13" s="1"/>
  <c r="O6320" i="13" l="1"/>
  <c r="N6320" i="13" s="1"/>
  <c r="O6321" i="13" l="1"/>
  <c r="N6321" i="13" s="1"/>
  <c r="O6322" i="13" l="1"/>
  <c r="N6322" i="13" s="1"/>
  <c r="O6323" i="13" l="1"/>
  <c r="N6323" i="13" s="1"/>
  <c r="O6324" i="13" l="1"/>
  <c r="N6324" i="13" s="1"/>
  <c r="O6325" i="13" l="1"/>
  <c r="N6325" i="13" s="1"/>
  <c r="O6326" i="13" l="1"/>
  <c r="N6326" i="13" s="1"/>
  <c r="O6327" i="13" l="1"/>
  <c r="N6327" i="13" s="1"/>
  <c r="O6328" i="13" l="1"/>
  <c r="N6328" i="13" s="1"/>
  <c r="O6329" i="13" l="1"/>
  <c r="N6329" i="13" s="1"/>
  <c r="O6330" i="13" l="1"/>
  <c r="N6330" i="13" s="1"/>
  <c r="O6331" i="13" l="1"/>
  <c r="N6331" i="13" s="1"/>
  <c r="O6332" i="13" l="1"/>
  <c r="N6332" i="13" s="1"/>
  <c r="O6333" i="13" l="1"/>
  <c r="N6333" i="13" s="1"/>
  <c r="O6334" i="13" l="1"/>
  <c r="N6334" i="13" s="1"/>
  <c r="O6335" i="13" l="1"/>
  <c r="N6335" i="13" s="1"/>
  <c r="O6336" i="13" l="1"/>
  <c r="N6336" i="13" s="1"/>
  <c r="O6337" i="13" l="1"/>
  <c r="N6337" i="13" s="1"/>
  <c r="O6338" i="13" l="1"/>
  <c r="N6338" i="13" s="1"/>
  <c r="O6339" i="13" l="1"/>
  <c r="N6339" i="13" s="1"/>
  <c r="O6340" i="13" l="1"/>
  <c r="N6340" i="13" s="1"/>
  <c r="O6341" i="13" l="1"/>
  <c r="N6341" i="13" s="1"/>
  <c r="O6342" i="13" l="1"/>
  <c r="N6342" i="13" s="1"/>
  <c r="O6343" i="13" l="1"/>
  <c r="N6343" i="13" s="1"/>
  <c r="O6344" i="13" l="1"/>
  <c r="N6344" i="13" s="1"/>
  <c r="O6345" i="13" l="1"/>
  <c r="N6345" i="13" s="1"/>
  <c r="O6346" i="13" l="1"/>
  <c r="N6346" i="13" s="1"/>
  <c r="O6347" i="13" l="1"/>
  <c r="N6347" i="13" s="1"/>
  <c r="O6348" i="13" l="1"/>
  <c r="N6348" i="13" s="1"/>
  <c r="O6349" i="13" l="1"/>
  <c r="N6349" i="13" s="1"/>
  <c r="O6350" i="13" l="1"/>
  <c r="N6350" i="13" s="1"/>
  <c r="O6351" i="13" l="1"/>
  <c r="N6351" i="13" s="1"/>
  <c r="O6352" i="13" l="1"/>
  <c r="N6352" i="13" s="1"/>
  <c r="O6353" i="13" l="1"/>
  <c r="N6353" i="13" s="1"/>
  <c r="O6354" i="13" l="1"/>
  <c r="N6354" i="13" s="1"/>
  <c r="O6355" i="13" l="1"/>
  <c r="N6355" i="13" s="1"/>
  <c r="O6356" i="13" l="1"/>
  <c r="N6356" i="13" s="1"/>
  <c r="O6357" i="13" l="1"/>
  <c r="N6357" i="13" s="1"/>
  <c r="O6358" i="13" l="1"/>
  <c r="N6358" i="13" s="1"/>
  <c r="O6359" i="13" l="1"/>
  <c r="N6359" i="13" s="1"/>
  <c r="O6360" i="13" l="1"/>
  <c r="N6360" i="13" s="1"/>
  <c r="O6361" i="13" l="1"/>
  <c r="N6361" i="13" s="1"/>
  <c r="O6362" i="13" l="1"/>
  <c r="N6362" i="13" s="1"/>
  <c r="O6363" i="13" l="1"/>
  <c r="N6363" i="13" s="1"/>
  <c r="O6364" i="13" l="1"/>
  <c r="N6364" i="13" s="1"/>
  <c r="O6365" i="13" l="1"/>
  <c r="N6365" i="13" s="1"/>
  <c r="O6366" i="13" l="1"/>
  <c r="N6366" i="13" s="1"/>
  <c r="O6367" i="13" l="1"/>
  <c r="N6367" i="13" s="1"/>
  <c r="O6368" i="13" l="1"/>
  <c r="N6368" i="13" s="1"/>
  <c r="O6369" i="13" l="1"/>
  <c r="N6369" i="13" s="1"/>
  <c r="O6370" i="13" l="1"/>
  <c r="N6370" i="13" s="1"/>
  <c r="O6371" i="13" l="1"/>
  <c r="N6371" i="13" s="1"/>
  <c r="O6372" i="13" l="1"/>
  <c r="N6372" i="13" s="1"/>
  <c r="O6373" i="13" l="1"/>
  <c r="N6373" i="13" s="1"/>
  <c r="O6374" i="13" l="1"/>
  <c r="N6374" i="13" s="1"/>
  <c r="O6375" i="13" l="1"/>
  <c r="N6375" i="13" s="1"/>
  <c r="O6376" i="13" l="1"/>
  <c r="N6376" i="13" s="1"/>
  <c r="O6377" i="13" l="1"/>
  <c r="N6377" i="13" s="1"/>
  <c r="O6378" i="13" l="1"/>
  <c r="N6378" i="13" s="1"/>
  <c r="O6379" i="13" l="1"/>
  <c r="N6379" i="13" s="1"/>
  <c r="O6380" i="13" l="1"/>
  <c r="N6380" i="13" s="1"/>
  <c r="O6381" i="13" l="1"/>
  <c r="N6381" i="13" s="1"/>
  <c r="O6382" i="13" l="1"/>
  <c r="N6382" i="13" s="1"/>
  <c r="O6383" i="13" l="1"/>
  <c r="N6383" i="13" s="1"/>
  <c r="O6384" i="13" l="1"/>
  <c r="N6384" i="13" s="1"/>
  <c r="O6385" i="13" l="1"/>
  <c r="N6385" i="13" s="1"/>
  <c r="O6386" i="13" l="1"/>
  <c r="N6386" i="13" s="1"/>
  <c r="O6387" i="13" l="1"/>
  <c r="N6387" i="13" s="1"/>
  <c r="O6388" i="13" l="1"/>
  <c r="N6388" i="13" s="1"/>
  <c r="O6389" i="13" l="1"/>
  <c r="N6389" i="13" s="1"/>
  <c r="O6390" i="13" l="1"/>
  <c r="N6390" i="13" s="1"/>
  <c r="O6391" i="13" l="1"/>
  <c r="N6391" i="13" s="1"/>
  <c r="O6392" i="13" l="1"/>
  <c r="N6392" i="13" s="1"/>
  <c r="O6393" i="13" l="1"/>
  <c r="N6393" i="13" s="1"/>
  <c r="O6394" i="13" l="1"/>
  <c r="N6394" i="13" s="1"/>
  <c r="O6395" i="13" l="1"/>
  <c r="N6395" i="13" s="1"/>
  <c r="O6396" i="13" l="1"/>
  <c r="N6396" i="13" s="1"/>
  <c r="O6397" i="13" l="1"/>
  <c r="N6397" i="13" s="1"/>
  <c r="O6398" i="13" l="1"/>
  <c r="N6398" i="13" s="1"/>
  <c r="O6399" i="13" l="1"/>
  <c r="N6399" i="13" s="1"/>
  <c r="O6400" i="13" l="1"/>
  <c r="N6400" i="13" s="1"/>
  <c r="O6401" i="13" l="1"/>
  <c r="N6401" i="13" s="1"/>
  <c r="O6402" i="13" l="1"/>
  <c r="N6402" i="13" s="1"/>
  <c r="O6403" i="13" l="1"/>
  <c r="N6403" i="13" s="1"/>
  <c r="O6404" i="13" l="1"/>
  <c r="N6404" i="13" s="1"/>
  <c r="O6405" i="13" l="1"/>
  <c r="N6405" i="13" s="1"/>
  <c r="O6406" i="13" l="1"/>
  <c r="N6406" i="13" s="1"/>
  <c r="O6407" i="13" l="1"/>
  <c r="N6407" i="13" s="1"/>
  <c r="O6408" i="13" l="1"/>
  <c r="N6408" i="13" s="1"/>
  <c r="O6409" i="13" l="1"/>
  <c r="N6409" i="13" s="1"/>
  <c r="O6410" i="13" l="1"/>
  <c r="N6410" i="13" s="1"/>
  <c r="O6411" i="13" l="1"/>
  <c r="N6411" i="13" s="1"/>
  <c r="O6412" i="13" l="1"/>
  <c r="N6412" i="13" s="1"/>
  <c r="O6413" i="13" l="1"/>
  <c r="N6413" i="13" s="1"/>
  <c r="O6414" i="13" l="1"/>
  <c r="N6414" i="13" s="1"/>
  <c r="O6415" i="13" l="1"/>
  <c r="N6415" i="13" s="1"/>
  <c r="O6416" i="13" l="1"/>
  <c r="N6416" i="13" s="1"/>
  <c r="O6417" i="13" l="1"/>
  <c r="N6417" i="13" s="1"/>
  <c r="O6418" i="13" l="1"/>
  <c r="N6418" i="13" s="1"/>
  <c r="O6419" i="13" l="1"/>
  <c r="N6419" i="13" s="1"/>
  <c r="O6420" i="13" l="1"/>
  <c r="N6420" i="13" s="1"/>
  <c r="O6421" i="13" l="1"/>
  <c r="N6421" i="13" s="1"/>
  <c r="O6422" i="13" l="1"/>
  <c r="N6422" i="13" s="1"/>
  <c r="O6423" i="13" l="1"/>
  <c r="N6423" i="13" s="1"/>
  <c r="O6424" i="13" l="1"/>
  <c r="N6424" i="13" s="1"/>
  <c r="O6425" i="13" l="1"/>
  <c r="N6425" i="13" s="1"/>
  <c r="O6426" i="13" l="1"/>
  <c r="N6426" i="13" s="1"/>
  <c r="O6427" i="13" l="1"/>
  <c r="N6427" i="13" s="1"/>
  <c r="O6428" i="13" l="1"/>
  <c r="N6428" i="13" s="1"/>
  <c r="O6429" i="13" l="1"/>
  <c r="N6429" i="13" s="1"/>
  <c r="O6430" i="13" l="1"/>
  <c r="N6430" i="13" s="1"/>
  <c r="O6431" i="13" l="1"/>
  <c r="N6431" i="13" s="1"/>
  <c r="O6432" i="13" l="1"/>
  <c r="N6432" i="13" s="1"/>
  <c r="O6433" i="13" l="1"/>
  <c r="N6433" i="13" s="1"/>
  <c r="O6434" i="13" l="1"/>
  <c r="N6434" i="13" s="1"/>
  <c r="O6435" i="13" l="1"/>
  <c r="N6435" i="13" s="1"/>
  <c r="O6436" i="13" l="1"/>
  <c r="N6436" i="13" s="1"/>
  <c r="O6437" i="13" l="1"/>
  <c r="N6437" i="13" s="1"/>
  <c r="O6438" i="13" l="1"/>
  <c r="N6438" i="13" s="1"/>
  <c r="O6439" i="13" l="1"/>
  <c r="N6439" i="13" s="1"/>
  <c r="O6440" i="13" l="1"/>
  <c r="N6440" i="13" s="1"/>
  <c r="O6441" i="13" l="1"/>
  <c r="N6441" i="13" s="1"/>
  <c r="O6442" i="13" l="1"/>
  <c r="N6442" i="13" s="1"/>
  <c r="O6443" i="13" l="1"/>
  <c r="N6443" i="13" s="1"/>
  <c r="O6444" i="13" l="1"/>
  <c r="N6444" i="13" s="1"/>
  <c r="O6445" i="13" l="1"/>
  <c r="N6445" i="13" s="1"/>
  <c r="O6446" i="13" l="1"/>
  <c r="N6446" i="13" s="1"/>
  <c r="O6447" i="13" l="1"/>
  <c r="N6447" i="13" s="1"/>
  <c r="O6448" i="13" l="1"/>
  <c r="N6448" i="13" s="1"/>
  <c r="O6449" i="13" l="1"/>
  <c r="N6449" i="13" s="1"/>
  <c r="O6450" i="13" l="1"/>
  <c r="N6450" i="13" s="1"/>
  <c r="O6451" i="13" l="1"/>
  <c r="N6451" i="13" s="1"/>
  <c r="O6452" i="13" l="1"/>
  <c r="N6452" i="13" s="1"/>
  <c r="O6453" i="13" l="1"/>
  <c r="N6453" i="13" s="1"/>
  <c r="O6454" i="13" l="1"/>
  <c r="N6454" i="13" s="1"/>
  <c r="O6455" i="13" l="1"/>
  <c r="N6455" i="13" s="1"/>
  <c r="O6456" i="13" l="1"/>
  <c r="N6456" i="13" s="1"/>
  <c r="O6457" i="13" l="1"/>
  <c r="N6457" i="13" s="1"/>
  <c r="O6458" i="13" l="1"/>
  <c r="N6458" i="13" s="1"/>
  <c r="O6459" i="13" l="1"/>
  <c r="N6459" i="13" s="1"/>
  <c r="O6460" i="13" l="1"/>
  <c r="N6460" i="13" s="1"/>
  <c r="O6461" i="13" l="1"/>
  <c r="N6461" i="13" s="1"/>
  <c r="O6462" i="13" l="1"/>
  <c r="N6462" i="13" s="1"/>
  <c r="O6463" i="13" l="1"/>
  <c r="N6463" i="13" s="1"/>
  <c r="O6464" i="13" l="1"/>
  <c r="N6464" i="13" s="1"/>
  <c r="O6465" i="13" l="1"/>
  <c r="N6465" i="13" s="1"/>
  <c r="O6466" i="13" l="1"/>
  <c r="N6466" i="13" s="1"/>
  <c r="O6467" i="13" l="1"/>
  <c r="N6467" i="13" s="1"/>
  <c r="O6468" i="13" l="1"/>
  <c r="N6468" i="13" s="1"/>
  <c r="O6469" i="13" l="1"/>
  <c r="N6469" i="13" s="1"/>
  <c r="O6470" i="13" l="1"/>
  <c r="N6470" i="13" s="1"/>
  <c r="O6471" i="13" l="1"/>
  <c r="N6471" i="13" s="1"/>
  <c r="O6472" i="13" l="1"/>
  <c r="N6472" i="13" s="1"/>
  <c r="O6473" i="13" l="1"/>
  <c r="N6473" i="13" s="1"/>
  <c r="O6474" i="13" l="1"/>
  <c r="N6474" i="13" s="1"/>
  <c r="O6475" i="13" l="1"/>
  <c r="N6475" i="13" s="1"/>
  <c r="O6476" i="13" l="1"/>
  <c r="N6476" i="13" s="1"/>
  <c r="O6477" i="13" l="1"/>
  <c r="N6477" i="13" s="1"/>
  <c r="O6478" i="13" l="1"/>
  <c r="N6478" i="13" s="1"/>
  <c r="O6479" i="13" l="1"/>
  <c r="N6479" i="13" s="1"/>
  <c r="O6480" i="13" l="1"/>
  <c r="N6480" i="13" s="1"/>
  <c r="O6481" i="13" l="1"/>
  <c r="N6481" i="13" s="1"/>
  <c r="O6482" i="13" l="1"/>
  <c r="N6482" i="13" s="1"/>
  <c r="O6483" i="13" l="1"/>
  <c r="N6483" i="13" s="1"/>
  <c r="O6484" i="13" l="1"/>
  <c r="N6484" i="13" s="1"/>
  <c r="O6485" i="13" l="1"/>
  <c r="N6485" i="13" s="1"/>
  <c r="O6486" i="13" l="1"/>
  <c r="N6486" i="13" s="1"/>
  <c r="O6487" i="13" l="1"/>
  <c r="N6487" i="13" s="1"/>
  <c r="O6488" i="13" l="1"/>
  <c r="N6488" i="13" s="1"/>
  <c r="O6489" i="13" l="1"/>
  <c r="N6489" i="13" s="1"/>
  <c r="O6490" i="13" l="1"/>
  <c r="N6490" i="13" s="1"/>
  <c r="O6491" i="13" l="1"/>
  <c r="N6491" i="13" s="1"/>
  <c r="O6492" i="13" l="1"/>
  <c r="N6492" i="13" s="1"/>
  <c r="O6493" i="13" l="1"/>
  <c r="N6493" i="13" s="1"/>
  <c r="O6494" i="13" l="1"/>
  <c r="N6494" i="13" s="1"/>
  <c r="O6495" i="13" l="1"/>
  <c r="N6495" i="13" s="1"/>
  <c r="O6496" i="13" l="1"/>
  <c r="N6496" i="13" s="1"/>
  <c r="O6497" i="13" l="1"/>
  <c r="N6497" i="13" s="1"/>
  <c r="O6498" i="13" l="1"/>
  <c r="N6498" i="13" s="1"/>
  <c r="O6499" i="13" l="1"/>
  <c r="N6499" i="13" s="1"/>
  <c r="O6500" i="13" l="1"/>
  <c r="N6500" i="13" s="1"/>
  <c r="O6501" i="13" l="1"/>
  <c r="N6501" i="13" s="1"/>
  <c r="O6502" i="13" l="1"/>
  <c r="N6502" i="13" s="1"/>
  <c r="O6503" i="13" l="1"/>
  <c r="N6503" i="13" s="1"/>
  <c r="O6504" i="13" l="1"/>
  <c r="N6504" i="13" s="1"/>
  <c r="O6505" i="13" l="1"/>
  <c r="N6505" i="13" s="1"/>
  <c r="O6506" i="13" l="1"/>
  <c r="N6506" i="13" s="1"/>
  <c r="O6507" i="13" l="1"/>
  <c r="N6507" i="13" s="1"/>
  <c r="O6508" i="13" l="1"/>
  <c r="N6508" i="13" s="1"/>
  <c r="O6509" i="13" l="1"/>
  <c r="N6509" i="13" s="1"/>
  <c r="O6510" i="13" l="1"/>
  <c r="N6510" i="13" s="1"/>
  <c r="O6511" i="13" l="1"/>
  <c r="N6511" i="13" s="1"/>
  <c r="O6512" i="13" l="1"/>
  <c r="N6512" i="13" s="1"/>
  <c r="O6513" i="13" l="1"/>
  <c r="N6513" i="13" s="1"/>
  <c r="O6514" i="13" l="1"/>
  <c r="N6514" i="13" s="1"/>
  <c r="O6515" i="13" l="1"/>
  <c r="N6515" i="13" s="1"/>
  <c r="O6516" i="13" l="1"/>
  <c r="N6516" i="13" s="1"/>
  <c r="O6517" i="13" l="1"/>
  <c r="N6517" i="13" s="1"/>
  <c r="O6518" i="13" l="1"/>
  <c r="N6518" i="13" s="1"/>
  <c r="O6519" i="13" l="1"/>
  <c r="N6519" i="13" s="1"/>
  <c r="O6520" i="13" l="1"/>
  <c r="N6520" i="13" s="1"/>
  <c r="O6521" i="13" l="1"/>
  <c r="N6521" i="13" s="1"/>
  <c r="O6522" i="13" l="1"/>
  <c r="N6522" i="13" s="1"/>
  <c r="O6523" i="13" l="1"/>
  <c r="N6523" i="13" s="1"/>
  <c r="O6524" i="13" l="1"/>
  <c r="N6524" i="13" s="1"/>
  <c r="O6525" i="13" l="1"/>
  <c r="N6525" i="13" s="1"/>
  <c r="O6526" i="13" l="1"/>
  <c r="N6526" i="13" s="1"/>
  <c r="O6527" i="13" l="1"/>
  <c r="N6527" i="13" s="1"/>
  <c r="O6528" i="13" l="1"/>
  <c r="N6528" i="13" s="1"/>
  <c r="O6529" i="13" l="1"/>
  <c r="N6529" i="13" s="1"/>
  <c r="O6530" i="13" l="1"/>
  <c r="N6530" i="13" s="1"/>
  <c r="O6531" i="13" l="1"/>
  <c r="N6531" i="13" s="1"/>
  <c r="O6532" i="13" l="1"/>
  <c r="N6532" i="13" s="1"/>
  <c r="O6533" i="13" l="1"/>
  <c r="N6533" i="13" s="1"/>
  <c r="O6534" i="13" l="1"/>
  <c r="N6534" i="13" s="1"/>
  <c r="O6535" i="13" l="1"/>
  <c r="N6535" i="13" s="1"/>
  <c r="O6536" i="13" l="1"/>
  <c r="N6536" i="13" s="1"/>
  <c r="O6537" i="13" l="1"/>
  <c r="N6537" i="13" s="1"/>
  <c r="O6538" i="13" l="1"/>
  <c r="N6538" i="13" s="1"/>
  <c r="O6539" i="13" l="1"/>
  <c r="N6539" i="13" s="1"/>
  <c r="O6540" i="13" l="1"/>
  <c r="N6540" i="13" s="1"/>
  <c r="O6541" i="13" l="1"/>
  <c r="N6541" i="13" s="1"/>
  <c r="O6542" i="13" l="1"/>
  <c r="N6542" i="13" s="1"/>
  <c r="O6543" i="13" l="1"/>
  <c r="N6543" i="13" s="1"/>
  <c r="O6544" i="13" l="1"/>
  <c r="N6544" i="13" s="1"/>
  <c r="O6545" i="13" l="1"/>
  <c r="N6545" i="13" s="1"/>
  <c r="O6546" i="13" l="1"/>
  <c r="N6546" i="13" s="1"/>
  <c r="O6547" i="13" l="1"/>
  <c r="N6547" i="13" s="1"/>
  <c r="O6548" i="13" l="1"/>
  <c r="N6548" i="13" s="1"/>
  <c r="O6549" i="13" l="1"/>
  <c r="N6549" i="13" s="1"/>
  <c r="O6550" i="13" l="1"/>
  <c r="N6550" i="13" s="1"/>
  <c r="O6551" i="13" l="1"/>
  <c r="N6551" i="13" s="1"/>
  <c r="O6552" i="13" l="1"/>
  <c r="N6552" i="13" s="1"/>
  <c r="O6553" i="13" l="1"/>
  <c r="N6553" i="13" s="1"/>
  <c r="O6554" i="13" l="1"/>
  <c r="N6554" i="13" s="1"/>
  <c r="O6555" i="13" l="1"/>
  <c r="N6555" i="13" s="1"/>
  <c r="O6556" i="13" l="1"/>
  <c r="N6556" i="13" s="1"/>
  <c r="O6557" i="13" l="1"/>
  <c r="N6557" i="13" s="1"/>
  <c r="O6558" i="13" l="1"/>
  <c r="N6558" i="13" s="1"/>
  <c r="O6559" i="13" l="1"/>
  <c r="N6559" i="13" s="1"/>
  <c r="O6560" i="13" l="1"/>
  <c r="N6560" i="13" s="1"/>
  <c r="O6561" i="13" l="1"/>
  <c r="N6561" i="13" s="1"/>
  <c r="O6562" i="13" l="1"/>
  <c r="N6562" i="13" s="1"/>
  <c r="O6563" i="13" l="1"/>
  <c r="N6563" i="13" s="1"/>
  <c r="O6564" i="13" l="1"/>
  <c r="N6564" i="13" s="1"/>
  <c r="O6565" i="13" l="1"/>
  <c r="N6565" i="13" s="1"/>
  <c r="O6566" i="13" l="1"/>
  <c r="N6566" i="13" s="1"/>
  <c r="O6567" i="13" l="1"/>
  <c r="N6567" i="13" s="1"/>
  <c r="O6568" i="13" l="1"/>
  <c r="N6568" i="13" s="1"/>
  <c r="O6569" i="13" l="1"/>
  <c r="N6569" i="13" s="1"/>
  <c r="O6570" i="13" l="1"/>
  <c r="N6570" i="13" s="1"/>
  <c r="O6571" i="13" l="1"/>
  <c r="N6571" i="13" s="1"/>
  <c r="O6572" i="13" l="1"/>
  <c r="N6572" i="13" s="1"/>
  <c r="O6573" i="13" l="1"/>
  <c r="N6573" i="13" s="1"/>
  <c r="O6574" i="13" l="1"/>
  <c r="N6574" i="13" s="1"/>
  <c r="O6575" i="13" l="1"/>
  <c r="N6575" i="13" s="1"/>
  <c r="O6576" i="13" l="1"/>
  <c r="N6576" i="13" s="1"/>
  <c r="O6577" i="13" l="1"/>
  <c r="N6577" i="13" s="1"/>
  <c r="O6578" i="13" l="1"/>
  <c r="N6578" i="13" s="1"/>
  <c r="O6579" i="13" l="1"/>
  <c r="N6579" i="13" s="1"/>
  <c r="O6580" i="13" l="1"/>
  <c r="N6580" i="13" s="1"/>
  <c r="O6581" i="13" l="1"/>
  <c r="N6581" i="13" s="1"/>
  <c r="O6582" i="13" l="1"/>
  <c r="N6582" i="13" s="1"/>
  <c r="O6583" i="13" l="1"/>
  <c r="N6583" i="13" s="1"/>
  <c r="O6584" i="13" l="1"/>
  <c r="N6584" i="13" s="1"/>
  <c r="O6585" i="13" l="1"/>
  <c r="N6585" i="13" s="1"/>
  <c r="O6586" i="13" l="1"/>
  <c r="N6586" i="13" s="1"/>
  <c r="O6587" i="13" l="1"/>
  <c r="N6587" i="13" s="1"/>
  <c r="O6588" i="13" l="1"/>
  <c r="N6588" i="13" s="1"/>
  <c r="O6589" i="13" l="1"/>
  <c r="N6589" i="13" s="1"/>
  <c r="O6590" i="13" l="1"/>
  <c r="N6590" i="13" s="1"/>
  <c r="O6591" i="13" l="1"/>
  <c r="N6591" i="13" s="1"/>
  <c r="O6592" i="13" l="1"/>
  <c r="N6592" i="13" s="1"/>
  <c r="O6593" i="13" l="1"/>
  <c r="N6593" i="13" s="1"/>
  <c r="O6594" i="13" l="1"/>
  <c r="N6594" i="13" s="1"/>
  <c r="O6595" i="13" l="1"/>
  <c r="N6595" i="13" s="1"/>
  <c r="O6596" i="13" l="1"/>
  <c r="N6596" i="13" s="1"/>
  <c r="O6597" i="13" l="1"/>
  <c r="N6597" i="13" s="1"/>
  <c r="O6598" i="13" l="1"/>
  <c r="N6598" i="13" s="1"/>
  <c r="O6599" i="13" l="1"/>
  <c r="N6599" i="13" s="1"/>
  <c r="O6600" i="13" l="1"/>
  <c r="N6600" i="13" s="1"/>
  <c r="O6601" i="13" l="1"/>
  <c r="N6601" i="13" s="1"/>
  <c r="O6602" i="13" l="1"/>
  <c r="N6602" i="13" s="1"/>
  <c r="O6603" i="13" l="1"/>
  <c r="N6603" i="13" s="1"/>
  <c r="O6604" i="13" l="1"/>
  <c r="N6604" i="13" s="1"/>
  <c r="O6605" i="13" l="1"/>
  <c r="N6605" i="13" s="1"/>
  <c r="O6606" i="13" l="1"/>
  <c r="N6606" i="13" s="1"/>
  <c r="O6607" i="13" l="1"/>
  <c r="N6607" i="13" s="1"/>
  <c r="O6608" i="13" l="1"/>
  <c r="N6608" i="13" s="1"/>
  <c r="O6609" i="13" l="1"/>
  <c r="N6609" i="13" s="1"/>
  <c r="O6610" i="13" l="1"/>
  <c r="N6610" i="13" s="1"/>
  <c r="O6611" i="13" l="1"/>
  <c r="N6611" i="13" s="1"/>
  <c r="O6612" i="13" l="1"/>
  <c r="N6612" i="13" s="1"/>
  <c r="O6613" i="13" l="1"/>
  <c r="N6613" i="13" s="1"/>
  <c r="O6614" i="13" l="1"/>
  <c r="N6614" i="13" s="1"/>
  <c r="O6615" i="13" l="1"/>
  <c r="N6615" i="13" s="1"/>
  <c r="O6616" i="13" l="1"/>
  <c r="N6616" i="13" s="1"/>
  <c r="O6617" i="13" l="1"/>
  <c r="N6617" i="13" s="1"/>
  <c r="O6618" i="13" l="1"/>
  <c r="N6618" i="13" s="1"/>
  <c r="O6619" i="13" l="1"/>
  <c r="N6619" i="13" s="1"/>
  <c r="O6620" i="13" l="1"/>
  <c r="N6620" i="13" s="1"/>
  <c r="O6621" i="13" l="1"/>
  <c r="N6621" i="13" s="1"/>
  <c r="O6622" i="13" l="1"/>
  <c r="N6622" i="13" s="1"/>
  <c r="O6623" i="13" l="1"/>
  <c r="N6623" i="13" s="1"/>
  <c r="O6624" i="13" l="1"/>
  <c r="N6624" i="13" s="1"/>
  <c r="O6625" i="13" l="1"/>
  <c r="N6625" i="13" s="1"/>
  <c r="O6626" i="13" l="1"/>
  <c r="N6626" i="13" s="1"/>
  <c r="O6627" i="13" l="1"/>
  <c r="N6627" i="13" s="1"/>
  <c r="O6628" i="13" l="1"/>
  <c r="N6628" i="13" s="1"/>
  <c r="O6629" i="13" l="1"/>
  <c r="N6629" i="13" s="1"/>
  <c r="O6630" i="13" l="1"/>
  <c r="N6630" i="13" s="1"/>
  <c r="O6631" i="13" l="1"/>
  <c r="N6631" i="13" s="1"/>
  <c r="O6632" i="13" l="1"/>
  <c r="N6632" i="13" s="1"/>
  <c r="O6633" i="13" l="1"/>
  <c r="N6633" i="13" s="1"/>
  <c r="O6634" i="13" l="1"/>
  <c r="N6634" i="13" s="1"/>
  <c r="O6635" i="13" l="1"/>
  <c r="N6635" i="13" s="1"/>
  <c r="O6636" i="13" l="1"/>
  <c r="N6636" i="13" s="1"/>
  <c r="O6637" i="13" l="1"/>
  <c r="N6637" i="13" s="1"/>
  <c r="O6638" i="13" l="1"/>
  <c r="N6638" i="13" s="1"/>
  <c r="O6639" i="13" l="1"/>
  <c r="N6639" i="13" s="1"/>
  <c r="O6640" i="13" l="1"/>
  <c r="N6640" i="13" s="1"/>
  <c r="O6641" i="13" l="1"/>
  <c r="N6641" i="13" s="1"/>
  <c r="O6642" i="13" l="1"/>
  <c r="N6642" i="13" s="1"/>
  <c r="O6643" i="13" l="1"/>
  <c r="N6643" i="13" s="1"/>
  <c r="O6644" i="13" l="1"/>
  <c r="N6644" i="13" s="1"/>
  <c r="O6645" i="13" l="1"/>
  <c r="N6645" i="13" s="1"/>
  <c r="O6646" i="13" l="1"/>
  <c r="N6646" i="13" s="1"/>
  <c r="O6647" i="13" l="1"/>
  <c r="N6647" i="13" s="1"/>
  <c r="O6648" i="13" l="1"/>
  <c r="N6648" i="13" s="1"/>
  <c r="O6649" i="13" l="1"/>
  <c r="N6649" i="13" s="1"/>
  <c r="O6650" i="13" l="1"/>
  <c r="N6650" i="13" s="1"/>
  <c r="O6651" i="13" l="1"/>
  <c r="N6651" i="13" s="1"/>
  <c r="O6652" i="13" l="1"/>
  <c r="N6652" i="13" s="1"/>
  <c r="O6653" i="13" l="1"/>
  <c r="N6653" i="13" s="1"/>
  <c r="O6654" i="13" l="1"/>
  <c r="N6654" i="13" s="1"/>
  <c r="O6655" i="13" l="1"/>
  <c r="N6655" i="13" s="1"/>
  <c r="O6656" i="13" l="1"/>
  <c r="N6656" i="13" s="1"/>
  <c r="O6657" i="13" l="1"/>
  <c r="N6657" i="13" s="1"/>
  <c r="O6658" i="13" l="1"/>
  <c r="N6658" i="13" s="1"/>
  <c r="O6659" i="13" l="1"/>
  <c r="N6659" i="13" s="1"/>
  <c r="O6660" i="13" l="1"/>
  <c r="N6660" i="13" s="1"/>
  <c r="O6661" i="13" l="1"/>
  <c r="N6661" i="13" s="1"/>
  <c r="O6662" i="13" l="1"/>
  <c r="N6662" i="13" s="1"/>
  <c r="O6663" i="13" l="1"/>
  <c r="N6663" i="13" s="1"/>
  <c r="O6664" i="13" l="1"/>
  <c r="N6664" i="13" s="1"/>
  <c r="O6665" i="13" l="1"/>
  <c r="N6665" i="13" s="1"/>
  <c r="O6666" i="13" l="1"/>
  <c r="N6666" i="13" s="1"/>
  <c r="O6667" i="13" l="1"/>
  <c r="N6667" i="13" s="1"/>
  <c r="O6668" i="13" l="1"/>
  <c r="N6668" i="13" s="1"/>
  <c r="O6669" i="13" l="1"/>
  <c r="N6669" i="13" s="1"/>
  <c r="O6670" i="13" l="1"/>
  <c r="N6670" i="13" s="1"/>
  <c r="O6671" i="13" l="1"/>
  <c r="N6671" i="13" s="1"/>
  <c r="O6672" i="13" l="1"/>
  <c r="N6672" i="13" s="1"/>
  <c r="O6673" i="13" l="1"/>
  <c r="N6673" i="13" s="1"/>
  <c r="O6674" i="13" l="1"/>
  <c r="N6674" i="13" s="1"/>
  <c r="O6675" i="13" l="1"/>
  <c r="N6675" i="13" s="1"/>
  <c r="O6676" i="13" l="1"/>
  <c r="N6676" i="13" s="1"/>
  <c r="O6677" i="13" l="1"/>
  <c r="N6677" i="13" s="1"/>
  <c r="O6678" i="13" l="1"/>
  <c r="N6678" i="13" s="1"/>
  <c r="O6679" i="13" l="1"/>
  <c r="N6679" i="13" s="1"/>
  <c r="O6680" i="13" l="1"/>
  <c r="N6680" i="13" s="1"/>
  <c r="O6681" i="13" l="1"/>
  <c r="N6681" i="13" s="1"/>
  <c r="O6682" i="13" l="1"/>
  <c r="N6682" i="13" s="1"/>
  <c r="O6683" i="13" l="1"/>
  <c r="N6683" i="13" s="1"/>
  <c r="O6684" i="13" l="1"/>
  <c r="N6684" i="13" s="1"/>
  <c r="O6685" i="13" l="1"/>
  <c r="N6685" i="13" s="1"/>
  <c r="O6686" i="13" l="1"/>
  <c r="N6686" i="13" s="1"/>
  <c r="O6687" i="13" l="1"/>
  <c r="N6687" i="13" s="1"/>
  <c r="O6688" i="13" l="1"/>
  <c r="N6688" i="13" s="1"/>
  <c r="O6689" i="13" l="1"/>
  <c r="N6689" i="13" s="1"/>
  <c r="O6690" i="13" l="1"/>
  <c r="N6690" i="13" s="1"/>
  <c r="O6691" i="13" l="1"/>
  <c r="N6691" i="13" s="1"/>
  <c r="O6692" i="13" l="1"/>
  <c r="N6692" i="13" s="1"/>
  <c r="O6693" i="13" l="1"/>
  <c r="N6693" i="13" s="1"/>
  <c r="O6694" i="13" l="1"/>
  <c r="N6694" i="13" s="1"/>
  <c r="O6695" i="13" l="1"/>
  <c r="N6695" i="13" s="1"/>
  <c r="O6696" i="13" l="1"/>
  <c r="N6696" i="13" s="1"/>
  <c r="O6697" i="13" l="1"/>
  <c r="N6697" i="13" s="1"/>
  <c r="O6698" i="13" l="1"/>
  <c r="N6698" i="13" s="1"/>
  <c r="O6699" i="13" l="1"/>
  <c r="N6699" i="13" s="1"/>
  <c r="O6700" i="13" l="1"/>
  <c r="N6700" i="13" s="1"/>
  <c r="O6701" i="13" l="1"/>
  <c r="N6701" i="13" s="1"/>
  <c r="O6702" i="13" l="1"/>
  <c r="N6702" i="13" s="1"/>
  <c r="O6703" i="13" l="1"/>
  <c r="N6703" i="13" s="1"/>
  <c r="O6704" i="13" l="1"/>
  <c r="N6704" i="13" s="1"/>
  <c r="O6705" i="13" l="1"/>
  <c r="N6705" i="13" s="1"/>
  <c r="O6706" i="13" l="1"/>
  <c r="N6706" i="13" s="1"/>
  <c r="O6707" i="13" l="1"/>
  <c r="N6707" i="13" s="1"/>
  <c r="O6708" i="13" l="1"/>
  <c r="N6708" i="13" s="1"/>
  <c r="O6709" i="13" l="1"/>
  <c r="N6709" i="13" s="1"/>
  <c r="O6710" i="13" l="1"/>
  <c r="N6710" i="13" s="1"/>
  <c r="O6711" i="13" l="1"/>
  <c r="N6711" i="13" s="1"/>
  <c r="O6712" i="13" l="1"/>
  <c r="N6712" i="13" s="1"/>
  <c r="O6713" i="13" l="1"/>
  <c r="N6713" i="13" s="1"/>
  <c r="O6714" i="13" l="1"/>
  <c r="N6714" i="13" s="1"/>
  <c r="O6715" i="13" l="1"/>
  <c r="N6715" i="13" s="1"/>
  <c r="O6716" i="13" l="1"/>
  <c r="N6716" i="13" s="1"/>
  <c r="O6717" i="13" l="1"/>
  <c r="N6717" i="13" s="1"/>
  <c r="O6718" i="13" l="1"/>
  <c r="N6718" i="13" s="1"/>
  <c r="O6719" i="13" l="1"/>
  <c r="N6719" i="13" s="1"/>
  <c r="O6720" i="13" l="1"/>
  <c r="N6720" i="13" s="1"/>
  <c r="O6721" i="13" l="1"/>
  <c r="N6721" i="13" s="1"/>
  <c r="O6722" i="13" l="1"/>
  <c r="N6722" i="13" s="1"/>
  <c r="O6723" i="13" l="1"/>
  <c r="N6723" i="13" s="1"/>
  <c r="O6724" i="13" l="1"/>
  <c r="N6724" i="13" s="1"/>
  <c r="O6725" i="13" l="1"/>
  <c r="N6725" i="13" s="1"/>
  <c r="O6726" i="13" l="1"/>
  <c r="N6726" i="13" s="1"/>
  <c r="O6727" i="13" l="1"/>
  <c r="N6727" i="13" s="1"/>
  <c r="O6728" i="13" l="1"/>
  <c r="N6728" i="13" s="1"/>
  <c r="O6729" i="13" l="1"/>
  <c r="N6729" i="13" s="1"/>
  <c r="O6730" i="13" l="1"/>
  <c r="N6730" i="13" s="1"/>
  <c r="O6731" i="13" l="1"/>
  <c r="N6731" i="13" s="1"/>
  <c r="O6732" i="13" l="1"/>
  <c r="N6732" i="13" s="1"/>
  <c r="O6733" i="13" l="1"/>
  <c r="N6733" i="13" s="1"/>
  <c r="O6734" i="13" l="1"/>
  <c r="N6734" i="13" s="1"/>
  <c r="O6735" i="13" l="1"/>
  <c r="N6735" i="13" s="1"/>
  <c r="O6736" i="13" l="1"/>
  <c r="N6736" i="13" s="1"/>
  <c r="O6737" i="13" l="1"/>
  <c r="N6737" i="13" s="1"/>
  <c r="O6738" i="13" l="1"/>
  <c r="N6738" i="13" s="1"/>
  <c r="O6739" i="13" l="1"/>
  <c r="N6739" i="13" s="1"/>
  <c r="O6740" i="13" l="1"/>
  <c r="N6740" i="13" s="1"/>
  <c r="O6741" i="13" l="1"/>
  <c r="N6741" i="13" s="1"/>
  <c r="O6742" i="13" l="1"/>
  <c r="N6742" i="13" s="1"/>
  <c r="O6743" i="13" l="1"/>
  <c r="N6743" i="13" s="1"/>
  <c r="O6744" i="13" l="1"/>
  <c r="N6744" i="13" s="1"/>
  <c r="O6745" i="13" l="1"/>
  <c r="N6745" i="13" s="1"/>
  <c r="O6746" i="13" l="1"/>
  <c r="N6746" i="13" s="1"/>
  <c r="O6747" i="13" l="1"/>
  <c r="N6747" i="13" s="1"/>
  <c r="O6748" i="13" l="1"/>
  <c r="N6748" i="13" s="1"/>
  <c r="O6749" i="13" l="1"/>
  <c r="N6749" i="13" s="1"/>
  <c r="O6750" i="13" l="1"/>
  <c r="N6750" i="13" s="1"/>
  <c r="O6751" i="13" l="1"/>
  <c r="N6751" i="13" s="1"/>
  <c r="O6752" i="13" l="1"/>
  <c r="N6752" i="13" s="1"/>
  <c r="O6753" i="13" l="1"/>
  <c r="N6753" i="13" s="1"/>
  <c r="O6754" i="13" l="1"/>
  <c r="N6754" i="13" s="1"/>
  <c r="O6755" i="13" l="1"/>
  <c r="N6755" i="13" s="1"/>
  <c r="O6756" i="13" l="1"/>
  <c r="N6756" i="13" s="1"/>
  <c r="O6757" i="13" l="1"/>
  <c r="N6757" i="13" s="1"/>
  <c r="O6758" i="13" l="1"/>
  <c r="N6758" i="13" s="1"/>
  <c r="O6759" i="13" l="1"/>
  <c r="N6759" i="13" s="1"/>
  <c r="O6760" i="13" l="1"/>
  <c r="N6760" i="13" s="1"/>
  <c r="O6761" i="13" l="1"/>
  <c r="N6761" i="13" s="1"/>
  <c r="O6762" i="13" l="1"/>
  <c r="N6762" i="13" s="1"/>
  <c r="O6763" i="13" l="1"/>
  <c r="N6763" i="13" s="1"/>
  <c r="O6764" i="13" l="1"/>
  <c r="N6764" i="13" s="1"/>
  <c r="O6765" i="13" l="1"/>
  <c r="N6765" i="13" s="1"/>
  <c r="O6766" i="13" l="1"/>
  <c r="N6766" i="13" s="1"/>
  <c r="O6767" i="13" l="1"/>
  <c r="N6767" i="13" s="1"/>
  <c r="O6768" i="13" l="1"/>
  <c r="N6768" i="13" s="1"/>
  <c r="O6769" i="13" l="1"/>
  <c r="N6769" i="13" s="1"/>
  <c r="O6770" i="13" l="1"/>
  <c r="N6770" i="13" s="1"/>
  <c r="O6771" i="13" l="1"/>
  <c r="N6771" i="13" s="1"/>
  <c r="O6772" i="13" l="1"/>
  <c r="N6772" i="13" s="1"/>
  <c r="O6773" i="13" l="1"/>
  <c r="N6773" i="13" s="1"/>
  <c r="O6774" i="13" l="1"/>
  <c r="N6774" i="13" s="1"/>
  <c r="O6775" i="13" l="1"/>
  <c r="N6775" i="13" s="1"/>
  <c r="O6776" i="13" l="1"/>
  <c r="N6776" i="13" s="1"/>
  <c r="O6777" i="13" l="1"/>
  <c r="N6777" i="13" s="1"/>
  <c r="O6778" i="13" l="1"/>
  <c r="N6778" i="13" s="1"/>
  <c r="O6779" i="13" l="1"/>
  <c r="N6779" i="13" s="1"/>
  <c r="O6780" i="13" l="1"/>
  <c r="N6780" i="13" s="1"/>
  <c r="O6781" i="13" l="1"/>
  <c r="N6781" i="13" s="1"/>
  <c r="O6782" i="13" l="1"/>
  <c r="N6782" i="13" s="1"/>
  <c r="O6783" i="13" l="1"/>
  <c r="N6783" i="13" s="1"/>
  <c r="O6784" i="13" l="1"/>
  <c r="N6784" i="13" s="1"/>
  <c r="O6785" i="13" l="1"/>
  <c r="N6785" i="13" s="1"/>
  <c r="O6786" i="13" l="1"/>
  <c r="N6786" i="13" s="1"/>
  <c r="O6787" i="13" l="1"/>
  <c r="N6787" i="13" s="1"/>
  <c r="O6788" i="13" l="1"/>
  <c r="N6788" i="13" s="1"/>
  <c r="O6789" i="13" l="1"/>
  <c r="N6789" i="13" s="1"/>
  <c r="O6790" i="13" l="1"/>
  <c r="N6790" i="13" s="1"/>
  <c r="O6791" i="13" l="1"/>
  <c r="N6791" i="13" s="1"/>
  <c r="O6792" i="13" l="1"/>
  <c r="N6792" i="13" s="1"/>
  <c r="O6793" i="13" l="1"/>
  <c r="N6793" i="13" s="1"/>
  <c r="O6794" i="13" l="1"/>
  <c r="N6794" i="13" s="1"/>
  <c r="O6795" i="13" l="1"/>
  <c r="N6795" i="13" s="1"/>
  <c r="O6796" i="13" l="1"/>
  <c r="N6796" i="13" s="1"/>
  <c r="O6797" i="13" l="1"/>
  <c r="N6797" i="13" s="1"/>
  <c r="O6798" i="13" l="1"/>
  <c r="N6798" i="13" s="1"/>
  <c r="O6799" i="13" l="1"/>
  <c r="N6799" i="13" s="1"/>
  <c r="O6800" i="13" l="1"/>
  <c r="N6800" i="13" s="1"/>
  <c r="O6801" i="13" l="1"/>
  <c r="N6801" i="13" s="1"/>
  <c r="O6802" i="13" l="1"/>
  <c r="N6802" i="13" s="1"/>
  <c r="O6803" i="13" l="1"/>
  <c r="N6803" i="13" s="1"/>
  <c r="O6804" i="13" l="1"/>
  <c r="N6804" i="13" s="1"/>
  <c r="O6805" i="13" l="1"/>
  <c r="N6805" i="13" s="1"/>
  <c r="O6806" i="13" l="1"/>
  <c r="N6806" i="13" s="1"/>
  <c r="O6807" i="13" l="1"/>
  <c r="N6807" i="13" s="1"/>
  <c r="O6808" i="13" l="1"/>
  <c r="N6808" i="13" s="1"/>
  <c r="O6809" i="13" l="1"/>
  <c r="N6809" i="13" s="1"/>
  <c r="O6810" i="13" l="1"/>
  <c r="N6810" i="13" s="1"/>
  <c r="O6811" i="13" l="1"/>
  <c r="N6811" i="13" s="1"/>
  <c r="O6812" i="13" l="1"/>
  <c r="N6812" i="13" s="1"/>
  <c r="O6813" i="13" l="1"/>
  <c r="N6813" i="13" s="1"/>
  <c r="O6814" i="13" l="1"/>
  <c r="N6814" i="13" s="1"/>
  <c r="O6815" i="13" l="1"/>
  <c r="N6815" i="13" s="1"/>
  <c r="O6816" i="13" l="1"/>
  <c r="N6816" i="13" s="1"/>
  <c r="O6817" i="13" l="1"/>
  <c r="N6817" i="13" s="1"/>
  <c r="O6818" i="13" l="1"/>
  <c r="N6818" i="13" s="1"/>
  <c r="O6819" i="13" l="1"/>
  <c r="N6819" i="13" s="1"/>
  <c r="O6820" i="13" l="1"/>
  <c r="N6820" i="13" s="1"/>
  <c r="O6821" i="13" l="1"/>
  <c r="N6821" i="13" s="1"/>
  <c r="O6822" i="13" l="1"/>
  <c r="N6822" i="13" s="1"/>
  <c r="O6823" i="13" l="1"/>
  <c r="N6823" i="13" s="1"/>
  <c r="O6824" i="13" l="1"/>
  <c r="N6824" i="13" s="1"/>
  <c r="O6825" i="13" l="1"/>
  <c r="N6825" i="13" s="1"/>
  <c r="O6826" i="13" l="1"/>
  <c r="N6826" i="13" s="1"/>
  <c r="O6827" i="13" l="1"/>
  <c r="N6827" i="13" s="1"/>
  <c r="O6828" i="13" l="1"/>
  <c r="N6828" i="13" s="1"/>
  <c r="O6829" i="13" l="1"/>
  <c r="N6829" i="13" s="1"/>
  <c r="O6830" i="13" l="1"/>
  <c r="N6830" i="13" s="1"/>
  <c r="O6831" i="13" l="1"/>
  <c r="N6831" i="13" s="1"/>
  <c r="O6832" i="13" l="1"/>
  <c r="N6832" i="13" s="1"/>
  <c r="O6833" i="13" l="1"/>
  <c r="N6833" i="13" s="1"/>
  <c r="O6834" i="13" l="1"/>
  <c r="N6834" i="13" s="1"/>
  <c r="O6835" i="13" l="1"/>
  <c r="N6835" i="13" s="1"/>
  <c r="O6836" i="13" l="1"/>
  <c r="N6836" i="13" s="1"/>
  <c r="O6837" i="13" l="1"/>
  <c r="N6837" i="13" s="1"/>
  <c r="O6838" i="13" l="1"/>
  <c r="N6838" i="13" s="1"/>
  <c r="O6839" i="13" l="1"/>
  <c r="N6839" i="13" s="1"/>
  <c r="O6840" i="13" l="1"/>
  <c r="N6840" i="13" s="1"/>
  <c r="O6841" i="13" l="1"/>
  <c r="N6841" i="13" s="1"/>
  <c r="O6842" i="13" l="1"/>
  <c r="N6842" i="13" s="1"/>
  <c r="O6843" i="13" l="1"/>
  <c r="N6843" i="13" s="1"/>
  <c r="O6844" i="13" l="1"/>
  <c r="N6844" i="13" s="1"/>
  <c r="O6845" i="13" l="1"/>
  <c r="N6845" i="13" s="1"/>
  <c r="O6846" i="13" l="1"/>
  <c r="N6846" i="13" s="1"/>
  <c r="O6847" i="13" l="1"/>
  <c r="N6847" i="13" s="1"/>
  <c r="O6848" i="13" l="1"/>
  <c r="N6848" i="13" s="1"/>
  <c r="O6849" i="13" l="1"/>
  <c r="N6849" i="13" s="1"/>
  <c r="O6850" i="13" l="1"/>
  <c r="N6850" i="13" s="1"/>
  <c r="O6851" i="13" l="1"/>
  <c r="N6851" i="13" s="1"/>
  <c r="O6852" i="13" l="1"/>
  <c r="N6852" i="13" s="1"/>
  <c r="O6853" i="13" l="1"/>
  <c r="N6853" i="13" s="1"/>
  <c r="O6854" i="13" l="1"/>
  <c r="N6854" i="13" s="1"/>
  <c r="O6855" i="13" l="1"/>
  <c r="N6855" i="13" s="1"/>
  <c r="O6856" i="13" l="1"/>
  <c r="N6856" i="13" s="1"/>
  <c r="O6857" i="13" l="1"/>
  <c r="N6857" i="13" s="1"/>
  <c r="O6858" i="13" l="1"/>
  <c r="N6858" i="13" s="1"/>
  <c r="O6859" i="13" l="1"/>
  <c r="N6859" i="13" s="1"/>
  <c r="O6860" i="13" l="1"/>
  <c r="N6860" i="13" s="1"/>
  <c r="O6861" i="13" l="1"/>
  <c r="N6861" i="13" s="1"/>
  <c r="O6862" i="13" l="1"/>
  <c r="N6862" i="13" s="1"/>
  <c r="O6863" i="13" l="1"/>
  <c r="N6863" i="13" s="1"/>
  <c r="O6864" i="13" l="1"/>
  <c r="N6864" i="13" s="1"/>
  <c r="O6865" i="13" l="1"/>
  <c r="N6865" i="13" s="1"/>
  <c r="O6866" i="13" l="1"/>
  <c r="N6866" i="13" s="1"/>
  <c r="O6867" i="13" l="1"/>
  <c r="N6867" i="13" s="1"/>
  <c r="O6868" i="13" l="1"/>
  <c r="N6868" i="13" s="1"/>
  <c r="O6869" i="13" l="1"/>
  <c r="N6869" i="13" s="1"/>
  <c r="O6870" i="13" l="1"/>
  <c r="N6870" i="13" s="1"/>
  <c r="O6871" i="13" l="1"/>
  <c r="N6871" i="13" s="1"/>
  <c r="O6872" i="13" l="1"/>
  <c r="N6872" i="13" s="1"/>
  <c r="O6873" i="13" l="1"/>
  <c r="N6873" i="13" s="1"/>
  <c r="O6874" i="13" l="1"/>
  <c r="N6874" i="13" s="1"/>
  <c r="O6875" i="13" l="1"/>
  <c r="N6875" i="13" s="1"/>
  <c r="O6876" i="13" l="1"/>
  <c r="N6876" i="13" s="1"/>
  <c r="O6877" i="13" l="1"/>
  <c r="N6877" i="13" s="1"/>
  <c r="O6878" i="13" l="1"/>
  <c r="N6878" i="13" s="1"/>
  <c r="O6879" i="13" l="1"/>
  <c r="N6879" i="13" s="1"/>
  <c r="O6880" i="13" l="1"/>
  <c r="N6880" i="13" s="1"/>
  <c r="O6881" i="13" l="1"/>
  <c r="N6881" i="13" s="1"/>
  <c r="O6882" i="13" l="1"/>
  <c r="N6882" i="13" s="1"/>
  <c r="O6883" i="13" l="1"/>
  <c r="N6883" i="13" s="1"/>
  <c r="O6884" i="13" l="1"/>
  <c r="N6884" i="13" s="1"/>
  <c r="O6885" i="13" l="1"/>
  <c r="N6885" i="13" s="1"/>
  <c r="O6886" i="13" l="1"/>
  <c r="N6886" i="13" s="1"/>
  <c r="O6887" i="13" l="1"/>
  <c r="N6887" i="13" s="1"/>
  <c r="O6888" i="13" l="1"/>
  <c r="N6888" i="13" s="1"/>
  <c r="O6889" i="13" l="1"/>
  <c r="N6889" i="13" s="1"/>
  <c r="O6890" i="13" l="1"/>
  <c r="N6890" i="13" s="1"/>
  <c r="O6891" i="13" l="1"/>
  <c r="N6891" i="13" s="1"/>
  <c r="O6892" i="13" l="1"/>
  <c r="N6892" i="13" s="1"/>
  <c r="O6893" i="13" l="1"/>
  <c r="N6893" i="13" s="1"/>
  <c r="O6894" i="13" l="1"/>
  <c r="N6894" i="13" s="1"/>
  <c r="O6895" i="13" l="1"/>
  <c r="N6895" i="13" s="1"/>
  <c r="O6896" i="13" l="1"/>
  <c r="N6896" i="13" s="1"/>
  <c r="O6897" i="13" l="1"/>
  <c r="N6897" i="13" s="1"/>
  <c r="O6898" i="13" l="1"/>
  <c r="N6898" i="13" s="1"/>
  <c r="O6899" i="13" l="1"/>
  <c r="N6899" i="13" s="1"/>
  <c r="O6900" i="13" l="1"/>
  <c r="N6900" i="13" s="1"/>
  <c r="O6901" i="13" l="1"/>
  <c r="N6901" i="13" s="1"/>
  <c r="O6902" i="13" l="1"/>
  <c r="N6902" i="13" s="1"/>
  <c r="O6903" i="13" l="1"/>
  <c r="N6903" i="13" s="1"/>
  <c r="O6904" i="13" l="1"/>
  <c r="N6904" i="13" s="1"/>
  <c r="O6905" i="13" l="1"/>
  <c r="N6905" i="13" s="1"/>
  <c r="O6906" i="13" l="1"/>
  <c r="N6906" i="13" s="1"/>
  <c r="O6907" i="13" l="1"/>
  <c r="N6907" i="13" s="1"/>
  <c r="O6908" i="13" l="1"/>
  <c r="N6908" i="13" s="1"/>
  <c r="O6909" i="13" l="1"/>
  <c r="N6909" i="13" s="1"/>
  <c r="O6910" i="13" l="1"/>
  <c r="N6910" i="13" s="1"/>
  <c r="O6911" i="13" l="1"/>
  <c r="N6911" i="13" s="1"/>
  <c r="O6912" i="13" l="1"/>
  <c r="N6912" i="13" s="1"/>
  <c r="O6913" i="13" l="1"/>
  <c r="N6913" i="13" s="1"/>
  <c r="O6914" i="13" l="1"/>
  <c r="N6914" i="13" s="1"/>
  <c r="O6915" i="13" l="1"/>
  <c r="N6915" i="13" s="1"/>
  <c r="O6916" i="13" l="1"/>
  <c r="N6916" i="13" s="1"/>
  <c r="O6917" i="13" l="1"/>
  <c r="N6917" i="13" s="1"/>
  <c r="O6918" i="13" l="1"/>
  <c r="N6918" i="13" s="1"/>
  <c r="O6919" i="13" l="1"/>
  <c r="N6919" i="13" s="1"/>
  <c r="O6920" i="13" l="1"/>
  <c r="N6920" i="13" s="1"/>
  <c r="O6921" i="13" l="1"/>
  <c r="N6921" i="13" s="1"/>
  <c r="O6922" i="13" l="1"/>
  <c r="N6922" i="13" s="1"/>
  <c r="O6923" i="13" l="1"/>
  <c r="N6923" i="13" s="1"/>
  <c r="O6924" i="13" l="1"/>
  <c r="N6924" i="13" s="1"/>
  <c r="O6925" i="13" l="1"/>
  <c r="N6925" i="13" s="1"/>
  <c r="O6926" i="13" l="1"/>
  <c r="N6926" i="13" s="1"/>
  <c r="O6927" i="13" l="1"/>
  <c r="N6927" i="13" s="1"/>
  <c r="O6928" i="13" l="1"/>
  <c r="N6928" i="13" s="1"/>
  <c r="O6929" i="13" l="1"/>
  <c r="N6929" i="13" s="1"/>
  <c r="O6930" i="13" l="1"/>
  <c r="N6930" i="13" s="1"/>
  <c r="O6931" i="13" l="1"/>
  <c r="N6931" i="13" s="1"/>
  <c r="O6932" i="13" l="1"/>
  <c r="N6932" i="13" s="1"/>
  <c r="O6933" i="13" l="1"/>
  <c r="N6933" i="13" s="1"/>
  <c r="O6934" i="13" l="1"/>
  <c r="N6934" i="13" s="1"/>
  <c r="O6935" i="13" l="1"/>
  <c r="N6935" i="13" s="1"/>
  <c r="O6936" i="13" l="1"/>
  <c r="N6936" i="13" s="1"/>
  <c r="O6937" i="13" l="1"/>
  <c r="N6937" i="13" s="1"/>
  <c r="O6938" i="13" l="1"/>
  <c r="N6938" i="13" s="1"/>
  <c r="O6939" i="13" l="1"/>
  <c r="N6939" i="13" s="1"/>
  <c r="O6940" i="13" l="1"/>
  <c r="N6940" i="13" s="1"/>
  <c r="O6941" i="13" l="1"/>
  <c r="N6941" i="13" s="1"/>
  <c r="O6942" i="13" l="1"/>
  <c r="N6942" i="13" s="1"/>
  <c r="O6943" i="13" l="1"/>
  <c r="N6943" i="13" s="1"/>
  <c r="O6944" i="13" l="1"/>
  <c r="N6944" i="13" s="1"/>
  <c r="O6945" i="13" l="1"/>
  <c r="N6945" i="13" s="1"/>
  <c r="O6946" i="13" l="1"/>
  <c r="N6946" i="13" s="1"/>
  <c r="O6947" i="13" l="1"/>
  <c r="N6947" i="13" s="1"/>
  <c r="O6948" i="13" l="1"/>
  <c r="N6948" i="13" s="1"/>
  <c r="O6949" i="13" l="1"/>
  <c r="N6949" i="13" s="1"/>
  <c r="O6950" i="13" l="1"/>
  <c r="N6950" i="13" s="1"/>
  <c r="O6951" i="13" l="1"/>
  <c r="N6951" i="13" s="1"/>
  <c r="O6952" i="13" l="1"/>
  <c r="N6952" i="13" s="1"/>
  <c r="O6953" i="13" l="1"/>
  <c r="N6953" i="13" s="1"/>
  <c r="O6954" i="13" l="1"/>
  <c r="N6954" i="13" s="1"/>
  <c r="O6955" i="13" l="1"/>
  <c r="N6955" i="13" s="1"/>
  <c r="O6956" i="13" l="1"/>
  <c r="N6956" i="13" s="1"/>
  <c r="O6957" i="13" l="1"/>
  <c r="N6957" i="13" s="1"/>
  <c r="O6958" i="13" l="1"/>
  <c r="N6958" i="13" s="1"/>
  <c r="O6959" i="13" l="1"/>
  <c r="N6959" i="13" s="1"/>
  <c r="O6960" i="13" l="1"/>
  <c r="N6960" i="13" s="1"/>
  <c r="O6961" i="13" l="1"/>
  <c r="N6961" i="13" s="1"/>
  <c r="O6962" i="13" l="1"/>
  <c r="N6962" i="13" s="1"/>
  <c r="O6963" i="13" l="1"/>
  <c r="N6963" i="13" s="1"/>
  <c r="O6964" i="13" l="1"/>
  <c r="N6964" i="13" s="1"/>
  <c r="O6965" i="13" l="1"/>
  <c r="N6965" i="13" s="1"/>
  <c r="O6966" i="13" l="1"/>
  <c r="N6966" i="13" s="1"/>
  <c r="O6967" i="13" l="1"/>
  <c r="N6967" i="13" s="1"/>
  <c r="O6968" i="13" l="1"/>
  <c r="N6968" i="13" s="1"/>
  <c r="O6969" i="13" l="1"/>
  <c r="N6969" i="13" s="1"/>
  <c r="O6970" i="13" l="1"/>
  <c r="N6970" i="13" s="1"/>
  <c r="O6971" i="13" l="1"/>
  <c r="N6971" i="13" s="1"/>
  <c r="O6972" i="13" l="1"/>
  <c r="N6972" i="13" s="1"/>
  <c r="O6973" i="13" l="1"/>
  <c r="N6973" i="13" s="1"/>
  <c r="O6974" i="13" l="1"/>
  <c r="N6974" i="13" s="1"/>
  <c r="O6975" i="13" l="1"/>
  <c r="N6975" i="13" s="1"/>
  <c r="O6976" i="13" l="1"/>
  <c r="N6976" i="13" s="1"/>
  <c r="O6977" i="13" l="1"/>
  <c r="N6977" i="13" s="1"/>
  <c r="O6978" i="13" l="1"/>
  <c r="N6978" i="13" s="1"/>
  <c r="O6979" i="13" l="1"/>
  <c r="N6979" i="13" s="1"/>
  <c r="O6980" i="13" l="1"/>
  <c r="N6980" i="13" s="1"/>
  <c r="O6981" i="13" l="1"/>
  <c r="N6981" i="13" s="1"/>
  <c r="O6982" i="13" l="1"/>
  <c r="N6982" i="13" s="1"/>
  <c r="O6983" i="13" l="1"/>
  <c r="N6983" i="13" s="1"/>
  <c r="O6984" i="13" l="1"/>
  <c r="N6984" i="13" s="1"/>
  <c r="O6985" i="13" l="1"/>
  <c r="N6985" i="13" s="1"/>
  <c r="O6986" i="13" l="1"/>
  <c r="N6986" i="13" s="1"/>
  <c r="O6987" i="13" l="1"/>
  <c r="N6987" i="13" s="1"/>
  <c r="O6988" i="13" l="1"/>
  <c r="N6988" i="13" s="1"/>
  <c r="O6989" i="13" l="1"/>
  <c r="N6989" i="13" s="1"/>
  <c r="O6990" i="13" l="1"/>
  <c r="N6990" i="13" s="1"/>
  <c r="O6991" i="13" l="1"/>
  <c r="N6991" i="13" s="1"/>
  <c r="O6992" i="13" l="1"/>
  <c r="N6992" i="13" s="1"/>
  <c r="O6993" i="13" l="1"/>
  <c r="N6993" i="13" s="1"/>
  <c r="O6994" i="13" l="1"/>
  <c r="N6994" i="13" s="1"/>
  <c r="O6995" i="13" l="1"/>
  <c r="N6995" i="13" s="1"/>
  <c r="O6996" i="13" l="1"/>
  <c r="N6996" i="13" s="1"/>
  <c r="O6997" i="13" l="1"/>
  <c r="N6997" i="13" s="1"/>
  <c r="O6998" i="13" l="1"/>
  <c r="N6998" i="13" s="1"/>
  <c r="O6999" i="13" l="1"/>
  <c r="N6999" i="13" s="1"/>
  <c r="O7000" i="13" l="1"/>
  <c r="N7000" i="13" s="1"/>
  <c r="O7001" i="13" l="1"/>
  <c r="N7001" i="13" s="1"/>
  <c r="O7002" i="13" l="1"/>
  <c r="N7002" i="13" s="1"/>
  <c r="O7003" i="13" l="1"/>
  <c r="N7003" i="13" s="1"/>
  <c r="O7004" i="13" l="1"/>
  <c r="N7004" i="13" s="1"/>
  <c r="O7005" i="13" l="1"/>
  <c r="N7005" i="13" s="1"/>
  <c r="O7006" i="13" l="1"/>
  <c r="N7006" i="13" s="1"/>
  <c r="O7007" i="13" l="1"/>
  <c r="N7007" i="13" s="1"/>
  <c r="O7008" i="13" l="1"/>
  <c r="N7008" i="13" s="1"/>
  <c r="O7009" i="13" l="1"/>
  <c r="N7009" i="13" s="1"/>
  <c r="O7010" i="13" l="1"/>
  <c r="N7010" i="13" s="1"/>
  <c r="O7011" i="13" l="1"/>
  <c r="N7011" i="13" s="1"/>
  <c r="O7012" i="13" l="1"/>
  <c r="N7012" i="13" s="1"/>
  <c r="O7013" i="13" l="1"/>
  <c r="N7013" i="13" s="1"/>
  <c r="O7014" i="13" l="1"/>
  <c r="N7014" i="13" s="1"/>
  <c r="O7015" i="13" l="1"/>
  <c r="N7015" i="13" s="1"/>
  <c r="O7016" i="13" l="1"/>
  <c r="N7016" i="13" s="1"/>
  <c r="O7017" i="13" l="1"/>
  <c r="N7017" i="13" s="1"/>
  <c r="O7018" i="13" l="1"/>
  <c r="N7018" i="13" s="1"/>
  <c r="O7019" i="13" l="1"/>
  <c r="N7019" i="13" s="1"/>
  <c r="O7020" i="13" l="1"/>
  <c r="N7020" i="13" s="1"/>
  <c r="O7021" i="13" l="1"/>
  <c r="N7021" i="13" s="1"/>
  <c r="O7022" i="13" l="1"/>
  <c r="N7022" i="13" s="1"/>
  <c r="O7023" i="13" l="1"/>
  <c r="N7023" i="13" s="1"/>
  <c r="O7024" i="13" l="1"/>
  <c r="N7024" i="13" s="1"/>
  <c r="O7025" i="13" l="1"/>
  <c r="N7025" i="13" s="1"/>
  <c r="O7026" i="13" l="1"/>
  <c r="N7026" i="13" s="1"/>
  <c r="O7027" i="13" l="1"/>
  <c r="N7027" i="13" s="1"/>
  <c r="O7028" i="13" l="1"/>
  <c r="N7028" i="13" s="1"/>
  <c r="O7029" i="13" l="1"/>
  <c r="N7029" i="13" s="1"/>
  <c r="O7030" i="13" l="1"/>
  <c r="N7030" i="13" s="1"/>
  <c r="O7031" i="13" l="1"/>
  <c r="N7031" i="13" s="1"/>
  <c r="O7032" i="13" l="1"/>
  <c r="N7032" i="13" s="1"/>
  <c r="O7033" i="13" l="1"/>
  <c r="N7033" i="13" s="1"/>
  <c r="O7034" i="13" l="1"/>
  <c r="N7034" i="13" s="1"/>
  <c r="O7035" i="13" l="1"/>
  <c r="N7035" i="13" s="1"/>
  <c r="O7036" i="13" l="1"/>
  <c r="N7036" i="13" s="1"/>
  <c r="O7037" i="13" l="1"/>
  <c r="N7037" i="13" s="1"/>
  <c r="O7038" i="13" l="1"/>
  <c r="N7038" i="13" s="1"/>
  <c r="O7039" i="13" l="1"/>
  <c r="N7039" i="13" s="1"/>
  <c r="O7040" i="13" l="1"/>
  <c r="N7040" i="13" s="1"/>
  <c r="O7041" i="13" l="1"/>
  <c r="N7041" i="13" s="1"/>
  <c r="O7042" i="13" l="1"/>
  <c r="N7042" i="13" s="1"/>
  <c r="O7043" i="13" l="1"/>
  <c r="N7043" i="13" s="1"/>
  <c r="O7044" i="13" l="1"/>
  <c r="N7044" i="13" s="1"/>
  <c r="O7045" i="13" l="1"/>
  <c r="N7045" i="13" s="1"/>
  <c r="O7046" i="13" l="1"/>
  <c r="N7046" i="13" s="1"/>
  <c r="O7047" i="13" l="1"/>
  <c r="N7047" i="13" s="1"/>
  <c r="O7048" i="13" l="1"/>
  <c r="N7048" i="13" s="1"/>
  <c r="O7049" i="13" l="1"/>
  <c r="N7049" i="13" s="1"/>
  <c r="O7050" i="13" l="1"/>
  <c r="N7050" i="13" s="1"/>
  <c r="O7051" i="13" l="1"/>
  <c r="N7051" i="13" s="1"/>
  <c r="O7052" i="13" l="1"/>
  <c r="N7052" i="13" s="1"/>
  <c r="O7053" i="13" l="1"/>
  <c r="N7053" i="13" s="1"/>
  <c r="O7054" i="13" l="1"/>
  <c r="N7054" i="13" s="1"/>
  <c r="O7055" i="13" l="1"/>
  <c r="N7055" i="13" s="1"/>
  <c r="O7056" i="13" l="1"/>
  <c r="N7056" i="13" s="1"/>
  <c r="O7057" i="13" l="1"/>
  <c r="N7057" i="13" s="1"/>
  <c r="O7058" i="13" l="1"/>
  <c r="N7058" i="13" s="1"/>
  <c r="O7059" i="13" l="1"/>
  <c r="N7059" i="13" s="1"/>
  <c r="O7060" i="13" l="1"/>
  <c r="N7060" i="13" s="1"/>
  <c r="O7061" i="13" l="1"/>
  <c r="N7061" i="13" s="1"/>
  <c r="O7062" i="13" l="1"/>
  <c r="N7062" i="13" s="1"/>
  <c r="O7063" i="13" l="1"/>
  <c r="N7063" i="13" s="1"/>
  <c r="O7064" i="13" l="1"/>
  <c r="N7064" i="13" s="1"/>
  <c r="O7065" i="13" l="1"/>
  <c r="N7065" i="13" s="1"/>
  <c r="O7066" i="13" l="1"/>
  <c r="N7066" i="13" s="1"/>
  <c r="O7067" i="13" l="1"/>
  <c r="N7067" i="13" s="1"/>
  <c r="O7068" i="13" l="1"/>
  <c r="N7068" i="13" s="1"/>
  <c r="O7069" i="13" l="1"/>
  <c r="N7069" i="13" s="1"/>
  <c r="O7070" i="13" l="1"/>
  <c r="N7070" i="13" s="1"/>
  <c r="O7071" i="13" l="1"/>
  <c r="N7071" i="13" s="1"/>
  <c r="O7072" i="13" l="1"/>
  <c r="N7072" i="13" s="1"/>
  <c r="O7073" i="13" l="1"/>
  <c r="N7073" i="13" s="1"/>
  <c r="O7074" i="13" l="1"/>
  <c r="N7074" i="13" s="1"/>
  <c r="O7075" i="13" l="1"/>
  <c r="N7075" i="13" s="1"/>
  <c r="O7076" i="13" l="1"/>
  <c r="N7076" i="13" s="1"/>
  <c r="O7077" i="13" l="1"/>
  <c r="N7077" i="13" s="1"/>
  <c r="O7078" i="13" l="1"/>
  <c r="N7078" i="13" s="1"/>
  <c r="O7079" i="13" l="1"/>
  <c r="N7079" i="13" s="1"/>
  <c r="O7080" i="13" l="1"/>
  <c r="N7080" i="13" s="1"/>
  <c r="O7081" i="13" l="1"/>
  <c r="N7081" i="13" s="1"/>
  <c r="O7082" i="13" l="1"/>
  <c r="N7082" i="13" s="1"/>
  <c r="O7083" i="13" l="1"/>
  <c r="N7083" i="13" s="1"/>
  <c r="O7084" i="13" l="1"/>
  <c r="N7084" i="13" s="1"/>
  <c r="O7085" i="13" l="1"/>
  <c r="N7085" i="13" s="1"/>
  <c r="O7086" i="13" l="1"/>
  <c r="N7086" i="13" s="1"/>
  <c r="O7087" i="13" l="1"/>
  <c r="N7087" i="13" s="1"/>
  <c r="O7088" i="13" l="1"/>
  <c r="N7088" i="13" s="1"/>
  <c r="O7089" i="13" l="1"/>
  <c r="N7089" i="13" s="1"/>
  <c r="O7090" i="13" l="1"/>
  <c r="N7090" i="13" s="1"/>
  <c r="O7091" i="13" l="1"/>
  <c r="N7091" i="13" s="1"/>
  <c r="O7092" i="13" l="1"/>
  <c r="N7092" i="13" s="1"/>
  <c r="O7093" i="13" l="1"/>
  <c r="N7093" i="13" s="1"/>
  <c r="O7094" i="13" l="1"/>
  <c r="N7094" i="13" s="1"/>
  <c r="O7095" i="13" l="1"/>
  <c r="N7095" i="13" s="1"/>
  <c r="O7096" i="13" l="1"/>
  <c r="N7096" i="13" s="1"/>
  <c r="O7097" i="13" l="1"/>
  <c r="N7097" i="13" s="1"/>
  <c r="O7098" i="13" l="1"/>
  <c r="N7098" i="13" s="1"/>
  <c r="O7099" i="13" l="1"/>
  <c r="N7099" i="13" s="1"/>
  <c r="O7100" i="13" l="1"/>
  <c r="N7100" i="13" s="1"/>
  <c r="O7101" i="13" l="1"/>
  <c r="N7101" i="13" s="1"/>
  <c r="O7102" i="13" l="1"/>
  <c r="N7102" i="13" s="1"/>
  <c r="O7103" i="13" l="1"/>
  <c r="N7103" i="13" s="1"/>
  <c r="O7104" i="13" l="1"/>
  <c r="N7104" i="13" s="1"/>
  <c r="O7105" i="13" l="1"/>
  <c r="N7105" i="13" s="1"/>
  <c r="O7106" i="13" l="1"/>
  <c r="N7106" i="13" s="1"/>
  <c r="O7107" i="13" l="1"/>
  <c r="N7107" i="13" s="1"/>
  <c r="O7108" i="13" l="1"/>
  <c r="N7108" i="13" s="1"/>
  <c r="O7109" i="13" l="1"/>
  <c r="N7109" i="13" s="1"/>
  <c r="O7110" i="13" l="1"/>
  <c r="N7110" i="13" s="1"/>
  <c r="O7111" i="13" l="1"/>
  <c r="N7111" i="13" s="1"/>
  <c r="O7112" i="13" l="1"/>
  <c r="N7112" i="13" s="1"/>
  <c r="O7113" i="13" l="1"/>
  <c r="N7113" i="13" s="1"/>
  <c r="O7114" i="13" l="1"/>
  <c r="N7114" i="13" s="1"/>
  <c r="O7115" i="13" l="1"/>
  <c r="N7115" i="13" s="1"/>
  <c r="O7116" i="13" l="1"/>
  <c r="N7116" i="13" s="1"/>
  <c r="O7117" i="13" l="1"/>
  <c r="N7117" i="13" s="1"/>
  <c r="O7118" i="13" l="1"/>
  <c r="N7118" i="13" s="1"/>
  <c r="O7119" i="13" l="1"/>
  <c r="N7119" i="13" s="1"/>
  <c r="O7120" i="13" l="1"/>
  <c r="N7120" i="13" s="1"/>
  <c r="O7121" i="13" l="1"/>
  <c r="N7121" i="13" s="1"/>
  <c r="O7122" i="13" l="1"/>
  <c r="N7122" i="13" s="1"/>
  <c r="O7123" i="13" l="1"/>
  <c r="N7123" i="13" s="1"/>
  <c r="O7124" i="13" l="1"/>
  <c r="N7124" i="13" s="1"/>
  <c r="O7125" i="13" l="1"/>
  <c r="N7125" i="13" s="1"/>
  <c r="O7126" i="13" l="1"/>
  <c r="N7126" i="13" s="1"/>
  <c r="O7127" i="13" l="1"/>
  <c r="N7127" i="13" s="1"/>
  <c r="O7128" i="13" l="1"/>
  <c r="N7128" i="13" s="1"/>
  <c r="O7129" i="13" l="1"/>
  <c r="N7129" i="13" s="1"/>
  <c r="O7130" i="13" l="1"/>
  <c r="N7130" i="13" s="1"/>
  <c r="O7131" i="13" l="1"/>
  <c r="N7131" i="13" s="1"/>
  <c r="O7132" i="13" l="1"/>
  <c r="N7132" i="13" s="1"/>
  <c r="O7133" i="13" l="1"/>
  <c r="N7133" i="13" s="1"/>
  <c r="O7134" i="13" l="1"/>
  <c r="N7134" i="13" s="1"/>
  <c r="O7135" i="13" l="1"/>
  <c r="N7135" i="13" s="1"/>
  <c r="O7136" i="13" l="1"/>
  <c r="N7136" i="13" s="1"/>
  <c r="O7137" i="13" l="1"/>
  <c r="N7137" i="13" s="1"/>
  <c r="O7138" i="13" l="1"/>
  <c r="N7138" i="13" s="1"/>
  <c r="O7139" i="13" l="1"/>
  <c r="N7139" i="13" s="1"/>
  <c r="O7140" i="13" l="1"/>
  <c r="N7140" i="13" s="1"/>
  <c r="O7141" i="13" l="1"/>
  <c r="N7141" i="13" s="1"/>
  <c r="O7142" i="13" l="1"/>
  <c r="N7142" i="13" s="1"/>
  <c r="O7143" i="13" l="1"/>
  <c r="N7143" i="13" s="1"/>
  <c r="O7144" i="13" l="1"/>
  <c r="N7144" i="13" s="1"/>
  <c r="O7145" i="13" l="1"/>
  <c r="N7145" i="13" s="1"/>
  <c r="O7146" i="13" l="1"/>
  <c r="N7146" i="13" s="1"/>
  <c r="O7147" i="13" l="1"/>
  <c r="N7147" i="13" s="1"/>
  <c r="O7148" i="13" l="1"/>
  <c r="N7148" i="13" s="1"/>
  <c r="O7149" i="13" l="1"/>
  <c r="N7149" i="13" s="1"/>
  <c r="O7150" i="13" l="1"/>
  <c r="N7150" i="13" s="1"/>
  <c r="O7151" i="13" l="1"/>
  <c r="N7151" i="13" s="1"/>
  <c r="O7152" i="13" l="1"/>
  <c r="N7152" i="13" s="1"/>
  <c r="O7153" i="13" l="1"/>
  <c r="N7153" i="13" s="1"/>
  <c r="O7154" i="13" l="1"/>
  <c r="N7154" i="13" s="1"/>
  <c r="O7155" i="13" l="1"/>
  <c r="N7155" i="13" s="1"/>
  <c r="O7156" i="13" l="1"/>
  <c r="N7156" i="13" s="1"/>
  <c r="O7157" i="13" l="1"/>
  <c r="N7157" i="13" s="1"/>
  <c r="O7158" i="13" l="1"/>
  <c r="N7158" i="13" s="1"/>
  <c r="O7159" i="13" l="1"/>
  <c r="N7159" i="13" s="1"/>
  <c r="O7160" i="13" l="1"/>
  <c r="N7160" i="13" s="1"/>
  <c r="O7161" i="13" l="1"/>
  <c r="N7161" i="13" s="1"/>
  <c r="O7162" i="13" l="1"/>
  <c r="N7162" i="13" s="1"/>
  <c r="O7163" i="13" l="1"/>
  <c r="N7163" i="13" s="1"/>
  <c r="O7164" i="13" l="1"/>
  <c r="N7164" i="13" s="1"/>
  <c r="O7165" i="13" l="1"/>
  <c r="N7165" i="13" s="1"/>
  <c r="O7166" i="13" l="1"/>
  <c r="N7166" i="13" s="1"/>
  <c r="O7167" i="13" l="1"/>
  <c r="N7167" i="13" s="1"/>
  <c r="O7168" i="13" l="1"/>
  <c r="N7168" i="13" s="1"/>
  <c r="O7169" i="13" l="1"/>
  <c r="N7169" i="13" s="1"/>
  <c r="O7170" i="13" l="1"/>
  <c r="N7170" i="13" s="1"/>
  <c r="O7171" i="13" l="1"/>
  <c r="N7171" i="13" s="1"/>
  <c r="O7172" i="13" l="1"/>
  <c r="N7172" i="13" s="1"/>
  <c r="O7173" i="13" l="1"/>
  <c r="N7173" i="13" s="1"/>
  <c r="O7174" i="13" l="1"/>
  <c r="N7174" i="13" s="1"/>
  <c r="O7175" i="13" l="1"/>
  <c r="N7175" i="13" s="1"/>
  <c r="O7176" i="13" l="1"/>
  <c r="N7176" i="13" s="1"/>
  <c r="O7177" i="13" l="1"/>
  <c r="N7177" i="13" s="1"/>
  <c r="O7178" i="13" l="1"/>
  <c r="N7178" i="13" s="1"/>
  <c r="O7179" i="13" l="1"/>
  <c r="N7179" i="13" s="1"/>
  <c r="O7180" i="13" l="1"/>
  <c r="N7180" i="13" s="1"/>
  <c r="O7181" i="13" l="1"/>
  <c r="N7181" i="13" s="1"/>
  <c r="O7182" i="13" l="1"/>
  <c r="N7182" i="13" s="1"/>
  <c r="O7183" i="13" l="1"/>
  <c r="N7183" i="13" s="1"/>
  <c r="O7184" i="13" l="1"/>
  <c r="N7184" i="13" s="1"/>
  <c r="O7185" i="13" l="1"/>
  <c r="N7185" i="13" s="1"/>
  <c r="O7186" i="13" l="1"/>
  <c r="N7186" i="13" s="1"/>
  <c r="O7187" i="13" l="1"/>
  <c r="N7187" i="13" s="1"/>
  <c r="O7188" i="13" l="1"/>
  <c r="N7188" i="13" s="1"/>
  <c r="O7189" i="13" l="1"/>
  <c r="N7189" i="13" s="1"/>
  <c r="O7190" i="13" l="1"/>
  <c r="N7190" i="13" s="1"/>
  <c r="O7191" i="13" l="1"/>
  <c r="N7191" i="13" s="1"/>
  <c r="O7192" i="13" l="1"/>
  <c r="N7192" i="13" s="1"/>
  <c r="O7193" i="13" l="1"/>
  <c r="N7193" i="13" s="1"/>
  <c r="O7194" i="13" l="1"/>
  <c r="N7194" i="13" s="1"/>
  <c r="O7195" i="13" l="1"/>
  <c r="N7195" i="13" s="1"/>
  <c r="O7196" i="13" l="1"/>
  <c r="N7196" i="13" s="1"/>
  <c r="O7197" i="13" l="1"/>
  <c r="N7197" i="13" s="1"/>
  <c r="O7198" i="13" l="1"/>
  <c r="N7198" i="13" s="1"/>
  <c r="O7199" i="13" l="1"/>
  <c r="N7199" i="13" s="1"/>
  <c r="O7200" i="13" l="1"/>
  <c r="N7200" i="13" s="1"/>
  <c r="O7201" i="13" l="1"/>
  <c r="N7201" i="13" s="1"/>
  <c r="O7202" i="13" l="1"/>
  <c r="N7202" i="13" s="1"/>
  <c r="O7203" i="13" l="1"/>
  <c r="N7203" i="13" s="1"/>
  <c r="O7204" i="13" l="1"/>
  <c r="N7204" i="13" s="1"/>
  <c r="O7205" i="13" l="1"/>
  <c r="N7205" i="13" s="1"/>
  <c r="O7206" i="13" l="1"/>
  <c r="N7206" i="13" s="1"/>
  <c r="O7207" i="13" l="1"/>
  <c r="N7207" i="13" s="1"/>
  <c r="O7208" i="13" l="1"/>
  <c r="N7208" i="13" s="1"/>
  <c r="O7209" i="13" l="1"/>
  <c r="N7209" i="13" s="1"/>
  <c r="O7210" i="13" l="1"/>
  <c r="N7210" i="13" s="1"/>
  <c r="O7211" i="13" l="1"/>
  <c r="N7211" i="13" s="1"/>
  <c r="O7212" i="13" l="1"/>
  <c r="N7212" i="13" s="1"/>
  <c r="O7213" i="13" l="1"/>
  <c r="N7213" i="13" s="1"/>
  <c r="O7214" i="13" l="1"/>
  <c r="N7214" i="13" s="1"/>
  <c r="O7215" i="13" l="1"/>
  <c r="N7215" i="13" s="1"/>
  <c r="O7216" i="13" l="1"/>
  <c r="N7216" i="13" s="1"/>
  <c r="O7217" i="13" l="1"/>
  <c r="N7217" i="13" s="1"/>
  <c r="O7218" i="13" l="1"/>
  <c r="N7218" i="13" s="1"/>
  <c r="O7219" i="13" l="1"/>
  <c r="N7219" i="13" s="1"/>
  <c r="O7220" i="13" l="1"/>
  <c r="N7220" i="13" s="1"/>
  <c r="O7221" i="13" l="1"/>
  <c r="N7221" i="13" s="1"/>
  <c r="O7222" i="13" l="1"/>
  <c r="N7222" i="13" s="1"/>
  <c r="O7223" i="13" l="1"/>
  <c r="N7223" i="13" s="1"/>
  <c r="O7224" i="13" l="1"/>
  <c r="N7224" i="13" s="1"/>
  <c r="O7225" i="13" l="1"/>
  <c r="N7225" i="13" s="1"/>
  <c r="O7226" i="13" l="1"/>
  <c r="N7226" i="13" s="1"/>
  <c r="O7227" i="13" l="1"/>
  <c r="N7227" i="13" s="1"/>
  <c r="O7228" i="13" l="1"/>
  <c r="N7228" i="13" s="1"/>
  <c r="O7229" i="13" l="1"/>
  <c r="N7229" i="13" s="1"/>
  <c r="O7230" i="13" l="1"/>
  <c r="N7230" i="13" s="1"/>
  <c r="O7231" i="13" l="1"/>
  <c r="N7231" i="13" s="1"/>
  <c r="O7232" i="13" l="1"/>
  <c r="N7232" i="13" s="1"/>
  <c r="O7233" i="13" l="1"/>
  <c r="N7233" i="13" s="1"/>
  <c r="O7234" i="13" l="1"/>
  <c r="N7234" i="13" s="1"/>
  <c r="O7235" i="13" l="1"/>
  <c r="N7235" i="13" s="1"/>
  <c r="O7236" i="13" l="1"/>
  <c r="N7236" i="13" s="1"/>
  <c r="O7237" i="13" l="1"/>
  <c r="N7237" i="13" s="1"/>
  <c r="O7238" i="13" l="1"/>
  <c r="N7238" i="13" s="1"/>
  <c r="O7239" i="13" l="1"/>
  <c r="N7239" i="13" s="1"/>
  <c r="O7240" i="13" l="1"/>
  <c r="N7240" i="13" s="1"/>
  <c r="O7241" i="13" l="1"/>
  <c r="N7241" i="13" s="1"/>
  <c r="O7242" i="13" l="1"/>
  <c r="N7242" i="13" s="1"/>
  <c r="O7243" i="13" l="1"/>
  <c r="N7243" i="13" s="1"/>
  <c r="O7244" i="13" l="1"/>
  <c r="N7244" i="13" s="1"/>
  <c r="O7245" i="13" l="1"/>
  <c r="N7245" i="13" s="1"/>
  <c r="O7246" i="13" l="1"/>
  <c r="N7246" i="13" s="1"/>
  <c r="O7247" i="13" l="1"/>
  <c r="N7247" i="13" s="1"/>
  <c r="O7248" i="13" l="1"/>
  <c r="N7248" i="13" s="1"/>
  <c r="O7249" i="13" l="1"/>
  <c r="N7249" i="13" s="1"/>
  <c r="O7250" i="13" l="1"/>
  <c r="N7250" i="13" s="1"/>
  <c r="O7251" i="13" l="1"/>
  <c r="N7251" i="13" s="1"/>
  <c r="O7252" i="13" l="1"/>
  <c r="N7252" i="13" s="1"/>
  <c r="O7253" i="13" l="1"/>
  <c r="N7253" i="13" s="1"/>
  <c r="O7254" i="13" l="1"/>
  <c r="N7254" i="13" s="1"/>
  <c r="O7255" i="13" l="1"/>
  <c r="N7255" i="13" s="1"/>
  <c r="O7256" i="13" l="1"/>
  <c r="N7256" i="13" s="1"/>
  <c r="O7257" i="13" l="1"/>
  <c r="N7257" i="13" s="1"/>
  <c r="O7258" i="13" l="1"/>
  <c r="N7258" i="13" s="1"/>
  <c r="O7259" i="13" l="1"/>
  <c r="N7259" i="13" s="1"/>
  <c r="O7260" i="13" l="1"/>
  <c r="N7260" i="13" s="1"/>
  <c r="O7261" i="13" l="1"/>
  <c r="N7261" i="13" s="1"/>
  <c r="O7262" i="13" l="1"/>
  <c r="N7262" i="13" s="1"/>
  <c r="O7263" i="13" l="1"/>
  <c r="N7263" i="13" s="1"/>
  <c r="O7264" i="13" l="1"/>
  <c r="N7264" i="13" s="1"/>
  <c r="O7265" i="13" l="1"/>
  <c r="N7265" i="13" s="1"/>
  <c r="O7266" i="13" l="1"/>
  <c r="N7266" i="13" s="1"/>
  <c r="O7267" i="13" l="1"/>
  <c r="N7267" i="13" s="1"/>
  <c r="O7268" i="13" l="1"/>
  <c r="N7268" i="13" s="1"/>
  <c r="O7269" i="13" l="1"/>
  <c r="N7269" i="13" s="1"/>
  <c r="O7270" i="13" l="1"/>
  <c r="N7270" i="13" s="1"/>
  <c r="O7271" i="13" l="1"/>
  <c r="N7271" i="13" s="1"/>
  <c r="O7272" i="13" l="1"/>
  <c r="N7272" i="13" s="1"/>
  <c r="O7273" i="13" l="1"/>
  <c r="N7273" i="13" s="1"/>
  <c r="O7274" i="13" l="1"/>
  <c r="N7274" i="13" s="1"/>
  <c r="O7275" i="13" l="1"/>
  <c r="N7275" i="13" s="1"/>
  <c r="O7276" i="13" l="1"/>
  <c r="N7276" i="13" s="1"/>
  <c r="O7277" i="13" l="1"/>
  <c r="N7277" i="13" s="1"/>
  <c r="O7278" i="13" l="1"/>
  <c r="N7278" i="13" s="1"/>
  <c r="O7279" i="13" l="1"/>
  <c r="N7279" i="13" s="1"/>
  <c r="O7280" i="13" l="1"/>
  <c r="N7280" i="13" s="1"/>
  <c r="O7281" i="13" l="1"/>
  <c r="N7281" i="13" s="1"/>
  <c r="O7282" i="13" l="1"/>
  <c r="N7282" i="13" s="1"/>
  <c r="O7283" i="13" l="1"/>
  <c r="N7283" i="13" s="1"/>
  <c r="O7284" i="13" l="1"/>
  <c r="N7284" i="13" s="1"/>
  <c r="O7285" i="13" l="1"/>
  <c r="N7285" i="13" s="1"/>
  <c r="O7286" i="13" l="1"/>
  <c r="N7286" i="13" s="1"/>
  <c r="O7287" i="13" l="1"/>
  <c r="N7287" i="13" s="1"/>
  <c r="O7288" i="13" l="1"/>
  <c r="N7288" i="13" s="1"/>
  <c r="O7289" i="13" l="1"/>
  <c r="N7289" i="13" s="1"/>
  <c r="O7290" i="13" l="1"/>
  <c r="N7290" i="13" s="1"/>
  <c r="O7291" i="13" l="1"/>
  <c r="N7291" i="13" s="1"/>
  <c r="O7292" i="13" l="1"/>
  <c r="N7292" i="13" s="1"/>
  <c r="O7293" i="13" l="1"/>
  <c r="N7293" i="13" s="1"/>
  <c r="O7294" i="13" l="1"/>
  <c r="N7294" i="13" s="1"/>
  <c r="O7295" i="13" l="1"/>
  <c r="N7295" i="13" s="1"/>
  <c r="O7296" i="13" l="1"/>
  <c r="N7296" i="13" s="1"/>
  <c r="O7297" i="13" l="1"/>
  <c r="N7297" i="13" s="1"/>
  <c r="O7298" i="13" l="1"/>
  <c r="N7298" i="13" s="1"/>
  <c r="O7299" i="13" l="1"/>
  <c r="N7299" i="13" s="1"/>
  <c r="O7300" i="13" l="1"/>
  <c r="N7300" i="13" s="1"/>
  <c r="O7301" i="13" l="1"/>
  <c r="N7301" i="13" s="1"/>
  <c r="O7302" i="13" l="1"/>
  <c r="N7302" i="13" s="1"/>
  <c r="O7303" i="13" l="1"/>
  <c r="N7303" i="13" s="1"/>
  <c r="O7304" i="13" l="1"/>
  <c r="N7304" i="13" s="1"/>
  <c r="O7305" i="13" l="1"/>
  <c r="N7305" i="13" s="1"/>
  <c r="O7306" i="13" l="1"/>
  <c r="N7306" i="13" s="1"/>
  <c r="O7307" i="13" l="1"/>
  <c r="N7307" i="13" s="1"/>
  <c r="O7308" i="13" l="1"/>
  <c r="N7308" i="13" s="1"/>
  <c r="O7309" i="13" l="1"/>
  <c r="N7309" i="13" s="1"/>
  <c r="O7310" i="13" l="1"/>
  <c r="N7310" i="13" s="1"/>
  <c r="O7311" i="13" l="1"/>
  <c r="N7311" i="13" s="1"/>
  <c r="O7312" i="13" l="1"/>
  <c r="N7312" i="13" s="1"/>
  <c r="O7313" i="13" l="1"/>
  <c r="N7313" i="13" s="1"/>
  <c r="O7314" i="13" l="1"/>
  <c r="N7314" i="13" s="1"/>
  <c r="O7315" i="13" l="1"/>
  <c r="N7315" i="13" s="1"/>
  <c r="O7316" i="13" l="1"/>
  <c r="N7316" i="13" s="1"/>
  <c r="O7317" i="13" l="1"/>
  <c r="N7317" i="13" s="1"/>
  <c r="O7318" i="13" l="1"/>
  <c r="N7318" i="13" s="1"/>
  <c r="O7319" i="13" l="1"/>
  <c r="N7319" i="13" s="1"/>
  <c r="O7320" i="13" l="1"/>
  <c r="N7320" i="13" s="1"/>
  <c r="O7321" i="13" l="1"/>
  <c r="N7321" i="13" s="1"/>
  <c r="O7322" i="13" l="1"/>
  <c r="N7322" i="13" s="1"/>
  <c r="O7323" i="13" l="1"/>
  <c r="N7323" i="13" s="1"/>
  <c r="O7324" i="13" l="1"/>
  <c r="N7324" i="13" s="1"/>
  <c r="O7325" i="13" l="1"/>
  <c r="N7325" i="13" s="1"/>
  <c r="O7326" i="13" l="1"/>
  <c r="N7326" i="13" s="1"/>
  <c r="O7327" i="13" l="1"/>
  <c r="N7327" i="13" s="1"/>
  <c r="O7328" i="13" l="1"/>
  <c r="N7328" i="13" s="1"/>
  <c r="O7329" i="13" l="1"/>
  <c r="N7329" i="13" s="1"/>
  <c r="O7330" i="13" l="1"/>
  <c r="N7330" i="13" s="1"/>
  <c r="O7331" i="13" l="1"/>
  <c r="N7331" i="13" s="1"/>
  <c r="O7332" i="13" l="1"/>
  <c r="N7332" i="13" s="1"/>
  <c r="O7333" i="13" l="1"/>
  <c r="N7333" i="13" s="1"/>
  <c r="O7334" i="13" l="1"/>
  <c r="N7334" i="13" s="1"/>
  <c r="O7335" i="13" l="1"/>
  <c r="N7335" i="13" s="1"/>
  <c r="O7336" i="13" l="1"/>
  <c r="N7336" i="13" s="1"/>
  <c r="O7337" i="13" l="1"/>
  <c r="N7337" i="13" s="1"/>
  <c r="O7338" i="13" l="1"/>
  <c r="N7338" i="13" s="1"/>
  <c r="O7339" i="13" l="1"/>
  <c r="N7339" i="13" s="1"/>
  <c r="O7340" i="13" l="1"/>
  <c r="N7340" i="13" s="1"/>
  <c r="O7341" i="13" l="1"/>
  <c r="N7341" i="13" s="1"/>
  <c r="O7342" i="13" l="1"/>
  <c r="N7342" i="13" s="1"/>
  <c r="O7343" i="13" l="1"/>
  <c r="N7343" i="13" s="1"/>
  <c r="O7344" i="13" l="1"/>
  <c r="N7344" i="13" s="1"/>
  <c r="O7345" i="13" l="1"/>
  <c r="N7345" i="13" s="1"/>
  <c r="O7346" i="13" l="1"/>
  <c r="N7346" i="13" s="1"/>
  <c r="O7347" i="13" l="1"/>
  <c r="N7347" i="13" s="1"/>
  <c r="O7348" i="13" l="1"/>
  <c r="N7348" i="13" s="1"/>
  <c r="O7349" i="13" l="1"/>
  <c r="N7349" i="13" s="1"/>
  <c r="O7350" i="13" l="1"/>
  <c r="N7350" i="13" s="1"/>
  <c r="O7351" i="13" l="1"/>
  <c r="N7351" i="13" s="1"/>
  <c r="O7352" i="13" l="1"/>
  <c r="N7352" i="13" s="1"/>
  <c r="O7353" i="13" l="1"/>
  <c r="N7353" i="13" s="1"/>
  <c r="O7354" i="13" l="1"/>
  <c r="N7354" i="13" s="1"/>
  <c r="O7355" i="13" l="1"/>
  <c r="N7355" i="13" s="1"/>
  <c r="O7356" i="13" l="1"/>
  <c r="N7356" i="13" s="1"/>
  <c r="O7357" i="13" l="1"/>
  <c r="N7357" i="13" s="1"/>
  <c r="O7358" i="13" l="1"/>
  <c r="N7358" i="13" s="1"/>
  <c r="O7359" i="13" l="1"/>
  <c r="N7359" i="13" s="1"/>
  <c r="O7360" i="13" l="1"/>
  <c r="N7360" i="13" s="1"/>
  <c r="O7361" i="13" l="1"/>
  <c r="N7361" i="13" s="1"/>
  <c r="O7362" i="13" l="1"/>
  <c r="N7362" i="13" s="1"/>
  <c r="O7363" i="13" l="1"/>
  <c r="N7363" i="13" s="1"/>
  <c r="O7364" i="13" l="1"/>
  <c r="N7364" i="13" s="1"/>
  <c r="O7365" i="13" l="1"/>
  <c r="N7365" i="13" s="1"/>
  <c r="O7366" i="13" l="1"/>
  <c r="N7366" i="13" s="1"/>
  <c r="O7367" i="13" l="1"/>
  <c r="N7367" i="13" s="1"/>
  <c r="O7368" i="13" l="1"/>
  <c r="N7368" i="13" s="1"/>
  <c r="O7369" i="13" l="1"/>
  <c r="N7369" i="13" s="1"/>
  <c r="O7370" i="13" l="1"/>
  <c r="N7370" i="13" s="1"/>
  <c r="O7371" i="13" l="1"/>
  <c r="N7371" i="13" s="1"/>
  <c r="O7372" i="13" l="1"/>
  <c r="N7372" i="13" s="1"/>
  <c r="O7373" i="13" l="1"/>
  <c r="N7373" i="13" s="1"/>
  <c r="O7374" i="13" l="1"/>
  <c r="N7374" i="13" s="1"/>
  <c r="O7375" i="13" l="1"/>
  <c r="N7375" i="13" s="1"/>
  <c r="O7376" i="13" l="1"/>
  <c r="N7376" i="13" s="1"/>
  <c r="O7377" i="13" l="1"/>
  <c r="N7377" i="13" s="1"/>
  <c r="O7378" i="13" l="1"/>
  <c r="N7378" i="13" s="1"/>
  <c r="O7379" i="13" l="1"/>
  <c r="N7379" i="13" s="1"/>
  <c r="O7380" i="13" l="1"/>
  <c r="N7380" i="13" s="1"/>
  <c r="O7381" i="13" l="1"/>
  <c r="N7381" i="13" s="1"/>
  <c r="O7382" i="13" l="1"/>
  <c r="N7382" i="13" s="1"/>
  <c r="O7383" i="13" l="1"/>
  <c r="N7383" i="13" s="1"/>
  <c r="O7384" i="13" l="1"/>
  <c r="N7384" i="13" s="1"/>
  <c r="O7385" i="13" l="1"/>
  <c r="N7385" i="13" s="1"/>
  <c r="O7386" i="13" l="1"/>
  <c r="N7386" i="13" s="1"/>
  <c r="O7387" i="13" l="1"/>
  <c r="N7387" i="13" s="1"/>
  <c r="O7388" i="13" l="1"/>
  <c r="N7388" i="13" s="1"/>
  <c r="O7389" i="13" l="1"/>
  <c r="N7389" i="13" s="1"/>
  <c r="O7390" i="13" l="1"/>
  <c r="N7390" i="13" s="1"/>
  <c r="O7391" i="13" l="1"/>
  <c r="N7391" i="13" s="1"/>
  <c r="O7392" i="13" l="1"/>
  <c r="N7392" i="13" s="1"/>
  <c r="O7393" i="13" l="1"/>
  <c r="N7393" i="13" s="1"/>
  <c r="O7394" i="13" l="1"/>
  <c r="N7394" i="13" s="1"/>
  <c r="O7395" i="13" l="1"/>
  <c r="N7395" i="13" s="1"/>
  <c r="O7396" i="13" l="1"/>
  <c r="N7396" i="13" s="1"/>
  <c r="O7397" i="13" l="1"/>
  <c r="N7397" i="13" s="1"/>
  <c r="O7398" i="13" l="1"/>
  <c r="N7398" i="13" s="1"/>
  <c r="O7399" i="13" l="1"/>
  <c r="N7399" i="13" s="1"/>
  <c r="O7400" i="13" l="1"/>
  <c r="N7400" i="13" s="1"/>
  <c r="O7401" i="13" l="1"/>
  <c r="N7401" i="13" s="1"/>
  <c r="O7402" i="13" l="1"/>
  <c r="N7402" i="13" s="1"/>
  <c r="O7403" i="13" l="1"/>
  <c r="N7403" i="13" s="1"/>
  <c r="O7404" i="13" l="1"/>
  <c r="N7404" i="13" s="1"/>
  <c r="O7405" i="13" l="1"/>
  <c r="N7405" i="13" s="1"/>
  <c r="O7406" i="13" l="1"/>
  <c r="N7406" i="13" s="1"/>
  <c r="O7407" i="13" l="1"/>
  <c r="N7407" i="13" s="1"/>
  <c r="O7408" i="13" l="1"/>
  <c r="N7408" i="13" s="1"/>
  <c r="O7409" i="13" l="1"/>
  <c r="N7409" i="13" s="1"/>
  <c r="O7410" i="13" l="1"/>
  <c r="N7410" i="13" s="1"/>
  <c r="O7411" i="13" l="1"/>
  <c r="N7411" i="13" s="1"/>
  <c r="O7412" i="13" l="1"/>
  <c r="N7412" i="13" s="1"/>
  <c r="O7413" i="13" l="1"/>
  <c r="N7413" i="13" s="1"/>
  <c r="O7414" i="13" l="1"/>
  <c r="N7414" i="13" s="1"/>
  <c r="O7415" i="13" l="1"/>
  <c r="N7415" i="13" s="1"/>
  <c r="O7416" i="13" l="1"/>
  <c r="N7416" i="13" s="1"/>
  <c r="O7417" i="13" l="1"/>
  <c r="N7417" i="13" s="1"/>
  <c r="O7418" i="13" l="1"/>
  <c r="N7418" i="13" s="1"/>
  <c r="O7419" i="13" l="1"/>
  <c r="N7419" i="13" s="1"/>
  <c r="O7420" i="13" l="1"/>
  <c r="N7420" i="13" s="1"/>
  <c r="O7421" i="13" l="1"/>
  <c r="N7421" i="13" s="1"/>
  <c r="O7422" i="13" l="1"/>
  <c r="N7422" i="13" s="1"/>
  <c r="O7423" i="13" l="1"/>
  <c r="N7423" i="13" s="1"/>
  <c r="O7424" i="13" l="1"/>
  <c r="N7424" i="13" s="1"/>
  <c r="O7425" i="13" l="1"/>
  <c r="N7425" i="13" s="1"/>
  <c r="O7426" i="13" l="1"/>
  <c r="N7426" i="13" s="1"/>
  <c r="O7427" i="13" l="1"/>
  <c r="N7427" i="13" s="1"/>
  <c r="O7428" i="13" l="1"/>
  <c r="N7428" i="13" s="1"/>
  <c r="O7429" i="13" l="1"/>
  <c r="N7429" i="13" s="1"/>
  <c r="O7430" i="13" l="1"/>
  <c r="N7430" i="13" s="1"/>
  <c r="O7431" i="13" l="1"/>
  <c r="N7431" i="13" s="1"/>
  <c r="O7432" i="13" l="1"/>
  <c r="N7432" i="13" s="1"/>
  <c r="O7433" i="13" l="1"/>
  <c r="N7433" i="13" s="1"/>
  <c r="O7434" i="13" l="1"/>
  <c r="N7434" i="13" s="1"/>
  <c r="O7435" i="13" l="1"/>
  <c r="N7435" i="13" s="1"/>
  <c r="O7436" i="13" l="1"/>
  <c r="N7436" i="13" s="1"/>
  <c r="O7437" i="13" l="1"/>
  <c r="N7437" i="13" s="1"/>
  <c r="O7438" i="13" l="1"/>
  <c r="N7438" i="13" s="1"/>
  <c r="O7439" i="13" l="1"/>
  <c r="N7439" i="13" s="1"/>
  <c r="O7440" i="13" l="1"/>
  <c r="N7440" i="13" s="1"/>
  <c r="O7441" i="13" l="1"/>
  <c r="N7441" i="13" s="1"/>
  <c r="O7442" i="13" l="1"/>
  <c r="N7442" i="13" s="1"/>
  <c r="O7443" i="13" l="1"/>
  <c r="N7443" i="13" s="1"/>
  <c r="O7444" i="13" l="1"/>
  <c r="N7444" i="13" s="1"/>
  <c r="O7445" i="13" l="1"/>
  <c r="N7445" i="13" s="1"/>
  <c r="O7446" i="13" l="1"/>
  <c r="N7446" i="13" s="1"/>
  <c r="O7447" i="13" l="1"/>
  <c r="N7447" i="13" s="1"/>
  <c r="O7448" i="13" l="1"/>
  <c r="N7448" i="13" s="1"/>
  <c r="O7449" i="13" l="1"/>
  <c r="N7449" i="13" s="1"/>
  <c r="O7450" i="13" l="1"/>
  <c r="N7450" i="13" s="1"/>
  <c r="O7451" i="13" l="1"/>
  <c r="N7451" i="13" s="1"/>
  <c r="O7452" i="13" l="1"/>
  <c r="N7452" i="13" s="1"/>
  <c r="O7453" i="13" l="1"/>
  <c r="N7453" i="13" s="1"/>
  <c r="O7454" i="13" l="1"/>
  <c r="N7454" i="13" s="1"/>
  <c r="O7455" i="13" l="1"/>
  <c r="N7455" i="13" s="1"/>
  <c r="O7456" i="13" l="1"/>
  <c r="N7456" i="13" s="1"/>
  <c r="O7457" i="13" l="1"/>
  <c r="N7457" i="13" s="1"/>
  <c r="O7458" i="13" l="1"/>
  <c r="N7458" i="13" s="1"/>
  <c r="O7459" i="13" l="1"/>
  <c r="N7459" i="13" s="1"/>
  <c r="O7460" i="13" l="1"/>
  <c r="N7460" i="13" s="1"/>
  <c r="O7461" i="13" l="1"/>
  <c r="N7461" i="13" s="1"/>
  <c r="O7462" i="13" l="1"/>
  <c r="N7462" i="13" s="1"/>
  <c r="O7463" i="13" l="1"/>
  <c r="N7463" i="13" s="1"/>
  <c r="O7464" i="13" l="1"/>
  <c r="N7464" i="13" s="1"/>
  <c r="O7465" i="13" l="1"/>
  <c r="N7465" i="13" s="1"/>
  <c r="O7466" i="13" l="1"/>
  <c r="N7466" i="13" s="1"/>
  <c r="O7467" i="13" l="1"/>
  <c r="N7467" i="13" s="1"/>
  <c r="O7468" i="13" l="1"/>
  <c r="N7468" i="13" s="1"/>
  <c r="O7469" i="13" l="1"/>
  <c r="N7469" i="13" s="1"/>
  <c r="O7470" i="13" l="1"/>
  <c r="N7470" i="13" s="1"/>
  <c r="O7471" i="13" l="1"/>
  <c r="N7471" i="13" s="1"/>
  <c r="O7472" i="13" l="1"/>
  <c r="N7472" i="13" s="1"/>
  <c r="O7473" i="13" l="1"/>
  <c r="N7473" i="13" s="1"/>
  <c r="O7474" i="13" l="1"/>
  <c r="N7474" i="13" s="1"/>
  <c r="O7475" i="13" l="1"/>
  <c r="N7475" i="13" s="1"/>
  <c r="O7476" i="13" l="1"/>
  <c r="N7476" i="13" s="1"/>
  <c r="O7477" i="13" l="1"/>
  <c r="N7477" i="13" s="1"/>
  <c r="O7478" i="13" l="1"/>
  <c r="N7478" i="13" s="1"/>
  <c r="O7479" i="13" l="1"/>
  <c r="N7479" i="13" s="1"/>
  <c r="O7480" i="13" l="1"/>
  <c r="N7480" i="13" s="1"/>
  <c r="O7481" i="13" l="1"/>
  <c r="N7481" i="13" s="1"/>
  <c r="O7482" i="13" l="1"/>
  <c r="N7482" i="13" s="1"/>
  <c r="O7483" i="13" l="1"/>
  <c r="N7483" i="13" s="1"/>
  <c r="O7484" i="13" l="1"/>
  <c r="N7484" i="13" s="1"/>
  <c r="O7485" i="13" l="1"/>
  <c r="N7485" i="13" s="1"/>
  <c r="O7486" i="13" l="1"/>
  <c r="N7486" i="13" s="1"/>
  <c r="O7487" i="13" l="1"/>
  <c r="N7487" i="13" s="1"/>
  <c r="O7488" i="13" l="1"/>
  <c r="N7488" i="13" s="1"/>
  <c r="O7489" i="13" l="1"/>
  <c r="N7489" i="13" s="1"/>
  <c r="O7490" i="13" l="1"/>
  <c r="N7490" i="13" s="1"/>
  <c r="O7491" i="13" l="1"/>
  <c r="N7491" i="13" s="1"/>
  <c r="O7492" i="13" l="1"/>
  <c r="N7492" i="13" s="1"/>
  <c r="O7493" i="13" l="1"/>
  <c r="N7493" i="13" s="1"/>
  <c r="O7494" i="13" l="1"/>
  <c r="N7494" i="13" s="1"/>
  <c r="O7495" i="13" l="1"/>
  <c r="N7495" i="13" s="1"/>
  <c r="O7496" i="13" l="1"/>
  <c r="N7496" i="13" s="1"/>
  <c r="O7497" i="13" l="1"/>
  <c r="N7497" i="13" s="1"/>
  <c r="O7498" i="13" l="1"/>
  <c r="N7498" i="13" s="1"/>
  <c r="O7499" i="13" l="1"/>
  <c r="N7499" i="13" s="1"/>
  <c r="O7500" i="13" l="1"/>
  <c r="N7500" i="13" s="1"/>
  <c r="O7501" i="13" l="1"/>
  <c r="N7501" i="13" s="1"/>
  <c r="O7502" i="13" l="1"/>
  <c r="N7502" i="13" s="1"/>
  <c r="O7503" i="13" l="1"/>
  <c r="N7503" i="13" s="1"/>
  <c r="O7504" i="13" l="1"/>
  <c r="N7504" i="13" s="1"/>
  <c r="O7505" i="13" l="1"/>
  <c r="N7505" i="13" s="1"/>
  <c r="O7506" i="13" l="1"/>
  <c r="N7506" i="13" s="1"/>
  <c r="O7507" i="13" l="1"/>
  <c r="N7507" i="13" s="1"/>
  <c r="O7508" i="13" l="1"/>
  <c r="N7508" i="13" s="1"/>
  <c r="O7509" i="13" l="1"/>
  <c r="N7509" i="13" s="1"/>
  <c r="O7510" i="13" l="1"/>
  <c r="N7510" i="13" s="1"/>
  <c r="O7511" i="13" l="1"/>
  <c r="N7511" i="13" s="1"/>
  <c r="O7512" i="13" l="1"/>
  <c r="N7512" i="13" s="1"/>
  <c r="O7513" i="13" l="1"/>
  <c r="N7513" i="13" s="1"/>
  <c r="O7514" i="13" l="1"/>
  <c r="N7514" i="13" s="1"/>
  <c r="O7515" i="13" l="1"/>
  <c r="N7515" i="13" s="1"/>
  <c r="O7516" i="13" l="1"/>
  <c r="N7516" i="13" s="1"/>
  <c r="O7517" i="13" l="1"/>
  <c r="N7517" i="13" s="1"/>
  <c r="O7518" i="13" l="1"/>
  <c r="N7518" i="13" s="1"/>
  <c r="O7519" i="13" l="1"/>
  <c r="N7519" i="13" s="1"/>
  <c r="O7520" i="13" l="1"/>
  <c r="N7520" i="13" s="1"/>
  <c r="O7521" i="13" l="1"/>
  <c r="N7521" i="13" s="1"/>
  <c r="O7522" i="13" l="1"/>
  <c r="N7522" i="13" s="1"/>
  <c r="O7523" i="13" l="1"/>
  <c r="N7523" i="13" s="1"/>
  <c r="O7524" i="13" l="1"/>
  <c r="N7524" i="13" s="1"/>
  <c r="O7525" i="13" l="1"/>
  <c r="N7525" i="13" s="1"/>
  <c r="O7526" i="13" l="1"/>
  <c r="N7526" i="13" s="1"/>
  <c r="O7527" i="13" l="1"/>
  <c r="N7527" i="13" s="1"/>
  <c r="O7528" i="13" l="1"/>
  <c r="N7528" i="13" s="1"/>
  <c r="O7529" i="13" l="1"/>
  <c r="N7529" i="13" s="1"/>
  <c r="O7530" i="13" l="1"/>
  <c r="N7530" i="13" s="1"/>
  <c r="O7531" i="13" l="1"/>
  <c r="N7531" i="13" s="1"/>
  <c r="O7532" i="13" l="1"/>
  <c r="N7532" i="13" s="1"/>
  <c r="O7533" i="13" l="1"/>
  <c r="N7533" i="13" s="1"/>
  <c r="O7534" i="13" l="1"/>
  <c r="N7534" i="13" s="1"/>
  <c r="O7535" i="13" l="1"/>
  <c r="N7535" i="13" s="1"/>
  <c r="O7536" i="13" l="1"/>
  <c r="N7536" i="13" s="1"/>
  <c r="O7537" i="13" l="1"/>
  <c r="N7537" i="13" s="1"/>
  <c r="O7538" i="13" l="1"/>
  <c r="N7538" i="13" s="1"/>
  <c r="O7539" i="13" l="1"/>
  <c r="N7539" i="13" s="1"/>
  <c r="O7540" i="13" l="1"/>
  <c r="N7540" i="13" s="1"/>
  <c r="O7541" i="13" l="1"/>
  <c r="N7541" i="13" s="1"/>
  <c r="O7542" i="13" l="1"/>
  <c r="N7542" i="13" s="1"/>
  <c r="O7543" i="13" l="1"/>
  <c r="N7543" i="13" s="1"/>
  <c r="O7544" i="13" l="1"/>
  <c r="N7544" i="13" s="1"/>
  <c r="O7545" i="13" l="1"/>
  <c r="N7545" i="13" s="1"/>
  <c r="O7546" i="13" l="1"/>
  <c r="N7546" i="13" s="1"/>
  <c r="O7547" i="13" l="1"/>
  <c r="N7547" i="13" s="1"/>
  <c r="O7548" i="13" l="1"/>
  <c r="N7548" i="13" s="1"/>
  <c r="O7549" i="13" l="1"/>
  <c r="N7549" i="13" s="1"/>
  <c r="O7550" i="13" l="1"/>
  <c r="N7550" i="13" s="1"/>
  <c r="O7551" i="13" l="1"/>
  <c r="N7551" i="13" s="1"/>
  <c r="O7552" i="13" l="1"/>
  <c r="N7552" i="13" s="1"/>
  <c r="O7553" i="13" l="1"/>
  <c r="N7553" i="13" s="1"/>
  <c r="O7554" i="13" l="1"/>
  <c r="N7554" i="13" s="1"/>
  <c r="O7555" i="13" l="1"/>
  <c r="N7555" i="13" s="1"/>
  <c r="O7556" i="13" l="1"/>
  <c r="N7556" i="13" s="1"/>
  <c r="O7557" i="13" l="1"/>
  <c r="N7557" i="13" s="1"/>
  <c r="O7558" i="13" l="1"/>
  <c r="N7558" i="13" s="1"/>
  <c r="O7559" i="13" l="1"/>
  <c r="N7559" i="13" s="1"/>
  <c r="O7560" i="13" l="1"/>
  <c r="N7560" i="13" s="1"/>
  <c r="O7561" i="13" l="1"/>
  <c r="N7561" i="13" s="1"/>
  <c r="O7562" i="13" l="1"/>
  <c r="N7562" i="13" s="1"/>
  <c r="O7563" i="13" l="1"/>
  <c r="N7563" i="13" s="1"/>
  <c r="O7564" i="13" l="1"/>
  <c r="N7564" i="13" s="1"/>
  <c r="O7565" i="13" l="1"/>
  <c r="N7565" i="13" s="1"/>
  <c r="O7566" i="13" l="1"/>
  <c r="N7566" i="13" s="1"/>
  <c r="O7567" i="13" l="1"/>
  <c r="N7567" i="13" s="1"/>
  <c r="O7568" i="13" l="1"/>
  <c r="N7568" i="13" s="1"/>
  <c r="O7569" i="13" l="1"/>
  <c r="N7569" i="13" s="1"/>
  <c r="O7570" i="13" l="1"/>
  <c r="N7570" i="13" s="1"/>
  <c r="O7571" i="13" l="1"/>
  <c r="N7571" i="13" s="1"/>
  <c r="O7572" i="13" l="1"/>
  <c r="N7572" i="13" s="1"/>
  <c r="O7573" i="13" l="1"/>
  <c r="N7573" i="13" s="1"/>
  <c r="O7574" i="13" l="1"/>
  <c r="N7574" i="13" s="1"/>
  <c r="O7575" i="13" l="1"/>
  <c r="N7575" i="13" s="1"/>
  <c r="O7576" i="13" l="1"/>
  <c r="N7576" i="13" s="1"/>
  <c r="O7577" i="13" l="1"/>
  <c r="N7577" i="13" s="1"/>
  <c r="O7578" i="13" l="1"/>
  <c r="N7578" i="13" s="1"/>
  <c r="O7579" i="13" l="1"/>
  <c r="N7579" i="13" s="1"/>
  <c r="O7580" i="13" l="1"/>
  <c r="N7580" i="13" s="1"/>
  <c r="O7581" i="13" l="1"/>
  <c r="N7581" i="13" s="1"/>
  <c r="O7582" i="13" l="1"/>
  <c r="N7582" i="13" s="1"/>
  <c r="O7583" i="13" l="1"/>
  <c r="N7583" i="13" s="1"/>
  <c r="O7584" i="13" l="1"/>
  <c r="N7584" i="13" s="1"/>
  <c r="O7585" i="13" l="1"/>
  <c r="N7585" i="13" s="1"/>
  <c r="O7586" i="13" l="1"/>
  <c r="N7586" i="13" s="1"/>
  <c r="O7587" i="13" l="1"/>
  <c r="N7587" i="13" s="1"/>
  <c r="O7588" i="13" l="1"/>
  <c r="N7588" i="13" s="1"/>
  <c r="O7589" i="13" l="1"/>
  <c r="N7589" i="13" s="1"/>
  <c r="O7590" i="13" l="1"/>
  <c r="N7590" i="13" s="1"/>
  <c r="O7591" i="13" l="1"/>
  <c r="N7591" i="13" s="1"/>
  <c r="O7592" i="13" l="1"/>
  <c r="N7592" i="13" s="1"/>
  <c r="O7593" i="13" l="1"/>
  <c r="N7593" i="13" s="1"/>
  <c r="O7594" i="13" l="1"/>
  <c r="N7594" i="13" s="1"/>
  <c r="O7595" i="13" l="1"/>
  <c r="N7595" i="13" s="1"/>
  <c r="O7596" i="13" l="1"/>
  <c r="N7596" i="13" s="1"/>
  <c r="O7597" i="13" l="1"/>
  <c r="N7597" i="13" s="1"/>
  <c r="O7598" i="13" l="1"/>
  <c r="N7598" i="13" s="1"/>
  <c r="O7599" i="13" l="1"/>
  <c r="N7599" i="13" s="1"/>
  <c r="O7600" i="13" l="1"/>
  <c r="N7600" i="13" s="1"/>
  <c r="O7601" i="13" l="1"/>
  <c r="N7601" i="13" s="1"/>
  <c r="O7602" i="13" l="1"/>
  <c r="N7602" i="13" s="1"/>
  <c r="O7603" i="13" l="1"/>
  <c r="N7603" i="13" s="1"/>
  <c r="O7604" i="13" l="1"/>
  <c r="N7604" i="13" s="1"/>
  <c r="O7605" i="13" l="1"/>
  <c r="N7605" i="13" s="1"/>
  <c r="O7606" i="13" l="1"/>
  <c r="N7606" i="13" s="1"/>
  <c r="O7607" i="13" l="1"/>
  <c r="N7607" i="13" s="1"/>
  <c r="O7608" i="13" l="1"/>
  <c r="N7608" i="13" s="1"/>
  <c r="O7609" i="13" l="1"/>
  <c r="N7609" i="13" s="1"/>
  <c r="O7610" i="13" l="1"/>
  <c r="N7610" i="13" s="1"/>
  <c r="O7611" i="13" l="1"/>
  <c r="N7611" i="13" s="1"/>
  <c r="O7612" i="13" l="1"/>
  <c r="N7612" i="13" s="1"/>
  <c r="O7613" i="13" l="1"/>
  <c r="N7613" i="13" s="1"/>
  <c r="O7614" i="13" l="1"/>
  <c r="N7614" i="13" s="1"/>
  <c r="O7615" i="13" l="1"/>
  <c r="N7615" i="13" s="1"/>
  <c r="O7616" i="13" l="1"/>
  <c r="N7616" i="13" s="1"/>
  <c r="O7617" i="13" l="1"/>
  <c r="N7617" i="13" s="1"/>
  <c r="O7618" i="13" l="1"/>
  <c r="N7618" i="13" s="1"/>
  <c r="O7619" i="13" l="1"/>
  <c r="N7619" i="13" s="1"/>
  <c r="O7620" i="13" l="1"/>
  <c r="N7620" i="13" s="1"/>
  <c r="O7621" i="13" l="1"/>
  <c r="N7621" i="13" s="1"/>
  <c r="O7622" i="13" l="1"/>
  <c r="N7622" i="13" s="1"/>
  <c r="O7623" i="13" l="1"/>
  <c r="N7623" i="13" s="1"/>
  <c r="O7624" i="13" l="1"/>
  <c r="N7624" i="13" s="1"/>
  <c r="O7625" i="13" l="1"/>
  <c r="N7625" i="13" s="1"/>
  <c r="O7626" i="13" l="1"/>
  <c r="N7626" i="13" s="1"/>
  <c r="O7627" i="13" l="1"/>
  <c r="N7627" i="13" s="1"/>
  <c r="O7628" i="13" l="1"/>
  <c r="N7628" i="13" s="1"/>
  <c r="O7629" i="13" l="1"/>
  <c r="N7629" i="13" s="1"/>
  <c r="O7630" i="13" l="1"/>
  <c r="N7630" i="13" s="1"/>
  <c r="O7631" i="13" l="1"/>
  <c r="N7631" i="13" s="1"/>
  <c r="O7632" i="13" l="1"/>
  <c r="N7632" i="13" s="1"/>
  <c r="O7633" i="13" l="1"/>
  <c r="N7633" i="13" s="1"/>
  <c r="O7634" i="13" l="1"/>
  <c r="N7634" i="13" s="1"/>
  <c r="O7635" i="13" l="1"/>
  <c r="N7635" i="13" s="1"/>
  <c r="O7636" i="13" l="1"/>
  <c r="N7636" i="13" s="1"/>
  <c r="O7637" i="13" l="1"/>
  <c r="N7637" i="13" s="1"/>
  <c r="O7638" i="13" l="1"/>
  <c r="N7638" i="13" s="1"/>
  <c r="O7639" i="13" l="1"/>
  <c r="N7639" i="13" s="1"/>
  <c r="O7640" i="13" l="1"/>
  <c r="N7640" i="13" s="1"/>
  <c r="O7641" i="13" l="1"/>
  <c r="N7641" i="13" s="1"/>
  <c r="O7642" i="13" l="1"/>
  <c r="N7642" i="13" s="1"/>
  <c r="O7643" i="13" l="1"/>
  <c r="N7643" i="13" s="1"/>
  <c r="O7644" i="13" l="1"/>
  <c r="N7644" i="13" s="1"/>
  <c r="O7645" i="13" l="1"/>
  <c r="N7645" i="13" s="1"/>
  <c r="O7646" i="13" l="1"/>
  <c r="N7646" i="13" s="1"/>
  <c r="O7647" i="13" l="1"/>
  <c r="N7647" i="13" s="1"/>
  <c r="O7648" i="13" l="1"/>
  <c r="N7648" i="13" s="1"/>
  <c r="O7649" i="13" l="1"/>
  <c r="N7649" i="13" s="1"/>
  <c r="O7650" i="13" l="1"/>
  <c r="N7650" i="13" s="1"/>
  <c r="O7651" i="13" l="1"/>
  <c r="N7651" i="13" s="1"/>
  <c r="O7652" i="13" l="1"/>
  <c r="N7652" i="13" s="1"/>
  <c r="O7653" i="13" l="1"/>
  <c r="N7653" i="13" s="1"/>
  <c r="O7654" i="13" l="1"/>
  <c r="N7654" i="13" s="1"/>
  <c r="O7655" i="13" l="1"/>
  <c r="N7655" i="13" s="1"/>
  <c r="O7656" i="13" l="1"/>
  <c r="N7656" i="13" s="1"/>
  <c r="O7657" i="13" l="1"/>
  <c r="N7657" i="13" s="1"/>
  <c r="O7658" i="13" l="1"/>
  <c r="N7658" i="13" s="1"/>
  <c r="O7659" i="13" l="1"/>
  <c r="N7659" i="13" s="1"/>
  <c r="O7660" i="13" l="1"/>
  <c r="N7660" i="13" s="1"/>
  <c r="O7661" i="13" l="1"/>
  <c r="N7661" i="13" s="1"/>
  <c r="O7662" i="13" l="1"/>
  <c r="N7662" i="13" s="1"/>
  <c r="O7663" i="13" l="1"/>
  <c r="N7663" i="13" s="1"/>
  <c r="O7664" i="13" l="1"/>
  <c r="N7664" i="13" s="1"/>
  <c r="O7665" i="13" l="1"/>
  <c r="N7665" i="13" s="1"/>
  <c r="O7666" i="13" l="1"/>
  <c r="N7666" i="13" s="1"/>
  <c r="O7667" i="13" l="1"/>
  <c r="N7667" i="13" s="1"/>
  <c r="O7668" i="13" l="1"/>
  <c r="N7668" i="13" s="1"/>
  <c r="O7669" i="13" l="1"/>
  <c r="N7669" i="13" s="1"/>
  <c r="O7670" i="13" l="1"/>
  <c r="N7670" i="13" s="1"/>
  <c r="O7671" i="13" l="1"/>
  <c r="N7671" i="13" s="1"/>
  <c r="O7672" i="13" l="1"/>
  <c r="N7672" i="13" s="1"/>
  <c r="O7673" i="13" l="1"/>
  <c r="N7673" i="13" s="1"/>
  <c r="O7674" i="13" l="1"/>
  <c r="N7674" i="13" s="1"/>
  <c r="O7675" i="13" l="1"/>
  <c r="N7675" i="13" s="1"/>
  <c r="O7676" i="13" l="1"/>
  <c r="N7676" i="13" s="1"/>
  <c r="O7677" i="13" l="1"/>
  <c r="N7677" i="13" s="1"/>
  <c r="O7678" i="13" l="1"/>
  <c r="N7678" i="13" s="1"/>
  <c r="O7679" i="13" l="1"/>
  <c r="N7679" i="13" s="1"/>
  <c r="O7680" i="13" l="1"/>
  <c r="N7680" i="13" s="1"/>
  <c r="O7681" i="13" l="1"/>
  <c r="N7681" i="13" s="1"/>
  <c r="O7682" i="13" l="1"/>
  <c r="N7682" i="13" s="1"/>
  <c r="O7683" i="13" l="1"/>
  <c r="N7683" i="13" s="1"/>
  <c r="O7684" i="13" l="1"/>
  <c r="N7684" i="13" s="1"/>
  <c r="O7685" i="13" l="1"/>
  <c r="N7685" i="13" s="1"/>
  <c r="O7686" i="13" l="1"/>
  <c r="N7686" i="13" s="1"/>
  <c r="O7687" i="13" l="1"/>
  <c r="N7687" i="13" s="1"/>
  <c r="O7688" i="13" l="1"/>
  <c r="N7688" i="13" s="1"/>
  <c r="O7689" i="13" l="1"/>
  <c r="N7689" i="13" s="1"/>
  <c r="O7690" i="13" l="1"/>
  <c r="N7690" i="13" s="1"/>
  <c r="O7691" i="13" l="1"/>
  <c r="N7691" i="13" s="1"/>
  <c r="O7692" i="13" l="1"/>
  <c r="N7692" i="13" s="1"/>
  <c r="O7693" i="13" l="1"/>
  <c r="N7693" i="13" s="1"/>
  <c r="O7694" i="13" l="1"/>
  <c r="N7694" i="13" s="1"/>
  <c r="O7695" i="13" l="1"/>
  <c r="N7695" i="13" s="1"/>
  <c r="O7696" i="13" l="1"/>
  <c r="N7696" i="13" s="1"/>
  <c r="O7697" i="13" l="1"/>
  <c r="N7697" i="13" s="1"/>
  <c r="O7698" i="13" l="1"/>
  <c r="N7698" i="13" s="1"/>
  <c r="O7699" i="13" l="1"/>
  <c r="N7699" i="13" s="1"/>
  <c r="O7700" i="13" l="1"/>
  <c r="N7700" i="13" s="1"/>
  <c r="O7701" i="13" l="1"/>
  <c r="N7701" i="13" s="1"/>
  <c r="O7702" i="13" l="1"/>
  <c r="N7702" i="13" s="1"/>
  <c r="O7703" i="13" l="1"/>
  <c r="N7703" i="13" s="1"/>
  <c r="O7704" i="13" l="1"/>
  <c r="N7704" i="13" s="1"/>
  <c r="O7705" i="13" l="1"/>
  <c r="N7705" i="13" s="1"/>
  <c r="O7706" i="13" l="1"/>
  <c r="N7706" i="13" s="1"/>
  <c r="O7707" i="13" l="1"/>
  <c r="N7707" i="13" s="1"/>
  <c r="O7708" i="13" l="1"/>
  <c r="N7708" i="13" s="1"/>
  <c r="O7709" i="13" l="1"/>
  <c r="N7709" i="13" s="1"/>
  <c r="O7710" i="13" l="1"/>
  <c r="N7710" i="13" s="1"/>
  <c r="O7711" i="13" l="1"/>
  <c r="N7711" i="13" s="1"/>
  <c r="O7712" i="13" l="1"/>
  <c r="N7712" i="13" s="1"/>
  <c r="O7713" i="13" l="1"/>
  <c r="N7713" i="13" s="1"/>
  <c r="O7714" i="13" l="1"/>
  <c r="N7714" i="13" s="1"/>
  <c r="O7715" i="13" l="1"/>
  <c r="N7715" i="13" s="1"/>
  <c r="O7716" i="13" l="1"/>
  <c r="N7716" i="13" s="1"/>
  <c r="O7717" i="13" l="1"/>
  <c r="N7717" i="13" s="1"/>
  <c r="O7718" i="13" l="1"/>
  <c r="N7718" i="13" s="1"/>
  <c r="O7719" i="13" l="1"/>
  <c r="N7719" i="13" s="1"/>
  <c r="O7720" i="13" l="1"/>
  <c r="N7720" i="13" s="1"/>
  <c r="O7721" i="13" l="1"/>
  <c r="N7721" i="13" s="1"/>
  <c r="O7722" i="13" l="1"/>
  <c r="N7722" i="13" s="1"/>
  <c r="O7723" i="13" l="1"/>
  <c r="N7723" i="13" s="1"/>
  <c r="O7724" i="13" l="1"/>
  <c r="N7724" i="13" s="1"/>
  <c r="O7725" i="13" l="1"/>
  <c r="N7725" i="13" s="1"/>
  <c r="O7726" i="13" l="1"/>
  <c r="N7726" i="13" s="1"/>
  <c r="O7727" i="13" l="1"/>
  <c r="N7727" i="13" s="1"/>
  <c r="O7728" i="13" l="1"/>
  <c r="N7728" i="13" s="1"/>
  <c r="O7729" i="13" l="1"/>
  <c r="N7729" i="13" s="1"/>
  <c r="O7730" i="13" l="1"/>
  <c r="N7730" i="13" s="1"/>
  <c r="O7731" i="13" l="1"/>
  <c r="N7731" i="13" s="1"/>
  <c r="O7732" i="13" l="1"/>
  <c r="N7732" i="13" s="1"/>
  <c r="O7733" i="13" l="1"/>
  <c r="N7733" i="13" s="1"/>
  <c r="O7734" i="13" l="1"/>
  <c r="N7734" i="13" s="1"/>
  <c r="O7735" i="13" l="1"/>
  <c r="N7735" i="13" s="1"/>
  <c r="O7736" i="13" l="1"/>
  <c r="N7736" i="13" s="1"/>
  <c r="O7737" i="13" l="1"/>
  <c r="N7737" i="13" s="1"/>
  <c r="O7738" i="13" l="1"/>
  <c r="N7738" i="13" s="1"/>
  <c r="O7739" i="13" l="1"/>
  <c r="N7739" i="13" s="1"/>
  <c r="O7740" i="13" l="1"/>
  <c r="N7740" i="13" s="1"/>
  <c r="O7741" i="13" l="1"/>
  <c r="N7741" i="13" s="1"/>
  <c r="O7742" i="13" l="1"/>
  <c r="N7742" i="13" s="1"/>
  <c r="O7743" i="13" l="1"/>
  <c r="N7743" i="13" s="1"/>
  <c r="O7744" i="13" l="1"/>
  <c r="N7744" i="13" s="1"/>
  <c r="O7745" i="13" l="1"/>
  <c r="N7745" i="13" s="1"/>
  <c r="O7746" i="13" l="1"/>
  <c r="N7746" i="13" s="1"/>
  <c r="O7747" i="13" l="1"/>
  <c r="N7747" i="13" s="1"/>
  <c r="O7748" i="13" l="1"/>
  <c r="N7748" i="13" s="1"/>
  <c r="O7749" i="13" l="1"/>
  <c r="N7749" i="13" s="1"/>
  <c r="O7750" i="13" l="1"/>
  <c r="N7750" i="13" s="1"/>
  <c r="O7751" i="13" l="1"/>
  <c r="N7751" i="13" s="1"/>
  <c r="O7752" i="13" l="1"/>
  <c r="N7752" i="13" s="1"/>
  <c r="O7753" i="13" l="1"/>
  <c r="N7753" i="13" s="1"/>
  <c r="O7754" i="13" l="1"/>
  <c r="N7754" i="13" s="1"/>
  <c r="O7755" i="13" l="1"/>
  <c r="N7755" i="13" s="1"/>
  <c r="O7756" i="13" l="1"/>
  <c r="N7756" i="13" s="1"/>
  <c r="O7757" i="13" l="1"/>
  <c r="N7757" i="13" s="1"/>
  <c r="O7758" i="13" l="1"/>
  <c r="N7758" i="13" s="1"/>
  <c r="O7759" i="13" l="1"/>
  <c r="N7759" i="13" s="1"/>
  <c r="O7760" i="13" l="1"/>
  <c r="N7760" i="13" s="1"/>
  <c r="O7761" i="13" l="1"/>
  <c r="N7761" i="13" s="1"/>
  <c r="O7762" i="13" l="1"/>
  <c r="N7762" i="13" s="1"/>
  <c r="O7763" i="13" l="1"/>
  <c r="N7763" i="13" s="1"/>
  <c r="O7764" i="13" l="1"/>
  <c r="N7764" i="13" s="1"/>
  <c r="O7765" i="13" l="1"/>
  <c r="N7765" i="13" s="1"/>
  <c r="O7766" i="13" l="1"/>
  <c r="N7766" i="13" s="1"/>
  <c r="O7767" i="13" l="1"/>
  <c r="N7767" i="13" s="1"/>
  <c r="O7768" i="13" l="1"/>
  <c r="N7768" i="13" s="1"/>
  <c r="O7769" i="13" l="1"/>
  <c r="N7769" i="13" s="1"/>
  <c r="O7770" i="13" l="1"/>
  <c r="N7770" i="13" s="1"/>
  <c r="O7771" i="13" l="1"/>
  <c r="N7771" i="13" s="1"/>
  <c r="O7772" i="13" l="1"/>
  <c r="N7772" i="13" s="1"/>
  <c r="O7773" i="13" l="1"/>
  <c r="N7773" i="13" s="1"/>
  <c r="O7774" i="13" l="1"/>
  <c r="N7774" i="13" s="1"/>
  <c r="O7775" i="13" l="1"/>
  <c r="N7775" i="13" s="1"/>
  <c r="O7776" i="13" l="1"/>
  <c r="N7776" i="13" s="1"/>
  <c r="O7777" i="13" l="1"/>
  <c r="N7777" i="13" s="1"/>
  <c r="O7778" i="13" l="1"/>
  <c r="N7778" i="13" s="1"/>
  <c r="O7779" i="13" l="1"/>
  <c r="N7779" i="13" s="1"/>
  <c r="O7780" i="13" l="1"/>
  <c r="N7780" i="13" s="1"/>
  <c r="O7781" i="13" l="1"/>
  <c r="N7781" i="13" s="1"/>
  <c r="O7782" i="13" l="1"/>
  <c r="N7782" i="13" s="1"/>
  <c r="O7783" i="13" l="1"/>
  <c r="N7783" i="13" s="1"/>
  <c r="O7784" i="13" l="1"/>
  <c r="N7784" i="13" s="1"/>
  <c r="O7785" i="13" l="1"/>
  <c r="N7785" i="13" s="1"/>
  <c r="O7786" i="13" l="1"/>
  <c r="N7786" i="13" s="1"/>
  <c r="O7787" i="13" l="1"/>
  <c r="N7787" i="13" s="1"/>
  <c r="O7788" i="13" l="1"/>
  <c r="N7788" i="13" s="1"/>
  <c r="O7789" i="13" l="1"/>
  <c r="N7789" i="13" s="1"/>
  <c r="O7790" i="13" l="1"/>
  <c r="N7790" i="13" s="1"/>
  <c r="O7791" i="13" l="1"/>
  <c r="N7791" i="13" s="1"/>
  <c r="O7792" i="13" l="1"/>
  <c r="N7792" i="13" s="1"/>
  <c r="O7793" i="13" l="1"/>
  <c r="N7793" i="13" s="1"/>
  <c r="O7794" i="13" l="1"/>
  <c r="N7794" i="13" s="1"/>
  <c r="O7795" i="13" l="1"/>
  <c r="N7795" i="13" s="1"/>
  <c r="O7796" i="13" l="1"/>
  <c r="N7796" i="13" s="1"/>
  <c r="O7797" i="13" l="1"/>
  <c r="N7797" i="13" s="1"/>
  <c r="O7798" i="13" l="1"/>
  <c r="N7798" i="13" s="1"/>
  <c r="O7799" i="13" l="1"/>
  <c r="N7799" i="13" s="1"/>
  <c r="O7800" i="13" l="1"/>
  <c r="N7800" i="13" s="1"/>
  <c r="O7801" i="13" l="1"/>
  <c r="N7801" i="13" s="1"/>
  <c r="O7802" i="13" l="1"/>
  <c r="N7802" i="13" s="1"/>
  <c r="O7803" i="13" l="1"/>
  <c r="N7803" i="13" s="1"/>
  <c r="O7804" i="13" l="1"/>
  <c r="N7804" i="13" s="1"/>
  <c r="O7805" i="13" l="1"/>
  <c r="N7805" i="13" s="1"/>
  <c r="O7806" i="13" l="1"/>
  <c r="N7806" i="13" s="1"/>
  <c r="O7807" i="13" l="1"/>
  <c r="N7807" i="13" s="1"/>
  <c r="O7808" i="13" l="1"/>
  <c r="N7808" i="13" s="1"/>
  <c r="O7809" i="13" l="1"/>
  <c r="N7809" i="13" s="1"/>
  <c r="O7810" i="13" l="1"/>
  <c r="N7810" i="13" s="1"/>
  <c r="O7811" i="13" l="1"/>
  <c r="N7811" i="13" s="1"/>
  <c r="O7812" i="13" l="1"/>
  <c r="N7812" i="13" s="1"/>
  <c r="O7813" i="13" l="1"/>
  <c r="N7813" i="13" s="1"/>
  <c r="O7814" i="13" l="1"/>
  <c r="N7814" i="13" s="1"/>
  <c r="O7815" i="13" l="1"/>
  <c r="N7815" i="13" s="1"/>
  <c r="O7816" i="13" l="1"/>
  <c r="N7816" i="13" s="1"/>
  <c r="O7817" i="13" l="1"/>
  <c r="N7817" i="13" s="1"/>
  <c r="O7818" i="13" l="1"/>
  <c r="N7818" i="13" s="1"/>
  <c r="O7819" i="13" l="1"/>
  <c r="N7819" i="13" s="1"/>
  <c r="O7820" i="13" l="1"/>
  <c r="N7820" i="13" s="1"/>
  <c r="O7821" i="13" l="1"/>
  <c r="N7821" i="13" s="1"/>
  <c r="O7822" i="13" l="1"/>
  <c r="N7822" i="13" s="1"/>
  <c r="O7823" i="13" l="1"/>
  <c r="N7823" i="13" s="1"/>
  <c r="O7824" i="13" l="1"/>
  <c r="N7824" i="13" s="1"/>
  <c r="O7825" i="13" l="1"/>
  <c r="N7825" i="13" s="1"/>
  <c r="O7826" i="13" l="1"/>
  <c r="N7826" i="13" s="1"/>
  <c r="O7827" i="13" l="1"/>
  <c r="N7827" i="13" s="1"/>
  <c r="O7828" i="13" l="1"/>
  <c r="N7828" i="13" s="1"/>
  <c r="O7829" i="13" l="1"/>
  <c r="N7829" i="13" s="1"/>
  <c r="O7830" i="13" l="1"/>
  <c r="N7830" i="13" s="1"/>
  <c r="O7831" i="13" l="1"/>
  <c r="N7831" i="13" s="1"/>
  <c r="O7832" i="13" l="1"/>
  <c r="N7832" i="13" s="1"/>
  <c r="O7833" i="13" l="1"/>
  <c r="N7833" i="13" s="1"/>
  <c r="O7834" i="13" l="1"/>
  <c r="N7834" i="13" s="1"/>
  <c r="O7835" i="13" l="1"/>
  <c r="N7835" i="13" s="1"/>
  <c r="O7836" i="13" l="1"/>
  <c r="N7836" i="13" s="1"/>
  <c r="O7837" i="13" l="1"/>
  <c r="N7837" i="13" s="1"/>
  <c r="O7838" i="13" l="1"/>
  <c r="N7838" i="13" s="1"/>
  <c r="O7839" i="13" l="1"/>
  <c r="N7839" i="13" s="1"/>
  <c r="O7840" i="13" l="1"/>
  <c r="N7840" i="13" s="1"/>
  <c r="O7841" i="13" l="1"/>
  <c r="N7841" i="13" s="1"/>
  <c r="O7842" i="13" l="1"/>
  <c r="N7842" i="13" s="1"/>
  <c r="O7843" i="13" l="1"/>
  <c r="N7843" i="13" s="1"/>
  <c r="O7844" i="13" l="1"/>
  <c r="N7844" i="13" s="1"/>
  <c r="O7845" i="13" l="1"/>
  <c r="N7845" i="13" s="1"/>
  <c r="O7846" i="13" l="1"/>
  <c r="N7846" i="13" s="1"/>
  <c r="O7847" i="13" l="1"/>
  <c r="N7847" i="13" s="1"/>
  <c r="O7848" i="13" l="1"/>
  <c r="N7848" i="13" s="1"/>
  <c r="O7849" i="13" l="1"/>
  <c r="N7849" i="13" s="1"/>
  <c r="O7850" i="13" l="1"/>
  <c r="N7850" i="13" s="1"/>
  <c r="O7851" i="13" l="1"/>
  <c r="N7851" i="13" s="1"/>
  <c r="O7852" i="13" l="1"/>
  <c r="N7852" i="13" s="1"/>
  <c r="O7853" i="13" l="1"/>
  <c r="N7853" i="13" s="1"/>
  <c r="O7854" i="13" l="1"/>
  <c r="N7854" i="13" s="1"/>
  <c r="O7855" i="13" l="1"/>
  <c r="N7855" i="13" s="1"/>
  <c r="O7856" i="13" l="1"/>
  <c r="N7856" i="13" s="1"/>
  <c r="O7857" i="13" l="1"/>
  <c r="N7857" i="13" s="1"/>
  <c r="O7858" i="13" l="1"/>
  <c r="N7858" i="13" s="1"/>
  <c r="O7859" i="13" l="1"/>
  <c r="N7859" i="13" s="1"/>
  <c r="O7860" i="13" l="1"/>
  <c r="N7860" i="13" s="1"/>
  <c r="O7861" i="13" l="1"/>
  <c r="N7861" i="13" s="1"/>
  <c r="O7862" i="13" l="1"/>
  <c r="N7862" i="13" s="1"/>
  <c r="O7863" i="13" l="1"/>
  <c r="N7863" i="13" s="1"/>
  <c r="O7864" i="13" l="1"/>
  <c r="N7864" i="13" s="1"/>
  <c r="O7865" i="13" l="1"/>
  <c r="N7865" i="13" s="1"/>
  <c r="O7866" i="13" l="1"/>
  <c r="N7866" i="13" s="1"/>
  <c r="O7867" i="13" l="1"/>
  <c r="N7867" i="13" s="1"/>
  <c r="O7868" i="13" l="1"/>
  <c r="N7868" i="13" s="1"/>
  <c r="O7869" i="13" l="1"/>
  <c r="N7869" i="13" s="1"/>
  <c r="O7870" i="13" l="1"/>
  <c r="N7870" i="13" s="1"/>
  <c r="O7871" i="13" l="1"/>
  <c r="N7871" i="13" s="1"/>
  <c r="O7872" i="13" l="1"/>
  <c r="N7872" i="13" s="1"/>
  <c r="O7873" i="13" l="1"/>
  <c r="N7873" i="13" s="1"/>
  <c r="O7874" i="13" l="1"/>
  <c r="N7874" i="13" s="1"/>
  <c r="O7875" i="13" l="1"/>
  <c r="N7875" i="13" s="1"/>
  <c r="O7876" i="13" l="1"/>
  <c r="N7876" i="13" s="1"/>
  <c r="O7877" i="13" l="1"/>
  <c r="N7877" i="13" s="1"/>
  <c r="O7878" i="13" l="1"/>
  <c r="N7878" i="13" s="1"/>
  <c r="O7879" i="13" l="1"/>
  <c r="N7879" i="13" s="1"/>
  <c r="O7880" i="13" l="1"/>
  <c r="N7880" i="13" s="1"/>
  <c r="O7881" i="13" l="1"/>
  <c r="N7881" i="13" s="1"/>
  <c r="O7882" i="13" l="1"/>
  <c r="N7882" i="13" s="1"/>
  <c r="O7883" i="13" l="1"/>
  <c r="N7883" i="13" s="1"/>
  <c r="O7884" i="13" l="1"/>
  <c r="N7884" i="13" s="1"/>
  <c r="O7885" i="13" l="1"/>
  <c r="N7885" i="13" s="1"/>
  <c r="O7886" i="13" l="1"/>
  <c r="N7886" i="13" s="1"/>
  <c r="O7887" i="13" l="1"/>
  <c r="N7887" i="13" s="1"/>
  <c r="O7888" i="13" l="1"/>
  <c r="N7888" i="13" s="1"/>
  <c r="O7889" i="13" l="1"/>
  <c r="N7889" i="13" s="1"/>
  <c r="O7890" i="13" l="1"/>
  <c r="N7890" i="13" s="1"/>
  <c r="O7891" i="13" l="1"/>
  <c r="N7891" i="13" s="1"/>
  <c r="O7892" i="13" l="1"/>
  <c r="N7892" i="13" s="1"/>
  <c r="O7893" i="13" l="1"/>
  <c r="N7893" i="13" s="1"/>
  <c r="O7894" i="13" l="1"/>
  <c r="N7894" i="13" s="1"/>
  <c r="O7895" i="13" l="1"/>
  <c r="N7895" i="13" s="1"/>
  <c r="O7896" i="13" l="1"/>
  <c r="N7896" i="13" s="1"/>
  <c r="O7897" i="13" l="1"/>
  <c r="N7897" i="13" s="1"/>
  <c r="O7898" i="13" l="1"/>
  <c r="N7898" i="13" s="1"/>
  <c r="O7899" i="13" l="1"/>
  <c r="N7899" i="13" s="1"/>
  <c r="O7900" i="13" l="1"/>
  <c r="N7900" i="13" s="1"/>
  <c r="O7901" i="13" l="1"/>
  <c r="N7901" i="13" s="1"/>
  <c r="O7902" i="13" l="1"/>
  <c r="N7902" i="13" s="1"/>
  <c r="O7903" i="13" l="1"/>
  <c r="N7903" i="13" s="1"/>
  <c r="O7904" i="13" l="1"/>
  <c r="N7904" i="13" s="1"/>
  <c r="O7905" i="13" l="1"/>
  <c r="N7905" i="13" s="1"/>
  <c r="O7906" i="13" l="1"/>
  <c r="N7906" i="13" s="1"/>
  <c r="O7907" i="13" l="1"/>
  <c r="N7907" i="13" s="1"/>
  <c r="O7908" i="13" l="1"/>
  <c r="N7908" i="13" s="1"/>
  <c r="O7909" i="13" l="1"/>
  <c r="N7909" i="13" s="1"/>
  <c r="O7910" i="13" l="1"/>
  <c r="N7910" i="13" s="1"/>
  <c r="O7911" i="13" l="1"/>
  <c r="N7911" i="13" s="1"/>
  <c r="O7912" i="13" l="1"/>
  <c r="N7912" i="13" s="1"/>
  <c r="O7913" i="13" l="1"/>
  <c r="N7913" i="13" s="1"/>
  <c r="O7914" i="13" l="1"/>
  <c r="N7914" i="13" s="1"/>
  <c r="O7915" i="13" l="1"/>
  <c r="N7915" i="13" s="1"/>
  <c r="O7916" i="13" l="1"/>
  <c r="N7916" i="13" s="1"/>
  <c r="O7917" i="13" l="1"/>
  <c r="N7917" i="13" s="1"/>
  <c r="O7918" i="13" l="1"/>
  <c r="N7918" i="13" s="1"/>
  <c r="O7919" i="13" l="1"/>
  <c r="N7919" i="13" s="1"/>
  <c r="O7920" i="13" l="1"/>
  <c r="N7920" i="13" s="1"/>
  <c r="O7921" i="13" l="1"/>
  <c r="N7921" i="13" s="1"/>
  <c r="O7922" i="13" l="1"/>
  <c r="N7922" i="13" s="1"/>
  <c r="O7923" i="13" l="1"/>
  <c r="N7923" i="13" s="1"/>
  <c r="O7924" i="13" l="1"/>
  <c r="N7924" i="13" s="1"/>
  <c r="O7925" i="13" l="1"/>
  <c r="N7925" i="13" s="1"/>
  <c r="O7926" i="13" l="1"/>
  <c r="N7926" i="13" s="1"/>
  <c r="O7927" i="13" l="1"/>
  <c r="N7927" i="13" s="1"/>
  <c r="O7928" i="13" l="1"/>
  <c r="N7928" i="13" s="1"/>
  <c r="O7929" i="13" l="1"/>
  <c r="N7929" i="13" s="1"/>
  <c r="O7930" i="13" l="1"/>
  <c r="N7930" i="13" s="1"/>
  <c r="O7931" i="13" l="1"/>
  <c r="N7931" i="13" s="1"/>
  <c r="O7932" i="13" l="1"/>
  <c r="N7932" i="13" s="1"/>
  <c r="O7933" i="13" l="1"/>
  <c r="N7933" i="13" s="1"/>
  <c r="O7934" i="13" l="1"/>
  <c r="N7934" i="13" s="1"/>
  <c r="O7935" i="13" l="1"/>
  <c r="N7935" i="13" s="1"/>
  <c r="O7936" i="13" l="1"/>
  <c r="N7936" i="13" s="1"/>
  <c r="O7937" i="13" l="1"/>
  <c r="N7937" i="13" s="1"/>
  <c r="O7938" i="13" l="1"/>
  <c r="N7938" i="13" s="1"/>
  <c r="O7939" i="13" l="1"/>
  <c r="N7939" i="13" s="1"/>
  <c r="O7940" i="13" l="1"/>
  <c r="N7940" i="13" s="1"/>
  <c r="O7941" i="13" l="1"/>
  <c r="N7941" i="13" s="1"/>
  <c r="O7942" i="13" l="1"/>
  <c r="N7942" i="13" s="1"/>
  <c r="O7943" i="13" l="1"/>
  <c r="N7943" i="13" s="1"/>
  <c r="O7944" i="13" l="1"/>
  <c r="N7944" i="13" s="1"/>
  <c r="O7945" i="13" l="1"/>
  <c r="N7945" i="13" s="1"/>
  <c r="O7946" i="13" l="1"/>
  <c r="N7946" i="13" s="1"/>
  <c r="O7947" i="13" l="1"/>
  <c r="N7947" i="13" s="1"/>
  <c r="O7948" i="13" l="1"/>
  <c r="N7948" i="13" s="1"/>
  <c r="O7949" i="13" l="1"/>
  <c r="N7949" i="13" s="1"/>
  <c r="O7950" i="13" l="1"/>
  <c r="N7950" i="13" s="1"/>
  <c r="O7951" i="13" l="1"/>
  <c r="N7951" i="13" s="1"/>
  <c r="O7952" i="13" l="1"/>
  <c r="N7952" i="13" s="1"/>
  <c r="O7953" i="13" l="1"/>
  <c r="N7953" i="13" s="1"/>
  <c r="O7954" i="13" l="1"/>
  <c r="N7954" i="13" s="1"/>
  <c r="O7955" i="13" l="1"/>
  <c r="N7955" i="13" s="1"/>
  <c r="O7956" i="13" l="1"/>
  <c r="N7956" i="13" s="1"/>
  <c r="O7957" i="13" l="1"/>
  <c r="N7957" i="13" s="1"/>
  <c r="O7958" i="13" l="1"/>
  <c r="N7958" i="13" s="1"/>
  <c r="O7959" i="13" l="1"/>
  <c r="N7959" i="13" s="1"/>
  <c r="O7960" i="13" l="1"/>
  <c r="N7960" i="13" s="1"/>
  <c r="O7961" i="13" l="1"/>
  <c r="N7961" i="13" s="1"/>
  <c r="O7962" i="13" l="1"/>
  <c r="N7962" i="13" s="1"/>
  <c r="O7963" i="13" l="1"/>
  <c r="N7963" i="13" s="1"/>
  <c r="O7964" i="13" l="1"/>
  <c r="N7964" i="13" s="1"/>
  <c r="O7965" i="13" l="1"/>
  <c r="N7965" i="13" s="1"/>
  <c r="O7966" i="13" l="1"/>
  <c r="N7966" i="13" s="1"/>
  <c r="O7967" i="13" l="1"/>
  <c r="N7967" i="13" s="1"/>
  <c r="O7968" i="13" l="1"/>
  <c r="N7968" i="13" s="1"/>
  <c r="O7969" i="13" l="1"/>
  <c r="N7969" i="13" s="1"/>
  <c r="O7970" i="13" l="1"/>
  <c r="N7970" i="13" s="1"/>
  <c r="O7971" i="13" l="1"/>
  <c r="N7971" i="13" s="1"/>
  <c r="O7972" i="13" l="1"/>
  <c r="N7972" i="13" s="1"/>
  <c r="O7973" i="13" l="1"/>
  <c r="N7973" i="13" s="1"/>
  <c r="O7974" i="13" l="1"/>
  <c r="N7974" i="13" s="1"/>
  <c r="O7975" i="13" l="1"/>
  <c r="N7975" i="13" s="1"/>
  <c r="O7976" i="13" l="1"/>
  <c r="N7976" i="13" s="1"/>
  <c r="O7977" i="13" l="1"/>
  <c r="N7977" i="13" s="1"/>
  <c r="O7978" i="13" l="1"/>
  <c r="N7978" i="13" s="1"/>
  <c r="O7979" i="13" l="1"/>
  <c r="N7979" i="13" s="1"/>
  <c r="O7980" i="13" l="1"/>
  <c r="N7980" i="13" s="1"/>
  <c r="O7981" i="13" l="1"/>
  <c r="N7981" i="13" s="1"/>
  <c r="O7982" i="13" l="1"/>
  <c r="N7982" i="13" s="1"/>
  <c r="O7983" i="13" l="1"/>
  <c r="N7983" i="13" s="1"/>
  <c r="O7984" i="13" l="1"/>
  <c r="N7984" i="13" s="1"/>
  <c r="O7985" i="13" l="1"/>
  <c r="N7985" i="13" s="1"/>
  <c r="O7986" i="13" l="1"/>
  <c r="N7986" i="13" s="1"/>
  <c r="O7987" i="13" l="1"/>
  <c r="N7987" i="13" s="1"/>
  <c r="O7988" i="13" l="1"/>
  <c r="N7988" i="13" s="1"/>
  <c r="O7989" i="13" l="1"/>
  <c r="N7989" i="13" s="1"/>
  <c r="O7990" i="13" l="1"/>
  <c r="N7990" i="13" s="1"/>
  <c r="O7991" i="13" l="1"/>
  <c r="N7991" i="13" s="1"/>
  <c r="O7992" i="13" l="1"/>
  <c r="N7992" i="13" s="1"/>
  <c r="O7993" i="13" l="1"/>
  <c r="N7993" i="13" s="1"/>
  <c r="O7994" i="13" l="1"/>
  <c r="N7994" i="13" s="1"/>
  <c r="O7995" i="13" l="1"/>
  <c r="N7995" i="13" s="1"/>
  <c r="O7996" i="13" l="1"/>
  <c r="N7996" i="13" s="1"/>
  <c r="O7997" i="13" l="1"/>
  <c r="N7997" i="13" s="1"/>
  <c r="O7998" i="13" l="1"/>
  <c r="N7998" i="13" s="1"/>
  <c r="O7999" i="13" l="1"/>
  <c r="N7999" i="13" s="1"/>
  <c r="O8000" i="13" l="1"/>
  <c r="N8000" i="13" s="1"/>
  <c r="O8001" i="13" l="1"/>
  <c r="N8001" i="13" s="1"/>
  <c r="O8002" i="13" l="1"/>
  <c r="N8002" i="13" s="1"/>
  <c r="O8003" i="13" l="1"/>
  <c r="N8003" i="13" s="1"/>
  <c r="O8004" i="13" l="1"/>
  <c r="N8004" i="13" s="1"/>
  <c r="O8005" i="13" l="1"/>
  <c r="N8005" i="13" s="1"/>
  <c r="O8006" i="13" l="1"/>
  <c r="N8006" i="13" s="1"/>
  <c r="O8007" i="13" l="1"/>
  <c r="N8007" i="13" s="1"/>
  <c r="O8008" i="13" l="1"/>
  <c r="N8008" i="13" s="1"/>
  <c r="O8009" i="13" l="1"/>
  <c r="N8009" i="13" s="1"/>
  <c r="O8010" i="13" l="1"/>
  <c r="N8010" i="13" s="1"/>
  <c r="O8011" i="13" l="1"/>
  <c r="N8011" i="13" s="1"/>
  <c r="O8012" i="13" l="1"/>
  <c r="N8012" i="13" s="1"/>
  <c r="O8013" i="13" l="1"/>
  <c r="N8013" i="13" s="1"/>
  <c r="O8014" i="13" l="1"/>
  <c r="N8014" i="13" s="1"/>
  <c r="O8015" i="13" l="1"/>
  <c r="N8015" i="13" s="1"/>
  <c r="O8016" i="13" l="1"/>
  <c r="N8016" i="13" s="1"/>
  <c r="O8017" i="13" l="1"/>
  <c r="N8017" i="13" s="1"/>
  <c r="O8018" i="13" l="1"/>
  <c r="N8018" i="13" s="1"/>
  <c r="O8019" i="13" l="1"/>
  <c r="N8019" i="13" s="1"/>
  <c r="O8020" i="13" l="1"/>
  <c r="N8020" i="13" s="1"/>
  <c r="O8021" i="13" l="1"/>
  <c r="N8021" i="13" s="1"/>
  <c r="O8022" i="13" l="1"/>
  <c r="N8022" i="13" s="1"/>
  <c r="O8023" i="13" l="1"/>
  <c r="N8023" i="13" s="1"/>
  <c r="O8024" i="13" l="1"/>
  <c r="N8024" i="13" s="1"/>
  <c r="O8025" i="13" l="1"/>
  <c r="N8025" i="13" s="1"/>
  <c r="O8026" i="13" l="1"/>
  <c r="N8026" i="13" s="1"/>
  <c r="O8027" i="13" l="1"/>
  <c r="N8027" i="13" s="1"/>
  <c r="O8028" i="13" l="1"/>
  <c r="N8028" i="13" s="1"/>
  <c r="O8029" i="13" l="1"/>
  <c r="N8029" i="13" s="1"/>
  <c r="O8030" i="13" l="1"/>
  <c r="N8030" i="13" s="1"/>
  <c r="O8031" i="13" l="1"/>
  <c r="N8031" i="13" s="1"/>
  <c r="O8032" i="13" l="1"/>
  <c r="N8032" i="13" s="1"/>
  <c r="O8033" i="13" l="1"/>
  <c r="N8033" i="13" s="1"/>
  <c r="O8034" i="13" l="1"/>
  <c r="N8034" i="13" s="1"/>
  <c r="O8035" i="13" l="1"/>
  <c r="N8035" i="13" s="1"/>
  <c r="O8036" i="13" l="1"/>
  <c r="N8036" i="13" s="1"/>
  <c r="O8037" i="13" l="1"/>
  <c r="N8037" i="13" s="1"/>
  <c r="O8038" i="13" l="1"/>
  <c r="N8038" i="13" s="1"/>
  <c r="O8039" i="13" l="1"/>
  <c r="N8039" i="13" s="1"/>
  <c r="O8040" i="13" l="1"/>
  <c r="N8040" i="13" s="1"/>
  <c r="O8041" i="13" l="1"/>
  <c r="N8041" i="13" s="1"/>
  <c r="O8042" i="13" l="1"/>
  <c r="N8042" i="13" s="1"/>
  <c r="O8043" i="13" l="1"/>
  <c r="N8043" i="13" s="1"/>
  <c r="O8044" i="13" l="1"/>
  <c r="N8044" i="13" s="1"/>
  <c r="O8045" i="13" l="1"/>
  <c r="N8045" i="13" s="1"/>
  <c r="O8046" i="13" l="1"/>
  <c r="N8046" i="13" s="1"/>
  <c r="O8047" i="13" l="1"/>
  <c r="N8047" i="13" s="1"/>
  <c r="O8048" i="13" l="1"/>
  <c r="N8048" i="13" s="1"/>
  <c r="O8049" i="13" l="1"/>
  <c r="N8049" i="13" s="1"/>
  <c r="O8050" i="13" l="1"/>
  <c r="N8050" i="13" s="1"/>
  <c r="O8051" i="13" l="1"/>
  <c r="N8051" i="13" s="1"/>
  <c r="O8052" i="13" l="1"/>
  <c r="N8052" i="13" s="1"/>
  <c r="O8053" i="13" l="1"/>
  <c r="N8053" i="13" s="1"/>
  <c r="O8054" i="13" l="1"/>
  <c r="N8054" i="13" s="1"/>
  <c r="O8055" i="13" l="1"/>
  <c r="N8055" i="13" s="1"/>
  <c r="O8056" i="13" l="1"/>
  <c r="N8056" i="13" s="1"/>
  <c r="O8057" i="13" l="1"/>
  <c r="N8057" i="13" s="1"/>
  <c r="O8058" i="13" l="1"/>
  <c r="N8058" i="13" s="1"/>
  <c r="O8059" i="13" l="1"/>
  <c r="N8059" i="13" s="1"/>
  <c r="O8060" i="13" l="1"/>
  <c r="N8060" i="13" s="1"/>
  <c r="O8061" i="13" l="1"/>
  <c r="N8061" i="13" s="1"/>
  <c r="O8062" i="13" l="1"/>
  <c r="N8062" i="13" s="1"/>
  <c r="O8063" i="13" l="1"/>
  <c r="N8063" i="13" s="1"/>
  <c r="O8064" i="13" l="1"/>
  <c r="N8064" i="13" s="1"/>
  <c r="O8065" i="13" l="1"/>
  <c r="N8065" i="13" s="1"/>
  <c r="O8066" i="13" l="1"/>
  <c r="N8066" i="13" s="1"/>
  <c r="O8067" i="13" l="1"/>
  <c r="N8067" i="13" s="1"/>
  <c r="O8068" i="13" l="1"/>
  <c r="N8068" i="13" s="1"/>
  <c r="O8069" i="13" l="1"/>
  <c r="N8069" i="13" s="1"/>
  <c r="O8070" i="13" l="1"/>
  <c r="N8070" i="13" s="1"/>
  <c r="O8071" i="13" l="1"/>
  <c r="N8071" i="13" s="1"/>
  <c r="O8072" i="13" l="1"/>
  <c r="N8072" i="13" s="1"/>
  <c r="O8073" i="13" l="1"/>
  <c r="N8073" i="13" s="1"/>
  <c r="O8074" i="13" l="1"/>
  <c r="N8074" i="13" s="1"/>
  <c r="O8075" i="13" l="1"/>
  <c r="N8075" i="13" s="1"/>
  <c r="O8076" i="13" l="1"/>
  <c r="N8076" i="13" s="1"/>
  <c r="O8077" i="13" l="1"/>
  <c r="N8077" i="13" s="1"/>
  <c r="O8078" i="13" l="1"/>
  <c r="N8078" i="13" s="1"/>
  <c r="O8079" i="13" l="1"/>
  <c r="N8079" i="13" s="1"/>
  <c r="O8080" i="13" l="1"/>
  <c r="N8080" i="13" s="1"/>
  <c r="O8081" i="13" l="1"/>
  <c r="N8081" i="13" s="1"/>
  <c r="O8082" i="13" l="1"/>
  <c r="N8082" i="13" s="1"/>
  <c r="O8083" i="13" l="1"/>
  <c r="N8083" i="13" s="1"/>
  <c r="O8084" i="13" l="1"/>
  <c r="N8084" i="13" s="1"/>
  <c r="O8085" i="13" l="1"/>
  <c r="N8085" i="13" s="1"/>
  <c r="O8086" i="13" l="1"/>
  <c r="N8086" i="13" s="1"/>
  <c r="O8087" i="13" l="1"/>
  <c r="N8087" i="13" s="1"/>
  <c r="O8088" i="13" l="1"/>
  <c r="N8088" i="13" s="1"/>
  <c r="O8089" i="13" l="1"/>
  <c r="N8089" i="13" s="1"/>
  <c r="O8090" i="13" l="1"/>
  <c r="N8090" i="13" s="1"/>
  <c r="O8091" i="13" l="1"/>
  <c r="N8091" i="13" s="1"/>
  <c r="O8092" i="13" l="1"/>
  <c r="N8092" i="13" s="1"/>
  <c r="O8093" i="13" l="1"/>
  <c r="N8093" i="13" s="1"/>
  <c r="O8094" i="13" l="1"/>
  <c r="N8094" i="13" s="1"/>
  <c r="O8095" i="13" l="1"/>
  <c r="N8095" i="13" s="1"/>
  <c r="O8096" i="13" l="1"/>
  <c r="N8096" i="13" s="1"/>
  <c r="O8097" i="13" l="1"/>
  <c r="N8097" i="13" s="1"/>
  <c r="O8098" i="13" l="1"/>
  <c r="N8098" i="13" s="1"/>
  <c r="O8099" i="13" l="1"/>
  <c r="N8099" i="13" s="1"/>
  <c r="O8100" i="13" l="1"/>
  <c r="N8100" i="13" s="1"/>
  <c r="O8101" i="13" l="1"/>
  <c r="N8101" i="13" s="1"/>
  <c r="O8102" i="13" l="1"/>
  <c r="N8102" i="13" s="1"/>
  <c r="O8103" i="13" l="1"/>
  <c r="N8103" i="13" s="1"/>
  <c r="O8104" i="13" l="1"/>
  <c r="N8104" i="13" s="1"/>
  <c r="O8105" i="13" l="1"/>
  <c r="N8105" i="13" s="1"/>
  <c r="O8106" i="13" l="1"/>
  <c r="N8106" i="13" s="1"/>
  <c r="O8107" i="13" l="1"/>
  <c r="N8107" i="13" s="1"/>
  <c r="O8108" i="13" l="1"/>
  <c r="N8108" i="13" s="1"/>
  <c r="O8109" i="13" l="1"/>
  <c r="N8109" i="13" s="1"/>
  <c r="O8110" i="13" l="1"/>
  <c r="N8110" i="13" s="1"/>
  <c r="O8111" i="13" l="1"/>
  <c r="N8111" i="13" s="1"/>
  <c r="O8112" i="13" l="1"/>
  <c r="N8112" i="13" s="1"/>
  <c r="O8113" i="13" l="1"/>
  <c r="N8113" i="13" s="1"/>
  <c r="O8114" i="13" l="1"/>
  <c r="N8114" i="13" s="1"/>
  <c r="O8115" i="13" l="1"/>
  <c r="N8115" i="13" s="1"/>
  <c r="O8116" i="13" l="1"/>
  <c r="N8116" i="13" s="1"/>
  <c r="O8117" i="13" l="1"/>
  <c r="N8117" i="13" s="1"/>
  <c r="O8118" i="13" l="1"/>
  <c r="N8118" i="13" s="1"/>
  <c r="O8119" i="13" l="1"/>
  <c r="N8119" i="13" s="1"/>
  <c r="O8120" i="13" l="1"/>
  <c r="N8120" i="13" s="1"/>
  <c r="O8121" i="13" l="1"/>
  <c r="N8121" i="13" s="1"/>
  <c r="O8122" i="13" l="1"/>
  <c r="N8122" i="13" s="1"/>
  <c r="O8123" i="13" l="1"/>
  <c r="N8123" i="13" s="1"/>
  <c r="O8124" i="13" l="1"/>
  <c r="N8124" i="13" s="1"/>
  <c r="O8125" i="13" l="1"/>
  <c r="N8125" i="13" s="1"/>
  <c r="O8126" i="13" l="1"/>
  <c r="N8126" i="13" s="1"/>
  <c r="O8127" i="13" l="1"/>
  <c r="N8127" i="13" s="1"/>
  <c r="O8128" i="13" l="1"/>
  <c r="N8128" i="13" s="1"/>
  <c r="O8129" i="13" l="1"/>
  <c r="N8129" i="13" s="1"/>
  <c r="O8130" i="13" l="1"/>
  <c r="N8130" i="13" s="1"/>
  <c r="O8131" i="13" l="1"/>
  <c r="N8131" i="13" s="1"/>
  <c r="O8132" i="13" l="1"/>
  <c r="N8132" i="13" s="1"/>
  <c r="O8133" i="13" l="1"/>
  <c r="N8133" i="13" s="1"/>
  <c r="O8134" i="13" l="1"/>
  <c r="N8134" i="13" s="1"/>
  <c r="O8135" i="13" l="1"/>
  <c r="N8135" i="13" s="1"/>
  <c r="O8136" i="13" l="1"/>
  <c r="N8136" i="13" s="1"/>
  <c r="O8137" i="13" l="1"/>
  <c r="N8137" i="13" s="1"/>
  <c r="O8138" i="13" l="1"/>
  <c r="N8138" i="13" s="1"/>
  <c r="O8139" i="13" l="1"/>
  <c r="N8139" i="13" s="1"/>
  <c r="O8140" i="13" l="1"/>
  <c r="N8140" i="13" s="1"/>
  <c r="O8141" i="13" l="1"/>
  <c r="N8141" i="13" s="1"/>
  <c r="O8142" i="13" l="1"/>
  <c r="N8142" i="13" s="1"/>
  <c r="O8143" i="13" l="1"/>
  <c r="N8143" i="13" s="1"/>
  <c r="O8144" i="13" l="1"/>
  <c r="N8144" i="13" s="1"/>
  <c r="O8145" i="13" l="1"/>
  <c r="N8145" i="13" s="1"/>
  <c r="O8146" i="13" l="1"/>
  <c r="N8146" i="13" s="1"/>
  <c r="O8147" i="13" l="1"/>
  <c r="N8147" i="13" s="1"/>
  <c r="O8148" i="13" l="1"/>
  <c r="N8148" i="13" s="1"/>
  <c r="O8149" i="13" l="1"/>
  <c r="N8149" i="13" s="1"/>
  <c r="O8150" i="13" l="1"/>
  <c r="N8150" i="13" s="1"/>
  <c r="O8151" i="13" l="1"/>
  <c r="N8151" i="13" s="1"/>
  <c r="O8152" i="13" l="1"/>
  <c r="N8152" i="13" s="1"/>
  <c r="O8153" i="13" l="1"/>
  <c r="N8153" i="13" s="1"/>
  <c r="O8154" i="13" l="1"/>
  <c r="N8154" i="13" s="1"/>
  <c r="O8155" i="13" l="1"/>
  <c r="N8155" i="13" s="1"/>
  <c r="O8156" i="13" l="1"/>
  <c r="N8156" i="13" s="1"/>
  <c r="O8157" i="13" l="1"/>
  <c r="N8157" i="13" s="1"/>
  <c r="O8158" i="13" l="1"/>
  <c r="N8158" i="13" s="1"/>
  <c r="O8159" i="13" l="1"/>
  <c r="N8159" i="13" s="1"/>
  <c r="O8160" i="13" l="1"/>
  <c r="N8160" i="13" s="1"/>
  <c r="O8161" i="13" l="1"/>
  <c r="N8161" i="13" s="1"/>
  <c r="O8162" i="13" l="1"/>
  <c r="N8162" i="13" s="1"/>
  <c r="O8163" i="13" l="1"/>
  <c r="N8163" i="13" s="1"/>
  <c r="O8164" i="13" l="1"/>
  <c r="N8164" i="13" s="1"/>
  <c r="O8165" i="13" l="1"/>
  <c r="N8165" i="13" s="1"/>
  <c r="O8166" i="13" l="1"/>
  <c r="N8166" i="13" s="1"/>
  <c r="O8167" i="13" l="1"/>
  <c r="N8167" i="13" s="1"/>
  <c r="O8168" i="13" l="1"/>
  <c r="N8168" i="13" s="1"/>
  <c r="O8169" i="13" l="1"/>
  <c r="N8169" i="13" s="1"/>
  <c r="O8170" i="13" l="1"/>
  <c r="N8170" i="13" s="1"/>
  <c r="O8171" i="13" l="1"/>
  <c r="N8171" i="13" s="1"/>
  <c r="O8172" i="13" l="1"/>
  <c r="N8172" i="13" s="1"/>
  <c r="O8173" i="13" l="1"/>
  <c r="N8173" i="13" s="1"/>
  <c r="O8174" i="13" l="1"/>
  <c r="N8174" i="13" s="1"/>
  <c r="O8175" i="13" l="1"/>
  <c r="N8175" i="13" s="1"/>
  <c r="O8176" i="13" l="1"/>
  <c r="N8176" i="13" s="1"/>
  <c r="O8177" i="13" l="1"/>
  <c r="N8177" i="13" s="1"/>
  <c r="O8178" i="13" l="1"/>
  <c r="N8178" i="13" s="1"/>
  <c r="O8179" i="13" l="1"/>
  <c r="N8179" i="13" s="1"/>
  <c r="O8180" i="13" l="1"/>
  <c r="N8180" i="13" s="1"/>
  <c r="O8181" i="13" l="1"/>
  <c r="N8181" i="13" s="1"/>
  <c r="O8182" i="13" l="1"/>
  <c r="N8182" i="13" s="1"/>
  <c r="O8183" i="13" l="1"/>
  <c r="N8183" i="13" s="1"/>
  <c r="O8184" i="13" l="1"/>
  <c r="N8184" i="13" s="1"/>
  <c r="O8185" i="13" l="1"/>
  <c r="N8185" i="13" s="1"/>
  <c r="O8186" i="13" l="1"/>
  <c r="N8186" i="13" s="1"/>
  <c r="O8187" i="13" l="1"/>
  <c r="N8187" i="13" s="1"/>
  <c r="O8188" i="13" l="1"/>
  <c r="N8188" i="13" s="1"/>
  <c r="O8189" i="13" l="1"/>
  <c r="N8189" i="13" s="1"/>
  <c r="O8190" i="13" l="1"/>
  <c r="N8190" i="13" s="1"/>
  <c r="O8191" i="13" l="1"/>
  <c r="N8191" i="13" s="1"/>
  <c r="O8192" i="13" l="1"/>
  <c r="N8192" i="13" s="1"/>
  <c r="O8193" i="13" l="1"/>
  <c r="N8193" i="13" s="1"/>
  <c r="O8194" i="13" l="1"/>
  <c r="N8194" i="13" s="1"/>
  <c r="O8195" i="13" l="1"/>
  <c r="N8195" i="13" s="1"/>
  <c r="O8196" i="13" l="1"/>
  <c r="N8196" i="13" s="1"/>
  <c r="O8197" i="13" l="1"/>
  <c r="N8197" i="13" s="1"/>
  <c r="O8198" i="13" l="1"/>
  <c r="N8198" i="13" s="1"/>
  <c r="O8199" i="13" l="1"/>
  <c r="N8199" i="13" s="1"/>
  <c r="O8200" i="13" l="1"/>
  <c r="N8200" i="13" s="1"/>
  <c r="O8201" i="13" l="1"/>
  <c r="N8201" i="13" s="1"/>
  <c r="O8202" i="13" l="1"/>
  <c r="N8202" i="13" s="1"/>
  <c r="O8203" i="13" l="1"/>
  <c r="N8203" i="13" s="1"/>
  <c r="O8204" i="13" l="1"/>
  <c r="N8204" i="13" s="1"/>
  <c r="O8205" i="13" l="1"/>
  <c r="N8205" i="13" s="1"/>
  <c r="O8206" i="13" l="1"/>
  <c r="N8206" i="13" s="1"/>
  <c r="O8207" i="13" l="1"/>
  <c r="N8207" i="13" s="1"/>
  <c r="O8208" i="13" l="1"/>
  <c r="N8208" i="13" s="1"/>
  <c r="O8209" i="13" l="1"/>
  <c r="N8209" i="13" s="1"/>
  <c r="O8210" i="13" l="1"/>
  <c r="N8210" i="13" s="1"/>
  <c r="O8211" i="13" l="1"/>
  <c r="N8211" i="13" s="1"/>
  <c r="O8212" i="13" l="1"/>
  <c r="N8212" i="13" s="1"/>
  <c r="O8213" i="13" l="1"/>
  <c r="N8213" i="13" s="1"/>
  <c r="O8214" i="13" l="1"/>
  <c r="N8214" i="13" s="1"/>
  <c r="O8215" i="13" l="1"/>
  <c r="N8215" i="13" s="1"/>
  <c r="O8216" i="13" l="1"/>
  <c r="N8216" i="13" s="1"/>
  <c r="O8217" i="13" l="1"/>
  <c r="N8217" i="13" s="1"/>
  <c r="O8218" i="13" l="1"/>
  <c r="N8218" i="13" s="1"/>
  <c r="O8219" i="13" l="1"/>
  <c r="N8219" i="13" s="1"/>
  <c r="O8220" i="13" l="1"/>
  <c r="N8220" i="13" s="1"/>
  <c r="O8221" i="13" l="1"/>
  <c r="N8221" i="13" s="1"/>
  <c r="O8222" i="13" l="1"/>
  <c r="N8222" i="13" s="1"/>
  <c r="O8223" i="13" l="1"/>
  <c r="N8223" i="13" s="1"/>
  <c r="O8224" i="13" l="1"/>
  <c r="N8224" i="13" s="1"/>
  <c r="O8225" i="13" l="1"/>
  <c r="N8225" i="13" s="1"/>
  <c r="O8226" i="13" l="1"/>
  <c r="N8226" i="13" s="1"/>
  <c r="O8227" i="13" l="1"/>
  <c r="N8227" i="13" s="1"/>
  <c r="O8228" i="13" l="1"/>
  <c r="N8228" i="13" s="1"/>
  <c r="O8229" i="13" l="1"/>
  <c r="N8229" i="13" s="1"/>
  <c r="O8230" i="13" l="1"/>
  <c r="N8230" i="13" s="1"/>
  <c r="O8231" i="13" l="1"/>
  <c r="N8231" i="13" s="1"/>
  <c r="O8232" i="13" l="1"/>
  <c r="N8232" i="13" s="1"/>
  <c r="O8233" i="13" l="1"/>
  <c r="N8233" i="13" s="1"/>
  <c r="O8234" i="13" l="1"/>
  <c r="N8234" i="13" s="1"/>
  <c r="O8235" i="13" l="1"/>
  <c r="N8235" i="13" s="1"/>
  <c r="O8236" i="13" l="1"/>
  <c r="N8236" i="13" s="1"/>
  <c r="O8237" i="13" l="1"/>
  <c r="N8237" i="13" s="1"/>
  <c r="O8238" i="13" l="1"/>
  <c r="N8238" i="13" s="1"/>
  <c r="O8239" i="13" l="1"/>
  <c r="N8239" i="13" s="1"/>
  <c r="O8240" i="13" l="1"/>
  <c r="N8240" i="13" s="1"/>
  <c r="O8241" i="13" l="1"/>
  <c r="N8241" i="13" s="1"/>
  <c r="O8242" i="13" l="1"/>
  <c r="N8242" i="13" s="1"/>
  <c r="O8243" i="13" l="1"/>
  <c r="N8243" i="13" s="1"/>
  <c r="O8244" i="13" l="1"/>
  <c r="N8244" i="13" s="1"/>
  <c r="O8245" i="13" l="1"/>
  <c r="N8245" i="13" s="1"/>
  <c r="O8246" i="13" l="1"/>
  <c r="N8246" i="13" s="1"/>
  <c r="O8247" i="13" l="1"/>
  <c r="N8247" i="13" s="1"/>
  <c r="O8248" i="13" l="1"/>
  <c r="N8248" i="13" s="1"/>
  <c r="O8249" i="13" l="1"/>
  <c r="N8249" i="13" s="1"/>
  <c r="O8250" i="13" l="1"/>
  <c r="N8250" i="13" s="1"/>
  <c r="O8251" i="13" l="1"/>
  <c r="N8251" i="13" s="1"/>
  <c r="O8252" i="13" l="1"/>
  <c r="N8252" i="13" s="1"/>
  <c r="O8253" i="13" l="1"/>
  <c r="N8253" i="13" s="1"/>
  <c r="O8254" i="13" l="1"/>
  <c r="N8254" i="13" s="1"/>
  <c r="O8255" i="13" l="1"/>
  <c r="N8255" i="13" s="1"/>
  <c r="O8256" i="13" l="1"/>
  <c r="N8256" i="13" s="1"/>
  <c r="O8257" i="13" l="1"/>
  <c r="N8257" i="13" s="1"/>
  <c r="O8258" i="13" l="1"/>
  <c r="N8258" i="13" s="1"/>
  <c r="O8259" i="13" l="1"/>
  <c r="N8259" i="13" s="1"/>
  <c r="O8260" i="13" l="1"/>
  <c r="N8260" i="13" s="1"/>
  <c r="O8261" i="13" l="1"/>
  <c r="N8261" i="13" s="1"/>
  <c r="O8262" i="13" l="1"/>
  <c r="N8262" i="13" s="1"/>
  <c r="O8263" i="13" l="1"/>
  <c r="N8263" i="13" s="1"/>
  <c r="O8264" i="13" l="1"/>
  <c r="N8264" i="13" s="1"/>
  <c r="O8265" i="13" l="1"/>
  <c r="N8265" i="13" s="1"/>
  <c r="O8266" i="13" l="1"/>
  <c r="N8266" i="13" s="1"/>
  <c r="O8267" i="13" l="1"/>
  <c r="N8267" i="13" s="1"/>
  <c r="O8268" i="13" l="1"/>
  <c r="N8268" i="13" s="1"/>
  <c r="O8269" i="13" l="1"/>
  <c r="N8269" i="13" s="1"/>
  <c r="O8270" i="13" l="1"/>
  <c r="N8270" i="13" s="1"/>
  <c r="O8271" i="13" l="1"/>
  <c r="N8271" i="13" s="1"/>
  <c r="O8272" i="13" l="1"/>
  <c r="N8272" i="13" s="1"/>
  <c r="O8273" i="13" l="1"/>
  <c r="N8273" i="13" s="1"/>
  <c r="O8274" i="13" l="1"/>
  <c r="N8274" i="13" s="1"/>
  <c r="O8275" i="13" l="1"/>
  <c r="N8275" i="13" s="1"/>
  <c r="O8276" i="13" l="1"/>
  <c r="N8276" i="13" s="1"/>
  <c r="O8277" i="13" l="1"/>
  <c r="N8277" i="13" s="1"/>
  <c r="O8278" i="13" l="1"/>
  <c r="N8278" i="13" s="1"/>
  <c r="O8279" i="13" l="1"/>
  <c r="N8279" i="13" s="1"/>
  <c r="O8280" i="13" l="1"/>
  <c r="N8280" i="13" s="1"/>
  <c r="O8281" i="13" l="1"/>
  <c r="N8281" i="13" s="1"/>
  <c r="O8282" i="13" l="1"/>
  <c r="N8282" i="13" s="1"/>
  <c r="O8283" i="13" l="1"/>
  <c r="N8283" i="13" s="1"/>
  <c r="O8284" i="13" l="1"/>
  <c r="N8284" i="13" s="1"/>
  <c r="O8285" i="13" l="1"/>
  <c r="N8285" i="13" s="1"/>
  <c r="O8286" i="13" l="1"/>
  <c r="N8286" i="13" s="1"/>
  <c r="O8287" i="13" l="1"/>
  <c r="N8287" i="13" s="1"/>
  <c r="O8288" i="13" l="1"/>
  <c r="N8288" i="13" s="1"/>
  <c r="O8289" i="13" l="1"/>
  <c r="N8289" i="13" s="1"/>
  <c r="O8290" i="13" l="1"/>
  <c r="N8290" i="13" s="1"/>
  <c r="O8291" i="13" l="1"/>
  <c r="N8291" i="13" s="1"/>
  <c r="O8292" i="13" l="1"/>
  <c r="N8292" i="13" s="1"/>
  <c r="O8293" i="13" l="1"/>
  <c r="N8293" i="13" s="1"/>
  <c r="O8294" i="13" l="1"/>
  <c r="N8294" i="13" s="1"/>
  <c r="O8295" i="13" l="1"/>
  <c r="N8295" i="13" s="1"/>
  <c r="O8296" i="13" l="1"/>
  <c r="N8296" i="13" s="1"/>
  <c r="O8297" i="13" l="1"/>
  <c r="N8297" i="13" s="1"/>
  <c r="O8298" i="13" l="1"/>
  <c r="N8298" i="13" s="1"/>
  <c r="O8299" i="13" l="1"/>
  <c r="N8299" i="13" s="1"/>
  <c r="O8300" i="13" l="1"/>
  <c r="N8300" i="13" s="1"/>
  <c r="O8301" i="13" l="1"/>
  <c r="N8301" i="13" s="1"/>
  <c r="O8302" i="13" l="1"/>
  <c r="N8302" i="13" s="1"/>
  <c r="O8303" i="13" l="1"/>
  <c r="N8303" i="13" s="1"/>
  <c r="O8304" i="13" l="1"/>
  <c r="N8304" i="13" s="1"/>
  <c r="O8305" i="13" l="1"/>
  <c r="N8305" i="13" s="1"/>
  <c r="O8306" i="13" l="1"/>
  <c r="N8306" i="13" s="1"/>
  <c r="O8307" i="13" l="1"/>
  <c r="N8307" i="13" s="1"/>
  <c r="O8308" i="13" l="1"/>
  <c r="N8308" i="13" s="1"/>
  <c r="O8309" i="13" l="1"/>
  <c r="N8309" i="13" s="1"/>
  <c r="O8310" i="13" l="1"/>
  <c r="N8310" i="13" s="1"/>
  <c r="O8311" i="13" l="1"/>
  <c r="N8311" i="13" s="1"/>
  <c r="O8312" i="13" l="1"/>
  <c r="N8312" i="13" s="1"/>
  <c r="O8313" i="13" l="1"/>
  <c r="N8313" i="13" s="1"/>
  <c r="O8314" i="13" l="1"/>
  <c r="N8314" i="13" s="1"/>
  <c r="O8315" i="13" l="1"/>
  <c r="N8315" i="13" s="1"/>
  <c r="O8316" i="13" l="1"/>
  <c r="N8316" i="13" s="1"/>
  <c r="O8317" i="13" l="1"/>
  <c r="N8317" i="13" s="1"/>
  <c r="O8318" i="13" l="1"/>
  <c r="N8318" i="13" s="1"/>
  <c r="O8319" i="13" l="1"/>
  <c r="N8319" i="13" s="1"/>
  <c r="O8320" i="13" l="1"/>
  <c r="N8320" i="13" s="1"/>
  <c r="O8321" i="13" l="1"/>
  <c r="N8321" i="13" s="1"/>
  <c r="O8322" i="13" l="1"/>
  <c r="N8322" i="13" s="1"/>
  <c r="O8323" i="13" l="1"/>
  <c r="N8323" i="13" s="1"/>
  <c r="O8324" i="13" l="1"/>
  <c r="N8324" i="13" s="1"/>
  <c r="O8325" i="13" l="1"/>
  <c r="N8325" i="13" s="1"/>
  <c r="O8326" i="13" l="1"/>
  <c r="N8326" i="13" s="1"/>
  <c r="O8327" i="13" l="1"/>
  <c r="N8327" i="13" s="1"/>
  <c r="O8328" i="13" l="1"/>
  <c r="N8328" i="13" s="1"/>
  <c r="O8329" i="13" l="1"/>
  <c r="N8329" i="13" s="1"/>
  <c r="O8330" i="13" l="1"/>
  <c r="N8330" i="13" s="1"/>
  <c r="O8331" i="13" l="1"/>
  <c r="N8331" i="13" s="1"/>
  <c r="O8332" i="13" l="1"/>
  <c r="N8332" i="13" s="1"/>
  <c r="O8333" i="13" l="1"/>
  <c r="N8333" i="13" s="1"/>
  <c r="O8334" i="13" l="1"/>
  <c r="N8334" i="13" s="1"/>
  <c r="O8335" i="13" l="1"/>
  <c r="N8335" i="13" s="1"/>
  <c r="O8336" i="13" l="1"/>
  <c r="N8336" i="13" s="1"/>
  <c r="O8337" i="13" l="1"/>
  <c r="N8337" i="13" s="1"/>
  <c r="O8338" i="13" l="1"/>
  <c r="N8338" i="13" s="1"/>
  <c r="O8339" i="13" l="1"/>
  <c r="N8339" i="13" s="1"/>
  <c r="O8340" i="13" l="1"/>
  <c r="N8340" i="13" s="1"/>
  <c r="O8341" i="13" l="1"/>
  <c r="N8341" i="13" s="1"/>
  <c r="O8342" i="13" l="1"/>
  <c r="N8342" i="13" s="1"/>
  <c r="O8343" i="13" l="1"/>
  <c r="N8343" i="13" s="1"/>
  <c r="O8344" i="13" l="1"/>
  <c r="N8344" i="13" s="1"/>
  <c r="O8345" i="13" l="1"/>
  <c r="N8345" i="13" s="1"/>
  <c r="O8346" i="13" l="1"/>
  <c r="N8346" i="13" s="1"/>
  <c r="O8347" i="13" l="1"/>
  <c r="N8347" i="13" s="1"/>
  <c r="O8348" i="13" l="1"/>
  <c r="N8348" i="13" s="1"/>
  <c r="O8349" i="13" l="1"/>
  <c r="N8349" i="13" s="1"/>
  <c r="O8350" i="13" l="1"/>
  <c r="N8350" i="13" s="1"/>
  <c r="O8351" i="13" l="1"/>
  <c r="N8351" i="13" s="1"/>
  <c r="O8352" i="13" l="1"/>
  <c r="N8352" i="13" s="1"/>
  <c r="O8353" i="13" l="1"/>
  <c r="N8353" i="13" s="1"/>
  <c r="O8354" i="13" l="1"/>
  <c r="N8354" i="13" s="1"/>
  <c r="O8355" i="13" l="1"/>
  <c r="N8355" i="13" s="1"/>
  <c r="O8356" i="13" l="1"/>
  <c r="N8356" i="13" s="1"/>
  <c r="O8357" i="13" l="1"/>
  <c r="N8357" i="13" s="1"/>
  <c r="O8358" i="13" l="1"/>
  <c r="N8358" i="13" s="1"/>
  <c r="O8359" i="13" l="1"/>
  <c r="N8359" i="13" s="1"/>
  <c r="O8360" i="13" l="1"/>
  <c r="N8360" i="13" s="1"/>
  <c r="O8361" i="13" l="1"/>
  <c r="N8361" i="13" s="1"/>
  <c r="O8362" i="13" l="1"/>
  <c r="N8362" i="13" s="1"/>
  <c r="O8363" i="13" l="1"/>
  <c r="N8363" i="13" s="1"/>
  <c r="O8364" i="13" l="1"/>
  <c r="N8364" i="13" s="1"/>
  <c r="O8365" i="13" l="1"/>
  <c r="N8365" i="13" s="1"/>
  <c r="O8366" i="13" l="1"/>
  <c r="N8366" i="13" s="1"/>
  <c r="O8367" i="13" l="1"/>
  <c r="N8367" i="13" s="1"/>
  <c r="O8368" i="13" l="1"/>
  <c r="N8368" i="13" s="1"/>
  <c r="O8369" i="13" l="1"/>
  <c r="N8369" i="13" s="1"/>
  <c r="O8370" i="13" l="1"/>
  <c r="N8370" i="13" s="1"/>
  <c r="O8371" i="13" l="1"/>
  <c r="N8371" i="13" s="1"/>
  <c r="O8372" i="13" l="1"/>
  <c r="N8372" i="13" s="1"/>
  <c r="O8373" i="13" l="1"/>
  <c r="N8373" i="13" s="1"/>
  <c r="O8374" i="13" l="1"/>
  <c r="N8374" i="13" s="1"/>
  <c r="O8375" i="13" l="1"/>
  <c r="N8375" i="13" s="1"/>
  <c r="O8376" i="13" l="1"/>
  <c r="N8376" i="13" s="1"/>
  <c r="O8377" i="13" l="1"/>
  <c r="N8377" i="13" s="1"/>
  <c r="O8378" i="13" l="1"/>
  <c r="N8378" i="13" s="1"/>
  <c r="O8379" i="13" l="1"/>
  <c r="N8379" i="13" s="1"/>
  <c r="O8380" i="13" l="1"/>
  <c r="N8380" i="13" s="1"/>
  <c r="O8381" i="13" l="1"/>
  <c r="N8381" i="13" s="1"/>
  <c r="O8382" i="13" l="1"/>
  <c r="N8382" i="13" s="1"/>
  <c r="O8383" i="13" l="1"/>
  <c r="N8383" i="13" s="1"/>
  <c r="O8384" i="13" l="1"/>
  <c r="N8384" i="13" s="1"/>
  <c r="O8385" i="13" l="1"/>
  <c r="N8385" i="13" s="1"/>
  <c r="O8386" i="13" l="1"/>
  <c r="N8386" i="13" s="1"/>
  <c r="O8387" i="13" l="1"/>
  <c r="N8387" i="13" s="1"/>
  <c r="O8388" i="13" l="1"/>
  <c r="N8388" i="13" s="1"/>
  <c r="O8389" i="13" l="1"/>
  <c r="N8389" i="13" s="1"/>
  <c r="O8390" i="13" l="1"/>
  <c r="N8390" i="13" s="1"/>
  <c r="O8391" i="13" l="1"/>
  <c r="N8391" i="13" s="1"/>
  <c r="O8392" i="13" l="1"/>
  <c r="N8392" i="13" s="1"/>
  <c r="O8393" i="13" l="1"/>
  <c r="N8393" i="13" s="1"/>
  <c r="O8394" i="13" l="1"/>
  <c r="N8394" i="13" s="1"/>
  <c r="O8395" i="13" l="1"/>
  <c r="N8395" i="13" s="1"/>
  <c r="O8396" i="13" l="1"/>
  <c r="N8396" i="13" s="1"/>
  <c r="O8397" i="13" l="1"/>
  <c r="N8397" i="13" s="1"/>
  <c r="O8398" i="13" l="1"/>
  <c r="N8398" i="13" s="1"/>
  <c r="O8399" i="13" l="1"/>
  <c r="N8399" i="13" s="1"/>
  <c r="O8400" i="13" l="1"/>
  <c r="N8400" i="13" s="1"/>
  <c r="O8401" i="13" l="1"/>
  <c r="N8401" i="13" s="1"/>
  <c r="O8402" i="13" l="1"/>
  <c r="N8402" i="13" s="1"/>
  <c r="O8403" i="13" l="1"/>
  <c r="N8403" i="13" s="1"/>
  <c r="O8404" i="13" l="1"/>
  <c r="N8404" i="13" s="1"/>
  <c r="O8405" i="13" l="1"/>
  <c r="N8405" i="13" s="1"/>
  <c r="O8406" i="13" l="1"/>
  <c r="N8406" i="13" s="1"/>
  <c r="O8407" i="13" l="1"/>
  <c r="N8407" i="13" s="1"/>
  <c r="O8408" i="13" l="1"/>
  <c r="N8408" i="13" s="1"/>
  <c r="O8409" i="13" l="1"/>
  <c r="N8409" i="13" s="1"/>
  <c r="O8410" i="13" l="1"/>
  <c r="N8410" i="13" s="1"/>
  <c r="O8411" i="13" l="1"/>
  <c r="N8411" i="13" s="1"/>
  <c r="O8412" i="13" l="1"/>
  <c r="N8412" i="13" s="1"/>
  <c r="O8413" i="13" l="1"/>
  <c r="N8413" i="13" s="1"/>
  <c r="O8414" i="13" l="1"/>
  <c r="N8414" i="13" s="1"/>
  <c r="O8415" i="13" l="1"/>
  <c r="N8415" i="13" s="1"/>
  <c r="O8416" i="13" l="1"/>
  <c r="N8416" i="13" s="1"/>
  <c r="O8417" i="13" l="1"/>
  <c r="N8417" i="13" s="1"/>
  <c r="O8418" i="13" l="1"/>
  <c r="N8418" i="13" s="1"/>
  <c r="O8419" i="13" l="1"/>
  <c r="N8419" i="13" s="1"/>
  <c r="O8420" i="13" l="1"/>
  <c r="N8420" i="13" s="1"/>
  <c r="O8421" i="13" l="1"/>
  <c r="N8421" i="13" s="1"/>
  <c r="O8422" i="13" l="1"/>
  <c r="N8422" i="13" s="1"/>
  <c r="O8423" i="13" l="1"/>
  <c r="N8423" i="13" s="1"/>
  <c r="O8424" i="13" l="1"/>
  <c r="N8424" i="13" s="1"/>
  <c r="O8425" i="13" l="1"/>
  <c r="N8425" i="13" s="1"/>
  <c r="O8426" i="13" l="1"/>
  <c r="N8426" i="13" s="1"/>
  <c r="O8427" i="13" l="1"/>
  <c r="N8427" i="13" s="1"/>
  <c r="O8428" i="13" l="1"/>
  <c r="N8428" i="13" s="1"/>
  <c r="O8429" i="13" l="1"/>
  <c r="N8429" i="13" s="1"/>
  <c r="O8430" i="13" l="1"/>
  <c r="N8430" i="13" s="1"/>
  <c r="O8431" i="13" l="1"/>
  <c r="N8431" i="13" s="1"/>
  <c r="O8432" i="13" l="1"/>
  <c r="N8432" i="13" s="1"/>
  <c r="O8433" i="13" l="1"/>
  <c r="N8433" i="13" s="1"/>
  <c r="O8434" i="13" l="1"/>
  <c r="N8434" i="13" s="1"/>
  <c r="O8435" i="13" l="1"/>
  <c r="N8435" i="13" s="1"/>
  <c r="O8436" i="13" l="1"/>
  <c r="N8436" i="13" s="1"/>
  <c r="O8437" i="13" l="1"/>
  <c r="N8437" i="13" s="1"/>
  <c r="O8438" i="13" l="1"/>
  <c r="N8438" i="13" s="1"/>
  <c r="O8439" i="13" l="1"/>
  <c r="N8439" i="13" s="1"/>
  <c r="O8440" i="13" l="1"/>
  <c r="N8440" i="13" s="1"/>
  <c r="O8441" i="13" l="1"/>
  <c r="N8441" i="13" s="1"/>
  <c r="O8442" i="13" l="1"/>
  <c r="N8442" i="13" s="1"/>
  <c r="O8443" i="13" l="1"/>
  <c r="N8443" i="13" s="1"/>
  <c r="O8444" i="13" l="1"/>
  <c r="N8444" i="13" s="1"/>
  <c r="O8445" i="13" l="1"/>
  <c r="N8445" i="13" s="1"/>
  <c r="O8446" i="13" l="1"/>
  <c r="N8446" i="13" s="1"/>
  <c r="O8447" i="13" l="1"/>
  <c r="N8447" i="13" s="1"/>
  <c r="O8448" i="13" l="1"/>
  <c r="N8448" i="13" s="1"/>
  <c r="O8449" i="13" l="1"/>
  <c r="N8449" i="13" s="1"/>
  <c r="O8450" i="13" l="1"/>
  <c r="N8450" i="13" s="1"/>
  <c r="O8451" i="13" l="1"/>
  <c r="N8451" i="13" s="1"/>
  <c r="O8452" i="13" l="1"/>
  <c r="N8452" i="13" s="1"/>
  <c r="O8453" i="13" l="1"/>
  <c r="N8453" i="13" s="1"/>
  <c r="O8454" i="13" l="1"/>
  <c r="N8454" i="13" s="1"/>
  <c r="O8455" i="13" l="1"/>
  <c r="N8455" i="13" s="1"/>
  <c r="O8456" i="13" l="1"/>
  <c r="N8456" i="13" s="1"/>
  <c r="O8457" i="13" l="1"/>
  <c r="N8457" i="13" s="1"/>
  <c r="O8458" i="13" l="1"/>
  <c r="N8458" i="13" s="1"/>
  <c r="O8459" i="13" l="1"/>
  <c r="N8459" i="13" s="1"/>
  <c r="O8460" i="13" l="1"/>
  <c r="N8460" i="13" s="1"/>
  <c r="O8461" i="13" l="1"/>
  <c r="N8461" i="13" s="1"/>
  <c r="O8462" i="13" l="1"/>
  <c r="N8462" i="13" s="1"/>
  <c r="O8463" i="13" l="1"/>
  <c r="N8463" i="13" s="1"/>
  <c r="O8464" i="13" l="1"/>
  <c r="N8464" i="13" s="1"/>
  <c r="O8465" i="13" l="1"/>
  <c r="N8465" i="13" s="1"/>
  <c r="O8466" i="13" l="1"/>
  <c r="N8466" i="13" s="1"/>
  <c r="O8467" i="13" l="1"/>
  <c r="N8467" i="13" s="1"/>
  <c r="O8468" i="13" l="1"/>
  <c r="N8468" i="13" s="1"/>
  <c r="O8469" i="13" l="1"/>
  <c r="N8469" i="13" s="1"/>
  <c r="O8470" i="13" l="1"/>
  <c r="N8470" i="13" s="1"/>
  <c r="O8471" i="13" l="1"/>
  <c r="N8471" i="13" s="1"/>
  <c r="O8472" i="13" l="1"/>
  <c r="N8472" i="13" s="1"/>
  <c r="O8473" i="13" l="1"/>
  <c r="N8473" i="13" s="1"/>
  <c r="O8474" i="13" l="1"/>
  <c r="N8474" i="13" s="1"/>
  <c r="O8475" i="13" l="1"/>
  <c r="N8475" i="13" s="1"/>
  <c r="O8476" i="13" l="1"/>
  <c r="N8476" i="13" s="1"/>
  <c r="O8477" i="13" l="1"/>
  <c r="N8477" i="13" s="1"/>
  <c r="O8478" i="13" l="1"/>
  <c r="N8478" i="13" s="1"/>
  <c r="O8479" i="13" l="1"/>
  <c r="N8479" i="13" s="1"/>
  <c r="O8480" i="13" l="1"/>
  <c r="N8480" i="13" s="1"/>
  <c r="O8481" i="13" l="1"/>
  <c r="N8481" i="13" s="1"/>
  <c r="O8482" i="13" l="1"/>
  <c r="N8482" i="13" s="1"/>
  <c r="O8483" i="13" l="1"/>
  <c r="N8483" i="13" s="1"/>
  <c r="O8484" i="13" l="1"/>
  <c r="N8484" i="13" s="1"/>
  <c r="O8485" i="13" l="1"/>
  <c r="N8485" i="13" s="1"/>
  <c r="O8486" i="13" l="1"/>
  <c r="N8486" i="13" s="1"/>
  <c r="O8487" i="13" l="1"/>
  <c r="N8487" i="13" s="1"/>
  <c r="O8488" i="13" l="1"/>
  <c r="N8488" i="13" s="1"/>
  <c r="O8489" i="13" l="1"/>
  <c r="N8489" i="13" s="1"/>
  <c r="O8490" i="13" l="1"/>
  <c r="N8490" i="13" s="1"/>
  <c r="O8491" i="13" l="1"/>
  <c r="N8491" i="13" s="1"/>
  <c r="O8492" i="13" l="1"/>
  <c r="N8492" i="13" s="1"/>
  <c r="O8493" i="13" l="1"/>
  <c r="N8493" i="13" s="1"/>
  <c r="O8494" i="13" l="1"/>
  <c r="N8494" i="13" s="1"/>
  <c r="O8495" i="13" l="1"/>
  <c r="N8495" i="13" s="1"/>
  <c r="O8496" i="13" l="1"/>
  <c r="N8496" i="13" s="1"/>
  <c r="O8497" i="13" l="1"/>
  <c r="N8497" i="13" s="1"/>
  <c r="O8498" i="13" l="1"/>
  <c r="N8498" i="13" s="1"/>
  <c r="O8499" i="13" l="1"/>
  <c r="N8499" i="13" s="1"/>
  <c r="O8500" i="13" l="1"/>
  <c r="N8500" i="13" s="1"/>
  <c r="O8501" i="13" l="1"/>
  <c r="N8501" i="13" s="1"/>
  <c r="O8502" i="13" l="1"/>
  <c r="N8502" i="13" s="1"/>
  <c r="O8503" i="13" l="1"/>
  <c r="N8503" i="13" s="1"/>
  <c r="O8504" i="13" l="1"/>
  <c r="N8504" i="13" s="1"/>
  <c r="O8505" i="13" l="1"/>
  <c r="N8505" i="13" s="1"/>
  <c r="O8506" i="13" l="1"/>
  <c r="N8506" i="13" s="1"/>
  <c r="O8507" i="13" l="1"/>
  <c r="N8507" i="13" s="1"/>
  <c r="O8508" i="13" l="1"/>
  <c r="N8508" i="13" s="1"/>
  <c r="O8509" i="13" l="1"/>
  <c r="N8509" i="13" s="1"/>
  <c r="O8510" i="13" l="1"/>
  <c r="N8510" i="13" s="1"/>
  <c r="O8511" i="13" l="1"/>
  <c r="N8511" i="13" s="1"/>
  <c r="O8512" i="13" l="1"/>
  <c r="N8512" i="13" s="1"/>
  <c r="O8513" i="13" l="1"/>
  <c r="N8513" i="13" s="1"/>
  <c r="O8514" i="13" l="1"/>
  <c r="N8514" i="13" s="1"/>
  <c r="O8515" i="13" l="1"/>
  <c r="N8515" i="13" s="1"/>
  <c r="O8516" i="13" l="1"/>
  <c r="N8516" i="13" s="1"/>
  <c r="O8517" i="13" l="1"/>
  <c r="N8517" i="13" s="1"/>
  <c r="O8518" i="13" l="1"/>
  <c r="N8518" i="13" s="1"/>
  <c r="O8519" i="13" l="1"/>
  <c r="N8519" i="13" s="1"/>
  <c r="O8520" i="13" l="1"/>
  <c r="N8520" i="13" s="1"/>
  <c r="O8521" i="13" l="1"/>
  <c r="N8521" i="13" s="1"/>
  <c r="O8522" i="13" l="1"/>
  <c r="N8522" i="13" s="1"/>
  <c r="O8523" i="13" l="1"/>
  <c r="N8523" i="13" s="1"/>
  <c r="O8524" i="13" l="1"/>
  <c r="N8524" i="13" s="1"/>
  <c r="O8525" i="13" l="1"/>
  <c r="N8525" i="13" s="1"/>
  <c r="O8526" i="13" l="1"/>
  <c r="N8526" i="13" s="1"/>
  <c r="O8527" i="13" l="1"/>
  <c r="N8527" i="13" s="1"/>
  <c r="O8528" i="13" l="1"/>
  <c r="N8528" i="13" s="1"/>
  <c r="O8529" i="13" l="1"/>
  <c r="N8529" i="13" s="1"/>
  <c r="O8530" i="13" l="1"/>
  <c r="N8530" i="13" s="1"/>
  <c r="O8531" i="13" l="1"/>
  <c r="N8531" i="13" s="1"/>
  <c r="O8532" i="13" l="1"/>
  <c r="N8532" i="13" s="1"/>
  <c r="O8533" i="13" l="1"/>
  <c r="N8533" i="13" s="1"/>
  <c r="O8534" i="13" l="1"/>
  <c r="N8534" i="13" s="1"/>
  <c r="O8535" i="13" l="1"/>
  <c r="N8535" i="13" s="1"/>
  <c r="O8536" i="13" l="1"/>
  <c r="N8536" i="13" s="1"/>
  <c r="O8537" i="13" l="1"/>
  <c r="N8537" i="13" s="1"/>
  <c r="O8538" i="13" l="1"/>
  <c r="N8538" i="13" s="1"/>
  <c r="O8539" i="13" l="1"/>
  <c r="N8539" i="13" s="1"/>
  <c r="O8540" i="13" l="1"/>
  <c r="N8540" i="13" s="1"/>
  <c r="O8541" i="13" l="1"/>
  <c r="N8541" i="13" s="1"/>
  <c r="O8542" i="13" l="1"/>
  <c r="N8542" i="13" s="1"/>
  <c r="O8543" i="13" l="1"/>
  <c r="N8543" i="13" s="1"/>
  <c r="O8544" i="13" l="1"/>
  <c r="N8544" i="13" s="1"/>
  <c r="O8545" i="13" l="1"/>
  <c r="N8545" i="13" s="1"/>
  <c r="O8546" i="13" l="1"/>
  <c r="N8546" i="13" s="1"/>
  <c r="O8547" i="13" l="1"/>
  <c r="N8547" i="13" s="1"/>
  <c r="O8548" i="13" l="1"/>
  <c r="N8548" i="13" s="1"/>
  <c r="O8549" i="13" l="1"/>
  <c r="N8549" i="13" s="1"/>
  <c r="O8550" i="13" l="1"/>
  <c r="N8550" i="13" s="1"/>
  <c r="O8551" i="13" l="1"/>
  <c r="N8551" i="13" s="1"/>
  <c r="O8552" i="13" l="1"/>
  <c r="N8552" i="13" s="1"/>
  <c r="O8553" i="13" l="1"/>
  <c r="N8553" i="13" s="1"/>
  <c r="O8554" i="13" l="1"/>
  <c r="N8554" i="13" s="1"/>
  <c r="O8555" i="13" l="1"/>
  <c r="N8555" i="13" s="1"/>
  <c r="O8556" i="13" l="1"/>
  <c r="N8556" i="13" s="1"/>
  <c r="O8557" i="13" l="1"/>
  <c r="N8557" i="13" s="1"/>
  <c r="O8558" i="13" l="1"/>
  <c r="N8558" i="13" s="1"/>
  <c r="O8559" i="13" l="1"/>
  <c r="N8559" i="13" s="1"/>
  <c r="O8560" i="13" l="1"/>
  <c r="N8560" i="13" s="1"/>
  <c r="O8561" i="13" l="1"/>
  <c r="N8561" i="13" s="1"/>
  <c r="O8562" i="13" l="1"/>
  <c r="N8562" i="13" s="1"/>
  <c r="O8563" i="13" l="1"/>
  <c r="N8563" i="13" s="1"/>
  <c r="O8564" i="13" l="1"/>
  <c r="N8564" i="13" s="1"/>
  <c r="O8565" i="13" l="1"/>
  <c r="N8565" i="13" s="1"/>
  <c r="O8566" i="13" l="1"/>
  <c r="N8566" i="13" s="1"/>
  <c r="O8567" i="13" l="1"/>
  <c r="N8567" i="13" s="1"/>
  <c r="O8568" i="13" l="1"/>
  <c r="N8568" i="13" s="1"/>
  <c r="O8569" i="13" l="1"/>
  <c r="N8569" i="13" s="1"/>
  <c r="O8570" i="13" l="1"/>
  <c r="N8570" i="13" s="1"/>
  <c r="O8571" i="13" l="1"/>
  <c r="N8571" i="13" s="1"/>
  <c r="O8572" i="13" l="1"/>
  <c r="N8572" i="13" s="1"/>
  <c r="O8573" i="13" l="1"/>
  <c r="N8573" i="13" s="1"/>
  <c r="O8574" i="13" l="1"/>
  <c r="N8574" i="13" s="1"/>
  <c r="O8575" i="13" l="1"/>
  <c r="N8575" i="13" s="1"/>
  <c r="O8576" i="13" l="1"/>
  <c r="N8576" i="13" s="1"/>
  <c r="O8577" i="13" l="1"/>
  <c r="N8577" i="13" s="1"/>
  <c r="O8578" i="13" l="1"/>
  <c r="N8578" i="13" s="1"/>
  <c r="O8579" i="13" l="1"/>
  <c r="N8579" i="13" s="1"/>
  <c r="O8580" i="13" l="1"/>
  <c r="N8580" i="13" s="1"/>
  <c r="O8581" i="13" l="1"/>
  <c r="N8581" i="13" s="1"/>
  <c r="O8582" i="13" l="1"/>
  <c r="N8582" i="13" s="1"/>
  <c r="O8583" i="13" l="1"/>
  <c r="N8583" i="13" s="1"/>
  <c r="O8584" i="13" l="1"/>
  <c r="N8584" i="13" s="1"/>
  <c r="O8585" i="13" l="1"/>
  <c r="N8585" i="13" s="1"/>
  <c r="O8586" i="13" l="1"/>
  <c r="N8586" i="13" s="1"/>
  <c r="O8587" i="13" l="1"/>
  <c r="N8587" i="13" s="1"/>
  <c r="O8588" i="13" l="1"/>
  <c r="N8588" i="13" s="1"/>
  <c r="O8589" i="13" l="1"/>
  <c r="N8589" i="13" s="1"/>
  <c r="O8590" i="13" l="1"/>
  <c r="N8590" i="13" s="1"/>
  <c r="O8591" i="13" l="1"/>
  <c r="N8591" i="13" s="1"/>
  <c r="O8592" i="13" l="1"/>
  <c r="N8592" i="13" s="1"/>
  <c r="O8593" i="13" l="1"/>
  <c r="N8593" i="13" s="1"/>
  <c r="O8594" i="13" l="1"/>
  <c r="N8594" i="13" s="1"/>
  <c r="O8595" i="13" l="1"/>
  <c r="N8595" i="13" s="1"/>
  <c r="O8596" i="13" l="1"/>
  <c r="N8596" i="13" s="1"/>
  <c r="O8597" i="13" l="1"/>
  <c r="N8597" i="13" s="1"/>
  <c r="O8598" i="13" l="1"/>
  <c r="N8598" i="13" s="1"/>
  <c r="O8599" i="13" l="1"/>
  <c r="N8599" i="13" s="1"/>
  <c r="O8600" i="13" l="1"/>
  <c r="N8600" i="13" s="1"/>
  <c r="O8601" i="13" l="1"/>
  <c r="N8601" i="13" s="1"/>
  <c r="O8602" i="13" l="1"/>
  <c r="N8602" i="13" s="1"/>
  <c r="O8603" i="13" l="1"/>
  <c r="N8603" i="13" s="1"/>
  <c r="O8604" i="13" l="1"/>
  <c r="N8604" i="13" s="1"/>
  <c r="O8605" i="13" l="1"/>
  <c r="N8605" i="13" s="1"/>
  <c r="O8606" i="13" l="1"/>
  <c r="N8606" i="13" s="1"/>
  <c r="O8607" i="13" l="1"/>
  <c r="N8607" i="13" s="1"/>
  <c r="O8608" i="13" l="1"/>
  <c r="N8608" i="13" s="1"/>
  <c r="O8609" i="13" l="1"/>
  <c r="N8609" i="13" s="1"/>
  <c r="O8610" i="13" l="1"/>
  <c r="N8610" i="13" s="1"/>
  <c r="O8611" i="13" l="1"/>
  <c r="N8611" i="13" s="1"/>
  <c r="O8612" i="13" l="1"/>
  <c r="N8612" i="13" s="1"/>
  <c r="O8613" i="13" l="1"/>
  <c r="N8613" i="13" s="1"/>
  <c r="O8614" i="13" l="1"/>
  <c r="N8614" i="13" s="1"/>
  <c r="O8615" i="13" l="1"/>
  <c r="N8615" i="13" s="1"/>
  <c r="O8616" i="13" l="1"/>
  <c r="N8616" i="13" s="1"/>
  <c r="O8617" i="13" l="1"/>
  <c r="N8617" i="13" s="1"/>
  <c r="O8618" i="13" l="1"/>
  <c r="N8618" i="13" s="1"/>
  <c r="O8619" i="13" l="1"/>
  <c r="N8619" i="13" s="1"/>
  <c r="O8620" i="13" l="1"/>
  <c r="N8620" i="13" s="1"/>
  <c r="O8621" i="13" l="1"/>
  <c r="N8621" i="13" s="1"/>
  <c r="O8622" i="13" l="1"/>
  <c r="N8622" i="13" s="1"/>
  <c r="O8623" i="13" l="1"/>
  <c r="N8623" i="13" s="1"/>
  <c r="O8624" i="13" l="1"/>
  <c r="N8624" i="13" s="1"/>
  <c r="O8625" i="13" l="1"/>
  <c r="N8625" i="13" s="1"/>
  <c r="O8626" i="13" l="1"/>
  <c r="N8626" i="13" s="1"/>
  <c r="O8627" i="13" l="1"/>
  <c r="N8627" i="13" s="1"/>
  <c r="O8628" i="13" l="1"/>
  <c r="N8628" i="13" s="1"/>
  <c r="O8629" i="13" l="1"/>
  <c r="N8629" i="13" s="1"/>
  <c r="O8630" i="13" l="1"/>
  <c r="N8630" i="13" s="1"/>
  <c r="O8631" i="13" l="1"/>
  <c r="N8631" i="13" s="1"/>
  <c r="O8632" i="13" l="1"/>
  <c r="N8632" i="13" s="1"/>
  <c r="O8633" i="13" l="1"/>
  <c r="N8633" i="13" s="1"/>
  <c r="O8634" i="13" l="1"/>
  <c r="N8634" i="13" s="1"/>
  <c r="O8635" i="13" l="1"/>
  <c r="N8635" i="13" s="1"/>
  <c r="O8636" i="13" l="1"/>
  <c r="N8636" i="13" s="1"/>
  <c r="O8637" i="13" l="1"/>
  <c r="N8637" i="13" s="1"/>
  <c r="O8638" i="13" l="1"/>
  <c r="N8638" i="13" s="1"/>
  <c r="O8639" i="13" l="1"/>
  <c r="N8639" i="13" s="1"/>
  <c r="O8640" i="13" l="1"/>
  <c r="N8640" i="13" s="1"/>
  <c r="O8641" i="13" l="1"/>
  <c r="N8641" i="13" s="1"/>
  <c r="O8642" i="13" l="1"/>
  <c r="N8642" i="13" s="1"/>
  <c r="O8643" i="13" l="1"/>
  <c r="N8643" i="13" s="1"/>
  <c r="O8644" i="13" l="1"/>
  <c r="N8644" i="13" s="1"/>
  <c r="O8645" i="13" l="1"/>
  <c r="N8645" i="13" s="1"/>
  <c r="O8646" i="13" l="1"/>
  <c r="N8646" i="13" s="1"/>
  <c r="O8647" i="13" l="1"/>
  <c r="N8647" i="13" s="1"/>
  <c r="O8648" i="13" l="1"/>
  <c r="N8648" i="13" s="1"/>
  <c r="O8649" i="13" l="1"/>
  <c r="N8649" i="13" s="1"/>
  <c r="O8650" i="13" l="1"/>
  <c r="N8650" i="13" s="1"/>
  <c r="O8651" i="13" l="1"/>
  <c r="N8651" i="13" s="1"/>
  <c r="O8652" i="13" l="1"/>
  <c r="N8652" i="13" s="1"/>
  <c r="O8653" i="13" l="1"/>
  <c r="N8653" i="13" s="1"/>
  <c r="O8654" i="13" l="1"/>
  <c r="N8654" i="13" s="1"/>
  <c r="O8655" i="13" l="1"/>
  <c r="N8655" i="13" s="1"/>
  <c r="O8656" i="13" l="1"/>
  <c r="N8656" i="13" s="1"/>
  <c r="O8657" i="13" l="1"/>
  <c r="N8657" i="13" s="1"/>
  <c r="O8658" i="13" l="1"/>
  <c r="N8658" i="13" s="1"/>
  <c r="O8659" i="13" l="1"/>
  <c r="N8659" i="13" s="1"/>
  <c r="O8660" i="13" l="1"/>
  <c r="N8660" i="13" s="1"/>
  <c r="O8661" i="13" l="1"/>
  <c r="N8661" i="13" s="1"/>
  <c r="O8662" i="13" l="1"/>
  <c r="N8662" i="13" s="1"/>
  <c r="O8663" i="13" l="1"/>
  <c r="N8663" i="13" s="1"/>
  <c r="O8664" i="13" l="1"/>
  <c r="N8664" i="13" s="1"/>
  <c r="O8665" i="13" l="1"/>
  <c r="N8665" i="13" s="1"/>
  <c r="O8666" i="13" l="1"/>
  <c r="N8666" i="13" s="1"/>
  <c r="O8667" i="13" l="1"/>
  <c r="N8667" i="13" s="1"/>
  <c r="O8668" i="13" l="1"/>
  <c r="N8668" i="13" s="1"/>
  <c r="O8669" i="13" l="1"/>
  <c r="N8669" i="13" s="1"/>
  <c r="O8670" i="13" l="1"/>
  <c r="N8670" i="13" s="1"/>
  <c r="O8671" i="13" l="1"/>
  <c r="N8671" i="13" s="1"/>
  <c r="O8672" i="13" l="1"/>
  <c r="N8672" i="13" s="1"/>
  <c r="O8673" i="13" l="1"/>
  <c r="N8673" i="13" s="1"/>
  <c r="O8674" i="13" l="1"/>
  <c r="N8674" i="13" s="1"/>
  <c r="O8675" i="13" l="1"/>
  <c r="N8675" i="13" s="1"/>
  <c r="O8676" i="13" l="1"/>
  <c r="N8676" i="13" s="1"/>
  <c r="O8677" i="13" l="1"/>
  <c r="N8677" i="13" s="1"/>
  <c r="O8678" i="13" l="1"/>
  <c r="N8678" i="13" s="1"/>
  <c r="O8679" i="13" l="1"/>
  <c r="N8679" i="13" s="1"/>
  <c r="O8680" i="13" l="1"/>
  <c r="N8680" i="13" s="1"/>
  <c r="O8681" i="13" l="1"/>
  <c r="N8681" i="13" s="1"/>
  <c r="O8682" i="13" l="1"/>
  <c r="N8682" i="13" s="1"/>
  <c r="O8683" i="13" l="1"/>
  <c r="N8683" i="13" s="1"/>
  <c r="O8684" i="13" l="1"/>
  <c r="N8684" i="13" s="1"/>
  <c r="O8685" i="13" l="1"/>
  <c r="N8685" i="13" s="1"/>
  <c r="O8686" i="13" l="1"/>
  <c r="N8686" i="13" s="1"/>
  <c r="O8687" i="13" l="1"/>
  <c r="N8687" i="13" s="1"/>
  <c r="O8688" i="13" l="1"/>
  <c r="N8688" i="13" s="1"/>
  <c r="O8689" i="13" l="1"/>
  <c r="N8689" i="13" s="1"/>
  <c r="O8690" i="13" l="1"/>
  <c r="N8690" i="13" s="1"/>
  <c r="O8691" i="13" l="1"/>
  <c r="N8691" i="13" s="1"/>
  <c r="O8692" i="13" l="1"/>
  <c r="N8692" i="13" s="1"/>
  <c r="O8693" i="13" l="1"/>
  <c r="N8693" i="13" s="1"/>
  <c r="O8694" i="13" l="1"/>
  <c r="N8694" i="13" s="1"/>
  <c r="O8695" i="13" l="1"/>
  <c r="N8695" i="13" s="1"/>
  <c r="O8696" i="13" l="1"/>
  <c r="N8696" i="13" s="1"/>
  <c r="O8697" i="13" l="1"/>
  <c r="N8697" i="13" s="1"/>
  <c r="O8698" i="13" l="1"/>
  <c r="N8698" i="13" s="1"/>
  <c r="O8699" i="13" l="1"/>
  <c r="N8699" i="13" s="1"/>
  <c r="O8700" i="13" l="1"/>
  <c r="N8700" i="13" s="1"/>
  <c r="O8701" i="13" l="1"/>
  <c r="N8701" i="13" s="1"/>
  <c r="O8702" i="13" l="1"/>
  <c r="N8702" i="13" s="1"/>
  <c r="O8703" i="13" l="1"/>
  <c r="N8703" i="13" s="1"/>
  <c r="O8704" i="13" l="1"/>
  <c r="N8704" i="13" s="1"/>
  <c r="O8705" i="13" l="1"/>
  <c r="N8705" i="13" s="1"/>
  <c r="O8706" i="13" l="1"/>
  <c r="N8706" i="13" s="1"/>
  <c r="O8707" i="13" l="1"/>
  <c r="N8707" i="13" s="1"/>
  <c r="O8708" i="13" l="1"/>
  <c r="N8708" i="13" s="1"/>
  <c r="O8709" i="13" l="1"/>
  <c r="N8709" i="13" s="1"/>
  <c r="O8710" i="13" l="1"/>
  <c r="N8710" i="13" s="1"/>
  <c r="O8711" i="13" l="1"/>
  <c r="N8711" i="13" s="1"/>
  <c r="O8712" i="13" l="1"/>
  <c r="N8712" i="13" s="1"/>
  <c r="O8713" i="13" l="1"/>
  <c r="N8713" i="13" s="1"/>
  <c r="O8714" i="13" l="1"/>
  <c r="N8714" i="13" s="1"/>
  <c r="O8715" i="13" l="1"/>
  <c r="N8715" i="13" s="1"/>
  <c r="O8716" i="13" l="1"/>
  <c r="N8716" i="13" s="1"/>
  <c r="O8717" i="13" l="1"/>
  <c r="N8717" i="13" s="1"/>
  <c r="O8718" i="13" l="1"/>
  <c r="N8718" i="13" s="1"/>
  <c r="O8719" i="13" l="1"/>
  <c r="N8719" i="13" s="1"/>
  <c r="O8720" i="13" l="1"/>
  <c r="N8720" i="13" s="1"/>
  <c r="O8721" i="13" l="1"/>
  <c r="N8721" i="13" s="1"/>
  <c r="O8722" i="13" l="1"/>
  <c r="N8722" i="13" s="1"/>
  <c r="O8723" i="13" l="1"/>
  <c r="N8723" i="13" s="1"/>
  <c r="O8724" i="13" l="1"/>
  <c r="N8724" i="13" s="1"/>
  <c r="O8725" i="13" l="1"/>
  <c r="N8725" i="13" s="1"/>
  <c r="O8726" i="13" l="1"/>
  <c r="N8726" i="13" s="1"/>
  <c r="O8727" i="13" l="1"/>
  <c r="N8727" i="13" s="1"/>
  <c r="O8728" i="13" l="1"/>
  <c r="N8728" i="13" s="1"/>
  <c r="O8729" i="13" l="1"/>
  <c r="N8729" i="13" s="1"/>
  <c r="O8730" i="13" l="1"/>
  <c r="N8730" i="13" s="1"/>
  <c r="O8731" i="13" l="1"/>
  <c r="N8731" i="13" s="1"/>
  <c r="O8732" i="13" l="1"/>
  <c r="N8732" i="13" s="1"/>
  <c r="O8733" i="13" l="1"/>
  <c r="N8733" i="13" s="1"/>
  <c r="O8734" i="13" l="1"/>
  <c r="N8734" i="13" s="1"/>
  <c r="O8735" i="13" l="1"/>
  <c r="N8735" i="13" s="1"/>
  <c r="O8736" i="13" l="1"/>
  <c r="N8736" i="13" s="1"/>
  <c r="O8737" i="13" l="1"/>
  <c r="N8737" i="13" s="1"/>
  <c r="O8738" i="13" l="1"/>
  <c r="N8738" i="13" s="1"/>
  <c r="O8739" i="13" l="1"/>
  <c r="N8739" i="13" s="1"/>
  <c r="O8740" i="13" l="1"/>
  <c r="N8740" i="13" s="1"/>
  <c r="O8741" i="13" l="1"/>
  <c r="N8741" i="13" s="1"/>
  <c r="O8742" i="13" l="1"/>
  <c r="N8742" i="13" s="1"/>
  <c r="O8743" i="13" l="1"/>
  <c r="N8743" i="13" s="1"/>
  <c r="O8744" i="13" l="1"/>
  <c r="N8744" i="13" s="1"/>
  <c r="O8745" i="13" l="1"/>
  <c r="N8745" i="13" s="1"/>
  <c r="O8746" i="13" l="1"/>
  <c r="N8746" i="13" s="1"/>
  <c r="O8747" i="13" l="1"/>
  <c r="N8747" i="13" s="1"/>
  <c r="O8748" i="13" l="1"/>
  <c r="N8748" i="13" s="1"/>
  <c r="O8749" i="13" l="1"/>
  <c r="N8749" i="13" s="1"/>
  <c r="O8750" i="13" l="1"/>
  <c r="N8750" i="13" s="1"/>
  <c r="O8751" i="13" l="1"/>
  <c r="N8751" i="13" s="1"/>
  <c r="O8752" i="13" l="1"/>
  <c r="N8752" i="13" s="1"/>
  <c r="O8753" i="13" l="1"/>
  <c r="N8753" i="13" s="1"/>
  <c r="O8754" i="13" l="1"/>
  <c r="N8754" i="13" s="1"/>
  <c r="O8755" i="13" l="1"/>
  <c r="N8755" i="13" s="1"/>
  <c r="O8756" i="13" l="1"/>
  <c r="N8756" i="13" s="1"/>
  <c r="O8757" i="13" l="1"/>
  <c r="N8757" i="13" s="1"/>
  <c r="O8758" i="13" l="1"/>
  <c r="N8758" i="13" s="1"/>
  <c r="O8759" i="13" l="1"/>
  <c r="N8759" i="13" s="1"/>
  <c r="O8760" i="13" l="1"/>
  <c r="N8760" i="13" s="1"/>
  <c r="O8761" i="13" l="1"/>
  <c r="N8761" i="13" s="1"/>
  <c r="O8762" i="13" l="1"/>
  <c r="N8762" i="13" s="1"/>
  <c r="O8763" i="13" l="1"/>
  <c r="N8763" i="13" s="1"/>
  <c r="O8764" i="13" l="1"/>
  <c r="N8764" i="13" s="1"/>
  <c r="O8765" i="13" l="1"/>
  <c r="N8765" i="13" s="1"/>
  <c r="O8766" i="13" l="1"/>
  <c r="N8766" i="13" s="1"/>
  <c r="O8767" i="13" l="1"/>
  <c r="N8767" i="13" s="1"/>
  <c r="O8768" i="13" l="1"/>
  <c r="N8768" i="13" s="1"/>
  <c r="O8769" i="13" l="1"/>
  <c r="N8769" i="13" s="1"/>
  <c r="O8770" i="13" l="1"/>
  <c r="N8770" i="13" s="1"/>
  <c r="O8771" i="13" l="1"/>
  <c r="N8771" i="13" s="1"/>
  <c r="O8772" i="13" l="1"/>
  <c r="N8772" i="13" s="1"/>
  <c r="O8773" i="13" l="1"/>
  <c r="N8773" i="13" s="1"/>
  <c r="O8774" i="13" l="1"/>
  <c r="N8774" i="13" s="1"/>
  <c r="O8775" i="13" l="1"/>
  <c r="N8775" i="13" s="1"/>
  <c r="O8776" i="13" l="1"/>
  <c r="N8776" i="13" s="1"/>
  <c r="O8777" i="13" l="1"/>
  <c r="N8777" i="13" s="1"/>
  <c r="O8778" i="13" l="1"/>
  <c r="N8778" i="13" s="1"/>
  <c r="O8779" i="13" l="1"/>
  <c r="N8779" i="13" s="1"/>
  <c r="O8780" i="13" l="1"/>
  <c r="N8780" i="13" s="1"/>
  <c r="O8781" i="13" l="1"/>
  <c r="N8781" i="13" s="1"/>
  <c r="O8782" i="13" l="1"/>
  <c r="N8782" i="13" s="1"/>
  <c r="O8783" i="13" l="1"/>
  <c r="N8783" i="13" s="1"/>
  <c r="O8784" i="13" l="1"/>
  <c r="N8784" i="13" s="1"/>
  <c r="O8785" i="13" l="1"/>
  <c r="N8785" i="13" s="1"/>
  <c r="O8786" i="13" l="1"/>
  <c r="N8786" i="13" s="1"/>
  <c r="O8787" i="13" l="1"/>
  <c r="N8787" i="13" s="1"/>
  <c r="O8788" i="13" l="1"/>
  <c r="N8788" i="13" s="1"/>
  <c r="O8789" i="13" l="1"/>
  <c r="N8789" i="13" s="1"/>
  <c r="O8790" i="13" l="1"/>
  <c r="N8790" i="13" s="1"/>
  <c r="O8791" i="13" l="1"/>
  <c r="N8791" i="13" s="1"/>
  <c r="O8792" i="13" l="1"/>
  <c r="N8792" i="13" s="1"/>
  <c r="O8793" i="13" l="1"/>
  <c r="N8793" i="13" s="1"/>
  <c r="O8794" i="13" l="1"/>
  <c r="N8794" i="13" s="1"/>
  <c r="O8795" i="13" l="1"/>
  <c r="N8795" i="13" s="1"/>
  <c r="O8796" i="13" l="1"/>
  <c r="N8796" i="13" s="1"/>
  <c r="O8797" i="13" l="1"/>
  <c r="N8797" i="13" s="1"/>
  <c r="O8798" i="13" l="1"/>
  <c r="N8798" i="13" s="1"/>
  <c r="O8799" i="13" l="1"/>
  <c r="N8799" i="13" s="1"/>
  <c r="O8800" i="13" l="1"/>
  <c r="N8800" i="13" s="1"/>
  <c r="O8801" i="13" l="1"/>
  <c r="N8801" i="13" s="1"/>
  <c r="O8802" i="13" l="1"/>
  <c r="N8802" i="13" s="1"/>
  <c r="O8803" i="13" l="1"/>
  <c r="N8803" i="13" s="1"/>
  <c r="O8804" i="13" l="1"/>
  <c r="N8804" i="13" s="1"/>
  <c r="O8805" i="13" l="1"/>
  <c r="N8805" i="13" s="1"/>
  <c r="O8806" i="13" l="1"/>
  <c r="N8806" i="13" s="1"/>
  <c r="O8807" i="13" l="1"/>
  <c r="N8807" i="13" s="1"/>
  <c r="O8808" i="13" l="1"/>
  <c r="N8808" i="13" s="1"/>
  <c r="O8809" i="13" l="1"/>
  <c r="N8809" i="13" s="1"/>
  <c r="O8810" i="13" l="1"/>
  <c r="N8810" i="13" s="1"/>
  <c r="O8811" i="13" l="1"/>
  <c r="N8811" i="13" s="1"/>
  <c r="O8812" i="13" l="1"/>
  <c r="N8812" i="13" s="1"/>
  <c r="O8813" i="13" l="1"/>
  <c r="N8813" i="13" s="1"/>
  <c r="O8814" i="13" l="1"/>
  <c r="N8814" i="13" s="1"/>
  <c r="O8815" i="13" l="1"/>
  <c r="N8815" i="13" s="1"/>
  <c r="O8816" i="13" l="1"/>
  <c r="N8816" i="13" s="1"/>
  <c r="O8817" i="13" l="1"/>
  <c r="N8817" i="13" s="1"/>
  <c r="O8818" i="13" l="1"/>
  <c r="N8818" i="13" s="1"/>
  <c r="O8819" i="13" l="1"/>
  <c r="N8819" i="13" s="1"/>
  <c r="O8820" i="13" l="1"/>
  <c r="N8820" i="13" s="1"/>
  <c r="O8821" i="13" l="1"/>
  <c r="N8821" i="13" s="1"/>
  <c r="O8822" i="13" l="1"/>
  <c r="N8822" i="13" s="1"/>
  <c r="O8823" i="13" l="1"/>
  <c r="N8823" i="13" s="1"/>
  <c r="O8824" i="13" l="1"/>
  <c r="N8824" i="13" s="1"/>
  <c r="O8825" i="13" l="1"/>
  <c r="N8825" i="13" s="1"/>
  <c r="O8826" i="13" l="1"/>
  <c r="N8826" i="13" s="1"/>
  <c r="O8827" i="13" l="1"/>
  <c r="N8827" i="13" s="1"/>
  <c r="O8828" i="13" l="1"/>
  <c r="N8828" i="13" s="1"/>
  <c r="O8829" i="13" l="1"/>
  <c r="N8829" i="13" s="1"/>
  <c r="O8830" i="13" l="1"/>
  <c r="N8830" i="13" s="1"/>
  <c r="O8831" i="13" l="1"/>
  <c r="N8831" i="13" s="1"/>
  <c r="O8832" i="13" l="1"/>
  <c r="N8832" i="13" s="1"/>
  <c r="O8833" i="13" l="1"/>
  <c r="N8833" i="13" s="1"/>
  <c r="O8834" i="13" l="1"/>
  <c r="N8834" i="13" s="1"/>
  <c r="O8835" i="13" l="1"/>
  <c r="N8835" i="13" s="1"/>
  <c r="O8836" i="13" l="1"/>
  <c r="N8836" i="13" s="1"/>
  <c r="O8837" i="13" l="1"/>
  <c r="N8837" i="13" s="1"/>
  <c r="O8838" i="13" l="1"/>
  <c r="N8838" i="13" s="1"/>
  <c r="O8839" i="13" l="1"/>
  <c r="N8839" i="13" s="1"/>
  <c r="O8840" i="13" l="1"/>
  <c r="N8840" i="13" s="1"/>
  <c r="O8841" i="13" l="1"/>
  <c r="N8841" i="13" s="1"/>
  <c r="O8842" i="13" l="1"/>
  <c r="N8842" i="13" s="1"/>
  <c r="O8843" i="13" l="1"/>
  <c r="N8843" i="13" s="1"/>
  <c r="O8844" i="13" l="1"/>
  <c r="N8844" i="13" s="1"/>
  <c r="O8845" i="13" l="1"/>
  <c r="N8845" i="13" s="1"/>
  <c r="O8846" i="13" l="1"/>
  <c r="N8846" i="13" s="1"/>
  <c r="O8847" i="13" l="1"/>
  <c r="N8847" i="13" s="1"/>
  <c r="O8848" i="13" l="1"/>
  <c r="N8848" i="13" s="1"/>
  <c r="O8849" i="13" l="1"/>
  <c r="N8849" i="13" s="1"/>
  <c r="O8850" i="13" l="1"/>
  <c r="N8850" i="13" s="1"/>
  <c r="O8851" i="13" l="1"/>
  <c r="N8851" i="13" s="1"/>
  <c r="O8852" i="13" l="1"/>
  <c r="N8852" i="13" s="1"/>
  <c r="O8853" i="13" l="1"/>
  <c r="N8853" i="13" s="1"/>
  <c r="O8854" i="13" l="1"/>
  <c r="N8854" i="13" s="1"/>
  <c r="O8855" i="13" l="1"/>
  <c r="N8855" i="13" s="1"/>
  <c r="O8856" i="13" l="1"/>
  <c r="N8856" i="13" s="1"/>
  <c r="O8857" i="13" l="1"/>
  <c r="N8857" i="13" s="1"/>
  <c r="O8858" i="13" l="1"/>
  <c r="N8858" i="13" s="1"/>
  <c r="O8859" i="13" l="1"/>
  <c r="N8859" i="13" s="1"/>
  <c r="O8860" i="13" l="1"/>
  <c r="N8860" i="13" s="1"/>
  <c r="O8861" i="13" l="1"/>
  <c r="N8861" i="13" s="1"/>
  <c r="O8862" i="13" l="1"/>
  <c r="N8862" i="13" s="1"/>
  <c r="O8863" i="13" l="1"/>
  <c r="N8863" i="13" s="1"/>
  <c r="O8864" i="13" l="1"/>
  <c r="N8864" i="13" s="1"/>
  <c r="O8865" i="13" l="1"/>
  <c r="N8865" i="13" s="1"/>
  <c r="O8866" i="13" l="1"/>
  <c r="N8866" i="13" s="1"/>
  <c r="O8867" i="13" l="1"/>
  <c r="N8867" i="13" s="1"/>
  <c r="O8868" i="13" l="1"/>
  <c r="N8868" i="13" s="1"/>
  <c r="O8869" i="13" l="1"/>
  <c r="N8869" i="13" s="1"/>
  <c r="O8870" i="13" l="1"/>
  <c r="N8870" i="13" s="1"/>
  <c r="O8871" i="13" l="1"/>
  <c r="N8871" i="13" s="1"/>
  <c r="O8872" i="13" l="1"/>
  <c r="N8872" i="13" s="1"/>
  <c r="O8873" i="13" l="1"/>
  <c r="N8873" i="13" s="1"/>
  <c r="O8874" i="13" l="1"/>
  <c r="N8874" i="13" s="1"/>
  <c r="O8875" i="13" l="1"/>
  <c r="N8875" i="13" s="1"/>
  <c r="O8876" i="13" l="1"/>
  <c r="N8876" i="13" s="1"/>
  <c r="O8877" i="13" l="1"/>
  <c r="N8877" i="13" s="1"/>
  <c r="O8878" i="13" l="1"/>
  <c r="N8878" i="13" s="1"/>
  <c r="O8879" i="13" l="1"/>
  <c r="N8879" i="13" s="1"/>
  <c r="O8880" i="13" l="1"/>
  <c r="N8880" i="13" s="1"/>
  <c r="O8881" i="13" l="1"/>
  <c r="N8881" i="13" s="1"/>
  <c r="O8882" i="13" l="1"/>
  <c r="N8882" i="13" s="1"/>
  <c r="O8883" i="13" l="1"/>
  <c r="N8883" i="13" s="1"/>
  <c r="O8884" i="13" l="1"/>
  <c r="N8884" i="13" s="1"/>
  <c r="O8885" i="13" l="1"/>
  <c r="N8885" i="13" s="1"/>
  <c r="O8886" i="13" l="1"/>
  <c r="N8886" i="13" s="1"/>
  <c r="O8887" i="13" l="1"/>
  <c r="N8887" i="13" s="1"/>
  <c r="O8888" i="13" l="1"/>
  <c r="N8888" i="13" s="1"/>
  <c r="O8889" i="13" l="1"/>
  <c r="N8889" i="13" s="1"/>
  <c r="O8890" i="13" l="1"/>
  <c r="N8890" i="13" s="1"/>
  <c r="O8891" i="13" l="1"/>
  <c r="N8891" i="13" s="1"/>
  <c r="O8892" i="13" l="1"/>
  <c r="N8892" i="13" s="1"/>
  <c r="O8893" i="13" l="1"/>
  <c r="N8893" i="13" s="1"/>
  <c r="O8894" i="13" l="1"/>
  <c r="N8894" i="13" s="1"/>
  <c r="O8895" i="13" l="1"/>
  <c r="N8895" i="13" s="1"/>
  <c r="O8896" i="13" l="1"/>
  <c r="N8896" i="13" s="1"/>
  <c r="O8897" i="13" l="1"/>
  <c r="N8897" i="13" s="1"/>
  <c r="O8898" i="13" l="1"/>
  <c r="N8898" i="13" s="1"/>
  <c r="O8899" i="13" l="1"/>
  <c r="N8899" i="13" s="1"/>
  <c r="O8900" i="13" l="1"/>
  <c r="N8900" i="13" s="1"/>
  <c r="O8901" i="13" l="1"/>
  <c r="N8901" i="13" s="1"/>
  <c r="O8902" i="13" l="1"/>
  <c r="N8902" i="13" s="1"/>
  <c r="O8903" i="13" l="1"/>
  <c r="N8903" i="13" s="1"/>
  <c r="O8904" i="13" l="1"/>
  <c r="N8904" i="13" s="1"/>
  <c r="O8905" i="13" l="1"/>
  <c r="N8905" i="13" s="1"/>
  <c r="O8906" i="13" l="1"/>
  <c r="N8906" i="13" s="1"/>
  <c r="O8907" i="13" l="1"/>
  <c r="N8907" i="13" s="1"/>
  <c r="O8908" i="13" l="1"/>
  <c r="N8908" i="13" s="1"/>
  <c r="O8909" i="13" l="1"/>
  <c r="N8909" i="13" s="1"/>
  <c r="O8910" i="13" l="1"/>
  <c r="N8910" i="13" s="1"/>
  <c r="O8911" i="13" l="1"/>
  <c r="N8911" i="13" s="1"/>
  <c r="O8912" i="13" l="1"/>
  <c r="N8912" i="13" s="1"/>
  <c r="O8913" i="13" l="1"/>
  <c r="N8913" i="13" s="1"/>
  <c r="O8914" i="13" l="1"/>
  <c r="N8914" i="13" s="1"/>
  <c r="O8915" i="13" l="1"/>
  <c r="N8915" i="13" s="1"/>
  <c r="O8916" i="13" l="1"/>
  <c r="N8916" i="13" s="1"/>
  <c r="O8917" i="13" l="1"/>
  <c r="N8917" i="13" s="1"/>
  <c r="O8918" i="13" l="1"/>
  <c r="N8918" i="13" s="1"/>
  <c r="O8919" i="13" l="1"/>
  <c r="N8919" i="13" s="1"/>
  <c r="O8920" i="13" l="1"/>
  <c r="N8920" i="13" s="1"/>
  <c r="O8921" i="13" l="1"/>
  <c r="N8921" i="13" s="1"/>
  <c r="O8922" i="13" l="1"/>
  <c r="N8922" i="13" s="1"/>
  <c r="O8923" i="13" l="1"/>
  <c r="N8923" i="13" s="1"/>
  <c r="O8924" i="13" l="1"/>
  <c r="N8924" i="13" s="1"/>
  <c r="O8925" i="13" l="1"/>
  <c r="N8925" i="13" s="1"/>
  <c r="O8926" i="13" l="1"/>
  <c r="N8926" i="13" s="1"/>
  <c r="O8927" i="13" l="1"/>
  <c r="N8927" i="13" s="1"/>
  <c r="O8928" i="13" l="1"/>
  <c r="N8928" i="13" s="1"/>
  <c r="O8929" i="13" l="1"/>
  <c r="N8929" i="13" s="1"/>
  <c r="O8930" i="13" l="1"/>
  <c r="N8930" i="13" s="1"/>
  <c r="O8931" i="13" l="1"/>
  <c r="N8931" i="13" s="1"/>
  <c r="O8932" i="13" l="1"/>
  <c r="N8932" i="13" s="1"/>
  <c r="O8933" i="13" l="1"/>
  <c r="N8933" i="13" s="1"/>
  <c r="O8934" i="13" l="1"/>
  <c r="N8934" i="13" s="1"/>
  <c r="O8935" i="13" l="1"/>
  <c r="N8935" i="13" s="1"/>
  <c r="O8936" i="13" l="1"/>
  <c r="N8936" i="13" s="1"/>
  <c r="O8937" i="13" l="1"/>
  <c r="N8937" i="13" s="1"/>
  <c r="O8938" i="13" l="1"/>
  <c r="N8938" i="13" s="1"/>
  <c r="O8939" i="13" l="1"/>
  <c r="N8939" i="13" s="1"/>
  <c r="O8940" i="13" l="1"/>
  <c r="N8940" i="13" s="1"/>
  <c r="O8941" i="13" l="1"/>
  <c r="N8941" i="13" s="1"/>
  <c r="O8942" i="13" l="1"/>
  <c r="N8942" i="13" s="1"/>
  <c r="O8943" i="13" l="1"/>
  <c r="N8943" i="13" s="1"/>
  <c r="O8944" i="13" l="1"/>
  <c r="N8944" i="13" s="1"/>
  <c r="O8945" i="13" l="1"/>
  <c r="N8945" i="13" s="1"/>
  <c r="O8946" i="13" l="1"/>
  <c r="N8946" i="13" s="1"/>
  <c r="O8947" i="13" l="1"/>
  <c r="N8947" i="13" s="1"/>
  <c r="O8948" i="13" l="1"/>
  <c r="N8948" i="13" s="1"/>
  <c r="O8949" i="13" l="1"/>
  <c r="N8949" i="13" s="1"/>
  <c r="O8950" i="13" l="1"/>
  <c r="N8950" i="13" s="1"/>
  <c r="O8951" i="13" l="1"/>
  <c r="N8951" i="13" s="1"/>
  <c r="O8952" i="13" l="1"/>
  <c r="N8952" i="13" s="1"/>
  <c r="O8953" i="13" l="1"/>
  <c r="N8953" i="13" s="1"/>
  <c r="O8954" i="13" l="1"/>
  <c r="N8954" i="13" s="1"/>
  <c r="O8955" i="13" l="1"/>
  <c r="N8955" i="13" s="1"/>
  <c r="O8956" i="13" l="1"/>
  <c r="N8956" i="13" s="1"/>
  <c r="O8957" i="13" l="1"/>
  <c r="N8957" i="13" s="1"/>
  <c r="O8958" i="13" l="1"/>
  <c r="N8958" i="13" s="1"/>
  <c r="O8959" i="13" l="1"/>
  <c r="N8959" i="13" s="1"/>
  <c r="O8960" i="13" l="1"/>
  <c r="N8960" i="13" s="1"/>
  <c r="O8961" i="13" l="1"/>
  <c r="N8961" i="13" s="1"/>
  <c r="O8962" i="13" l="1"/>
  <c r="N8962" i="13" s="1"/>
  <c r="O8963" i="13" l="1"/>
  <c r="N8963" i="13" s="1"/>
  <c r="O8964" i="13" l="1"/>
  <c r="N8964" i="13" s="1"/>
  <c r="O8965" i="13" l="1"/>
  <c r="N8965" i="13" s="1"/>
  <c r="O8966" i="13" l="1"/>
  <c r="N8966" i="13" s="1"/>
  <c r="O8967" i="13" l="1"/>
  <c r="N8967" i="13" s="1"/>
  <c r="O8968" i="13" l="1"/>
  <c r="N8968" i="13" s="1"/>
  <c r="O8969" i="13" l="1"/>
  <c r="N8969" i="13" s="1"/>
  <c r="O8970" i="13" l="1"/>
  <c r="N8970" i="13" s="1"/>
  <c r="O8971" i="13" l="1"/>
  <c r="N8971" i="13" s="1"/>
  <c r="O8972" i="13" l="1"/>
  <c r="N8972" i="13" s="1"/>
  <c r="O8973" i="13" l="1"/>
  <c r="N8973" i="13" s="1"/>
  <c r="O8974" i="13" l="1"/>
  <c r="N8974" i="13" s="1"/>
  <c r="O8975" i="13" l="1"/>
  <c r="N8975" i="13" s="1"/>
  <c r="O8976" i="13" l="1"/>
  <c r="N8976" i="13" s="1"/>
  <c r="O8977" i="13" l="1"/>
  <c r="N8977" i="13" s="1"/>
  <c r="O8978" i="13" l="1"/>
  <c r="N8978" i="13" s="1"/>
  <c r="O8979" i="13" l="1"/>
  <c r="N8979" i="13" s="1"/>
  <c r="O8980" i="13" l="1"/>
  <c r="N8980" i="13" s="1"/>
  <c r="O8981" i="13" l="1"/>
  <c r="N8981" i="13" s="1"/>
  <c r="O8982" i="13" l="1"/>
  <c r="N8982" i="13" s="1"/>
  <c r="O8983" i="13" l="1"/>
  <c r="N8983" i="13" s="1"/>
  <c r="O8984" i="13" l="1"/>
  <c r="N8984" i="13" s="1"/>
  <c r="O8985" i="13" l="1"/>
  <c r="N8985" i="13" s="1"/>
  <c r="O8986" i="13" l="1"/>
  <c r="N8986" i="13" s="1"/>
  <c r="O8987" i="13" l="1"/>
  <c r="N8987" i="13" s="1"/>
  <c r="O8988" i="13" l="1"/>
  <c r="N8988" i="13" s="1"/>
  <c r="O8989" i="13" l="1"/>
  <c r="N8989" i="13" s="1"/>
  <c r="O8990" i="13" l="1"/>
  <c r="N8990" i="13" s="1"/>
  <c r="O8991" i="13" l="1"/>
  <c r="N8991" i="13" s="1"/>
  <c r="O8992" i="13" l="1"/>
  <c r="N8992" i="13" s="1"/>
  <c r="O8993" i="13" l="1"/>
  <c r="N8993" i="13" s="1"/>
  <c r="O8994" i="13" l="1"/>
  <c r="N8994" i="13" s="1"/>
  <c r="O8995" i="13" l="1"/>
  <c r="N8995" i="13" s="1"/>
  <c r="O8996" i="13" l="1"/>
  <c r="N8996" i="13" s="1"/>
  <c r="O8997" i="13" l="1"/>
  <c r="N8997" i="13" s="1"/>
  <c r="O8998" i="13" l="1"/>
  <c r="N8998" i="13" s="1"/>
  <c r="O8999" i="13" l="1"/>
  <c r="N8999" i="13" s="1"/>
  <c r="O9000" i="13" l="1"/>
  <c r="N9000" i="13" s="1"/>
  <c r="O9001" i="13" l="1"/>
  <c r="N9001" i="13" s="1"/>
  <c r="O9002" i="13" l="1"/>
  <c r="N9002" i="13" s="1"/>
  <c r="O9003" i="13" l="1"/>
  <c r="N9003" i="13" s="1"/>
  <c r="O9004" i="13" l="1"/>
  <c r="N9004" i="13" s="1"/>
  <c r="O9005" i="13" l="1"/>
  <c r="N9005" i="13" s="1"/>
  <c r="O9006" i="13" l="1"/>
  <c r="N9006" i="13" s="1"/>
  <c r="O9007" i="13" l="1"/>
  <c r="N9007" i="13" s="1"/>
  <c r="O9008" i="13" l="1"/>
  <c r="N9008" i="13" s="1"/>
  <c r="O9009" i="13" l="1"/>
  <c r="N9009" i="13" s="1"/>
  <c r="O9010" i="13" l="1"/>
  <c r="N9010" i="13" s="1"/>
  <c r="O9011" i="13" l="1"/>
  <c r="N9011" i="13" s="1"/>
  <c r="O9012" i="13" l="1"/>
  <c r="N9012" i="13" s="1"/>
  <c r="O9013" i="13" l="1"/>
  <c r="N9013" i="13" s="1"/>
  <c r="O9014" i="13" l="1"/>
  <c r="N9014" i="13" s="1"/>
  <c r="O9015" i="13" l="1"/>
  <c r="N9015" i="13" s="1"/>
  <c r="O9016" i="13" l="1"/>
  <c r="N9016" i="13" s="1"/>
  <c r="O9017" i="13" l="1"/>
  <c r="N9017" i="13" s="1"/>
  <c r="O9018" i="13" l="1"/>
  <c r="N9018" i="13" s="1"/>
  <c r="O9019" i="13" l="1"/>
  <c r="N9019" i="13" s="1"/>
  <c r="O9020" i="13" l="1"/>
  <c r="N9020" i="13" s="1"/>
  <c r="O9021" i="13" l="1"/>
  <c r="N9021" i="13" s="1"/>
  <c r="O9022" i="13" l="1"/>
  <c r="N9022" i="13" s="1"/>
  <c r="O9023" i="13" l="1"/>
  <c r="N9023" i="13" s="1"/>
  <c r="O9024" i="13" l="1"/>
  <c r="N9024" i="13" s="1"/>
  <c r="O9025" i="13" l="1"/>
  <c r="N9025" i="13" s="1"/>
  <c r="O9026" i="13" l="1"/>
  <c r="N9026" i="13" s="1"/>
  <c r="O9027" i="13" l="1"/>
  <c r="N9027" i="13" s="1"/>
  <c r="O9028" i="13" l="1"/>
  <c r="N9028" i="13" s="1"/>
  <c r="O9029" i="13" l="1"/>
  <c r="N9029" i="13" s="1"/>
  <c r="O9030" i="13" l="1"/>
  <c r="N9030" i="13" s="1"/>
  <c r="O9031" i="13" l="1"/>
  <c r="N9031" i="13" s="1"/>
  <c r="O9032" i="13" l="1"/>
  <c r="N9032" i="13" s="1"/>
  <c r="O9033" i="13" l="1"/>
  <c r="N9033" i="13" s="1"/>
  <c r="O9034" i="13" l="1"/>
  <c r="N9034" i="13" s="1"/>
  <c r="O9035" i="13" l="1"/>
  <c r="N9035" i="13" s="1"/>
  <c r="O9036" i="13" l="1"/>
  <c r="N9036" i="13" s="1"/>
  <c r="O9037" i="13" l="1"/>
  <c r="N9037" i="13" s="1"/>
  <c r="O9038" i="13" l="1"/>
  <c r="N9038" i="13" s="1"/>
  <c r="O9039" i="13" l="1"/>
  <c r="N9039" i="13" s="1"/>
  <c r="O9040" i="13" l="1"/>
  <c r="N9040" i="13" s="1"/>
  <c r="O9041" i="13" l="1"/>
  <c r="N9041" i="13" s="1"/>
  <c r="O9042" i="13" l="1"/>
  <c r="N9042" i="13" s="1"/>
  <c r="O9043" i="13" l="1"/>
  <c r="N9043" i="13" s="1"/>
  <c r="O9044" i="13" l="1"/>
  <c r="N9044" i="13" s="1"/>
  <c r="O9045" i="13" l="1"/>
  <c r="N9045" i="13" s="1"/>
  <c r="O9046" i="13" l="1"/>
  <c r="N9046" i="13" s="1"/>
  <c r="O9047" i="13" l="1"/>
  <c r="N9047" i="13" s="1"/>
  <c r="O9048" i="13" l="1"/>
  <c r="N9048" i="13" s="1"/>
  <c r="O9049" i="13" l="1"/>
  <c r="N9049" i="13" s="1"/>
  <c r="O9050" i="13" l="1"/>
  <c r="N9050" i="13" s="1"/>
  <c r="O9051" i="13" l="1"/>
  <c r="N9051" i="13" s="1"/>
  <c r="O9052" i="13" l="1"/>
  <c r="N9052" i="13" s="1"/>
  <c r="O9053" i="13" l="1"/>
  <c r="N9053" i="13" s="1"/>
  <c r="O9054" i="13" l="1"/>
  <c r="N9054" i="13" s="1"/>
  <c r="O9055" i="13" l="1"/>
  <c r="N9055" i="13" s="1"/>
  <c r="O9056" i="13" l="1"/>
  <c r="N9056" i="13" s="1"/>
  <c r="O9057" i="13" l="1"/>
  <c r="N9057" i="13" s="1"/>
  <c r="O9058" i="13" l="1"/>
  <c r="N9058" i="13" s="1"/>
  <c r="O9059" i="13" l="1"/>
  <c r="N9059" i="13" s="1"/>
  <c r="O9060" i="13" l="1"/>
  <c r="N9060" i="13" s="1"/>
  <c r="O9061" i="13" l="1"/>
  <c r="N9061" i="13" s="1"/>
  <c r="O9062" i="13" l="1"/>
  <c r="N9062" i="13" s="1"/>
  <c r="O9063" i="13" l="1"/>
  <c r="N9063" i="13" s="1"/>
  <c r="O9064" i="13" l="1"/>
  <c r="N9064" i="13" s="1"/>
  <c r="O9065" i="13" l="1"/>
  <c r="N9065" i="13" s="1"/>
  <c r="O9066" i="13" l="1"/>
  <c r="N9066" i="13" s="1"/>
  <c r="O9067" i="13" l="1"/>
  <c r="N9067" i="13" s="1"/>
  <c r="O9068" i="13" l="1"/>
  <c r="N9068" i="13" s="1"/>
  <c r="O9069" i="13" l="1"/>
  <c r="N9069" i="13" s="1"/>
  <c r="O9070" i="13" l="1"/>
  <c r="N9070" i="13" s="1"/>
  <c r="O9071" i="13" l="1"/>
  <c r="N9071" i="13" s="1"/>
  <c r="O9072" i="13" l="1"/>
  <c r="N9072" i="13" s="1"/>
  <c r="O9073" i="13" l="1"/>
  <c r="N9073" i="13" s="1"/>
  <c r="O9074" i="13" l="1"/>
  <c r="N9074" i="13" s="1"/>
  <c r="O9075" i="13" l="1"/>
  <c r="N9075" i="13" s="1"/>
  <c r="O9076" i="13" l="1"/>
  <c r="N9076" i="13" s="1"/>
  <c r="O9077" i="13" l="1"/>
  <c r="N9077" i="13" s="1"/>
  <c r="O9078" i="13" l="1"/>
  <c r="N9078" i="13" s="1"/>
  <c r="O9079" i="13" l="1"/>
  <c r="N9079" i="13" s="1"/>
  <c r="O9080" i="13" l="1"/>
  <c r="N9080" i="13" s="1"/>
  <c r="O9081" i="13" l="1"/>
  <c r="N9081" i="13" s="1"/>
  <c r="O9082" i="13" l="1"/>
  <c r="N9082" i="13" s="1"/>
  <c r="O9083" i="13" l="1"/>
  <c r="N9083" i="13" s="1"/>
  <c r="O9084" i="13" l="1"/>
  <c r="N9084" i="13" s="1"/>
  <c r="O9085" i="13" l="1"/>
  <c r="N9085" i="13" s="1"/>
  <c r="O9086" i="13" l="1"/>
  <c r="N9086" i="13" s="1"/>
  <c r="O9087" i="13" l="1"/>
  <c r="N9087" i="13" s="1"/>
  <c r="O9088" i="13" l="1"/>
  <c r="N9088" i="13" s="1"/>
  <c r="O9089" i="13" l="1"/>
  <c r="N9089" i="13" s="1"/>
  <c r="O9090" i="13" l="1"/>
  <c r="N9090" i="13" s="1"/>
  <c r="O9091" i="13" l="1"/>
  <c r="N9091" i="13" s="1"/>
  <c r="O9092" i="13" l="1"/>
  <c r="N9092" i="13" s="1"/>
  <c r="O9093" i="13" l="1"/>
  <c r="N9093" i="13" s="1"/>
  <c r="O9094" i="13" l="1"/>
  <c r="N9094" i="13" s="1"/>
  <c r="O9095" i="13" l="1"/>
  <c r="N9095" i="13" s="1"/>
  <c r="O9096" i="13" l="1"/>
  <c r="N9096" i="13" s="1"/>
  <c r="O9097" i="13" l="1"/>
  <c r="N9097" i="13" s="1"/>
  <c r="O9098" i="13" l="1"/>
  <c r="N9098" i="13" s="1"/>
  <c r="O9099" i="13" l="1"/>
  <c r="N9099" i="13" s="1"/>
  <c r="O9100" i="13" l="1"/>
  <c r="N9100" i="13" s="1"/>
  <c r="O9101" i="13" l="1"/>
  <c r="N9101" i="13" s="1"/>
  <c r="O9102" i="13" l="1"/>
  <c r="N9102" i="13" s="1"/>
  <c r="O9103" i="13" l="1"/>
  <c r="N9103" i="13" s="1"/>
  <c r="O9104" i="13" l="1"/>
  <c r="N9104" i="13" s="1"/>
  <c r="O9105" i="13" l="1"/>
  <c r="N9105" i="13" s="1"/>
  <c r="O9106" i="13" l="1"/>
  <c r="N9106" i="13" s="1"/>
  <c r="O9107" i="13" l="1"/>
  <c r="N9107" i="13" s="1"/>
  <c r="O9108" i="13" l="1"/>
  <c r="N9108" i="13" s="1"/>
  <c r="O9109" i="13" l="1"/>
  <c r="N9109" i="13" s="1"/>
  <c r="O9110" i="13" l="1"/>
  <c r="N9110" i="13" s="1"/>
  <c r="O9111" i="13" l="1"/>
  <c r="N9111" i="13" s="1"/>
  <c r="O9112" i="13" l="1"/>
  <c r="N9112" i="13" s="1"/>
  <c r="O9113" i="13" l="1"/>
  <c r="N9113" i="13" s="1"/>
  <c r="O9114" i="13" l="1"/>
  <c r="N9114" i="13" s="1"/>
  <c r="O9115" i="13" l="1"/>
  <c r="N9115" i="13" s="1"/>
  <c r="O9116" i="13" l="1"/>
  <c r="N9116" i="13" s="1"/>
  <c r="O9117" i="13" l="1"/>
  <c r="N9117" i="13" s="1"/>
  <c r="O9118" i="13" l="1"/>
  <c r="N9118" i="13" s="1"/>
  <c r="O9119" i="13" l="1"/>
  <c r="N9119" i="13" s="1"/>
  <c r="O9120" i="13" l="1"/>
  <c r="N9120" i="13" s="1"/>
  <c r="O9121" i="13" l="1"/>
  <c r="N9121" i="13" s="1"/>
  <c r="O9122" i="13" l="1"/>
  <c r="N9122" i="13" s="1"/>
  <c r="O9123" i="13" l="1"/>
  <c r="N9123" i="13" s="1"/>
  <c r="O9124" i="13" l="1"/>
  <c r="N9124" i="13" s="1"/>
  <c r="O9125" i="13" l="1"/>
  <c r="N9125" i="13" s="1"/>
  <c r="O9126" i="13" l="1"/>
  <c r="N9126" i="13" s="1"/>
  <c r="O9127" i="13" l="1"/>
  <c r="N9127" i="13" s="1"/>
  <c r="O9128" i="13" l="1"/>
  <c r="N9128" i="13" s="1"/>
  <c r="O9129" i="13" l="1"/>
  <c r="N9129" i="13" s="1"/>
  <c r="O9130" i="13" l="1"/>
  <c r="N9130" i="13" s="1"/>
  <c r="O9131" i="13" l="1"/>
  <c r="N9131" i="13" s="1"/>
  <c r="O9132" i="13" l="1"/>
  <c r="N9132" i="13" s="1"/>
  <c r="O9133" i="13" l="1"/>
  <c r="N9133" i="13" s="1"/>
  <c r="O9134" i="13" l="1"/>
  <c r="N9134" i="13" s="1"/>
  <c r="O9135" i="13" l="1"/>
  <c r="N9135" i="13" s="1"/>
  <c r="O9136" i="13" l="1"/>
  <c r="N9136" i="13" s="1"/>
  <c r="O9137" i="13" l="1"/>
  <c r="N9137" i="13" s="1"/>
  <c r="O9138" i="13" l="1"/>
  <c r="N9138" i="13" s="1"/>
  <c r="O9139" i="13" l="1"/>
  <c r="N9139" i="13" s="1"/>
  <c r="O9140" i="13" l="1"/>
  <c r="N9140" i="13" s="1"/>
  <c r="O9141" i="13" l="1"/>
  <c r="N9141" i="13" s="1"/>
  <c r="O9142" i="13" l="1"/>
  <c r="N9142" i="13" s="1"/>
  <c r="O9143" i="13" l="1"/>
  <c r="N9143" i="13" s="1"/>
  <c r="O9144" i="13" l="1"/>
  <c r="N9144" i="13" s="1"/>
  <c r="O9145" i="13" l="1"/>
  <c r="N9145" i="13" s="1"/>
  <c r="O9146" i="13" l="1"/>
  <c r="N9146" i="13" s="1"/>
  <c r="O9147" i="13" l="1"/>
  <c r="N9147" i="13" s="1"/>
  <c r="O9148" i="13" l="1"/>
  <c r="N9148" i="13" s="1"/>
  <c r="O9149" i="13" l="1"/>
  <c r="N9149" i="13" s="1"/>
  <c r="O9150" i="13" l="1"/>
  <c r="N9150" i="13" s="1"/>
  <c r="O9151" i="13" l="1"/>
  <c r="N9151" i="13" s="1"/>
  <c r="O9152" i="13" l="1"/>
  <c r="N9152" i="13" s="1"/>
  <c r="O9153" i="13" l="1"/>
  <c r="N9153" i="13" s="1"/>
  <c r="O9154" i="13" l="1"/>
  <c r="N9154" i="13" s="1"/>
  <c r="O9155" i="13" l="1"/>
  <c r="N9155" i="13" s="1"/>
  <c r="O9156" i="13" l="1"/>
  <c r="N9156" i="13" s="1"/>
  <c r="O9157" i="13" l="1"/>
  <c r="N9157" i="13" s="1"/>
  <c r="O9158" i="13" l="1"/>
  <c r="N9158" i="13" s="1"/>
  <c r="O9159" i="13" l="1"/>
  <c r="N9159" i="13" s="1"/>
  <c r="O9160" i="13" l="1"/>
  <c r="N9160" i="13" s="1"/>
  <c r="O9161" i="13" l="1"/>
  <c r="N9161" i="13" s="1"/>
  <c r="O9162" i="13" l="1"/>
  <c r="N9162" i="13" s="1"/>
  <c r="O9163" i="13" l="1"/>
  <c r="N9163" i="13" s="1"/>
  <c r="O9164" i="13" l="1"/>
  <c r="N9164" i="13" s="1"/>
  <c r="O9165" i="13" l="1"/>
  <c r="N9165" i="13" s="1"/>
  <c r="O9166" i="13" l="1"/>
  <c r="N9166" i="13" s="1"/>
  <c r="O9167" i="13" l="1"/>
  <c r="N9167" i="13" s="1"/>
  <c r="O9168" i="13" l="1"/>
  <c r="N9168" i="13" s="1"/>
  <c r="O9169" i="13" l="1"/>
  <c r="N9169" i="13" s="1"/>
  <c r="O9170" i="13" l="1"/>
  <c r="N9170" i="13" s="1"/>
  <c r="O9171" i="13" l="1"/>
  <c r="N9171" i="13" s="1"/>
  <c r="O9172" i="13" l="1"/>
  <c r="N9172" i="13" s="1"/>
  <c r="O9173" i="13" l="1"/>
  <c r="N9173" i="13" s="1"/>
  <c r="O9174" i="13" l="1"/>
  <c r="N9174" i="13" s="1"/>
  <c r="O9175" i="13" l="1"/>
  <c r="N9175" i="13" s="1"/>
  <c r="O9176" i="13" l="1"/>
  <c r="N9176" i="13" s="1"/>
  <c r="O9177" i="13" l="1"/>
  <c r="N9177" i="13" s="1"/>
  <c r="O9178" i="13" l="1"/>
  <c r="N9178" i="13" s="1"/>
  <c r="O9179" i="13" l="1"/>
  <c r="N9179" i="13" s="1"/>
  <c r="O9180" i="13" l="1"/>
  <c r="N9180" i="13" s="1"/>
  <c r="O9181" i="13" l="1"/>
  <c r="N9181" i="13" s="1"/>
  <c r="O9182" i="13" l="1"/>
  <c r="N9182" i="13" s="1"/>
  <c r="O9183" i="13" l="1"/>
  <c r="N9183" i="13" s="1"/>
  <c r="O9184" i="13" l="1"/>
  <c r="N9184" i="13" s="1"/>
  <c r="O9185" i="13" l="1"/>
  <c r="N9185" i="13" s="1"/>
  <c r="O9186" i="13" l="1"/>
  <c r="N9186" i="13" s="1"/>
  <c r="O9187" i="13" l="1"/>
  <c r="N9187" i="13" s="1"/>
  <c r="O9188" i="13" l="1"/>
  <c r="N9188" i="13" s="1"/>
  <c r="O9189" i="13" l="1"/>
  <c r="N9189" i="13" s="1"/>
  <c r="O9190" i="13" l="1"/>
  <c r="N9190" i="13" s="1"/>
  <c r="O9191" i="13" l="1"/>
  <c r="N9191" i="13" s="1"/>
  <c r="O9192" i="13" l="1"/>
  <c r="N9192" i="13" s="1"/>
  <c r="O9193" i="13" l="1"/>
  <c r="N9193" i="13" s="1"/>
  <c r="O9194" i="13" l="1"/>
  <c r="N9194" i="13" s="1"/>
  <c r="O9195" i="13" l="1"/>
  <c r="N9195" i="13" s="1"/>
  <c r="O9196" i="13" l="1"/>
  <c r="N9196" i="13" s="1"/>
  <c r="O9197" i="13" l="1"/>
  <c r="N9197" i="13" s="1"/>
  <c r="O9198" i="13" l="1"/>
  <c r="N9198" i="13" s="1"/>
  <c r="O9199" i="13" l="1"/>
  <c r="N9199" i="13" s="1"/>
  <c r="O9200" i="13" l="1"/>
  <c r="N9200" i="13" s="1"/>
  <c r="O9201" i="13" l="1"/>
  <c r="N9201" i="13" s="1"/>
  <c r="O9202" i="13" l="1"/>
  <c r="N9202" i="13" s="1"/>
  <c r="O9203" i="13" l="1"/>
  <c r="N9203" i="13" s="1"/>
  <c r="O9204" i="13" l="1"/>
  <c r="N9204" i="13" s="1"/>
  <c r="O9205" i="13" l="1"/>
  <c r="N9205" i="13" s="1"/>
  <c r="O9206" i="13" l="1"/>
  <c r="N9206" i="13" s="1"/>
  <c r="O9207" i="13" l="1"/>
  <c r="N9207" i="13" s="1"/>
  <c r="O9208" i="13" l="1"/>
  <c r="N9208" i="13" s="1"/>
  <c r="O9209" i="13" l="1"/>
  <c r="N9209" i="13" s="1"/>
  <c r="O9210" i="13" l="1"/>
  <c r="N9210" i="13" s="1"/>
  <c r="O9211" i="13" l="1"/>
  <c r="N9211" i="13" s="1"/>
  <c r="O9212" i="13" l="1"/>
  <c r="N9212" i="13" s="1"/>
  <c r="O9213" i="13" l="1"/>
  <c r="N9213" i="13" s="1"/>
  <c r="O9214" i="13" l="1"/>
  <c r="N9214" i="13" s="1"/>
  <c r="O9215" i="13" l="1"/>
  <c r="N9215" i="13" s="1"/>
  <c r="O9216" i="13" l="1"/>
  <c r="N9216" i="13" s="1"/>
  <c r="O9217" i="13" l="1"/>
  <c r="N9217" i="13" s="1"/>
  <c r="O9218" i="13" l="1"/>
  <c r="N9218" i="13" s="1"/>
  <c r="O9219" i="13" l="1"/>
  <c r="N9219" i="13" s="1"/>
  <c r="O9220" i="13" l="1"/>
  <c r="N9220" i="13" s="1"/>
  <c r="O9221" i="13" l="1"/>
  <c r="N9221" i="13" s="1"/>
  <c r="O9222" i="13" l="1"/>
  <c r="N9222" i="13" s="1"/>
  <c r="O9223" i="13" l="1"/>
  <c r="N9223" i="13" s="1"/>
  <c r="O9224" i="13" l="1"/>
  <c r="N9224" i="13" s="1"/>
  <c r="O9225" i="13" l="1"/>
  <c r="N9225" i="13" s="1"/>
  <c r="O9226" i="13" l="1"/>
  <c r="N9226" i="13" s="1"/>
  <c r="O9227" i="13" l="1"/>
  <c r="N9227" i="13" s="1"/>
  <c r="O9228" i="13" l="1"/>
  <c r="N9228" i="13" s="1"/>
  <c r="O9229" i="13" l="1"/>
  <c r="N9229" i="13" s="1"/>
  <c r="O9230" i="13" l="1"/>
  <c r="N9230" i="13" s="1"/>
  <c r="O9231" i="13" l="1"/>
  <c r="N9231" i="13" s="1"/>
  <c r="O9232" i="13" l="1"/>
  <c r="N9232" i="13" s="1"/>
  <c r="O9233" i="13" l="1"/>
  <c r="N9233" i="13" s="1"/>
  <c r="O9234" i="13" l="1"/>
  <c r="N9234" i="13" s="1"/>
  <c r="O9235" i="13" l="1"/>
  <c r="N9235" i="13" s="1"/>
  <c r="O9236" i="13" l="1"/>
  <c r="N9236" i="13" s="1"/>
  <c r="O9237" i="13" l="1"/>
  <c r="N9237" i="13" s="1"/>
  <c r="O9238" i="13" l="1"/>
  <c r="N9238" i="13" s="1"/>
  <c r="O9239" i="13" l="1"/>
  <c r="N9239" i="13" s="1"/>
  <c r="O9240" i="13" l="1"/>
  <c r="N9240" i="13" s="1"/>
  <c r="O9241" i="13" l="1"/>
  <c r="N9241" i="13" s="1"/>
  <c r="O9242" i="13" l="1"/>
  <c r="N9242" i="13" s="1"/>
  <c r="O9243" i="13" l="1"/>
  <c r="N9243" i="13" s="1"/>
  <c r="O9244" i="13" l="1"/>
  <c r="N9244" i="13" s="1"/>
  <c r="O9245" i="13" l="1"/>
  <c r="N9245" i="13" s="1"/>
  <c r="O9246" i="13" l="1"/>
  <c r="N9246" i="13" s="1"/>
  <c r="O9247" i="13" l="1"/>
  <c r="N9247" i="13" s="1"/>
  <c r="O9248" i="13" l="1"/>
  <c r="N9248" i="13" s="1"/>
  <c r="O9249" i="13" l="1"/>
  <c r="N9249" i="13" s="1"/>
  <c r="O9250" i="13" l="1"/>
  <c r="N9250" i="13" s="1"/>
  <c r="O9251" i="13" l="1"/>
  <c r="N9251" i="13" s="1"/>
  <c r="O9252" i="13" l="1"/>
  <c r="N9252" i="13" s="1"/>
  <c r="O9253" i="13" l="1"/>
  <c r="N9253" i="13" s="1"/>
  <c r="O9254" i="13" l="1"/>
  <c r="N9254" i="13" s="1"/>
  <c r="O9255" i="13" l="1"/>
  <c r="N9255" i="13" s="1"/>
  <c r="O9256" i="13" l="1"/>
  <c r="N9256" i="13" s="1"/>
  <c r="O9257" i="13" l="1"/>
  <c r="N9257" i="13" s="1"/>
  <c r="O9258" i="13" l="1"/>
  <c r="N9258" i="13" s="1"/>
  <c r="O9259" i="13" l="1"/>
  <c r="N9259" i="13" s="1"/>
  <c r="O9260" i="13" l="1"/>
  <c r="N9260" i="13" s="1"/>
  <c r="O9261" i="13" l="1"/>
  <c r="N9261" i="13" s="1"/>
  <c r="O9262" i="13" l="1"/>
  <c r="N9262" i="13" s="1"/>
  <c r="O9263" i="13" l="1"/>
  <c r="N9263" i="13" s="1"/>
  <c r="O9264" i="13" l="1"/>
  <c r="N9264" i="13" s="1"/>
  <c r="O9265" i="13" l="1"/>
  <c r="N9265" i="13" s="1"/>
  <c r="O9266" i="13" l="1"/>
  <c r="N9266" i="13" s="1"/>
  <c r="O9267" i="13" l="1"/>
  <c r="N9267" i="13" s="1"/>
  <c r="O9268" i="13" l="1"/>
  <c r="N9268" i="13" s="1"/>
  <c r="O9269" i="13" l="1"/>
  <c r="N9269" i="13" s="1"/>
  <c r="O9270" i="13" l="1"/>
  <c r="N9270" i="13" s="1"/>
  <c r="O9271" i="13" l="1"/>
  <c r="N9271" i="13" s="1"/>
  <c r="O9272" i="13" l="1"/>
  <c r="N9272" i="13" s="1"/>
  <c r="O9273" i="13" l="1"/>
  <c r="N9273" i="13" s="1"/>
  <c r="O9274" i="13" l="1"/>
  <c r="N9274" i="13" s="1"/>
  <c r="O9275" i="13" l="1"/>
  <c r="N9275" i="13" s="1"/>
  <c r="O9276" i="13" l="1"/>
  <c r="N9276" i="13" s="1"/>
  <c r="O9277" i="13" l="1"/>
  <c r="N9277" i="13" s="1"/>
  <c r="O9278" i="13" l="1"/>
  <c r="N9278" i="13" s="1"/>
  <c r="O9279" i="13" l="1"/>
  <c r="N9279" i="13" s="1"/>
  <c r="O9280" i="13" l="1"/>
  <c r="N9280" i="13" s="1"/>
  <c r="O9281" i="13" l="1"/>
  <c r="N9281" i="13" s="1"/>
  <c r="O9282" i="13" l="1"/>
  <c r="N9282" i="13" s="1"/>
  <c r="O9283" i="13" l="1"/>
  <c r="N9283" i="13" s="1"/>
  <c r="O9284" i="13" l="1"/>
  <c r="N9284" i="13" s="1"/>
  <c r="O9285" i="13" l="1"/>
  <c r="N9285" i="13" s="1"/>
  <c r="O9286" i="13" l="1"/>
  <c r="N9286" i="13" s="1"/>
  <c r="O9287" i="13" l="1"/>
  <c r="N9287" i="13" s="1"/>
  <c r="O9288" i="13" l="1"/>
  <c r="N9288" i="13" s="1"/>
  <c r="O9289" i="13" l="1"/>
  <c r="N9289" i="13" s="1"/>
  <c r="O9290" i="13" l="1"/>
  <c r="N9290" i="13" s="1"/>
  <c r="O9291" i="13" l="1"/>
  <c r="N9291" i="13" s="1"/>
  <c r="O9292" i="13" l="1"/>
  <c r="N9292" i="13" s="1"/>
  <c r="O9293" i="13" l="1"/>
  <c r="N9293" i="13" s="1"/>
  <c r="O9294" i="13" l="1"/>
  <c r="N9294" i="13" s="1"/>
  <c r="O9295" i="13" l="1"/>
  <c r="N9295" i="13" s="1"/>
  <c r="O9296" i="13" l="1"/>
  <c r="N9296" i="13" s="1"/>
  <c r="O9297" i="13" l="1"/>
  <c r="N9297" i="13" s="1"/>
  <c r="O9298" i="13" l="1"/>
  <c r="N9298" i="13" s="1"/>
  <c r="O9299" i="13" l="1"/>
  <c r="N9299" i="13" s="1"/>
  <c r="O9300" i="13" l="1"/>
  <c r="N9300" i="13" s="1"/>
  <c r="O9301" i="13" l="1"/>
  <c r="N9301" i="13" s="1"/>
  <c r="O9302" i="13" l="1"/>
  <c r="N9302" i="13" s="1"/>
  <c r="O9303" i="13" l="1"/>
  <c r="N9303" i="13" s="1"/>
  <c r="O9304" i="13" l="1"/>
  <c r="N9304" i="13" s="1"/>
  <c r="O9305" i="13" l="1"/>
  <c r="N9305" i="13" s="1"/>
  <c r="O9306" i="13" l="1"/>
  <c r="N9306" i="13" s="1"/>
  <c r="O9307" i="13" l="1"/>
  <c r="N9307" i="13" s="1"/>
  <c r="O9308" i="13" l="1"/>
  <c r="N9308" i="13" s="1"/>
  <c r="O9309" i="13" l="1"/>
  <c r="N9309" i="13" s="1"/>
  <c r="O9310" i="13" l="1"/>
  <c r="N9310" i="13" s="1"/>
  <c r="O9311" i="13" l="1"/>
  <c r="N9311" i="13" s="1"/>
  <c r="O9312" i="13" l="1"/>
  <c r="N9312" i="13" s="1"/>
  <c r="O9313" i="13" l="1"/>
  <c r="N9313" i="13" s="1"/>
  <c r="O9314" i="13" l="1"/>
  <c r="N9314" i="13" s="1"/>
  <c r="O9315" i="13" l="1"/>
  <c r="N9315" i="13" s="1"/>
  <c r="O9316" i="13" l="1"/>
  <c r="N9316" i="13" s="1"/>
  <c r="O9317" i="13" l="1"/>
  <c r="N9317" i="13" s="1"/>
  <c r="O9318" i="13" l="1"/>
  <c r="N9318" i="13" s="1"/>
  <c r="O9319" i="13" l="1"/>
  <c r="N9319" i="13" s="1"/>
  <c r="O9320" i="13" l="1"/>
  <c r="N9320" i="13" s="1"/>
  <c r="O9321" i="13" l="1"/>
  <c r="N9321" i="13" s="1"/>
  <c r="O9322" i="13" l="1"/>
  <c r="N9322" i="13" s="1"/>
  <c r="O9323" i="13" l="1"/>
  <c r="N9323" i="13" s="1"/>
  <c r="O9324" i="13" l="1"/>
  <c r="N9324" i="13" s="1"/>
  <c r="O9325" i="13" l="1"/>
  <c r="N9325" i="13" s="1"/>
  <c r="O9326" i="13" l="1"/>
  <c r="N9326" i="13" s="1"/>
  <c r="O9327" i="13" l="1"/>
  <c r="N9327" i="13" s="1"/>
  <c r="O9328" i="13" l="1"/>
  <c r="N9328" i="13" s="1"/>
  <c r="O9329" i="13" l="1"/>
  <c r="N9329" i="13" s="1"/>
  <c r="O9330" i="13" l="1"/>
  <c r="N9330" i="13" s="1"/>
  <c r="O9331" i="13" l="1"/>
  <c r="N9331" i="13" s="1"/>
  <c r="O9332" i="13" l="1"/>
  <c r="N9332" i="13" s="1"/>
  <c r="O9333" i="13" l="1"/>
  <c r="N9333" i="13" s="1"/>
  <c r="O9334" i="13" l="1"/>
  <c r="N9334" i="13" s="1"/>
  <c r="O9335" i="13" l="1"/>
  <c r="N9335" i="13" s="1"/>
  <c r="O9336" i="13" l="1"/>
  <c r="N9336" i="13" s="1"/>
  <c r="O9337" i="13" l="1"/>
  <c r="N9337" i="13" s="1"/>
  <c r="O9338" i="13" l="1"/>
  <c r="N9338" i="13" s="1"/>
  <c r="O9339" i="13" l="1"/>
  <c r="N9339" i="13" s="1"/>
  <c r="O9340" i="13" l="1"/>
  <c r="N9340" i="13" s="1"/>
  <c r="O9341" i="13" l="1"/>
  <c r="N9341" i="13" s="1"/>
  <c r="O9342" i="13" l="1"/>
  <c r="N9342" i="13" s="1"/>
  <c r="O9343" i="13" l="1"/>
  <c r="N9343" i="13" s="1"/>
  <c r="O9344" i="13" l="1"/>
  <c r="N9344" i="13" s="1"/>
  <c r="O9345" i="13" l="1"/>
  <c r="N9345" i="13" s="1"/>
  <c r="O9346" i="13" l="1"/>
  <c r="N9346" i="13" s="1"/>
  <c r="O9347" i="13" l="1"/>
  <c r="N9347" i="13" s="1"/>
  <c r="O9348" i="13" l="1"/>
  <c r="N9348" i="13" s="1"/>
  <c r="O9349" i="13" l="1"/>
  <c r="N9349" i="13" s="1"/>
  <c r="O9350" i="13" l="1"/>
  <c r="N9350" i="13" s="1"/>
  <c r="O9351" i="13" l="1"/>
  <c r="N9351" i="13" s="1"/>
  <c r="O9352" i="13" l="1"/>
  <c r="N9352" i="13" s="1"/>
  <c r="O9353" i="13" l="1"/>
  <c r="N9353" i="13" s="1"/>
  <c r="O9354" i="13" l="1"/>
  <c r="N9354" i="13" s="1"/>
  <c r="O9355" i="13" l="1"/>
  <c r="N9355" i="13" s="1"/>
  <c r="O9356" i="13" l="1"/>
  <c r="N9356" i="13" s="1"/>
  <c r="O9357" i="13" l="1"/>
  <c r="N9357" i="13" s="1"/>
  <c r="O9358" i="13" l="1"/>
  <c r="N9358" i="13" s="1"/>
  <c r="O9359" i="13" l="1"/>
  <c r="N9359" i="13" s="1"/>
  <c r="O9360" i="13" l="1"/>
  <c r="N9360" i="13" s="1"/>
  <c r="O9361" i="13" l="1"/>
  <c r="N9361" i="13" s="1"/>
  <c r="O9362" i="13" l="1"/>
  <c r="N9362" i="13" s="1"/>
  <c r="O9363" i="13" l="1"/>
  <c r="N9363" i="13" s="1"/>
  <c r="O9364" i="13" l="1"/>
  <c r="N9364" i="13" s="1"/>
  <c r="O9365" i="13" l="1"/>
  <c r="N9365" i="13" s="1"/>
  <c r="O9366" i="13" l="1"/>
  <c r="N9366" i="13" s="1"/>
  <c r="O9367" i="13" l="1"/>
  <c r="N9367" i="13" s="1"/>
  <c r="O9368" i="13" l="1"/>
  <c r="N9368" i="13" s="1"/>
  <c r="O9369" i="13" l="1"/>
  <c r="N9369" i="13" s="1"/>
  <c r="O9370" i="13" l="1"/>
  <c r="N9370" i="13" s="1"/>
  <c r="O9371" i="13" l="1"/>
  <c r="N9371" i="13" s="1"/>
  <c r="O9372" i="13" l="1"/>
  <c r="N9372" i="13" s="1"/>
  <c r="O9373" i="13" l="1"/>
  <c r="N9373" i="13" s="1"/>
  <c r="O9374" i="13" l="1"/>
  <c r="N9374" i="13" s="1"/>
  <c r="O9375" i="13" l="1"/>
  <c r="N9375" i="13" s="1"/>
  <c r="O9376" i="13" l="1"/>
  <c r="N9376" i="13" s="1"/>
  <c r="O9377" i="13" l="1"/>
  <c r="N9377" i="13" s="1"/>
  <c r="O9378" i="13" l="1"/>
  <c r="N9378" i="13" s="1"/>
  <c r="O9379" i="13" l="1"/>
  <c r="N9379" i="13" s="1"/>
  <c r="O9380" i="13" l="1"/>
  <c r="N9380" i="13" s="1"/>
  <c r="O9381" i="13" l="1"/>
  <c r="N9381" i="13" s="1"/>
  <c r="O9382" i="13" l="1"/>
  <c r="N9382" i="13" s="1"/>
  <c r="O9383" i="13" l="1"/>
  <c r="N9383" i="13" s="1"/>
  <c r="O9384" i="13" l="1"/>
  <c r="N9384" i="13" s="1"/>
  <c r="O9385" i="13" l="1"/>
  <c r="N9385" i="13" s="1"/>
  <c r="O9386" i="13" l="1"/>
  <c r="N9386" i="13" s="1"/>
  <c r="O9387" i="13" l="1"/>
  <c r="N9387" i="13" s="1"/>
  <c r="O9388" i="13" l="1"/>
  <c r="N9388" i="13" s="1"/>
  <c r="O9389" i="13" l="1"/>
  <c r="N9389" i="13" s="1"/>
  <c r="O9390" i="13" l="1"/>
  <c r="N9390" i="13" s="1"/>
  <c r="O9391" i="13" l="1"/>
  <c r="N9391" i="13" s="1"/>
  <c r="O9392" i="13" l="1"/>
  <c r="N9392" i="13" s="1"/>
  <c r="O9393" i="13" l="1"/>
  <c r="N9393" i="13" s="1"/>
  <c r="O9394" i="13" l="1"/>
  <c r="N9394" i="13" s="1"/>
  <c r="O9395" i="13" l="1"/>
  <c r="N9395" i="13" s="1"/>
  <c r="O9396" i="13" l="1"/>
  <c r="N9396" i="13" s="1"/>
  <c r="O9397" i="13" l="1"/>
  <c r="N9397" i="13" s="1"/>
  <c r="O9398" i="13" l="1"/>
  <c r="N9398" i="13" s="1"/>
  <c r="O9399" i="13" l="1"/>
  <c r="N9399" i="13" s="1"/>
  <c r="O9400" i="13" l="1"/>
  <c r="N9400" i="13" s="1"/>
  <c r="O9401" i="13" l="1"/>
  <c r="N9401" i="13" s="1"/>
  <c r="O9402" i="13" l="1"/>
  <c r="N9402" i="13" s="1"/>
  <c r="O9403" i="13" l="1"/>
  <c r="N9403" i="13" s="1"/>
  <c r="O9404" i="13" l="1"/>
  <c r="N9404" i="13" s="1"/>
  <c r="O9405" i="13" l="1"/>
  <c r="N9405" i="13" s="1"/>
  <c r="O9406" i="13" l="1"/>
  <c r="N9406" i="13" s="1"/>
  <c r="O9407" i="13" l="1"/>
  <c r="N9407" i="13" s="1"/>
  <c r="O9408" i="13" l="1"/>
  <c r="N9408" i="13" s="1"/>
  <c r="O9409" i="13" l="1"/>
  <c r="N9409" i="13" s="1"/>
  <c r="O9410" i="13" l="1"/>
  <c r="N9410" i="13" s="1"/>
  <c r="O9411" i="13" l="1"/>
  <c r="N9411" i="13" s="1"/>
  <c r="O9412" i="13" l="1"/>
  <c r="N9412" i="13" s="1"/>
  <c r="O9413" i="13" l="1"/>
  <c r="N9413" i="13" s="1"/>
  <c r="O9414" i="13" l="1"/>
  <c r="N9414" i="13" s="1"/>
  <c r="O9415" i="13" l="1"/>
  <c r="N9415" i="13" s="1"/>
  <c r="O9416" i="13" l="1"/>
  <c r="N9416" i="13" s="1"/>
  <c r="O9417" i="13" l="1"/>
  <c r="N9417" i="13" s="1"/>
  <c r="O9418" i="13" l="1"/>
  <c r="N9418" i="13" s="1"/>
  <c r="O9419" i="13" l="1"/>
  <c r="N9419" i="13" s="1"/>
  <c r="O9420" i="13" l="1"/>
  <c r="N9420" i="13" s="1"/>
  <c r="O9421" i="13" l="1"/>
  <c r="N9421" i="13" s="1"/>
  <c r="O9422" i="13" l="1"/>
  <c r="N9422" i="13" s="1"/>
  <c r="O9423" i="13" l="1"/>
  <c r="N9423" i="13" s="1"/>
  <c r="O9424" i="13" l="1"/>
  <c r="N9424" i="13" s="1"/>
  <c r="O9425" i="13" l="1"/>
  <c r="N9425" i="13" s="1"/>
  <c r="O9426" i="13" l="1"/>
  <c r="N9426" i="13" s="1"/>
  <c r="O9427" i="13" l="1"/>
  <c r="N9427" i="13" s="1"/>
  <c r="O9428" i="13" l="1"/>
  <c r="N9428" i="13" s="1"/>
  <c r="O9429" i="13" l="1"/>
  <c r="N9429" i="13" s="1"/>
  <c r="O9430" i="13" l="1"/>
  <c r="N9430" i="13" s="1"/>
  <c r="O9431" i="13" l="1"/>
  <c r="N9431" i="13" s="1"/>
  <c r="O9432" i="13" l="1"/>
  <c r="N9432" i="13" s="1"/>
  <c r="O9433" i="13" l="1"/>
  <c r="N9433" i="13" s="1"/>
  <c r="O9434" i="13" l="1"/>
  <c r="N9434" i="13" s="1"/>
  <c r="O9435" i="13" l="1"/>
  <c r="N9435" i="13" s="1"/>
  <c r="O9436" i="13" l="1"/>
  <c r="N9436" i="13" s="1"/>
  <c r="O9437" i="13" l="1"/>
  <c r="N9437" i="13" s="1"/>
  <c r="O9438" i="13" l="1"/>
  <c r="N9438" i="13" s="1"/>
  <c r="O9439" i="13" l="1"/>
  <c r="N9439" i="13" s="1"/>
  <c r="O9440" i="13" l="1"/>
  <c r="N9440" i="13" s="1"/>
  <c r="O9441" i="13" l="1"/>
  <c r="N9441" i="13" s="1"/>
  <c r="O9442" i="13" l="1"/>
  <c r="N9442" i="13" s="1"/>
  <c r="O9443" i="13" l="1"/>
  <c r="N9443" i="13" s="1"/>
  <c r="O9444" i="13" l="1"/>
  <c r="N9444" i="13" s="1"/>
  <c r="O9445" i="13" l="1"/>
  <c r="N9445" i="13" s="1"/>
  <c r="O9446" i="13" l="1"/>
  <c r="N9446" i="13" s="1"/>
  <c r="O9447" i="13" l="1"/>
  <c r="N9447" i="13" s="1"/>
  <c r="O9448" i="13" l="1"/>
  <c r="N9448" i="13" s="1"/>
  <c r="O9449" i="13" l="1"/>
  <c r="N9449" i="13" s="1"/>
  <c r="O9450" i="13" l="1"/>
  <c r="N9450" i="13" s="1"/>
  <c r="O9451" i="13" l="1"/>
  <c r="N9451" i="13" s="1"/>
  <c r="O9452" i="13" l="1"/>
  <c r="N9452" i="13" s="1"/>
  <c r="O9453" i="13" l="1"/>
  <c r="N9453" i="13" s="1"/>
  <c r="O9454" i="13" l="1"/>
  <c r="N9454" i="13" s="1"/>
  <c r="O9455" i="13" l="1"/>
  <c r="N9455" i="13" s="1"/>
  <c r="O9456" i="13" l="1"/>
  <c r="N9456" i="13" s="1"/>
  <c r="O9457" i="13" l="1"/>
  <c r="N9457" i="13" s="1"/>
  <c r="O9458" i="13" l="1"/>
  <c r="N9458" i="13" s="1"/>
  <c r="O9459" i="13" l="1"/>
  <c r="N9459" i="13" s="1"/>
  <c r="O9460" i="13" l="1"/>
  <c r="N9460" i="13" s="1"/>
  <c r="O9461" i="13" l="1"/>
  <c r="N9461" i="13" s="1"/>
  <c r="O9462" i="13" l="1"/>
  <c r="N9462" i="13" s="1"/>
  <c r="O9463" i="13" l="1"/>
  <c r="N9463" i="13" s="1"/>
  <c r="O9464" i="13" l="1"/>
  <c r="N9464" i="13" s="1"/>
  <c r="O9465" i="13" l="1"/>
  <c r="N9465" i="13" s="1"/>
  <c r="O9466" i="13" l="1"/>
  <c r="N9466" i="13" s="1"/>
  <c r="O9467" i="13" l="1"/>
  <c r="N9467" i="13" s="1"/>
  <c r="O9468" i="13" l="1"/>
  <c r="N9468" i="13" s="1"/>
  <c r="O9469" i="13" l="1"/>
  <c r="N9469" i="13" s="1"/>
  <c r="O9470" i="13" l="1"/>
  <c r="N9470" i="13" s="1"/>
  <c r="O9471" i="13" l="1"/>
  <c r="N9471" i="13" s="1"/>
  <c r="O9472" i="13" l="1"/>
  <c r="N9472" i="13" s="1"/>
  <c r="O9473" i="13" l="1"/>
  <c r="N9473" i="13" s="1"/>
  <c r="O9474" i="13" l="1"/>
  <c r="N9474" i="13" s="1"/>
  <c r="O9475" i="13" l="1"/>
  <c r="N9475" i="13" s="1"/>
  <c r="O9476" i="13" l="1"/>
  <c r="N9476" i="13" s="1"/>
  <c r="O9477" i="13" l="1"/>
  <c r="N9477" i="13" s="1"/>
  <c r="O9478" i="13" l="1"/>
  <c r="N9478" i="13" s="1"/>
  <c r="O9479" i="13" l="1"/>
  <c r="N9479" i="13" s="1"/>
  <c r="O9480" i="13" l="1"/>
  <c r="N9480" i="13" s="1"/>
  <c r="O9481" i="13" l="1"/>
  <c r="N9481" i="13" s="1"/>
  <c r="O9482" i="13" l="1"/>
  <c r="N9482" i="13" s="1"/>
  <c r="O9483" i="13" l="1"/>
  <c r="N9483" i="13" s="1"/>
  <c r="O9484" i="13" l="1"/>
  <c r="N9484" i="13" s="1"/>
  <c r="O9485" i="13" l="1"/>
  <c r="N9485" i="13" s="1"/>
  <c r="O9486" i="13" l="1"/>
  <c r="N9486" i="13" s="1"/>
  <c r="O9487" i="13" l="1"/>
  <c r="N9487" i="13" s="1"/>
  <c r="O9488" i="13" l="1"/>
  <c r="N9488" i="13" s="1"/>
  <c r="O9489" i="13" l="1"/>
  <c r="N9489" i="13" s="1"/>
  <c r="O9490" i="13" l="1"/>
  <c r="N9490" i="13" s="1"/>
  <c r="O9491" i="13" l="1"/>
  <c r="N9491" i="13" s="1"/>
  <c r="O9492" i="13" l="1"/>
  <c r="N9492" i="13" s="1"/>
  <c r="O9493" i="13" l="1"/>
  <c r="N9493" i="13" s="1"/>
  <c r="O9494" i="13" l="1"/>
  <c r="N9494" i="13" s="1"/>
  <c r="O9495" i="13" l="1"/>
  <c r="N9495" i="13" s="1"/>
  <c r="O9496" i="13" l="1"/>
  <c r="N9496" i="13" s="1"/>
  <c r="O9497" i="13" l="1"/>
  <c r="N9497" i="13" s="1"/>
  <c r="O9498" i="13" l="1"/>
  <c r="N9498" i="13" s="1"/>
  <c r="O9499" i="13" l="1"/>
  <c r="N9499" i="13" s="1"/>
  <c r="O9500" i="13" l="1"/>
  <c r="N9500" i="13" s="1"/>
  <c r="O9501" i="13" l="1"/>
  <c r="N9501" i="13" s="1"/>
  <c r="O9502" i="13" l="1"/>
  <c r="N9502" i="13" s="1"/>
  <c r="O9503" i="13" l="1"/>
  <c r="N9503" i="13" s="1"/>
  <c r="O9504" i="13" l="1"/>
  <c r="N9504" i="13" s="1"/>
  <c r="O9505" i="13" l="1"/>
  <c r="N9505" i="13" s="1"/>
  <c r="O9506" i="13" l="1"/>
  <c r="N9506" i="13" s="1"/>
  <c r="O9507" i="13" l="1"/>
  <c r="N9507" i="13" s="1"/>
  <c r="O9508" i="13" l="1"/>
  <c r="N9508" i="13" s="1"/>
  <c r="O9509" i="13" l="1"/>
  <c r="N9509" i="13" s="1"/>
  <c r="O9510" i="13" l="1"/>
  <c r="N9510" i="13" s="1"/>
  <c r="O9511" i="13" l="1"/>
  <c r="N9511" i="13" s="1"/>
  <c r="O9512" i="13" l="1"/>
  <c r="N9512" i="13" s="1"/>
  <c r="O9513" i="13" l="1"/>
  <c r="N9513" i="13" s="1"/>
  <c r="O9514" i="13" l="1"/>
  <c r="N9514" i="13" s="1"/>
  <c r="O9515" i="13" l="1"/>
  <c r="N9515" i="13" s="1"/>
  <c r="O9516" i="13" l="1"/>
  <c r="N9516" i="13" s="1"/>
  <c r="O9517" i="13" l="1"/>
  <c r="N9517" i="13" s="1"/>
  <c r="O9518" i="13" l="1"/>
  <c r="N9518" i="13" s="1"/>
  <c r="O9519" i="13" l="1"/>
  <c r="N9519" i="13" s="1"/>
  <c r="O9520" i="13" l="1"/>
  <c r="N9520" i="13" s="1"/>
  <c r="O9521" i="13" l="1"/>
  <c r="N9521" i="13" s="1"/>
  <c r="O9522" i="13" l="1"/>
  <c r="N9522" i="13" s="1"/>
  <c r="O9523" i="13" l="1"/>
  <c r="N9523" i="13" s="1"/>
  <c r="O9524" i="13" l="1"/>
  <c r="N9524" i="13" s="1"/>
  <c r="O9525" i="13" l="1"/>
  <c r="N9525" i="13" s="1"/>
  <c r="O9526" i="13" l="1"/>
  <c r="N9526" i="13" s="1"/>
  <c r="O9527" i="13" l="1"/>
  <c r="N9527" i="13" s="1"/>
  <c r="O9528" i="13" l="1"/>
  <c r="N9528" i="13" s="1"/>
  <c r="O9529" i="13" l="1"/>
  <c r="N9529" i="13" s="1"/>
  <c r="O9530" i="13" l="1"/>
  <c r="N9530" i="13" s="1"/>
  <c r="O9531" i="13" l="1"/>
  <c r="N9531" i="13" s="1"/>
  <c r="O9532" i="13" l="1"/>
  <c r="N9532" i="13" s="1"/>
  <c r="O9533" i="13" l="1"/>
  <c r="N9533" i="13" s="1"/>
  <c r="O9534" i="13" l="1"/>
  <c r="N9534" i="13" s="1"/>
  <c r="O9535" i="13" l="1"/>
  <c r="N9535" i="13" s="1"/>
  <c r="O9536" i="13" l="1"/>
  <c r="N9536" i="13" s="1"/>
  <c r="O9537" i="13" l="1"/>
  <c r="N9537" i="13" s="1"/>
  <c r="O9538" i="13" l="1"/>
  <c r="N9538" i="13" s="1"/>
  <c r="O9539" i="13" l="1"/>
  <c r="N9539" i="13" s="1"/>
  <c r="O9540" i="13" l="1"/>
  <c r="N9540" i="13" s="1"/>
  <c r="O9541" i="13" l="1"/>
  <c r="N9541" i="13" s="1"/>
  <c r="O9542" i="13" l="1"/>
  <c r="N9542" i="13" s="1"/>
  <c r="O9543" i="13" l="1"/>
  <c r="N9543" i="13" s="1"/>
  <c r="O9544" i="13" l="1"/>
  <c r="N9544" i="13" s="1"/>
  <c r="O9545" i="13" l="1"/>
  <c r="N9545" i="13" s="1"/>
  <c r="O9546" i="13" l="1"/>
  <c r="N9546" i="13" s="1"/>
  <c r="O9547" i="13" l="1"/>
  <c r="N9547" i="13" s="1"/>
  <c r="O9548" i="13" l="1"/>
  <c r="N9548" i="13" s="1"/>
  <c r="O9549" i="13" l="1"/>
  <c r="N9549" i="13" s="1"/>
  <c r="O9550" i="13" l="1"/>
  <c r="N9550" i="13" s="1"/>
  <c r="O9551" i="13" l="1"/>
  <c r="N9551" i="13" s="1"/>
  <c r="O9552" i="13" l="1"/>
  <c r="N9552" i="13" s="1"/>
  <c r="O9553" i="13" l="1"/>
  <c r="N9553" i="13" s="1"/>
  <c r="O9554" i="13" l="1"/>
  <c r="N9554" i="13" s="1"/>
  <c r="O9555" i="13" l="1"/>
  <c r="N9555" i="13" s="1"/>
  <c r="O9556" i="13" l="1"/>
  <c r="N9556" i="13" s="1"/>
  <c r="O9557" i="13" l="1"/>
  <c r="N9557" i="13" s="1"/>
  <c r="O9558" i="13" l="1"/>
  <c r="N9558" i="13" s="1"/>
  <c r="O9559" i="13" l="1"/>
  <c r="N9559" i="13" s="1"/>
  <c r="O9560" i="13" l="1"/>
  <c r="N9560" i="13" s="1"/>
  <c r="O9561" i="13" l="1"/>
  <c r="N9561" i="13" s="1"/>
  <c r="O9562" i="13" l="1"/>
  <c r="N9562" i="13" s="1"/>
  <c r="O9563" i="13" l="1"/>
  <c r="N9563" i="13" s="1"/>
  <c r="O9564" i="13" l="1"/>
  <c r="N9564" i="13" s="1"/>
  <c r="O9565" i="13" l="1"/>
  <c r="N9565" i="13" s="1"/>
  <c r="O9566" i="13" l="1"/>
  <c r="N9566" i="13" s="1"/>
  <c r="O9567" i="13" l="1"/>
  <c r="N9567" i="13" s="1"/>
  <c r="O9568" i="13" l="1"/>
  <c r="N9568" i="13" s="1"/>
  <c r="O9569" i="13" l="1"/>
  <c r="N9569" i="13" s="1"/>
  <c r="O9570" i="13" l="1"/>
  <c r="N9570" i="13" s="1"/>
  <c r="O9571" i="13" l="1"/>
  <c r="N9571" i="13" s="1"/>
  <c r="O9572" i="13" l="1"/>
  <c r="N9572" i="13" s="1"/>
  <c r="O9573" i="13" l="1"/>
  <c r="N9573" i="13" s="1"/>
  <c r="O9574" i="13" l="1"/>
  <c r="N9574" i="13" s="1"/>
  <c r="O9575" i="13" l="1"/>
  <c r="N9575" i="13" s="1"/>
  <c r="O9576" i="13" l="1"/>
  <c r="N9576" i="13" s="1"/>
  <c r="O9577" i="13" l="1"/>
  <c r="N9577" i="13" s="1"/>
  <c r="O9578" i="13" l="1"/>
  <c r="N9578" i="13" s="1"/>
  <c r="O9579" i="13" l="1"/>
  <c r="N9579" i="13" s="1"/>
  <c r="O9580" i="13" l="1"/>
  <c r="N9580" i="13" s="1"/>
  <c r="O9581" i="13" l="1"/>
  <c r="N9581" i="13" s="1"/>
  <c r="O9582" i="13" l="1"/>
  <c r="N9582" i="13" s="1"/>
  <c r="O9583" i="13" l="1"/>
  <c r="N9583" i="13" s="1"/>
  <c r="O9584" i="13" l="1"/>
  <c r="N9584" i="13" s="1"/>
  <c r="O9585" i="13" l="1"/>
  <c r="N9585" i="13" s="1"/>
  <c r="O9586" i="13" l="1"/>
  <c r="N9586" i="13" s="1"/>
  <c r="O9587" i="13" l="1"/>
  <c r="N9587" i="13" s="1"/>
  <c r="O9588" i="13" l="1"/>
  <c r="N9588" i="13" s="1"/>
  <c r="O9589" i="13" l="1"/>
  <c r="N9589" i="13" s="1"/>
  <c r="O9590" i="13" l="1"/>
  <c r="N9590" i="13" s="1"/>
  <c r="O9591" i="13" l="1"/>
  <c r="N9591" i="13" s="1"/>
  <c r="O9592" i="13" l="1"/>
  <c r="N9592" i="13" s="1"/>
  <c r="O9593" i="13" l="1"/>
  <c r="N9593" i="13" s="1"/>
  <c r="O9594" i="13" l="1"/>
  <c r="N9594" i="13" s="1"/>
  <c r="O9595" i="13" l="1"/>
  <c r="N9595" i="13" s="1"/>
  <c r="O9596" i="13" l="1"/>
  <c r="N9596" i="13" s="1"/>
  <c r="O9597" i="13" l="1"/>
  <c r="N9597" i="13" s="1"/>
  <c r="O9598" i="13" l="1"/>
  <c r="N9598" i="13" s="1"/>
  <c r="O9599" i="13" l="1"/>
  <c r="N9599" i="13" s="1"/>
  <c r="O9600" i="13" l="1"/>
  <c r="N9600" i="13" s="1"/>
  <c r="O9601" i="13" l="1"/>
  <c r="N9601" i="13" s="1"/>
  <c r="O9602" i="13" l="1"/>
  <c r="N9602" i="13" s="1"/>
  <c r="O9603" i="13" l="1"/>
  <c r="N9603" i="13" s="1"/>
  <c r="O9604" i="13" l="1"/>
  <c r="N9604" i="13" s="1"/>
  <c r="O9605" i="13" l="1"/>
  <c r="N9605" i="13" s="1"/>
  <c r="O9606" i="13" l="1"/>
  <c r="N9606" i="13" s="1"/>
  <c r="O9607" i="13" l="1"/>
  <c r="N9607" i="13" s="1"/>
  <c r="O9608" i="13" l="1"/>
  <c r="N9608" i="13" s="1"/>
  <c r="O9609" i="13" l="1"/>
  <c r="N9609" i="13" s="1"/>
  <c r="O9610" i="13" l="1"/>
  <c r="N9610" i="13" s="1"/>
  <c r="O9611" i="13" l="1"/>
  <c r="N9611" i="13" s="1"/>
  <c r="O9612" i="13" l="1"/>
  <c r="N9612" i="13" s="1"/>
  <c r="O9613" i="13" l="1"/>
  <c r="N9613" i="13" s="1"/>
  <c r="O9614" i="13" l="1"/>
  <c r="N9614" i="13" s="1"/>
  <c r="O9615" i="13" l="1"/>
  <c r="N9615" i="13" s="1"/>
  <c r="O9616" i="13" l="1"/>
  <c r="N9616" i="13" s="1"/>
  <c r="O9617" i="13" l="1"/>
  <c r="N9617" i="13" s="1"/>
  <c r="O9618" i="13" l="1"/>
  <c r="N9618" i="13" s="1"/>
  <c r="O9619" i="13" l="1"/>
  <c r="N9619" i="13" s="1"/>
  <c r="O9620" i="13" l="1"/>
  <c r="N9620" i="13" s="1"/>
  <c r="O9621" i="13" l="1"/>
  <c r="N9621" i="13" s="1"/>
  <c r="O9622" i="13" l="1"/>
  <c r="N9622" i="13" s="1"/>
  <c r="O9623" i="13" l="1"/>
  <c r="N9623" i="13" s="1"/>
  <c r="O9624" i="13" l="1"/>
  <c r="N9624" i="13" s="1"/>
  <c r="O9625" i="13" l="1"/>
  <c r="N9625" i="13" s="1"/>
  <c r="O9626" i="13" l="1"/>
  <c r="N9626" i="13" s="1"/>
  <c r="O9627" i="13" l="1"/>
  <c r="N9627" i="13" s="1"/>
  <c r="O9628" i="13" l="1"/>
  <c r="N9628" i="13" s="1"/>
  <c r="O9629" i="13" l="1"/>
  <c r="N9629" i="13" s="1"/>
  <c r="O9630" i="13" l="1"/>
  <c r="N9630" i="13" s="1"/>
  <c r="O9631" i="13" l="1"/>
  <c r="N9631" i="13" s="1"/>
  <c r="O9632" i="13" l="1"/>
  <c r="N9632" i="13" s="1"/>
  <c r="O9633" i="13" l="1"/>
  <c r="N9633" i="13" s="1"/>
  <c r="O9634" i="13" l="1"/>
  <c r="N9634" i="13" s="1"/>
  <c r="O9635" i="13" l="1"/>
  <c r="N9635" i="13" s="1"/>
  <c r="O9636" i="13" l="1"/>
  <c r="N9636" i="13" s="1"/>
  <c r="O9637" i="13" l="1"/>
  <c r="N9637" i="13" s="1"/>
  <c r="O9638" i="13" l="1"/>
  <c r="N9638" i="13" s="1"/>
  <c r="O9639" i="13" l="1"/>
  <c r="N9639" i="13" s="1"/>
  <c r="O9640" i="13" l="1"/>
  <c r="N9640" i="13" s="1"/>
  <c r="O9641" i="13" l="1"/>
  <c r="N9641" i="13" s="1"/>
  <c r="O9642" i="13" l="1"/>
  <c r="N9642" i="13" s="1"/>
  <c r="O9643" i="13" l="1"/>
  <c r="N9643" i="13" s="1"/>
  <c r="O9644" i="13" l="1"/>
  <c r="N9644" i="13" s="1"/>
  <c r="O9645" i="13" l="1"/>
  <c r="N9645" i="13" s="1"/>
  <c r="O9646" i="13" l="1"/>
  <c r="N9646" i="13" s="1"/>
  <c r="O9647" i="13" l="1"/>
  <c r="N9647" i="13" s="1"/>
  <c r="O9648" i="13" l="1"/>
  <c r="N9648" i="13" s="1"/>
  <c r="O9649" i="13" l="1"/>
  <c r="N9649" i="13" s="1"/>
  <c r="O9650" i="13" l="1"/>
  <c r="N9650" i="13" s="1"/>
  <c r="O9651" i="13" l="1"/>
  <c r="N9651" i="13" s="1"/>
  <c r="O9652" i="13" l="1"/>
  <c r="N9652" i="13" s="1"/>
  <c r="O9653" i="13" l="1"/>
  <c r="N9653" i="13" s="1"/>
  <c r="O9654" i="13" l="1"/>
  <c r="N9654" i="13" s="1"/>
  <c r="O9655" i="13" l="1"/>
  <c r="N9655" i="13" s="1"/>
  <c r="O9656" i="13" l="1"/>
  <c r="N9656" i="13" s="1"/>
  <c r="O9657" i="13" l="1"/>
  <c r="N9657" i="13" s="1"/>
  <c r="O9658" i="13" l="1"/>
  <c r="N9658" i="13" s="1"/>
  <c r="O9659" i="13" l="1"/>
  <c r="N9659" i="13" s="1"/>
  <c r="O9660" i="13" l="1"/>
  <c r="N9660" i="13" s="1"/>
  <c r="O9661" i="13" l="1"/>
  <c r="N9661" i="13" s="1"/>
  <c r="O9662" i="13" l="1"/>
  <c r="N9662" i="13" s="1"/>
  <c r="O9663" i="13" l="1"/>
  <c r="N9663" i="13" s="1"/>
  <c r="O9664" i="13" l="1"/>
  <c r="N9664" i="13" s="1"/>
  <c r="O9665" i="13" l="1"/>
  <c r="N9665" i="13" s="1"/>
  <c r="O9666" i="13" l="1"/>
  <c r="N9666" i="13" s="1"/>
  <c r="O9667" i="13" l="1"/>
  <c r="N9667" i="13" s="1"/>
  <c r="O9668" i="13" l="1"/>
  <c r="N9668" i="13" s="1"/>
  <c r="O9669" i="13" l="1"/>
  <c r="N9669" i="13" s="1"/>
  <c r="O9670" i="13" l="1"/>
  <c r="N9670" i="13" s="1"/>
  <c r="O9671" i="13" l="1"/>
  <c r="N9671" i="13" s="1"/>
  <c r="O9672" i="13" l="1"/>
  <c r="N9672" i="13" s="1"/>
  <c r="O9673" i="13" l="1"/>
  <c r="N9673" i="13" s="1"/>
  <c r="O9674" i="13" l="1"/>
  <c r="N9674" i="13" s="1"/>
  <c r="O9675" i="13" l="1"/>
  <c r="N9675" i="13" s="1"/>
  <c r="O9676" i="13" l="1"/>
  <c r="N9676" i="13" s="1"/>
  <c r="O9677" i="13" l="1"/>
  <c r="N9677" i="13" s="1"/>
  <c r="O9678" i="13" l="1"/>
  <c r="N9678" i="13" s="1"/>
  <c r="O9679" i="13" l="1"/>
  <c r="N9679" i="13" s="1"/>
  <c r="O9680" i="13" l="1"/>
  <c r="N9680" i="13" s="1"/>
  <c r="O9681" i="13" l="1"/>
  <c r="N9681" i="13" s="1"/>
  <c r="O9682" i="13" l="1"/>
  <c r="N9682" i="13" s="1"/>
  <c r="O9683" i="13" l="1"/>
  <c r="N9683" i="13" s="1"/>
  <c r="O9684" i="13" l="1"/>
  <c r="N9684" i="13" s="1"/>
  <c r="O9685" i="13" l="1"/>
  <c r="N9685" i="13" s="1"/>
  <c r="O9686" i="13" l="1"/>
  <c r="N9686" i="13" s="1"/>
  <c r="O9687" i="13" l="1"/>
  <c r="N9687" i="13" s="1"/>
  <c r="O9688" i="13" l="1"/>
  <c r="N9688" i="13" s="1"/>
  <c r="O9689" i="13" l="1"/>
  <c r="N9689" i="13" s="1"/>
  <c r="O9690" i="13" l="1"/>
  <c r="N9690" i="13" s="1"/>
  <c r="O9691" i="13" l="1"/>
  <c r="N9691" i="13" s="1"/>
  <c r="O9692" i="13" l="1"/>
  <c r="N9692" i="13" s="1"/>
  <c r="O9693" i="13" l="1"/>
  <c r="N9693" i="13" s="1"/>
  <c r="O9694" i="13" l="1"/>
  <c r="N9694" i="13" s="1"/>
  <c r="O9695" i="13" l="1"/>
  <c r="N9695" i="13" s="1"/>
  <c r="O9696" i="13" l="1"/>
  <c r="N9696" i="13" s="1"/>
  <c r="O9697" i="13" l="1"/>
  <c r="N9697" i="13" s="1"/>
  <c r="O9698" i="13" l="1"/>
  <c r="N9698" i="13" s="1"/>
  <c r="O9699" i="13" l="1"/>
  <c r="N9699" i="13" s="1"/>
  <c r="O9700" i="13" l="1"/>
  <c r="N9700" i="13" s="1"/>
  <c r="O9701" i="13" l="1"/>
  <c r="N9701" i="13" s="1"/>
  <c r="O9702" i="13" l="1"/>
  <c r="N9702" i="13" s="1"/>
  <c r="O9703" i="13" l="1"/>
  <c r="N9703" i="13" s="1"/>
  <c r="O9704" i="13" l="1"/>
  <c r="N9704" i="13" s="1"/>
  <c r="O9705" i="13" l="1"/>
  <c r="N9705" i="13" s="1"/>
  <c r="O9706" i="13" l="1"/>
  <c r="N9706" i="13" s="1"/>
  <c r="O9707" i="13" l="1"/>
  <c r="N9707" i="13" s="1"/>
  <c r="O9708" i="13" l="1"/>
  <c r="N9708" i="13" s="1"/>
  <c r="O9709" i="13" l="1"/>
  <c r="N9709" i="13" s="1"/>
  <c r="O9710" i="13" l="1"/>
  <c r="N9710" i="13" s="1"/>
  <c r="O9711" i="13" l="1"/>
  <c r="N9711" i="13" s="1"/>
  <c r="O9712" i="13" l="1"/>
  <c r="N9712" i="13" s="1"/>
  <c r="O9713" i="13" l="1"/>
  <c r="N9713" i="13" s="1"/>
  <c r="O9714" i="13" l="1"/>
  <c r="N9714" i="13" s="1"/>
  <c r="O9715" i="13" l="1"/>
  <c r="N9715" i="13" s="1"/>
  <c r="O9716" i="13" l="1"/>
  <c r="N9716" i="13" s="1"/>
  <c r="O9717" i="13" l="1"/>
  <c r="N9717" i="13" s="1"/>
  <c r="O9718" i="13" l="1"/>
  <c r="N9718" i="13" s="1"/>
  <c r="O9719" i="13" l="1"/>
  <c r="N9719" i="13" s="1"/>
  <c r="O9720" i="13" l="1"/>
  <c r="N9720" i="13" s="1"/>
  <c r="O9721" i="13" l="1"/>
  <c r="N9721" i="13" s="1"/>
  <c r="O9722" i="13" l="1"/>
  <c r="N9722" i="13" s="1"/>
  <c r="O9723" i="13" l="1"/>
  <c r="N9723" i="13" s="1"/>
  <c r="O9724" i="13" l="1"/>
  <c r="N9724" i="13" s="1"/>
  <c r="O9725" i="13" l="1"/>
  <c r="N9725" i="13" s="1"/>
  <c r="O9726" i="13" l="1"/>
  <c r="N9726" i="13" s="1"/>
  <c r="O9727" i="13" l="1"/>
  <c r="N9727" i="13" s="1"/>
  <c r="O9728" i="13" l="1"/>
  <c r="N9728" i="13" s="1"/>
  <c r="O9729" i="13" l="1"/>
  <c r="N9729" i="13" s="1"/>
  <c r="O9730" i="13" l="1"/>
  <c r="N9730" i="13" s="1"/>
  <c r="O9731" i="13" l="1"/>
  <c r="N9731" i="13" s="1"/>
  <c r="O9732" i="13" l="1"/>
  <c r="N9732" i="13" s="1"/>
  <c r="O9733" i="13" l="1"/>
  <c r="N9733" i="13" s="1"/>
  <c r="O9734" i="13" l="1"/>
  <c r="N9734" i="13" s="1"/>
  <c r="O9735" i="13" l="1"/>
  <c r="N9735" i="13" s="1"/>
  <c r="O9736" i="13" l="1"/>
  <c r="N9736" i="13" s="1"/>
  <c r="O9737" i="13" l="1"/>
  <c r="N9737" i="13" s="1"/>
  <c r="O9738" i="13" l="1"/>
  <c r="N9738" i="13" s="1"/>
  <c r="O9739" i="13" l="1"/>
  <c r="N9739" i="13" s="1"/>
  <c r="O9740" i="13" l="1"/>
  <c r="N9740" i="13" s="1"/>
  <c r="O9741" i="13" l="1"/>
  <c r="N9741" i="13" s="1"/>
  <c r="O9742" i="13" l="1"/>
  <c r="N9742" i="13" s="1"/>
  <c r="O9743" i="13" l="1"/>
  <c r="N9743" i="13" s="1"/>
  <c r="O9744" i="13" l="1"/>
  <c r="N9744" i="13" s="1"/>
  <c r="O9745" i="13" l="1"/>
  <c r="N9745" i="13" s="1"/>
  <c r="O9746" i="13" l="1"/>
  <c r="N9746" i="13" s="1"/>
  <c r="O9747" i="13" l="1"/>
  <c r="N9747" i="13" s="1"/>
  <c r="O9748" i="13" l="1"/>
  <c r="N9748" i="13" s="1"/>
  <c r="O9749" i="13" l="1"/>
  <c r="N9749" i="13" s="1"/>
  <c r="O9750" i="13" l="1"/>
  <c r="N9750" i="13" s="1"/>
  <c r="O9751" i="13" l="1"/>
  <c r="N9751" i="13" s="1"/>
  <c r="O9752" i="13" l="1"/>
  <c r="N9752" i="13" s="1"/>
  <c r="O9753" i="13" l="1"/>
  <c r="N9753" i="13" s="1"/>
  <c r="O9754" i="13" l="1"/>
  <c r="N9754" i="13" s="1"/>
  <c r="O9755" i="13" l="1"/>
  <c r="N9755" i="13" s="1"/>
  <c r="O9756" i="13" l="1"/>
  <c r="N9756" i="13" s="1"/>
  <c r="O9757" i="13" l="1"/>
  <c r="N9757" i="13" s="1"/>
  <c r="O9758" i="13" l="1"/>
  <c r="N9758" i="13" s="1"/>
  <c r="O9759" i="13" l="1"/>
  <c r="N9759" i="13" s="1"/>
  <c r="O9760" i="13" l="1"/>
  <c r="N9760" i="13" s="1"/>
  <c r="O9761" i="13" l="1"/>
  <c r="N9761" i="13" s="1"/>
  <c r="O9762" i="13" l="1"/>
  <c r="N9762" i="13" s="1"/>
  <c r="O9763" i="13" l="1"/>
  <c r="N9763" i="13" s="1"/>
  <c r="O9764" i="13" l="1"/>
  <c r="N9764" i="13" s="1"/>
  <c r="O9765" i="13" l="1"/>
  <c r="N9765" i="13" s="1"/>
  <c r="O9766" i="13" l="1"/>
  <c r="N9766" i="13" s="1"/>
  <c r="O9767" i="13" l="1"/>
  <c r="N9767" i="13" s="1"/>
  <c r="O9768" i="13" l="1"/>
  <c r="N9768" i="13" s="1"/>
  <c r="O9769" i="13" l="1"/>
  <c r="N9769" i="13" s="1"/>
  <c r="O9770" i="13" l="1"/>
  <c r="N9770" i="13" s="1"/>
  <c r="O9771" i="13" l="1"/>
  <c r="N9771" i="13" s="1"/>
  <c r="O9772" i="13" l="1"/>
  <c r="N9772" i="13" s="1"/>
  <c r="O9773" i="13" l="1"/>
  <c r="N9773" i="13" s="1"/>
  <c r="O9774" i="13" l="1"/>
  <c r="N9774" i="13" s="1"/>
  <c r="O9775" i="13" l="1"/>
  <c r="N9775" i="13" s="1"/>
  <c r="O9776" i="13" l="1"/>
  <c r="N9776" i="13" s="1"/>
  <c r="O9777" i="13" l="1"/>
  <c r="N9777" i="13" s="1"/>
  <c r="O9778" i="13" l="1"/>
  <c r="N9778" i="13" s="1"/>
  <c r="O9779" i="13" l="1"/>
  <c r="N9779" i="13" s="1"/>
  <c r="O9780" i="13" l="1"/>
  <c r="N9780" i="13" s="1"/>
  <c r="O9781" i="13" l="1"/>
  <c r="N9781" i="13" s="1"/>
  <c r="O9782" i="13" l="1"/>
  <c r="N9782" i="13" s="1"/>
  <c r="O9783" i="13" l="1"/>
  <c r="N9783" i="13" s="1"/>
  <c r="O9784" i="13" l="1"/>
  <c r="N9784" i="13" s="1"/>
  <c r="O9785" i="13" l="1"/>
  <c r="N9785" i="13" s="1"/>
  <c r="O9786" i="13" l="1"/>
  <c r="N9786" i="13" s="1"/>
  <c r="O9787" i="13" l="1"/>
  <c r="N9787" i="13" s="1"/>
  <c r="O9788" i="13" l="1"/>
  <c r="N9788" i="13" s="1"/>
  <c r="O9789" i="13" l="1"/>
  <c r="N9789" i="13" s="1"/>
  <c r="O9790" i="13" l="1"/>
  <c r="N9790" i="13" s="1"/>
  <c r="O9791" i="13" l="1"/>
  <c r="N9791" i="13" s="1"/>
  <c r="O9792" i="13" l="1"/>
  <c r="N9792" i="13" s="1"/>
  <c r="O9793" i="13" l="1"/>
  <c r="N9793" i="13" s="1"/>
  <c r="O9794" i="13" l="1"/>
  <c r="N9794" i="13" s="1"/>
  <c r="O9795" i="13" l="1"/>
  <c r="N9795" i="13" s="1"/>
  <c r="O9796" i="13" l="1"/>
  <c r="N9796" i="13" s="1"/>
  <c r="O9797" i="13" l="1"/>
  <c r="N9797" i="13" s="1"/>
  <c r="O9798" i="13" l="1"/>
  <c r="N9798" i="13" s="1"/>
  <c r="O9799" i="13" l="1"/>
  <c r="N9799" i="13" s="1"/>
  <c r="O9800" i="13" l="1"/>
  <c r="N9800" i="13" s="1"/>
  <c r="O9801" i="13" l="1"/>
  <c r="N9801" i="13" s="1"/>
  <c r="O9802" i="13" l="1"/>
  <c r="N9802" i="13" s="1"/>
  <c r="O9803" i="13" l="1"/>
  <c r="N9803" i="13" s="1"/>
  <c r="O9804" i="13" l="1"/>
  <c r="N9804" i="13" s="1"/>
  <c r="O9805" i="13" l="1"/>
  <c r="N9805" i="13" s="1"/>
  <c r="O9806" i="13" l="1"/>
  <c r="N9806" i="13" s="1"/>
  <c r="O9807" i="13" l="1"/>
  <c r="N9807" i="13" s="1"/>
  <c r="O9808" i="13" l="1"/>
  <c r="N9808" i="13" s="1"/>
  <c r="O9809" i="13" l="1"/>
  <c r="N9809" i="13" s="1"/>
  <c r="O9810" i="13" l="1"/>
  <c r="N9810" i="13" s="1"/>
  <c r="O9811" i="13" l="1"/>
  <c r="N9811" i="13" s="1"/>
  <c r="O9812" i="13" l="1"/>
  <c r="N9812" i="13" s="1"/>
  <c r="O9813" i="13" l="1"/>
  <c r="N9813" i="13" s="1"/>
  <c r="O9814" i="13" l="1"/>
  <c r="N9814" i="13" s="1"/>
  <c r="O9815" i="13" l="1"/>
  <c r="N9815" i="13" s="1"/>
  <c r="O9816" i="13" l="1"/>
  <c r="N9816" i="13" s="1"/>
  <c r="O9817" i="13" l="1"/>
  <c r="N9817" i="13" s="1"/>
  <c r="O9818" i="13" l="1"/>
  <c r="N9818" i="13" s="1"/>
  <c r="O9819" i="13" l="1"/>
  <c r="N9819" i="13" s="1"/>
  <c r="O9820" i="13" l="1"/>
  <c r="N9820" i="13" s="1"/>
  <c r="O9821" i="13" l="1"/>
  <c r="N9821" i="13" s="1"/>
  <c r="O9822" i="13" l="1"/>
  <c r="N9822" i="13" s="1"/>
  <c r="O9823" i="13" l="1"/>
  <c r="N9823" i="13" s="1"/>
  <c r="O9824" i="13" l="1"/>
  <c r="N9824" i="13" s="1"/>
  <c r="O9825" i="13" l="1"/>
  <c r="N9825" i="13" s="1"/>
  <c r="O9826" i="13" l="1"/>
  <c r="N9826" i="13" s="1"/>
  <c r="O9827" i="13" l="1"/>
  <c r="N9827" i="13" s="1"/>
  <c r="O9828" i="13" l="1"/>
  <c r="N9828" i="13" s="1"/>
  <c r="O9829" i="13" l="1"/>
  <c r="N9829" i="13" s="1"/>
  <c r="O9830" i="13" l="1"/>
  <c r="N9830" i="13" s="1"/>
  <c r="O9831" i="13" l="1"/>
  <c r="N9831" i="13" s="1"/>
  <c r="O9832" i="13" l="1"/>
  <c r="N9832" i="13" s="1"/>
  <c r="O9833" i="13" l="1"/>
  <c r="N9833" i="13" s="1"/>
  <c r="O9834" i="13" l="1"/>
  <c r="N9834" i="13" s="1"/>
  <c r="O9835" i="13" l="1"/>
  <c r="N9835" i="13" s="1"/>
  <c r="O9836" i="13" l="1"/>
  <c r="N9836" i="13" s="1"/>
  <c r="O9837" i="13" l="1"/>
  <c r="N9837" i="13" s="1"/>
  <c r="O9838" i="13" l="1"/>
  <c r="N9838" i="13" s="1"/>
  <c r="O9839" i="13" l="1"/>
  <c r="N9839" i="13" s="1"/>
  <c r="O9840" i="13" l="1"/>
  <c r="N9840" i="13" s="1"/>
  <c r="O9841" i="13" l="1"/>
  <c r="N9841" i="13" s="1"/>
  <c r="O9842" i="13" l="1"/>
  <c r="N9842" i="13" s="1"/>
  <c r="O9843" i="13" l="1"/>
  <c r="N9843" i="13" s="1"/>
  <c r="O9844" i="13" l="1"/>
  <c r="N9844" i="13" s="1"/>
  <c r="O9845" i="13" l="1"/>
  <c r="N9845" i="13" s="1"/>
  <c r="O9846" i="13" l="1"/>
  <c r="N9846" i="13" s="1"/>
  <c r="O9847" i="13" l="1"/>
  <c r="N9847" i="13" s="1"/>
  <c r="O9848" i="13" l="1"/>
  <c r="N9848" i="13" s="1"/>
  <c r="O9849" i="13" l="1"/>
  <c r="N9849" i="13" s="1"/>
  <c r="O9850" i="13" l="1"/>
  <c r="N9850" i="13" s="1"/>
  <c r="O9851" i="13" l="1"/>
  <c r="N9851" i="13" s="1"/>
  <c r="O9852" i="13" l="1"/>
  <c r="N9852" i="13" s="1"/>
  <c r="O9853" i="13" l="1"/>
  <c r="N9853" i="13" s="1"/>
  <c r="O9854" i="13" l="1"/>
  <c r="N9854" i="13" s="1"/>
  <c r="O9855" i="13" l="1"/>
  <c r="N9855" i="13" s="1"/>
  <c r="O9856" i="13" l="1"/>
  <c r="N9856" i="13" s="1"/>
  <c r="O9857" i="13" l="1"/>
  <c r="N9857" i="13" s="1"/>
  <c r="O9858" i="13" l="1"/>
  <c r="N9858" i="13" s="1"/>
  <c r="O9859" i="13" l="1"/>
  <c r="N9859" i="13" s="1"/>
  <c r="O9860" i="13" l="1"/>
  <c r="N9860" i="13" s="1"/>
  <c r="O9861" i="13" l="1"/>
  <c r="N9861" i="13" s="1"/>
  <c r="O9862" i="13" l="1"/>
  <c r="N9862" i="13" s="1"/>
  <c r="O9863" i="13" l="1"/>
  <c r="N9863" i="13" s="1"/>
  <c r="O9864" i="13" l="1"/>
  <c r="N9864" i="13" s="1"/>
  <c r="O9865" i="13" l="1"/>
  <c r="N9865" i="13" s="1"/>
  <c r="O9866" i="13" l="1"/>
  <c r="N9866" i="13" s="1"/>
  <c r="O9867" i="13" l="1"/>
  <c r="N9867" i="13" s="1"/>
  <c r="O9868" i="13" l="1"/>
  <c r="N9868" i="13" s="1"/>
  <c r="O9869" i="13" l="1"/>
  <c r="N9869" i="13" s="1"/>
  <c r="O9870" i="13" l="1"/>
  <c r="N9870" i="13" s="1"/>
  <c r="O9871" i="13" l="1"/>
  <c r="N9871" i="13" s="1"/>
  <c r="O9872" i="13" l="1"/>
  <c r="N9872" i="13" s="1"/>
  <c r="O9873" i="13" l="1"/>
  <c r="N9873" i="13" s="1"/>
  <c r="O9874" i="13" l="1"/>
  <c r="N9874" i="13" s="1"/>
  <c r="O9875" i="13" l="1"/>
  <c r="N9875" i="13" s="1"/>
  <c r="O9876" i="13" l="1"/>
  <c r="N9876" i="13" s="1"/>
  <c r="O9877" i="13" l="1"/>
  <c r="N9877" i="13" s="1"/>
  <c r="O9878" i="13" l="1"/>
  <c r="N9878" i="13" s="1"/>
  <c r="O9879" i="13" l="1"/>
  <c r="N9879" i="13" s="1"/>
  <c r="O9880" i="13" l="1"/>
  <c r="N9880" i="13" s="1"/>
  <c r="O9881" i="13" l="1"/>
  <c r="N9881" i="13" s="1"/>
  <c r="O9882" i="13" l="1"/>
  <c r="N9882" i="13" s="1"/>
  <c r="O9883" i="13" l="1"/>
  <c r="N9883" i="13" s="1"/>
  <c r="O9884" i="13" l="1"/>
  <c r="N9884" i="13" s="1"/>
  <c r="O9885" i="13" l="1"/>
  <c r="N9885" i="13" s="1"/>
  <c r="O9886" i="13" l="1"/>
  <c r="N9886" i="13" s="1"/>
  <c r="O9887" i="13" l="1"/>
  <c r="N9887" i="13" s="1"/>
  <c r="O9888" i="13" l="1"/>
  <c r="N9888" i="13" s="1"/>
  <c r="O9889" i="13" l="1"/>
  <c r="N9889" i="13" s="1"/>
  <c r="O9890" i="13" l="1"/>
  <c r="N9890" i="13" s="1"/>
  <c r="O9891" i="13" l="1"/>
  <c r="N9891" i="13" s="1"/>
  <c r="O9892" i="13" l="1"/>
  <c r="N9892" i="13" s="1"/>
  <c r="O9893" i="13" l="1"/>
  <c r="N9893" i="13" s="1"/>
  <c r="O9894" i="13" l="1"/>
  <c r="N9894" i="13" s="1"/>
  <c r="O9895" i="13" l="1"/>
  <c r="N9895" i="13" s="1"/>
  <c r="O9896" i="13" l="1"/>
  <c r="N9896" i="13" s="1"/>
  <c r="O9897" i="13" l="1"/>
  <c r="N9897" i="13" s="1"/>
  <c r="O9898" i="13" l="1"/>
  <c r="N9898" i="13" s="1"/>
  <c r="O9899" i="13" l="1"/>
  <c r="N9899" i="13" s="1"/>
  <c r="O9900" i="13" l="1"/>
  <c r="N9900" i="13" s="1"/>
  <c r="O9901" i="13" l="1"/>
  <c r="N9901" i="13" s="1"/>
  <c r="O9902" i="13" l="1"/>
  <c r="N9902" i="13" s="1"/>
  <c r="O9903" i="13" l="1"/>
  <c r="N9903" i="13" s="1"/>
  <c r="O9904" i="13" l="1"/>
  <c r="N9904" i="13" s="1"/>
  <c r="O9905" i="13" l="1"/>
  <c r="N9905" i="13" s="1"/>
  <c r="O9906" i="13" l="1"/>
  <c r="N9906" i="13" s="1"/>
  <c r="O9907" i="13" l="1"/>
  <c r="N9907" i="13" s="1"/>
  <c r="O9908" i="13" l="1"/>
  <c r="N9908" i="13" s="1"/>
  <c r="O9909" i="13" l="1"/>
  <c r="N9909" i="13" s="1"/>
  <c r="O9910" i="13" l="1"/>
  <c r="N9910" i="13" s="1"/>
  <c r="O9911" i="13" l="1"/>
  <c r="N9911" i="13" s="1"/>
  <c r="O9912" i="13" l="1"/>
  <c r="N9912" i="13" s="1"/>
  <c r="O9913" i="13" l="1"/>
  <c r="N9913" i="13" s="1"/>
  <c r="O9914" i="13" l="1"/>
  <c r="N9914" i="13" s="1"/>
  <c r="O9915" i="13" l="1"/>
  <c r="N9915" i="13" s="1"/>
  <c r="O9916" i="13" l="1"/>
  <c r="N9916" i="13" s="1"/>
  <c r="O9917" i="13" l="1"/>
  <c r="N9917" i="13" s="1"/>
  <c r="O9918" i="13" l="1"/>
  <c r="N9918" i="13" s="1"/>
  <c r="O9919" i="13" l="1"/>
  <c r="N9919" i="13" s="1"/>
  <c r="O9920" i="13" l="1"/>
  <c r="N9920" i="13" s="1"/>
  <c r="O9921" i="13" l="1"/>
  <c r="N9921" i="13" s="1"/>
  <c r="O9922" i="13" l="1"/>
  <c r="N9922" i="13" s="1"/>
  <c r="O9923" i="13" l="1"/>
  <c r="N9923" i="13" s="1"/>
  <c r="O9924" i="13" l="1"/>
  <c r="N9924" i="13" s="1"/>
  <c r="O9925" i="13" l="1"/>
  <c r="N9925" i="13" s="1"/>
  <c r="O9926" i="13" l="1"/>
  <c r="N9926" i="13" s="1"/>
  <c r="O9927" i="13" l="1"/>
  <c r="N9927" i="13" s="1"/>
  <c r="O9928" i="13" l="1"/>
  <c r="N9928" i="13" s="1"/>
  <c r="O9929" i="13" l="1"/>
  <c r="N9929" i="13" s="1"/>
  <c r="O9930" i="13" l="1"/>
  <c r="N9930" i="13" s="1"/>
  <c r="O9931" i="13" l="1"/>
  <c r="N9931" i="13" s="1"/>
  <c r="O9932" i="13" l="1"/>
  <c r="N9932" i="13" s="1"/>
  <c r="O9933" i="13" l="1"/>
  <c r="N9933" i="13" s="1"/>
  <c r="O9934" i="13" l="1"/>
  <c r="N9934" i="13" s="1"/>
  <c r="O9935" i="13" l="1"/>
  <c r="N9935" i="13" s="1"/>
  <c r="O9936" i="13" l="1"/>
  <c r="N9936" i="13" s="1"/>
  <c r="O9937" i="13" l="1"/>
  <c r="N9937" i="13" s="1"/>
  <c r="O9938" i="13" l="1"/>
  <c r="N9938" i="13" s="1"/>
  <c r="O9939" i="13" l="1"/>
  <c r="N9939" i="13" s="1"/>
  <c r="O9940" i="13" l="1"/>
  <c r="N9940" i="13" s="1"/>
  <c r="O9941" i="13" l="1"/>
  <c r="N9941" i="13" s="1"/>
  <c r="O9942" i="13" l="1"/>
  <c r="N9942" i="13" s="1"/>
  <c r="O9943" i="13" l="1"/>
  <c r="N9943" i="13" s="1"/>
  <c r="O9944" i="13" l="1"/>
  <c r="N9944" i="13" s="1"/>
  <c r="O9945" i="13" l="1"/>
  <c r="N9945" i="13" s="1"/>
  <c r="O9946" i="13" l="1"/>
  <c r="N9946" i="13" s="1"/>
  <c r="O9947" i="13" l="1"/>
  <c r="N9947" i="13" s="1"/>
  <c r="O9948" i="13" l="1"/>
  <c r="N9948" i="13" s="1"/>
  <c r="O9949" i="13" l="1"/>
  <c r="N9949" i="13" s="1"/>
  <c r="O9950" i="13" l="1"/>
  <c r="N9950" i="13" s="1"/>
  <c r="O9951" i="13" l="1"/>
  <c r="N9951" i="13" s="1"/>
  <c r="O9952" i="13" l="1"/>
  <c r="N9952" i="13" s="1"/>
  <c r="O9953" i="13" l="1"/>
  <c r="N9953" i="13" s="1"/>
  <c r="O9954" i="13" l="1"/>
  <c r="N9954" i="13" s="1"/>
  <c r="O9955" i="13" l="1"/>
  <c r="N9955" i="13" s="1"/>
  <c r="O9956" i="13" l="1"/>
  <c r="N9956" i="13" s="1"/>
  <c r="O9957" i="13" l="1"/>
  <c r="N9957" i="13" s="1"/>
  <c r="O9958" i="13" l="1"/>
  <c r="N9958" i="13" s="1"/>
  <c r="O9959" i="13" l="1"/>
  <c r="N9959" i="13" s="1"/>
  <c r="O9960" i="13" l="1"/>
  <c r="N9960" i="13" s="1"/>
  <c r="O9961" i="13" l="1"/>
  <c r="N9961" i="13" s="1"/>
  <c r="O9962" i="13" l="1"/>
  <c r="N9962" i="13" s="1"/>
  <c r="O9963" i="13" l="1"/>
  <c r="N9963" i="13" s="1"/>
  <c r="O9964" i="13" l="1"/>
  <c r="N9964" i="13" s="1"/>
  <c r="O9965" i="13" l="1"/>
  <c r="N9965" i="13" s="1"/>
  <c r="O9966" i="13" l="1"/>
  <c r="N9966" i="13" s="1"/>
  <c r="O9967" i="13" l="1"/>
  <c r="N9967" i="13" s="1"/>
  <c r="O9968" i="13" l="1"/>
  <c r="N9968" i="13" s="1"/>
  <c r="O9969" i="13" l="1"/>
  <c r="N9969" i="13" s="1"/>
  <c r="O9970" i="13" l="1"/>
  <c r="N9970" i="13" s="1"/>
  <c r="O9971" i="13" l="1"/>
  <c r="N9971" i="13" s="1"/>
  <c r="O9972" i="13" l="1"/>
  <c r="N9972" i="13" s="1"/>
  <c r="O9973" i="13" l="1"/>
  <c r="N9973" i="13" s="1"/>
  <c r="O9974" i="13" l="1"/>
  <c r="N9974" i="13" s="1"/>
  <c r="O9975" i="13" l="1"/>
  <c r="N9975" i="13" s="1"/>
  <c r="O9976" i="13" l="1"/>
  <c r="N9976" i="13" s="1"/>
  <c r="O9977" i="13" l="1"/>
  <c r="N9977" i="13" s="1"/>
  <c r="O9978" i="13" l="1"/>
  <c r="N9978" i="13" s="1"/>
  <c r="O9979" i="13" l="1"/>
  <c r="N9979" i="13" s="1"/>
  <c r="O9980" i="13" l="1"/>
  <c r="N9980" i="13" s="1"/>
  <c r="O9981" i="13" l="1"/>
  <c r="N9981" i="13" s="1"/>
  <c r="O9982" i="13" l="1"/>
  <c r="N9982" i="13" s="1"/>
  <c r="O9983" i="13" l="1"/>
  <c r="N9983" i="13" s="1"/>
  <c r="O9984" i="13" l="1"/>
  <c r="N9984" i="13" s="1"/>
  <c r="O9985" i="13" l="1"/>
  <c r="N9985" i="13" s="1"/>
  <c r="O9986" i="13" l="1"/>
  <c r="N9986" i="13" s="1"/>
  <c r="O9987" i="13" l="1"/>
  <c r="N9987" i="13" s="1"/>
  <c r="O9988" i="13" l="1"/>
  <c r="N9988" i="13" s="1"/>
  <c r="O9989" i="13" l="1"/>
  <c r="N9989" i="13" s="1"/>
  <c r="O9990" i="13" l="1"/>
  <c r="N9990" i="13" s="1"/>
  <c r="O9991" i="13" l="1"/>
  <c r="N9991" i="13" s="1"/>
  <c r="O9992" i="13" l="1"/>
  <c r="N9992" i="13" s="1"/>
  <c r="O9993" i="13" l="1"/>
  <c r="N9993" i="13" s="1"/>
  <c r="O9994" i="13" l="1"/>
  <c r="N9994" i="13" s="1"/>
  <c r="O9995" i="13" l="1"/>
  <c r="N9995" i="13" s="1"/>
  <c r="O9996" i="13" l="1"/>
  <c r="N9996" i="13" s="1"/>
  <c r="O9997" i="13" l="1"/>
  <c r="N9997" i="13" s="1"/>
  <c r="O9998" i="13" l="1"/>
  <c r="N9998" i="13" s="1"/>
  <c r="O9999" i="13" l="1"/>
  <c r="N9999" i="13" s="1"/>
  <c r="O10000" i="13" l="1"/>
  <c r="N10000" i="13" s="1"/>
  <c r="O10001" i="13" l="1"/>
  <c r="N10001" i="13" s="1"/>
  <c r="O10002" i="13" l="1"/>
  <c r="N10002" i="13" s="1"/>
  <c r="O10003" i="13" l="1"/>
  <c r="N10003" i="13" s="1"/>
  <c r="O10004" i="13" l="1"/>
  <c r="N10004" i="13" s="1"/>
  <c r="O10005" i="13" l="1"/>
  <c r="N10005" i="13" s="1"/>
  <c r="O10006" i="13" l="1"/>
  <c r="N10006" i="13" s="1"/>
  <c r="O10007" i="13" l="1"/>
  <c r="N10007" i="13" s="1"/>
  <c r="O10008" i="13" l="1"/>
  <c r="N10008" i="13" s="1"/>
  <c r="O10009" i="13" l="1"/>
  <c r="N10009" i="13" s="1"/>
  <c r="O10010" i="13" l="1"/>
  <c r="N10010" i="13" s="1"/>
  <c r="O10011" i="13" l="1"/>
  <c r="N10011" i="13" s="1"/>
  <c r="O10012" i="13" l="1"/>
  <c r="N10012" i="13" s="1"/>
  <c r="O10013" i="13" l="1"/>
  <c r="N10013" i="13" s="1"/>
  <c r="O10014" i="13" l="1"/>
  <c r="N10014" i="13" s="1"/>
  <c r="O10015" i="13" l="1"/>
  <c r="N10015" i="13" s="1"/>
  <c r="O10016" i="13" l="1"/>
  <c r="N10016" i="13" s="1"/>
  <c r="O10017" i="13" l="1"/>
  <c r="N10017" i="13" s="1"/>
  <c r="O10018" i="13" l="1"/>
  <c r="N10018" i="13" s="1"/>
  <c r="O10019" i="13" l="1"/>
  <c r="N10019" i="13" s="1"/>
  <c r="O10020" i="13" l="1"/>
  <c r="N10020" i="13" s="1"/>
  <c r="O10021" i="13" l="1"/>
  <c r="N10021" i="13" s="1"/>
  <c r="O10022" i="13" l="1"/>
  <c r="N10022" i="13" s="1"/>
  <c r="O10023" i="13" l="1"/>
  <c r="N10023" i="13" s="1"/>
  <c r="O10024" i="13" l="1"/>
  <c r="N10024" i="13" s="1"/>
  <c r="O10025" i="13" l="1"/>
  <c r="N10025" i="13" s="1"/>
  <c r="O10026" i="13" l="1"/>
  <c r="N10026" i="13" s="1"/>
  <c r="O10027" i="13" l="1"/>
  <c r="N10027" i="13" s="1"/>
  <c r="O10028" i="13" l="1"/>
  <c r="N10028" i="13" s="1"/>
  <c r="O10029" i="13" l="1"/>
  <c r="N10029" i="13" s="1"/>
  <c r="O10030" i="13" l="1"/>
  <c r="N10030" i="13" s="1"/>
  <c r="O10031" i="13" l="1"/>
  <c r="N10031" i="13" s="1"/>
  <c r="O10032" i="13" l="1"/>
  <c r="N10032" i="13" s="1"/>
  <c r="O10033" i="13" l="1"/>
  <c r="N10033" i="13" s="1"/>
  <c r="O10034" i="13" l="1"/>
  <c r="N10034" i="13" s="1"/>
  <c r="O10035" i="13" l="1"/>
  <c r="N10035" i="13" s="1"/>
  <c r="O10036" i="13" l="1"/>
  <c r="N10036" i="13" s="1"/>
  <c r="O10037" i="13" l="1"/>
  <c r="N10037" i="13" s="1"/>
  <c r="O10038" i="13" l="1"/>
  <c r="N10038" i="13" s="1"/>
  <c r="O10039" i="13" l="1"/>
  <c r="N10039" i="13" s="1"/>
  <c r="O10040" i="13" l="1"/>
  <c r="N10040" i="13" s="1"/>
  <c r="O10041" i="13" l="1"/>
  <c r="N10041" i="13" s="1"/>
  <c r="O10042" i="13" l="1"/>
  <c r="N10042" i="13" s="1"/>
  <c r="O10043" i="13" l="1"/>
  <c r="N10043" i="13" s="1"/>
  <c r="O10044" i="13" l="1"/>
  <c r="N10044" i="13" s="1"/>
  <c r="O10045" i="13" l="1"/>
  <c r="N10045" i="13" s="1"/>
  <c r="O10046" i="13" l="1"/>
  <c r="N10046" i="13" s="1"/>
  <c r="O10047" i="13" l="1"/>
  <c r="N10047" i="13" s="1"/>
  <c r="O10048" i="13" l="1"/>
  <c r="N10048" i="13" s="1"/>
  <c r="O10049" i="13" l="1"/>
  <c r="N10049" i="13" s="1"/>
  <c r="O10050" i="13" l="1"/>
  <c r="N10050" i="13" s="1"/>
  <c r="O10051" i="13" l="1"/>
  <c r="N10051" i="13" s="1"/>
  <c r="O10052" i="13" l="1"/>
  <c r="N10052" i="13" s="1"/>
  <c r="O10053" i="13" l="1"/>
  <c r="N10053" i="13" s="1"/>
  <c r="O10054" i="13" l="1"/>
  <c r="N10054" i="13" s="1"/>
  <c r="O10055" i="13" l="1"/>
  <c r="N10055" i="13" s="1"/>
  <c r="O10056" i="13" l="1"/>
  <c r="N10056" i="13" s="1"/>
  <c r="O10057" i="13" l="1"/>
  <c r="N10057" i="13" s="1"/>
  <c r="O10058" i="13" l="1"/>
  <c r="N10058" i="13" s="1"/>
  <c r="O10059" i="13" l="1"/>
  <c r="N10059" i="13" s="1"/>
  <c r="O10060" i="13" l="1"/>
  <c r="N10060" i="13" s="1"/>
  <c r="O10061" i="13" l="1"/>
  <c r="N10061" i="13" s="1"/>
  <c r="O10062" i="13" l="1"/>
  <c r="N10062" i="13" s="1"/>
  <c r="O10063" i="13" l="1"/>
  <c r="N10063" i="13" s="1"/>
  <c r="O10064" i="13" l="1"/>
  <c r="N10064" i="13" s="1"/>
  <c r="O10065" i="13" l="1"/>
  <c r="N10065" i="13" s="1"/>
  <c r="O10066" i="13" l="1"/>
  <c r="N10066" i="13" s="1"/>
  <c r="O10067" i="13" l="1"/>
  <c r="N10067" i="13" s="1"/>
  <c r="O10068" i="13" l="1"/>
  <c r="N10068" i="13" s="1"/>
  <c r="O10069" i="13" l="1"/>
  <c r="N10069" i="13" s="1"/>
  <c r="O10070" i="13" l="1"/>
  <c r="N10070" i="13" s="1"/>
  <c r="O10071" i="13" l="1"/>
  <c r="N10071" i="13" s="1"/>
  <c r="O10072" i="13" l="1"/>
  <c r="N10072" i="13" s="1"/>
  <c r="O10073" i="13" l="1"/>
  <c r="N10073" i="13" s="1"/>
  <c r="O10074" i="13" l="1"/>
  <c r="N10074" i="13" s="1"/>
  <c r="O10075" i="13" l="1"/>
  <c r="N10075" i="13" s="1"/>
  <c r="O10076" i="13" l="1"/>
  <c r="N10076" i="13" s="1"/>
  <c r="O10077" i="13" l="1"/>
  <c r="N10077" i="13" s="1"/>
  <c r="O10078" i="13" l="1"/>
  <c r="N10078" i="13" s="1"/>
  <c r="O10079" i="13" l="1"/>
  <c r="N10079" i="13" s="1"/>
  <c r="O10080" i="13" l="1"/>
  <c r="N10080" i="13" s="1"/>
  <c r="O10081" i="13" l="1"/>
  <c r="N10081" i="13" s="1"/>
  <c r="O10082" i="13" l="1"/>
  <c r="N10082" i="13" s="1"/>
  <c r="O10083" i="13" l="1"/>
  <c r="N10083" i="13" s="1"/>
  <c r="O10084" i="13" l="1"/>
  <c r="N10084" i="13" s="1"/>
  <c r="O10085" i="13" l="1"/>
  <c r="N10085" i="13" s="1"/>
  <c r="O10086" i="13" l="1"/>
  <c r="N10086" i="13" s="1"/>
  <c r="O10087" i="13" l="1"/>
  <c r="N10087" i="13" s="1"/>
  <c r="O10088" i="13" l="1"/>
  <c r="N10088" i="13" s="1"/>
  <c r="O10089" i="13" l="1"/>
  <c r="N10089" i="13" s="1"/>
  <c r="O10090" i="13" l="1"/>
  <c r="N10090" i="13" s="1"/>
  <c r="O10091" i="13" l="1"/>
  <c r="N10091" i="13" s="1"/>
  <c r="O10092" i="13" l="1"/>
  <c r="N10092" i="13" s="1"/>
  <c r="O10093" i="13" l="1"/>
  <c r="N10093" i="13" s="1"/>
  <c r="O10094" i="13" l="1"/>
  <c r="N10094" i="13" s="1"/>
  <c r="O10095" i="13" l="1"/>
  <c r="N10095" i="13" s="1"/>
  <c r="O10096" i="13" l="1"/>
  <c r="N10096" i="13" s="1"/>
  <c r="O10097" i="13" l="1"/>
  <c r="N10097" i="13" s="1"/>
  <c r="O10098" i="13" l="1"/>
  <c r="N10098" i="13" s="1"/>
  <c r="O10099" i="13" l="1"/>
  <c r="N10099" i="13" s="1"/>
  <c r="O10100" i="13" l="1"/>
  <c r="N10100" i="13" s="1"/>
  <c r="O10101" i="13" l="1"/>
  <c r="N10101" i="13" s="1"/>
  <c r="O10102" i="13" l="1"/>
  <c r="N10102" i="13" s="1"/>
  <c r="O10103" i="13" l="1"/>
  <c r="N10103" i="13" s="1"/>
  <c r="O10104" i="13" l="1"/>
  <c r="N10104" i="13" s="1"/>
  <c r="O10105" i="13" l="1"/>
  <c r="N10105" i="13" s="1"/>
  <c r="O10106" i="13" l="1"/>
  <c r="N10106" i="13" s="1"/>
  <c r="O10107" i="13" l="1"/>
  <c r="N10107" i="13" s="1"/>
  <c r="O10108" i="13" l="1"/>
  <c r="N10108" i="13" s="1"/>
  <c r="O10109" i="13" l="1"/>
  <c r="N10109" i="13" s="1"/>
  <c r="O10110" i="13" l="1"/>
  <c r="N10110" i="13" s="1"/>
  <c r="O10111" i="13" l="1"/>
  <c r="N10111" i="13" s="1"/>
  <c r="O10112" i="13" l="1"/>
  <c r="N10112" i="13" s="1"/>
  <c r="O10113" i="13" l="1"/>
  <c r="N10113" i="13" s="1"/>
  <c r="O10114" i="13" l="1"/>
  <c r="N10114" i="13" s="1"/>
  <c r="O10115" i="13" l="1"/>
  <c r="N10115" i="13" s="1"/>
  <c r="O10116" i="13" l="1"/>
  <c r="N10116" i="13" s="1"/>
  <c r="O10117" i="13" l="1"/>
  <c r="N10117" i="13" s="1"/>
  <c r="O10118" i="13" l="1"/>
  <c r="N10118" i="13" s="1"/>
  <c r="O10119" i="13" l="1"/>
  <c r="N10119" i="13" s="1"/>
  <c r="O10120" i="13" l="1"/>
  <c r="N10120" i="13" s="1"/>
  <c r="O10121" i="13" l="1"/>
  <c r="N10121" i="13" s="1"/>
  <c r="O10122" i="13" l="1"/>
  <c r="N10122" i="13" s="1"/>
  <c r="O10123" i="13" l="1"/>
  <c r="N10123" i="13" s="1"/>
  <c r="O10124" i="13" l="1"/>
  <c r="N10124" i="13" s="1"/>
  <c r="O10125" i="13" l="1"/>
  <c r="N10125" i="13" s="1"/>
  <c r="O10126" i="13" l="1"/>
  <c r="N10126" i="13" s="1"/>
  <c r="O10127" i="13" l="1"/>
  <c r="N10127" i="13" s="1"/>
  <c r="O10128" i="13" l="1"/>
  <c r="N10128" i="13" s="1"/>
  <c r="O10129" i="13" l="1"/>
  <c r="N10129" i="13" s="1"/>
  <c r="O10130" i="13" l="1"/>
  <c r="N10130" i="13" s="1"/>
  <c r="O10131" i="13" l="1"/>
  <c r="N10131" i="13" s="1"/>
  <c r="O10132" i="13" l="1"/>
  <c r="N10132" i="13" s="1"/>
  <c r="O10133" i="13" l="1"/>
  <c r="N10133" i="13" s="1"/>
  <c r="O10134" i="13" l="1"/>
  <c r="N10134" i="13" s="1"/>
  <c r="O10135" i="13" l="1"/>
  <c r="N10135" i="13" s="1"/>
  <c r="O10136" i="13" l="1"/>
  <c r="N10136" i="13" s="1"/>
  <c r="O10137" i="13" l="1"/>
  <c r="N10137" i="13" s="1"/>
  <c r="O10138" i="13" l="1"/>
  <c r="N10138" i="13" s="1"/>
  <c r="O10139" i="13" l="1"/>
  <c r="N10139" i="13" s="1"/>
  <c r="O10140" i="13" l="1"/>
  <c r="N10140" i="13" s="1"/>
  <c r="O10141" i="13" l="1"/>
  <c r="N10141" i="13" s="1"/>
  <c r="O10142" i="13" l="1"/>
  <c r="N10142" i="13" s="1"/>
  <c r="O10143" i="13" l="1"/>
  <c r="N10143" i="13" s="1"/>
  <c r="O10144" i="13" l="1"/>
  <c r="N10144" i="13" s="1"/>
  <c r="O10145" i="13" l="1"/>
  <c r="N10145" i="13" s="1"/>
  <c r="O10146" i="13" l="1"/>
  <c r="N10146" i="13" s="1"/>
  <c r="O10147" i="13" l="1"/>
  <c r="N10147" i="13" s="1"/>
  <c r="O10148" i="13" l="1"/>
  <c r="N10148" i="13" s="1"/>
  <c r="O10149" i="13" l="1"/>
  <c r="N10149" i="13" s="1"/>
  <c r="O10150" i="13" l="1"/>
  <c r="N10150" i="13" s="1"/>
  <c r="O10151" i="13" l="1"/>
  <c r="N10151" i="13" s="1"/>
  <c r="O10152" i="13" l="1"/>
  <c r="N10152" i="13" s="1"/>
  <c r="O10153" i="13" l="1"/>
  <c r="N10153" i="13" s="1"/>
  <c r="O10154" i="13" l="1"/>
  <c r="N10154" i="13" s="1"/>
  <c r="O10155" i="13" l="1"/>
  <c r="N10155" i="13" s="1"/>
  <c r="O10156" i="13" l="1"/>
  <c r="N10156" i="13" s="1"/>
  <c r="O10157" i="13" l="1"/>
  <c r="N10157" i="13" s="1"/>
  <c r="O10158" i="13" l="1"/>
  <c r="N10158" i="13" s="1"/>
  <c r="O10159" i="13" l="1"/>
  <c r="N10159" i="13" s="1"/>
  <c r="O10160" i="13" l="1"/>
  <c r="N10160" i="13" s="1"/>
  <c r="O10161" i="13" l="1"/>
  <c r="N10161" i="13" s="1"/>
  <c r="O10162" i="13" l="1"/>
  <c r="N10162" i="13" s="1"/>
  <c r="O10163" i="13" l="1"/>
  <c r="N10163" i="13" s="1"/>
  <c r="O10164" i="13" l="1"/>
  <c r="N10164" i="13" s="1"/>
  <c r="O10165" i="13" l="1"/>
  <c r="N10165" i="13" s="1"/>
  <c r="O10166" i="13" l="1"/>
  <c r="N10166" i="13" s="1"/>
  <c r="O10167" i="13" l="1"/>
  <c r="N10167" i="13" s="1"/>
  <c r="O10168" i="13" l="1"/>
  <c r="N10168" i="13" s="1"/>
  <c r="O10169" i="13" l="1"/>
  <c r="N10169" i="13" s="1"/>
  <c r="O10170" i="13" l="1"/>
  <c r="N10170" i="13" s="1"/>
  <c r="O10171" i="13" l="1"/>
  <c r="N10171" i="13" s="1"/>
  <c r="O10172" i="13" l="1"/>
  <c r="N10172" i="13" s="1"/>
  <c r="O10173" i="13" l="1"/>
  <c r="N10173" i="13" s="1"/>
  <c r="O10174" i="13" l="1"/>
  <c r="N10174" i="13" s="1"/>
  <c r="O10175" i="13" l="1"/>
  <c r="N10175" i="13" s="1"/>
  <c r="O10176" i="13" l="1"/>
  <c r="N10176" i="13" s="1"/>
  <c r="O10177" i="13" l="1"/>
  <c r="N10177" i="13" s="1"/>
  <c r="O10178" i="13" l="1"/>
  <c r="N10178" i="13" s="1"/>
  <c r="O10179" i="13" l="1"/>
  <c r="N10179" i="13" s="1"/>
  <c r="O10180" i="13" l="1"/>
  <c r="N10180" i="13" s="1"/>
  <c r="O10181" i="13" l="1"/>
  <c r="N10181" i="13" s="1"/>
  <c r="O10182" i="13" l="1"/>
  <c r="N10182" i="13" s="1"/>
  <c r="O10183" i="13" l="1"/>
  <c r="N10183" i="13" s="1"/>
  <c r="O10184" i="13" l="1"/>
  <c r="N10184" i="13" s="1"/>
  <c r="O10185" i="13" l="1"/>
  <c r="N10185" i="13" s="1"/>
  <c r="O10186" i="13" l="1"/>
  <c r="N10186" i="13" s="1"/>
  <c r="O10187" i="13" l="1"/>
  <c r="N10187" i="13" s="1"/>
  <c r="O10188" i="13" l="1"/>
  <c r="N10188" i="13" s="1"/>
  <c r="O10189" i="13" l="1"/>
  <c r="N10189" i="13" s="1"/>
  <c r="O10190" i="13" l="1"/>
  <c r="N10190" i="13" s="1"/>
  <c r="O10191" i="13" l="1"/>
  <c r="N10191" i="13" s="1"/>
  <c r="O10192" i="13" l="1"/>
  <c r="N10192" i="13" s="1"/>
  <c r="O10193" i="13" l="1"/>
  <c r="N10193" i="13" s="1"/>
  <c r="O10194" i="13" l="1"/>
  <c r="N10194" i="13" s="1"/>
  <c r="O10195" i="13" l="1"/>
  <c r="N10195" i="13" s="1"/>
  <c r="O10196" i="13" l="1"/>
  <c r="N10196" i="13" s="1"/>
  <c r="O10197" i="13" l="1"/>
  <c r="N10197" i="13" s="1"/>
  <c r="O10198" i="13" l="1"/>
  <c r="N10198" i="13" s="1"/>
  <c r="O10199" i="13" l="1"/>
  <c r="N10199" i="13" s="1"/>
  <c r="O10200" i="13" l="1"/>
  <c r="N10200" i="13" s="1"/>
  <c r="O10201" i="13" l="1"/>
  <c r="N10201" i="13" s="1"/>
  <c r="O10202" i="13" l="1"/>
  <c r="N10202" i="13" s="1"/>
  <c r="O10203" i="13" l="1"/>
  <c r="N10203" i="13" s="1"/>
  <c r="O10204" i="13" l="1"/>
  <c r="N10204" i="13" s="1"/>
  <c r="O10205" i="13" l="1"/>
  <c r="N10205" i="13" s="1"/>
  <c r="O10206" i="13" l="1"/>
  <c r="N10206" i="13" s="1"/>
  <c r="O10207" i="13" l="1"/>
  <c r="N10207" i="13" s="1"/>
  <c r="O10208" i="13" l="1"/>
  <c r="N10208" i="13" s="1"/>
  <c r="O10209" i="13" l="1"/>
  <c r="N10209" i="13" s="1"/>
  <c r="O10210" i="13" l="1"/>
  <c r="N10210" i="13" s="1"/>
  <c r="O10211" i="13" l="1"/>
  <c r="N10211" i="13" s="1"/>
  <c r="O10212" i="13" l="1"/>
  <c r="N10212" i="13" s="1"/>
  <c r="O10213" i="13" l="1"/>
  <c r="N10213" i="13" s="1"/>
  <c r="O10214" i="13" l="1"/>
  <c r="N10214" i="13" s="1"/>
  <c r="O10215" i="13" l="1"/>
  <c r="N10215" i="13" s="1"/>
  <c r="O10216" i="13" l="1"/>
  <c r="N10216" i="13" s="1"/>
  <c r="O10217" i="13" l="1"/>
  <c r="N10217" i="13" s="1"/>
  <c r="O10218" i="13" l="1"/>
  <c r="N10218" i="13" s="1"/>
  <c r="O10219" i="13" l="1"/>
  <c r="N10219" i="13" s="1"/>
  <c r="O10220" i="13" l="1"/>
  <c r="N10220" i="13" s="1"/>
  <c r="O10221" i="13" l="1"/>
  <c r="N10221" i="13" s="1"/>
  <c r="O10222" i="13" l="1"/>
  <c r="N10222" i="13" s="1"/>
  <c r="O10223" i="13" l="1"/>
  <c r="N10223" i="13" s="1"/>
  <c r="O10224" i="13" l="1"/>
  <c r="N10224" i="13" s="1"/>
  <c r="O10225" i="13" l="1"/>
  <c r="N10225" i="13" s="1"/>
  <c r="O10226" i="13" l="1"/>
  <c r="N10226" i="13" s="1"/>
  <c r="O10227" i="13" l="1"/>
  <c r="N10227" i="13" s="1"/>
  <c r="O10228" i="13" l="1"/>
  <c r="N10228" i="13" s="1"/>
  <c r="O10229" i="13" l="1"/>
  <c r="N10229" i="13" s="1"/>
  <c r="O10230" i="13" l="1"/>
  <c r="N10230" i="13" s="1"/>
  <c r="O10231" i="13" l="1"/>
  <c r="N10231" i="13" s="1"/>
  <c r="O10232" i="13" l="1"/>
  <c r="N10232" i="13" s="1"/>
  <c r="O10233" i="13" l="1"/>
  <c r="N10233" i="13" s="1"/>
  <c r="O10234" i="13" l="1"/>
  <c r="N10234" i="13" s="1"/>
  <c r="O10235" i="13" l="1"/>
  <c r="N10235" i="13" s="1"/>
  <c r="O10236" i="13" l="1"/>
  <c r="N10236" i="13" s="1"/>
  <c r="O10237" i="13" l="1"/>
  <c r="N10237" i="13" s="1"/>
  <c r="O10238" i="13" l="1"/>
  <c r="N10238" i="13" s="1"/>
  <c r="O10239" i="13" l="1"/>
  <c r="N10239" i="13" s="1"/>
  <c r="O10240" i="13" l="1"/>
  <c r="N10240" i="13" s="1"/>
  <c r="O10241" i="13" l="1"/>
  <c r="N10241" i="13" s="1"/>
  <c r="O10242" i="13" l="1"/>
  <c r="N10242" i="13" s="1"/>
  <c r="O10243" i="13" l="1"/>
  <c r="N10243" i="13" s="1"/>
  <c r="O10244" i="13" l="1"/>
  <c r="N10244" i="13" s="1"/>
  <c r="O10245" i="13" l="1"/>
  <c r="N10245" i="13" s="1"/>
  <c r="O10246" i="13" l="1"/>
  <c r="N10246" i="13" s="1"/>
  <c r="O10247" i="13" l="1"/>
  <c r="N10247" i="13" s="1"/>
  <c r="O10248" i="13" l="1"/>
  <c r="N10248" i="13" s="1"/>
  <c r="O10249" i="13" l="1"/>
  <c r="N10249" i="13" s="1"/>
  <c r="O10250" i="13" l="1"/>
  <c r="N10250" i="13" s="1"/>
  <c r="O10251" i="13" l="1"/>
  <c r="N10251" i="13" s="1"/>
  <c r="O10252" i="13" l="1"/>
  <c r="N10252" i="13" s="1"/>
  <c r="O10253" i="13" l="1"/>
  <c r="N10253" i="13" s="1"/>
  <c r="O10254" i="13" l="1"/>
  <c r="N10254" i="13" s="1"/>
  <c r="O10255" i="13" l="1"/>
  <c r="N10255" i="13" s="1"/>
  <c r="O10256" i="13" l="1"/>
  <c r="N10256" i="13" s="1"/>
  <c r="O10257" i="13" l="1"/>
  <c r="N10257" i="13" s="1"/>
  <c r="O10258" i="13" l="1"/>
  <c r="N10258" i="13" s="1"/>
  <c r="O10259" i="13" l="1"/>
  <c r="N10259" i="13" s="1"/>
  <c r="O10260" i="13" l="1"/>
  <c r="N10260" i="13" s="1"/>
  <c r="O10261" i="13" l="1"/>
  <c r="N10261" i="13" s="1"/>
  <c r="O10262" i="13" l="1"/>
  <c r="N10262" i="13" s="1"/>
  <c r="O10263" i="13" l="1"/>
  <c r="N10263" i="13" s="1"/>
  <c r="O10264" i="13" l="1"/>
  <c r="N10264" i="13" s="1"/>
  <c r="O10265" i="13" l="1"/>
  <c r="N10265" i="13" s="1"/>
  <c r="O10266" i="13" l="1"/>
  <c r="N10266" i="13" s="1"/>
  <c r="O10267" i="13" l="1"/>
  <c r="N10267" i="13" s="1"/>
  <c r="O10268" i="13" l="1"/>
  <c r="N10268" i="13" s="1"/>
  <c r="O10269" i="13" l="1"/>
  <c r="N10269" i="13" s="1"/>
  <c r="O10270" i="13" l="1"/>
  <c r="N10270" i="13" s="1"/>
  <c r="O10271" i="13" l="1"/>
  <c r="N10271" i="13" s="1"/>
  <c r="O10272" i="13" l="1"/>
  <c r="N10272" i="13" s="1"/>
  <c r="O10273" i="13" l="1"/>
  <c r="N10273" i="13" s="1"/>
  <c r="O10274" i="13" l="1"/>
  <c r="N10274" i="13" s="1"/>
  <c r="O10275" i="13" l="1"/>
  <c r="N10275" i="13" s="1"/>
  <c r="O10276" i="13" l="1"/>
  <c r="N10276" i="13" s="1"/>
  <c r="O10277" i="13" l="1"/>
  <c r="N10277" i="13" s="1"/>
  <c r="O10278" i="13" l="1"/>
  <c r="N10278" i="13" s="1"/>
  <c r="O10279" i="13" l="1"/>
  <c r="N10279" i="13" s="1"/>
  <c r="O10280" i="13" l="1"/>
  <c r="N10280" i="13" s="1"/>
  <c r="O10281" i="13" l="1"/>
  <c r="N10281" i="13" s="1"/>
  <c r="O10282" i="13" l="1"/>
  <c r="N10282" i="13" s="1"/>
  <c r="O10283" i="13" l="1"/>
  <c r="N10283" i="13" s="1"/>
  <c r="O10284" i="13" l="1"/>
  <c r="N10284" i="13" s="1"/>
  <c r="O10285" i="13" l="1"/>
  <c r="N10285" i="13" s="1"/>
  <c r="O10286" i="13" l="1"/>
  <c r="N10286" i="13" s="1"/>
  <c r="O10287" i="13" l="1"/>
  <c r="N10287" i="13" s="1"/>
  <c r="O10288" i="13" l="1"/>
  <c r="N10288" i="13" s="1"/>
  <c r="O10289" i="13" l="1"/>
  <c r="N10289" i="13" s="1"/>
  <c r="O10290" i="13" l="1"/>
  <c r="N10290" i="13" s="1"/>
  <c r="O10291" i="13" l="1"/>
  <c r="N10291" i="13" s="1"/>
  <c r="O10292" i="13" l="1"/>
  <c r="N10292" i="13" s="1"/>
  <c r="O10293" i="13" l="1"/>
  <c r="N10293" i="13" s="1"/>
  <c r="O10294" i="13" l="1"/>
  <c r="N10294" i="13" s="1"/>
  <c r="O10295" i="13" l="1"/>
  <c r="N10295" i="13" s="1"/>
  <c r="O10296" i="13" l="1"/>
  <c r="N10296" i="13" s="1"/>
  <c r="O10297" i="13" l="1"/>
  <c r="N10297" i="13" s="1"/>
  <c r="O10298" i="13" l="1"/>
  <c r="N10298" i="13" s="1"/>
  <c r="O10299" i="13" l="1"/>
  <c r="N10299" i="13" s="1"/>
  <c r="O10300" i="13" l="1"/>
  <c r="N10300" i="13" s="1"/>
  <c r="O10301" i="13" l="1"/>
  <c r="N10301" i="13" s="1"/>
  <c r="O10302" i="13" l="1"/>
  <c r="N10302" i="13" s="1"/>
  <c r="O10303" i="13" l="1"/>
  <c r="N10303" i="13" s="1"/>
  <c r="O10304" i="13" l="1"/>
  <c r="N10304" i="13" s="1"/>
  <c r="O10305" i="13" l="1"/>
  <c r="N10305" i="13" s="1"/>
  <c r="O10306" i="13" l="1"/>
  <c r="N10306" i="13" s="1"/>
  <c r="O10307" i="13" l="1"/>
  <c r="N10307" i="13" s="1"/>
  <c r="O10308" i="13" l="1"/>
  <c r="N10308" i="13" s="1"/>
  <c r="O10309" i="13" l="1"/>
  <c r="N10309" i="13" s="1"/>
  <c r="O10310" i="13" l="1"/>
  <c r="N10310" i="13" s="1"/>
  <c r="O10311" i="13" l="1"/>
  <c r="N10311" i="13" s="1"/>
  <c r="O10312" i="13" l="1"/>
  <c r="N10312" i="13" s="1"/>
  <c r="O10313" i="13" l="1"/>
  <c r="N10313" i="13" s="1"/>
  <c r="O10314" i="13" l="1"/>
  <c r="N10314" i="13" s="1"/>
  <c r="O10315" i="13" l="1"/>
  <c r="N10315" i="13" s="1"/>
  <c r="O10316" i="13" l="1"/>
  <c r="N10316" i="13" s="1"/>
  <c r="O10317" i="13" l="1"/>
  <c r="N10317" i="13" s="1"/>
  <c r="O10318" i="13" l="1"/>
  <c r="N10318" i="13" s="1"/>
  <c r="O10319" i="13" l="1"/>
  <c r="N10319" i="13" s="1"/>
  <c r="O10320" i="13" l="1"/>
  <c r="N10320" i="13" s="1"/>
  <c r="O10321" i="13" l="1"/>
  <c r="N10321" i="13" s="1"/>
  <c r="O10322" i="13" l="1"/>
  <c r="N10322" i="13" s="1"/>
  <c r="O10323" i="13" l="1"/>
  <c r="N10323" i="13" s="1"/>
  <c r="O10324" i="13" l="1"/>
  <c r="N10324" i="13" s="1"/>
  <c r="O10325" i="13" l="1"/>
  <c r="N10325" i="13" s="1"/>
  <c r="O10326" i="13" l="1"/>
  <c r="N10326" i="13" s="1"/>
  <c r="O10327" i="13" l="1"/>
  <c r="N10327" i="13" s="1"/>
  <c r="O10328" i="13" l="1"/>
  <c r="N10328" i="13" s="1"/>
  <c r="O10329" i="13" l="1"/>
  <c r="N10329" i="13" s="1"/>
  <c r="O10330" i="13" l="1"/>
  <c r="N10330" i="13" s="1"/>
  <c r="O10331" i="13" l="1"/>
  <c r="N10331" i="13" s="1"/>
  <c r="O10332" i="13" l="1"/>
  <c r="N10332" i="13" s="1"/>
  <c r="O10333" i="13" l="1"/>
  <c r="N10333" i="13" s="1"/>
  <c r="O10334" i="13" l="1"/>
  <c r="N10334" i="13" s="1"/>
  <c r="O10335" i="13" l="1"/>
  <c r="N10335" i="13" s="1"/>
  <c r="O10336" i="13" l="1"/>
  <c r="N10336" i="13" s="1"/>
  <c r="O10337" i="13" l="1"/>
  <c r="N10337" i="13" s="1"/>
  <c r="O10338" i="13" l="1"/>
  <c r="N10338" i="13" s="1"/>
  <c r="O10339" i="13" l="1"/>
  <c r="N10339" i="13" s="1"/>
  <c r="O10340" i="13" l="1"/>
  <c r="N10340" i="13" s="1"/>
  <c r="O10341" i="13" l="1"/>
  <c r="N10341" i="13" s="1"/>
  <c r="O10342" i="13" l="1"/>
  <c r="N10342" i="13" s="1"/>
  <c r="O10343" i="13" l="1"/>
  <c r="N10343" i="13" s="1"/>
  <c r="O10344" i="13" l="1"/>
  <c r="N10344" i="13" s="1"/>
  <c r="O10345" i="13" l="1"/>
  <c r="N10345" i="13" s="1"/>
  <c r="O10346" i="13" l="1"/>
  <c r="N10346" i="13" s="1"/>
  <c r="O10347" i="13" l="1"/>
  <c r="N10347" i="13" s="1"/>
  <c r="O10348" i="13" l="1"/>
  <c r="N10348" i="13" s="1"/>
  <c r="O10349" i="13" l="1"/>
  <c r="N10349" i="13" s="1"/>
  <c r="O10350" i="13" l="1"/>
  <c r="N10350" i="13" s="1"/>
  <c r="O10351" i="13" l="1"/>
  <c r="N10351" i="13" s="1"/>
  <c r="O10352" i="13" l="1"/>
  <c r="N10352" i="13" s="1"/>
  <c r="O10353" i="13" l="1"/>
  <c r="N10353" i="13" s="1"/>
  <c r="O10354" i="13" l="1"/>
  <c r="N10354" i="13" s="1"/>
  <c r="O10355" i="13" l="1"/>
  <c r="N10355" i="13" s="1"/>
  <c r="O10356" i="13" l="1"/>
  <c r="N10356" i="13" s="1"/>
  <c r="O10357" i="13" l="1"/>
  <c r="N10357" i="13" s="1"/>
  <c r="O10358" i="13" l="1"/>
  <c r="N10358" i="13" s="1"/>
  <c r="O10359" i="13" l="1"/>
  <c r="N10359" i="13" s="1"/>
  <c r="O10360" i="13" l="1"/>
  <c r="N10360" i="13" s="1"/>
  <c r="O10361" i="13" l="1"/>
  <c r="N10361" i="13" s="1"/>
  <c r="O10362" i="13" l="1"/>
  <c r="N10362" i="13" s="1"/>
  <c r="O10363" i="13" l="1"/>
  <c r="N10363" i="13" s="1"/>
  <c r="O10364" i="13" l="1"/>
  <c r="N10364" i="13" s="1"/>
  <c r="O10365" i="13" l="1"/>
  <c r="N10365" i="13" s="1"/>
  <c r="O10366" i="13" l="1"/>
  <c r="N10366" i="13" s="1"/>
  <c r="O10367" i="13" l="1"/>
  <c r="N10367" i="13" s="1"/>
  <c r="O10368" i="13" l="1"/>
  <c r="N10368" i="13" s="1"/>
  <c r="O10369" i="13" l="1"/>
  <c r="N10369" i="13" s="1"/>
  <c r="O10370" i="13" l="1"/>
  <c r="N10370" i="13" s="1"/>
  <c r="O10371" i="13" l="1"/>
  <c r="N10371" i="13" s="1"/>
  <c r="O10372" i="13" l="1"/>
  <c r="N10372" i="13" s="1"/>
  <c r="O10373" i="13" l="1"/>
  <c r="N10373" i="13" s="1"/>
  <c r="O10374" i="13" l="1"/>
  <c r="N10374" i="13" s="1"/>
  <c r="O10375" i="13" l="1"/>
  <c r="N10375" i="13" s="1"/>
  <c r="O10376" i="13" l="1"/>
  <c r="N10376" i="13" s="1"/>
  <c r="O10377" i="13" l="1"/>
  <c r="N10377" i="13" s="1"/>
  <c r="O10378" i="13" l="1"/>
  <c r="N10378" i="13" s="1"/>
  <c r="O10379" i="13" l="1"/>
  <c r="N10379" i="13" s="1"/>
  <c r="O10380" i="13" l="1"/>
  <c r="N10380" i="13" s="1"/>
  <c r="O10381" i="13" l="1"/>
  <c r="N10381" i="13" s="1"/>
  <c r="O10382" i="13" l="1"/>
  <c r="N10382" i="13" s="1"/>
  <c r="O10383" i="13" l="1"/>
  <c r="N10383" i="13" s="1"/>
  <c r="O10384" i="13" l="1"/>
  <c r="N10384" i="13" s="1"/>
  <c r="O10385" i="13" l="1"/>
  <c r="N10385" i="13" s="1"/>
  <c r="O10386" i="13" l="1"/>
  <c r="N10386" i="13" s="1"/>
  <c r="O10387" i="13" l="1"/>
  <c r="N10387" i="13" s="1"/>
  <c r="O10388" i="13" l="1"/>
  <c r="N10388" i="13" s="1"/>
  <c r="O10389" i="13" l="1"/>
  <c r="N10389" i="13" s="1"/>
  <c r="O10390" i="13" l="1"/>
  <c r="N10390" i="13" s="1"/>
  <c r="O10391" i="13" l="1"/>
  <c r="N10391" i="13" s="1"/>
  <c r="O10392" i="13" l="1"/>
  <c r="N10392" i="13" s="1"/>
  <c r="O10393" i="13" l="1"/>
  <c r="N10393" i="13" s="1"/>
  <c r="O10394" i="13" l="1"/>
  <c r="N10394" i="13" s="1"/>
  <c r="O10395" i="13" l="1"/>
  <c r="N10395" i="13" s="1"/>
  <c r="O10396" i="13" l="1"/>
  <c r="N10396" i="13" s="1"/>
  <c r="O10397" i="13" l="1"/>
  <c r="N10397" i="13" s="1"/>
  <c r="O10398" i="13" l="1"/>
  <c r="N10398" i="13" s="1"/>
  <c r="O10399" i="13" l="1"/>
  <c r="N10399" i="13" s="1"/>
  <c r="O10400" i="13" l="1"/>
  <c r="N10400" i="13" s="1"/>
  <c r="O10401" i="13" l="1"/>
  <c r="N10401" i="13" s="1"/>
  <c r="O10402" i="13" l="1"/>
  <c r="N10402" i="13" s="1"/>
  <c r="O10403" i="13" l="1"/>
  <c r="N10403" i="13" s="1"/>
  <c r="O10404" i="13" l="1"/>
  <c r="N10404" i="13" s="1"/>
  <c r="O10405" i="13" l="1"/>
  <c r="N10405" i="13" s="1"/>
  <c r="O10406" i="13" l="1"/>
  <c r="N10406" i="13" s="1"/>
  <c r="O10407" i="13" l="1"/>
  <c r="N10407" i="13" s="1"/>
  <c r="O10408" i="13" l="1"/>
  <c r="N10408" i="13" s="1"/>
  <c r="O10409" i="13" l="1"/>
  <c r="N10409" i="13" s="1"/>
  <c r="O10410" i="13" l="1"/>
  <c r="N10410" i="13" s="1"/>
  <c r="O10411" i="13" l="1"/>
  <c r="N10411" i="13" s="1"/>
  <c r="O10412" i="13" l="1"/>
  <c r="N10412" i="13" s="1"/>
  <c r="O10413" i="13" l="1"/>
  <c r="N10413" i="13" s="1"/>
  <c r="O10414" i="13" l="1"/>
  <c r="N10414" i="13" s="1"/>
  <c r="O10415" i="13" l="1"/>
  <c r="N10415" i="13" s="1"/>
  <c r="O10416" i="13" l="1"/>
  <c r="N10416" i="13" s="1"/>
  <c r="O10417" i="13" l="1"/>
  <c r="N10417" i="13" s="1"/>
  <c r="O10418" i="13" l="1"/>
  <c r="N10418" i="13" s="1"/>
  <c r="O10419" i="13" l="1"/>
  <c r="N10419" i="13" s="1"/>
  <c r="O10420" i="13" l="1"/>
  <c r="N10420" i="13" s="1"/>
  <c r="O10421" i="13" l="1"/>
  <c r="N10421" i="13" s="1"/>
  <c r="O10422" i="13" l="1"/>
  <c r="N10422" i="13" s="1"/>
  <c r="O10423" i="13" l="1"/>
  <c r="N10423" i="13" s="1"/>
  <c r="O10424" i="13" l="1"/>
  <c r="N10424" i="13" s="1"/>
  <c r="O10425" i="13" l="1"/>
  <c r="N10425" i="13" s="1"/>
  <c r="O10426" i="13" l="1"/>
  <c r="N10426" i="13" s="1"/>
  <c r="O10427" i="13" l="1"/>
  <c r="N10427" i="13" s="1"/>
  <c r="O10428" i="13" l="1"/>
  <c r="N10428" i="13" s="1"/>
  <c r="O10429" i="13" l="1"/>
  <c r="N10429" i="13" s="1"/>
  <c r="O10430" i="13" l="1"/>
  <c r="N10430" i="13" s="1"/>
  <c r="O10431" i="13" l="1"/>
  <c r="N10431" i="13" s="1"/>
  <c r="O10432" i="13" l="1"/>
  <c r="N10432" i="13" s="1"/>
  <c r="O10433" i="13" l="1"/>
  <c r="N10433" i="13" s="1"/>
  <c r="O10434" i="13" l="1"/>
  <c r="N10434" i="13" s="1"/>
  <c r="O10435" i="13" l="1"/>
  <c r="N10435" i="13" s="1"/>
  <c r="O10436" i="13" l="1"/>
  <c r="N10436" i="13" s="1"/>
  <c r="O10437" i="13" l="1"/>
  <c r="N10437" i="13" s="1"/>
  <c r="O10438" i="13" l="1"/>
  <c r="N10438" i="13" s="1"/>
  <c r="O10439" i="13" l="1"/>
  <c r="N10439" i="13" s="1"/>
  <c r="O10440" i="13" l="1"/>
  <c r="N10440" i="13" s="1"/>
  <c r="O10441" i="13" l="1"/>
  <c r="N10441" i="13" s="1"/>
  <c r="O10442" i="13" l="1"/>
  <c r="N10442" i="13" s="1"/>
  <c r="O10443" i="13" l="1"/>
  <c r="N10443" i="13" s="1"/>
  <c r="O10444" i="13" l="1"/>
  <c r="N10444" i="13" s="1"/>
  <c r="O10445" i="13" l="1"/>
  <c r="N10445" i="13" s="1"/>
  <c r="O10446" i="13" l="1"/>
  <c r="N10446" i="13" s="1"/>
  <c r="O10447" i="13" l="1"/>
  <c r="N10447" i="13" s="1"/>
  <c r="O10448" i="13" l="1"/>
  <c r="N10448" i="13" s="1"/>
  <c r="O10449" i="13" l="1"/>
  <c r="N10449" i="13" s="1"/>
  <c r="O10450" i="13" l="1"/>
  <c r="N10450" i="13" s="1"/>
  <c r="O10451" i="13" l="1"/>
  <c r="N10451" i="13" s="1"/>
  <c r="O10452" i="13" l="1"/>
  <c r="N10452" i="13" s="1"/>
  <c r="O10453" i="13" l="1"/>
  <c r="N10453" i="13" s="1"/>
  <c r="O10454" i="13" l="1"/>
  <c r="N10454" i="13" s="1"/>
  <c r="O10455" i="13" l="1"/>
  <c r="N10455" i="13" s="1"/>
  <c r="O10456" i="13" l="1"/>
  <c r="N10456" i="13" s="1"/>
  <c r="O10457" i="13" l="1"/>
  <c r="N10457" i="13" s="1"/>
  <c r="O10458" i="13" l="1"/>
  <c r="N10458" i="13" s="1"/>
  <c r="O10459" i="13" l="1"/>
  <c r="N10459" i="13" s="1"/>
  <c r="O10460" i="13" l="1"/>
  <c r="N10460" i="13" s="1"/>
  <c r="O10461" i="13" l="1"/>
  <c r="N10461" i="13" s="1"/>
  <c r="O10462" i="13" l="1"/>
  <c r="N10462" i="13" s="1"/>
  <c r="O10463" i="13" l="1"/>
  <c r="N10463" i="13" s="1"/>
  <c r="O10464" i="13" l="1"/>
  <c r="N10464" i="13" s="1"/>
  <c r="O10465" i="13" l="1"/>
  <c r="N10465" i="13" s="1"/>
  <c r="O10466" i="13" l="1"/>
  <c r="N10466" i="13" s="1"/>
  <c r="O10467" i="13" l="1"/>
  <c r="N10467" i="13" s="1"/>
  <c r="O10468" i="13" l="1"/>
  <c r="N10468" i="13" s="1"/>
  <c r="O10469" i="13" l="1"/>
  <c r="N10469" i="13" s="1"/>
  <c r="O10470" i="13" l="1"/>
  <c r="N10470" i="13" s="1"/>
  <c r="O10471" i="13" l="1"/>
  <c r="N10471" i="13" s="1"/>
  <c r="O10472" i="13" l="1"/>
  <c r="N10472" i="13" s="1"/>
  <c r="O10473" i="13" l="1"/>
  <c r="N10473" i="13" s="1"/>
  <c r="O10474" i="13" l="1"/>
  <c r="N10474" i="13" s="1"/>
  <c r="O10475" i="13" l="1"/>
  <c r="N10475" i="13" s="1"/>
  <c r="O10476" i="13" l="1"/>
  <c r="N10476" i="13" s="1"/>
  <c r="O10477" i="13" l="1"/>
  <c r="N10477" i="13" s="1"/>
  <c r="O10478" i="13" l="1"/>
  <c r="N10478" i="13" s="1"/>
  <c r="O10479" i="13" l="1"/>
  <c r="N10479" i="13" s="1"/>
  <c r="O10480" i="13" l="1"/>
  <c r="N10480" i="13" s="1"/>
  <c r="O10481" i="13" l="1"/>
  <c r="N10481" i="13" s="1"/>
  <c r="O10482" i="13" l="1"/>
  <c r="N10482" i="13" s="1"/>
  <c r="O10483" i="13" l="1"/>
  <c r="N10483" i="13" s="1"/>
  <c r="O10484" i="13" l="1"/>
  <c r="N10484" i="13" s="1"/>
  <c r="O10485" i="13" l="1"/>
  <c r="N10485" i="13" s="1"/>
  <c r="O10486" i="13" l="1"/>
  <c r="N10486" i="13" s="1"/>
  <c r="O10487" i="13" l="1"/>
  <c r="N10487" i="13" s="1"/>
  <c r="O10488" i="13" l="1"/>
  <c r="N10488" i="13" s="1"/>
  <c r="O10489" i="13" l="1"/>
  <c r="N10489" i="13" s="1"/>
  <c r="O10490" i="13" l="1"/>
  <c r="N10490" i="13" s="1"/>
  <c r="O10491" i="13" l="1"/>
  <c r="N10491" i="13" s="1"/>
  <c r="O10492" i="13" l="1"/>
  <c r="N10492" i="13" s="1"/>
  <c r="O10493" i="13" l="1"/>
  <c r="N10493" i="13" s="1"/>
  <c r="O10494" i="13" l="1"/>
  <c r="N10494" i="13" s="1"/>
  <c r="O10495" i="13" l="1"/>
  <c r="N10495" i="13" s="1"/>
  <c r="O10496" i="13" l="1"/>
  <c r="N10496" i="13" s="1"/>
  <c r="O10497" i="13" l="1"/>
  <c r="N10497" i="13" s="1"/>
  <c r="O10498" i="13" l="1"/>
  <c r="N10498" i="13" s="1"/>
  <c r="O10499" i="13" l="1"/>
  <c r="N10499" i="13" s="1"/>
  <c r="O10500" i="13" l="1"/>
  <c r="N10500" i="13" s="1"/>
  <c r="O10501" i="13" l="1"/>
  <c r="N10501" i="13" s="1"/>
  <c r="O10502" i="13" l="1"/>
  <c r="N10502" i="13" s="1"/>
  <c r="O10503" i="13" l="1"/>
  <c r="N10503" i="13" s="1"/>
  <c r="O10504" i="13" l="1"/>
  <c r="N10504" i="13" s="1"/>
  <c r="O10505" i="13" l="1"/>
  <c r="N10505" i="13" s="1"/>
  <c r="O10506" i="13" l="1"/>
  <c r="N10506" i="13" s="1"/>
  <c r="O10507" i="13" l="1"/>
  <c r="N10507" i="13" s="1"/>
  <c r="O10508" i="13" l="1"/>
  <c r="N10508" i="13" s="1"/>
  <c r="O10509" i="13" l="1"/>
  <c r="N10509" i="13" s="1"/>
  <c r="O10510" i="13" l="1"/>
  <c r="N10510" i="13" s="1"/>
  <c r="O10511" i="13" l="1"/>
  <c r="N10511" i="13" s="1"/>
  <c r="O10512" i="13" l="1"/>
  <c r="N10512" i="13" s="1"/>
  <c r="O10513" i="13" l="1"/>
  <c r="N10513" i="13" s="1"/>
  <c r="O10514" i="13" l="1"/>
  <c r="N10514" i="13" s="1"/>
  <c r="O10515" i="13" l="1"/>
  <c r="N10515" i="13" s="1"/>
  <c r="O10516" i="13" l="1"/>
  <c r="N10516" i="13" s="1"/>
  <c r="O10517" i="13" l="1"/>
  <c r="N10517" i="13" s="1"/>
  <c r="O10518" i="13" l="1"/>
  <c r="N10518" i="13" s="1"/>
  <c r="O10519" i="13" l="1"/>
  <c r="N10519" i="13" s="1"/>
  <c r="O10520" i="13" l="1"/>
  <c r="N10520" i="13" s="1"/>
  <c r="O10521" i="13" l="1"/>
  <c r="N10521" i="13" s="1"/>
  <c r="O10522" i="13" l="1"/>
  <c r="N10522" i="13" s="1"/>
  <c r="O10523" i="13" l="1"/>
  <c r="N10523" i="13" s="1"/>
  <c r="O10524" i="13" l="1"/>
  <c r="N10524" i="13" s="1"/>
  <c r="O10525" i="13" l="1"/>
  <c r="N10525" i="13" s="1"/>
  <c r="O10526" i="13" l="1"/>
  <c r="N10526" i="13" s="1"/>
  <c r="O10527" i="13" l="1"/>
  <c r="N10527" i="13" s="1"/>
  <c r="O10528" i="13" l="1"/>
  <c r="N10528" i="13" s="1"/>
  <c r="O10529" i="13" l="1"/>
  <c r="N10529" i="13" s="1"/>
  <c r="O10530" i="13" l="1"/>
  <c r="N10530" i="13" s="1"/>
  <c r="O10531" i="13" l="1"/>
  <c r="N10531" i="13" s="1"/>
  <c r="O10532" i="13" l="1"/>
  <c r="N10532" i="13" s="1"/>
  <c r="O10533" i="13" l="1"/>
  <c r="N10533" i="13" s="1"/>
  <c r="O10534" i="13" l="1"/>
  <c r="N10534" i="13" s="1"/>
  <c r="O10535" i="13" l="1"/>
  <c r="N10535" i="13" s="1"/>
  <c r="O10536" i="13" l="1"/>
  <c r="N10536" i="13" s="1"/>
  <c r="O10537" i="13" l="1"/>
  <c r="N10537" i="13" s="1"/>
  <c r="O10538" i="13" l="1"/>
  <c r="N10538" i="13" s="1"/>
  <c r="O10539" i="13" l="1"/>
  <c r="N10539" i="13" s="1"/>
  <c r="O10540" i="13" l="1"/>
  <c r="N10540" i="13" s="1"/>
  <c r="O10541" i="13" l="1"/>
  <c r="N10541" i="13" s="1"/>
  <c r="O10542" i="13" l="1"/>
  <c r="N10542" i="13" s="1"/>
  <c r="O10543" i="13" l="1"/>
  <c r="N10543" i="13" s="1"/>
  <c r="O10544" i="13" l="1"/>
  <c r="N10544" i="13" s="1"/>
  <c r="O10545" i="13" l="1"/>
  <c r="N10545" i="13" s="1"/>
  <c r="O10546" i="13" l="1"/>
  <c r="N10546" i="13" s="1"/>
  <c r="O10547" i="13" l="1"/>
  <c r="N10547" i="13" s="1"/>
  <c r="O10548" i="13" l="1"/>
  <c r="N10548" i="13" s="1"/>
  <c r="O10549" i="13" l="1"/>
  <c r="N10549" i="13" s="1"/>
  <c r="O10550" i="13" l="1"/>
  <c r="N10550" i="13" s="1"/>
  <c r="O10551" i="13" l="1"/>
  <c r="N10551" i="13" s="1"/>
  <c r="O10552" i="13" l="1"/>
  <c r="N10552" i="13" s="1"/>
  <c r="O10553" i="13" l="1"/>
  <c r="N10553" i="13" s="1"/>
  <c r="O10554" i="13" l="1"/>
  <c r="N10554" i="13" s="1"/>
  <c r="O10555" i="13" l="1"/>
  <c r="N10555" i="13" s="1"/>
  <c r="O10556" i="13" l="1"/>
  <c r="N10556" i="13" s="1"/>
  <c r="O10557" i="13" l="1"/>
  <c r="N10557" i="13" s="1"/>
  <c r="O10558" i="13" l="1"/>
  <c r="N10558" i="13" s="1"/>
  <c r="O10559" i="13" l="1"/>
  <c r="N10559" i="13" s="1"/>
  <c r="O10560" i="13" l="1"/>
  <c r="N10560" i="13" s="1"/>
  <c r="O10561" i="13" l="1"/>
  <c r="N10561" i="13" s="1"/>
  <c r="O10562" i="13" l="1"/>
  <c r="N10562" i="13" s="1"/>
  <c r="O10563" i="13" l="1"/>
  <c r="N10563" i="13" s="1"/>
  <c r="O10564" i="13" l="1"/>
  <c r="N10564" i="13" s="1"/>
  <c r="O10565" i="13" l="1"/>
  <c r="N10565" i="13" s="1"/>
  <c r="O10566" i="13" l="1"/>
  <c r="N10566" i="13" s="1"/>
  <c r="O10567" i="13" l="1"/>
  <c r="N10567" i="13" s="1"/>
  <c r="O10568" i="13" l="1"/>
  <c r="N10568" i="13" s="1"/>
  <c r="O10569" i="13" l="1"/>
  <c r="N10569" i="13" s="1"/>
  <c r="O10570" i="13" l="1"/>
  <c r="N10570" i="13" s="1"/>
  <c r="O10571" i="13" l="1"/>
  <c r="N10571" i="13" s="1"/>
  <c r="O10572" i="13" l="1"/>
  <c r="N10572" i="13" s="1"/>
  <c r="O10573" i="13" l="1"/>
  <c r="N10573" i="13" s="1"/>
  <c r="O10574" i="13" l="1"/>
  <c r="N10574" i="13" s="1"/>
  <c r="O10575" i="13" l="1"/>
  <c r="N10575" i="13" s="1"/>
  <c r="O10576" i="13" l="1"/>
  <c r="N10576" i="13" s="1"/>
  <c r="O10577" i="13" l="1"/>
  <c r="N10577" i="13" s="1"/>
  <c r="O10578" i="13" l="1"/>
  <c r="N10578" i="13" s="1"/>
  <c r="O10579" i="13" l="1"/>
  <c r="N10579" i="13" s="1"/>
  <c r="O10580" i="13" l="1"/>
  <c r="N10580" i="13" s="1"/>
  <c r="O10581" i="13" l="1"/>
  <c r="N10581" i="13" s="1"/>
  <c r="O10582" i="13" l="1"/>
  <c r="N10582" i="13" s="1"/>
  <c r="O10583" i="13" l="1"/>
  <c r="N10583" i="13" s="1"/>
  <c r="O10584" i="13" l="1"/>
  <c r="N10584" i="13" s="1"/>
  <c r="O10585" i="13" l="1"/>
  <c r="N10585" i="13" s="1"/>
  <c r="O10586" i="13" l="1"/>
  <c r="N10586" i="13" s="1"/>
  <c r="O10587" i="13" l="1"/>
  <c r="N10587" i="13" s="1"/>
  <c r="O10588" i="13" l="1"/>
  <c r="N10588" i="13" s="1"/>
  <c r="O10589" i="13" l="1"/>
  <c r="N10589" i="13" s="1"/>
  <c r="O10590" i="13" l="1"/>
  <c r="N10590" i="13" s="1"/>
  <c r="O10591" i="13" l="1"/>
  <c r="N10591" i="13" s="1"/>
  <c r="O10592" i="13" l="1"/>
  <c r="N10592" i="13" s="1"/>
  <c r="O10593" i="13" l="1"/>
  <c r="N10593" i="13" s="1"/>
  <c r="O10594" i="13" l="1"/>
  <c r="N10594" i="13" s="1"/>
  <c r="O10595" i="13" l="1"/>
  <c r="N10595" i="13" s="1"/>
  <c r="O10596" i="13" l="1"/>
  <c r="N10596" i="13" s="1"/>
  <c r="O10597" i="13" l="1"/>
  <c r="N10597" i="13" s="1"/>
  <c r="O10598" i="13" l="1"/>
  <c r="N10598" i="13" s="1"/>
  <c r="O10599" i="13" l="1"/>
  <c r="N10599" i="13" s="1"/>
  <c r="O10600" i="13" l="1"/>
  <c r="N10600" i="13" s="1"/>
  <c r="O10601" i="13" l="1"/>
  <c r="N10601" i="13" s="1"/>
  <c r="O10602" i="13" l="1"/>
  <c r="N10602" i="13" s="1"/>
  <c r="O10603" i="13" l="1"/>
  <c r="N10603" i="13" s="1"/>
  <c r="O10604" i="13" l="1"/>
  <c r="N10604" i="13" s="1"/>
  <c r="O10605" i="13" l="1"/>
  <c r="N10605" i="13" s="1"/>
  <c r="O10606" i="13" l="1"/>
  <c r="N10606" i="13" s="1"/>
  <c r="O10607" i="13" l="1"/>
  <c r="N10607" i="13" s="1"/>
  <c r="O10608" i="13" l="1"/>
  <c r="N10608" i="13" s="1"/>
  <c r="O10609" i="13" l="1"/>
  <c r="N10609" i="13" s="1"/>
  <c r="O10610" i="13" l="1"/>
  <c r="N10610" i="13" s="1"/>
  <c r="O10611" i="13" l="1"/>
  <c r="N10611" i="13" s="1"/>
  <c r="O10612" i="13" l="1"/>
  <c r="N10612" i="13" s="1"/>
  <c r="O10613" i="13" l="1"/>
  <c r="N10613" i="13" s="1"/>
  <c r="O10614" i="13" l="1"/>
  <c r="N10614" i="13" s="1"/>
  <c r="O10615" i="13" l="1"/>
  <c r="N10615" i="13" s="1"/>
  <c r="O10616" i="13" l="1"/>
  <c r="N10616" i="13" s="1"/>
  <c r="O10617" i="13" l="1"/>
  <c r="N10617" i="13" s="1"/>
  <c r="O10618" i="13" l="1"/>
  <c r="N10618" i="13" s="1"/>
  <c r="O10619" i="13" l="1"/>
  <c r="N10619" i="13" s="1"/>
  <c r="O10620" i="13" l="1"/>
  <c r="N10620" i="13" s="1"/>
  <c r="O10621" i="13" l="1"/>
  <c r="N10621" i="13" s="1"/>
  <c r="O10622" i="13" l="1"/>
  <c r="N10622" i="13" s="1"/>
  <c r="O10623" i="13" l="1"/>
  <c r="N10623" i="13" s="1"/>
  <c r="O10624" i="13" l="1"/>
  <c r="N10624" i="13" s="1"/>
  <c r="O10625" i="13" l="1"/>
  <c r="N10625" i="13" s="1"/>
  <c r="O10626" i="13" l="1"/>
  <c r="N10626" i="13" s="1"/>
  <c r="O10627" i="13" l="1"/>
  <c r="N10627" i="13" s="1"/>
  <c r="O10628" i="13" l="1"/>
  <c r="N10628" i="13" s="1"/>
  <c r="O10629" i="13" l="1"/>
  <c r="N10629" i="13" s="1"/>
  <c r="O10630" i="13" l="1"/>
  <c r="N10630" i="13" s="1"/>
  <c r="O10631" i="13" l="1"/>
  <c r="N10631" i="13" s="1"/>
  <c r="O10632" i="13" l="1"/>
  <c r="N10632" i="13" s="1"/>
  <c r="O10633" i="13" l="1"/>
  <c r="N10633" i="13" s="1"/>
  <c r="O10634" i="13" l="1"/>
  <c r="N10634" i="13" s="1"/>
  <c r="O10635" i="13" l="1"/>
  <c r="N10635" i="13" s="1"/>
  <c r="O10636" i="13" l="1"/>
  <c r="N10636" i="13" s="1"/>
  <c r="O10637" i="13" l="1"/>
  <c r="N10637" i="13" s="1"/>
  <c r="O10638" i="13" l="1"/>
  <c r="N10638" i="13" s="1"/>
  <c r="O10639" i="13" l="1"/>
  <c r="N10639" i="13" s="1"/>
  <c r="O10640" i="13" l="1"/>
  <c r="N10640" i="13" s="1"/>
  <c r="O10641" i="13" l="1"/>
  <c r="N10641" i="13" s="1"/>
  <c r="O10642" i="13" l="1"/>
  <c r="N10642" i="13" s="1"/>
  <c r="O10643" i="13" l="1"/>
  <c r="N10643" i="13" s="1"/>
  <c r="O10644" i="13" l="1"/>
  <c r="N10644" i="13" s="1"/>
  <c r="O10645" i="13" l="1"/>
  <c r="N10645" i="13" s="1"/>
  <c r="O10646" i="13" l="1"/>
  <c r="N10646" i="13" s="1"/>
  <c r="O10647" i="13" l="1"/>
  <c r="N10647" i="13" s="1"/>
  <c r="O10648" i="13" l="1"/>
  <c r="N10648" i="13" s="1"/>
  <c r="O10649" i="13" l="1"/>
  <c r="N10649" i="13" s="1"/>
  <c r="O10650" i="13" l="1"/>
  <c r="N10650" i="13" s="1"/>
  <c r="O10651" i="13" l="1"/>
  <c r="N10651" i="13" s="1"/>
  <c r="O10652" i="13" l="1"/>
  <c r="N10652" i="13" s="1"/>
  <c r="O10653" i="13" l="1"/>
  <c r="N10653" i="13" s="1"/>
  <c r="O10654" i="13" l="1"/>
  <c r="N10654" i="13" s="1"/>
  <c r="O10655" i="13" l="1"/>
  <c r="N10655" i="13" s="1"/>
  <c r="O10656" i="13" l="1"/>
  <c r="N10656" i="13" s="1"/>
  <c r="O10657" i="13" l="1"/>
  <c r="N10657" i="13" s="1"/>
  <c r="O10658" i="13" l="1"/>
  <c r="N10658" i="13" s="1"/>
  <c r="O10659" i="13" l="1"/>
  <c r="N10659" i="13" s="1"/>
  <c r="O10660" i="13" l="1"/>
  <c r="N10660" i="13" s="1"/>
  <c r="O10661" i="13" l="1"/>
  <c r="N10661" i="13" s="1"/>
  <c r="O10662" i="13" l="1"/>
  <c r="N10662" i="13" s="1"/>
  <c r="O10663" i="13" l="1"/>
  <c r="N10663" i="13" s="1"/>
  <c r="O10664" i="13" l="1"/>
  <c r="N10664" i="13" s="1"/>
  <c r="O10665" i="13" l="1"/>
  <c r="N10665" i="13" s="1"/>
  <c r="O10666" i="13" l="1"/>
  <c r="N10666" i="13" s="1"/>
  <c r="O10667" i="13" l="1"/>
  <c r="N10667" i="13" s="1"/>
  <c r="O10668" i="13" l="1"/>
  <c r="N10668" i="13" s="1"/>
  <c r="O10669" i="13" l="1"/>
  <c r="N10669" i="13" s="1"/>
  <c r="O10670" i="13" l="1"/>
  <c r="N10670" i="13" s="1"/>
  <c r="O10671" i="13" l="1"/>
  <c r="N10671" i="13" s="1"/>
  <c r="O10672" i="13" l="1"/>
  <c r="N10672" i="13" s="1"/>
  <c r="O10673" i="13" l="1"/>
  <c r="N10673" i="13" s="1"/>
  <c r="O10674" i="13" l="1"/>
  <c r="N10674" i="13" s="1"/>
  <c r="O10675" i="13" l="1"/>
  <c r="N10675" i="13" s="1"/>
  <c r="O10676" i="13" l="1"/>
  <c r="N10676" i="13" s="1"/>
  <c r="O10677" i="13" l="1"/>
  <c r="N10677" i="13" s="1"/>
  <c r="O10678" i="13" l="1"/>
  <c r="N10678" i="13" s="1"/>
  <c r="O10679" i="13" l="1"/>
  <c r="N10679" i="13" s="1"/>
  <c r="O10680" i="13" l="1"/>
  <c r="N10680" i="13" s="1"/>
  <c r="O10681" i="13" l="1"/>
  <c r="N10681" i="13" s="1"/>
  <c r="O10682" i="13" l="1"/>
  <c r="N10682" i="13" s="1"/>
  <c r="O10683" i="13" l="1"/>
  <c r="N10683" i="13" s="1"/>
  <c r="O10684" i="13" l="1"/>
  <c r="N10684" i="13" s="1"/>
  <c r="O10685" i="13" l="1"/>
  <c r="N10685" i="13" s="1"/>
  <c r="O10686" i="13" l="1"/>
  <c r="N10686" i="13" s="1"/>
  <c r="O10687" i="13" l="1"/>
  <c r="N10687" i="13" s="1"/>
  <c r="O10688" i="13" l="1"/>
  <c r="N10688" i="13" s="1"/>
  <c r="O10689" i="13" l="1"/>
  <c r="N10689" i="13" s="1"/>
  <c r="O10690" i="13" l="1"/>
  <c r="N10690" i="13" s="1"/>
  <c r="O10691" i="13" l="1"/>
  <c r="N10691" i="13" s="1"/>
  <c r="O10692" i="13" l="1"/>
  <c r="N10692" i="13" s="1"/>
  <c r="O10693" i="13" l="1"/>
  <c r="N10693" i="13" s="1"/>
  <c r="O10694" i="13" l="1"/>
  <c r="N10694" i="13" s="1"/>
  <c r="O10695" i="13" l="1"/>
  <c r="N10695" i="13" s="1"/>
  <c r="O10696" i="13" l="1"/>
  <c r="N10696" i="13" s="1"/>
  <c r="O10697" i="13" l="1"/>
  <c r="N10697" i="13" s="1"/>
  <c r="O10698" i="13" l="1"/>
  <c r="N10698" i="13" s="1"/>
  <c r="O10699" i="13" l="1"/>
  <c r="N10699" i="13" s="1"/>
  <c r="O10700" i="13" l="1"/>
  <c r="N10700" i="13" s="1"/>
  <c r="O10701" i="13" l="1"/>
  <c r="N10701" i="13" s="1"/>
  <c r="O10702" i="13" l="1"/>
  <c r="N10702" i="13" s="1"/>
  <c r="O10703" i="13" l="1"/>
  <c r="N10703" i="13" s="1"/>
  <c r="O10704" i="13" l="1"/>
  <c r="N10704" i="13" s="1"/>
  <c r="O10705" i="13" l="1"/>
  <c r="N10705" i="13" s="1"/>
  <c r="O10706" i="13" l="1"/>
  <c r="N10706" i="13" s="1"/>
  <c r="O10707" i="13" l="1"/>
  <c r="N10707" i="13" s="1"/>
  <c r="O10708" i="13" l="1"/>
  <c r="N10708" i="13" s="1"/>
  <c r="O10709" i="13" l="1"/>
  <c r="N10709" i="13" s="1"/>
  <c r="O10710" i="13" l="1"/>
  <c r="N10710" i="13" s="1"/>
  <c r="O10711" i="13" l="1"/>
  <c r="N10711" i="13" s="1"/>
  <c r="O10712" i="13" l="1"/>
  <c r="N10712" i="13" s="1"/>
  <c r="O10713" i="13" l="1"/>
  <c r="N10713" i="13" s="1"/>
  <c r="O10714" i="13" l="1"/>
  <c r="N10714" i="13" s="1"/>
  <c r="O10715" i="13" l="1"/>
  <c r="N10715" i="13" s="1"/>
  <c r="O10716" i="13" l="1"/>
  <c r="N10716" i="13" s="1"/>
  <c r="O10717" i="13" l="1"/>
  <c r="N10717" i="13" s="1"/>
  <c r="O10718" i="13" l="1"/>
  <c r="N10718" i="13" s="1"/>
  <c r="O10719" i="13" l="1"/>
  <c r="N10719" i="13" s="1"/>
  <c r="O10720" i="13" l="1"/>
  <c r="N10720" i="13" s="1"/>
  <c r="O10721" i="13" l="1"/>
  <c r="N10721" i="13" s="1"/>
  <c r="O10722" i="13" l="1"/>
  <c r="N10722" i="13" s="1"/>
  <c r="O10723" i="13" l="1"/>
  <c r="N10723" i="13" s="1"/>
  <c r="O10724" i="13" l="1"/>
  <c r="N10724" i="13" s="1"/>
  <c r="O10725" i="13" l="1"/>
  <c r="N10725" i="13" s="1"/>
  <c r="O10726" i="13" l="1"/>
  <c r="N10726" i="13" s="1"/>
  <c r="O10727" i="13" l="1"/>
  <c r="N10727" i="13" s="1"/>
  <c r="O10728" i="13" l="1"/>
  <c r="N10728" i="13" s="1"/>
  <c r="O10729" i="13" l="1"/>
  <c r="N10729" i="13" s="1"/>
  <c r="O10730" i="13" l="1"/>
  <c r="N10730" i="13" s="1"/>
  <c r="O10731" i="13" l="1"/>
  <c r="N10731" i="13" s="1"/>
  <c r="O10732" i="13" l="1"/>
  <c r="N10732" i="13" s="1"/>
  <c r="O10733" i="13" l="1"/>
  <c r="N10733" i="13" s="1"/>
  <c r="O10734" i="13" l="1"/>
  <c r="N10734" i="13" s="1"/>
  <c r="O10735" i="13" l="1"/>
  <c r="N10735" i="13" s="1"/>
  <c r="O10736" i="13" l="1"/>
  <c r="N10736" i="13" s="1"/>
  <c r="O10737" i="13" l="1"/>
  <c r="N10737" i="13" s="1"/>
  <c r="O10738" i="13" l="1"/>
  <c r="N10738" i="13" s="1"/>
  <c r="O10739" i="13" l="1"/>
  <c r="N10739" i="13" s="1"/>
  <c r="O10740" i="13" l="1"/>
  <c r="N10740" i="13" s="1"/>
  <c r="O10741" i="13" l="1"/>
  <c r="N10741" i="13" s="1"/>
  <c r="O10742" i="13" l="1"/>
  <c r="N10742" i="13" s="1"/>
  <c r="O10743" i="13" l="1"/>
  <c r="N10743" i="13" s="1"/>
  <c r="O10744" i="13" l="1"/>
  <c r="N10744" i="13" s="1"/>
  <c r="O10745" i="13" l="1"/>
  <c r="N10745" i="13" s="1"/>
  <c r="O10746" i="13" l="1"/>
  <c r="N10746" i="13" s="1"/>
  <c r="O10747" i="13" l="1"/>
  <c r="N10747" i="13" s="1"/>
  <c r="O10748" i="13" l="1"/>
  <c r="N10748" i="13" s="1"/>
  <c r="O10749" i="13" l="1"/>
  <c r="N10749" i="13" s="1"/>
  <c r="O10750" i="13" l="1"/>
  <c r="N10750" i="13" s="1"/>
  <c r="O10751" i="13" l="1"/>
  <c r="N10751" i="13" s="1"/>
  <c r="O10752" i="13" l="1"/>
  <c r="N10752" i="13" s="1"/>
  <c r="O10753" i="13" l="1"/>
  <c r="N10753" i="13" s="1"/>
  <c r="O10754" i="13" l="1"/>
  <c r="N10754" i="13" s="1"/>
  <c r="O10755" i="13" l="1"/>
  <c r="N10755" i="13" s="1"/>
  <c r="O10756" i="13" l="1"/>
  <c r="N10756" i="13" s="1"/>
  <c r="O10757" i="13" l="1"/>
  <c r="N10757" i="13" s="1"/>
  <c r="O10758" i="13" l="1"/>
  <c r="N10758" i="13" s="1"/>
  <c r="O10759" i="13" l="1"/>
  <c r="N10759" i="13" s="1"/>
  <c r="O10760" i="13" l="1"/>
  <c r="N10760" i="13" s="1"/>
  <c r="O10761" i="13" l="1"/>
  <c r="N10761" i="13" s="1"/>
  <c r="O10762" i="13" l="1"/>
  <c r="N10762" i="13" s="1"/>
  <c r="O10763" i="13" l="1"/>
  <c r="N10763" i="13" s="1"/>
  <c r="O10764" i="13" l="1"/>
  <c r="N10764" i="13" s="1"/>
  <c r="O10765" i="13" l="1"/>
  <c r="N10765" i="13" s="1"/>
  <c r="O10766" i="13" l="1"/>
  <c r="N10766" i="13" s="1"/>
  <c r="O10767" i="13" l="1"/>
  <c r="N10767" i="13" s="1"/>
  <c r="O10768" i="13" l="1"/>
  <c r="N10768" i="13" s="1"/>
  <c r="O10769" i="13" l="1"/>
  <c r="N10769" i="13" s="1"/>
  <c r="O10770" i="13" l="1"/>
  <c r="N10770" i="13" s="1"/>
  <c r="O10771" i="13" l="1"/>
  <c r="N10771" i="13" s="1"/>
  <c r="O10772" i="13" l="1"/>
  <c r="N10772" i="13" s="1"/>
  <c r="O10773" i="13" l="1"/>
  <c r="N10773" i="13" s="1"/>
  <c r="O10774" i="13" l="1"/>
  <c r="N10774" i="13" s="1"/>
  <c r="O10775" i="13" l="1"/>
  <c r="N10775" i="13" s="1"/>
  <c r="O10776" i="13" l="1"/>
  <c r="N10776" i="13" s="1"/>
  <c r="O10777" i="13" l="1"/>
  <c r="N10777" i="13" s="1"/>
  <c r="O10778" i="13" l="1"/>
  <c r="N10778" i="13" s="1"/>
  <c r="O10779" i="13" l="1"/>
  <c r="N10779" i="13" s="1"/>
  <c r="O10780" i="13" l="1"/>
  <c r="N10780" i="13" s="1"/>
  <c r="O10781" i="13" l="1"/>
  <c r="N10781" i="13" s="1"/>
  <c r="O10782" i="13" l="1"/>
  <c r="N10782" i="13" s="1"/>
  <c r="O10783" i="13" l="1"/>
  <c r="N10783" i="13" s="1"/>
  <c r="O10784" i="13" l="1"/>
  <c r="N10784" i="13" s="1"/>
  <c r="O10785" i="13" l="1"/>
  <c r="N10785" i="13" s="1"/>
  <c r="O10786" i="13" l="1"/>
  <c r="N10786" i="13" s="1"/>
  <c r="O10787" i="13" l="1"/>
  <c r="N10787" i="13" s="1"/>
  <c r="O10788" i="13" l="1"/>
  <c r="N10788" i="13" s="1"/>
  <c r="O10789" i="13" l="1"/>
  <c r="N10789" i="13" s="1"/>
  <c r="O10790" i="13" l="1"/>
  <c r="N10790" i="13" s="1"/>
  <c r="O10791" i="13" l="1"/>
  <c r="N10791" i="13" s="1"/>
  <c r="O10792" i="13" l="1"/>
  <c r="N10792" i="13" s="1"/>
  <c r="O10793" i="13" l="1"/>
  <c r="N10793" i="13" s="1"/>
  <c r="O10794" i="13" l="1"/>
  <c r="N10794" i="13" s="1"/>
  <c r="O10795" i="13" l="1"/>
  <c r="N10795" i="13" s="1"/>
  <c r="O10796" i="13" l="1"/>
  <c r="N10796" i="13" s="1"/>
  <c r="O10797" i="13" l="1"/>
  <c r="N10797" i="13" s="1"/>
  <c r="O10798" i="13" l="1"/>
  <c r="N10798" i="13" s="1"/>
  <c r="O10799" i="13" l="1"/>
  <c r="N10799" i="13" s="1"/>
  <c r="O10800" i="13" l="1"/>
  <c r="N10800" i="13" s="1"/>
  <c r="O10801" i="13" l="1"/>
  <c r="N10801" i="13" s="1"/>
  <c r="O10802" i="13" l="1"/>
  <c r="N10802" i="13" s="1"/>
  <c r="O10803" i="13" l="1"/>
  <c r="N10803" i="13" s="1"/>
  <c r="O10804" i="13" l="1"/>
  <c r="N10804" i="13" s="1"/>
  <c r="O10805" i="13" l="1"/>
  <c r="N10805" i="13" s="1"/>
  <c r="O10806" i="13" l="1"/>
  <c r="N10806" i="13" s="1"/>
  <c r="O10807" i="13" l="1"/>
  <c r="N10807" i="13" s="1"/>
  <c r="O10808" i="13" l="1"/>
  <c r="N10808" i="13" s="1"/>
  <c r="O10809" i="13" l="1"/>
  <c r="N10809" i="13" s="1"/>
  <c r="O10810" i="13" l="1"/>
  <c r="N10810" i="13" s="1"/>
  <c r="O10811" i="13" l="1"/>
  <c r="N10811" i="13" s="1"/>
  <c r="O10812" i="13" l="1"/>
  <c r="N10812" i="13" s="1"/>
  <c r="O10813" i="13" l="1"/>
  <c r="N10813" i="13" s="1"/>
  <c r="O10814" i="13" l="1"/>
  <c r="N10814" i="13" s="1"/>
  <c r="O10815" i="13" l="1"/>
  <c r="N10815" i="13" s="1"/>
  <c r="O10816" i="13" l="1"/>
  <c r="N10816" i="13" s="1"/>
  <c r="O10817" i="13" l="1"/>
  <c r="N10817" i="13" s="1"/>
  <c r="O10818" i="13" l="1"/>
  <c r="N10818" i="13" s="1"/>
  <c r="O10819" i="13" l="1"/>
  <c r="N10819" i="13" s="1"/>
  <c r="O10820" i="13" l="1"/>
  <c r="N10820" i="13" s="1"/>
  <c r="O10821" i="13" l="1"/>
  <c r="N10821" i="13" s="1"/>
  <c r="O10822" i="13" l="1"/>
  <c r="N10822" i="13" s="1"/>
  <c r="O10823" i="13" l="1"/>
  <c r="N10823" i="13" s="1"/>
  <c r="O10824" i="13" l="1"/>
  <c r="N10824" i="13" s="1"/>
  <c r="O10825" i="13" l="1"/>
  <c r="N10825" i="13" s="1"/>
  <c r="O10826" i="13" l="1"/>
  <c r="N10826" i="13" s="1"/>
  <c r="O10827" i="13" l="1"/>
  <c r="N10827" i="13" s="1"/>
  <c r="O10828" i="13" l="1"/>
  <c r="N10828" i="13" s="1"/>
  <c r="O10829" i="13" l="1"/>
  <c r="N10829" i="13" s="1"/>
  <c r="O10830" i="13" l="1"/>
  <c r="N10830" i="13" s="1"/>
  <c r="O10831" i="13" l="1"/>
  <c r="N10831" i="13" s="1"/>
  <c r="O10832" i="13" l="1"/>
  <c r="N10832" i="13" s="1"/>
  <c r="O10833" i="13" l="1"/>
  <c r="N10833" i="13" s="1"/>
  <c r="O10834" i="13" l="1"/>
  <c r="N10834" i="13" s="1"/>
  <c r="O10835" i="13" l="1"/>
  <c r="N10835" i="13" s="1"/>
  <c r="O10836" i="13" l="1"/>
  <c r="N10836" i="13" s="1"/>
  <c r="O10837" i="13" l="1"/>
  <c r="N10837" i="13" s="1"/>
  <c r="O10838" i="13" l="1"/>
  <c r="N10838" i="13" s="1"/>
  <c r="O10839" i="13" l="1"/>
  <c r="N10839" i="13" s="1"/>
  <c r="O10840" i="13" l="1"/>
  <c r="N10840" i="13" s="1"/>
  <c r="O10841" i="13" l="1"/>
  <c r="N10841" i="13" s="1"/>
  <c r="O10842" i="13" l="1"/>
  <c r="N10842" i="13" s="1"/>
  <c r="O10843" i="13" l="1"/>
  <c r="N10843" i="13" s="1"/>
  <c r="O10844" i="13" l="1"/>
  <c r="N10844" i="13" s="1"/>
  <c r="O10845" i="13" l="1"/>
  <c r="N10845" i="13" s="1"/>
  <c r="O10846" i="13" l="1"/>
  <c r="N10846" i="13" s="1"/>
  <c r="O10847" i="13" l="1"/>
  <c r="N10847" i="13" s="1"/>
  <c r="O10848" i="13" l="1"/>
  <c r="N10848" i="13" s="1"/>
  <c r="O10849" i="13" l="1"/>
  <c r="N10849" i="13" s="1"/>
  <c r="O10850" i="13" l="1"/>
  <c r="N10850" i="13" s="1"/>
  <c r="O10851" i="13" l="1"/>
  <c r="N10851" i="13" s="1"/>
  <c r="O10852" i="13" l="1"/>
  <c r="N10852" i="13" s="1"/>
  <c r="O10853" i="13" l="1"/>
  <c r="N10853" i="13" s="1"/>
  <c r="O10854" i="13" l="1"/>
  <c r="N10854" i="13" s="1"/>
  <c r="O10855" i="13" l="1"/>
  <c r="N10855" i="13" s="1"/>
  <c r="O10856" i="13" l="1"/>
  <c r="N10856" i="13" s="1"/>
  <c r="O10857" i="13" l="1"/>
  <c r="N10857" i="13" s="1"/>
  <c r="O10858" i="13" l="1"/>
  <c r="N10858" i="13" s="1"/>
  <c r="O10859" i="13" l="1"/>
  <c r="N10859" i="13" s="1"/>
  <c r="O10860" i="13" l="1"/>
  <c r="N10860" i="13" s="1"/>
  <c r="O10861" i="13" l="1"/>
  <c r="N10861" i="13" s="1"/>
  <c r="O10862" i="13" l="1"/>
  <c r="N10862" i="13" s="1"/>
  <c r="O10863" i="13" l="1"/>
  <c r="N10863" i="13" s="1"/>
  <c r="O10864" i="13" l="1"/>
  <c r="N10864" i="13" s="1"/>
  <c r="O10865" i="13" l="1"/>
  <c r="N10865" i="13" s="1"/>
  <c r="O10866" i="13" l="1"/>
  <c r="N10866" i="13" s="1"/>
  <c r="O10867" i="13" l="1"/>
  <c r="N10867" i="13" s="1"/>
  <c r="O10868" i="13" l="1"/>
  <c r="N10868" i="13" s="1"/>
  <c r="O10869" i="13" l="1"/>
  <c r="N10869" i="13" s="1"/>
  <c r="O10870" i="13" l="1"/>
  <c r="N10870" i="13" s="1"/>
  <c r="O10871" i="13" l="1"/>
  <c r="N10871" i="13" s="1"/>
  <c r="O10872" i="13" l="1"/>
  <c r="N10872" i="13" s="1"/>
  <c r="O10873" i="13" l="1"/>
  <c r="N10873" i="13" s="1"/>
  <c r="O10874" i="13" l="1"/>
  <c r="N10874" i="13" s="1"/>
  <c r="O10875" i="13" l="1"/>
  <c r="N10875" i="13" s="1"/>
  <c r="O10876" i="13" l="1"/>
  <c r="N10876" i="13" s="1"/>
  <c r="O10877" i="13" l="1"/>
  <c r="N10877" i="13" s="1"/>
  <c r="O10878" i="13" l="1"/>
  <c r="N10878" i="13" s="1"/>
  <c r="O10879" i="13" l="1"/>
  <c r="N10879" i="13" s="1"/>
  <c r="O10880" i="13" l="1"/>
  <c r="N10880" i="13" s="1"/>
  <c r="O10881" i="13" l="1"/>
  <c r="N10881" i="13" s="1"/>
  <c r="O10882" i="13" l="1"/>
  <c r="N10882" i="13" s="1"/>
  <c r="O10883" i="13" l="1"/>
  <c r="N10883" i="13" s="1"/>
  <c r="O10884" i="13" l="1"/>
  <c r="N10884" i="13" s="1"/>
  <c r="O10885" i="13" l="1"/>
  <c r="N10885" i="13" s="1"/>
  <c r="O10886" i="13" l="1"/>
  <c r="N10886" i="13" s="1"/>
  <c r="O10887" i="13" l="1"/>
  <c r="N10887" i="13" s="1"/>
  <c r="O10888" i="13" l="1"/>
  <c r="N10888" i="13" s="1"/>
  <c r="O10889" i="13" l="1"/>
  <c r="N10889" i="13" s="1"/>
  <c r="O10890" i="13" l="1"/>
  <c r="N10890" i="13" s="1"/>
  <c r="O10891" i="13" l="1"/>
  <c r="N10891" i="13" s="1"/>
  <c r="O10892" i="13" l="1"/>
  <c r="N10892" i="13" s="1"/>
  <c r="O10893" i="13" l="1"/>
  <c r="N10893" i="13" s="1"/>
  <c r="O10894" i="13" l="1"/>
  <c r="N10894" i="13" s="1"/>
  <c r="O10895" i="13" l="1"/>
  <c r="N10895" i="13" s="1"/>
  <c r="O10896" i="13" l="1"/>
  <c r="N10896" i="13" s="1"/>
  <c r="O10897" i="13" l="1"/>
  <c r="N10897" i="13" s="1"/>
  <c r="O10898" i="13" l="1"/>
  <c r="N10898" i="13" s="1"/>
  <c r="O10899" i="13" l="1"/>
  <c r="N10899" i="13" s="1"/>
  <c r="O10900" i="13" l="1"/>
  <c r="N10900" i="13" s="1"/>
  <c r="O10901" i="13" l="1"/>
  <c r="N10901" i="13" s="1"/>
  <c r="O10902" i="13" l="1"/>
  <c r="N10902" i="13" s="1"/>
  <c r="O10903" i="13" l="1"/>
  <c r="N10903" i="13" s="1"/>
  <c r="O10904" i="13" l="1"/>
  <c r="N10904" i="13" s="1"/>
  <c r="O10905" i="13" l="1"/>
  <c r="N10905" i="13" s="1"/>
  <c r="O10906" i="13" l="1"/>
  <c r="N10906" i="13" s="1"/>
  <c r="O10907" i="13" l="1"/>
  <c r="N10907" i="13" s="1"/>
  <c r="O10908" i="13" l="1"/>
  <c r="N10908" i="13" s="1"/>
  <c r="O10909" i="13" l="1"/>
  <c r="N10909" i="13" s="1"/>
  <c r="O10910" i="13" l="1"/>
  <c r="N10910" i="13" s="1"/>
  <c r="O10911" i="13" l="1"/>
  <c r="N10911" i="13" s="1"/>
  <c r="O10912" i="13" l="1"/>
  <c r="N10912" i="13" s="1"/>
  <c r="O10913" i="13" l="1"/>
  <c r="N10913" i="13" s="1"/>
  <c r="O10914" i="13" l="1"/>
  <c r="N10914" i="13" s="1"/>
  <c r="O10915" i="13" l="1"/>
  <c r="N10915" i="13" s="1"/>
  <c r="O10916" i="13" l="1"/>
  <c r="N10916" i="13" s="1"/>
  <c r="O10917" i="13" l="1"/>
  <c r="N10917" i="13" s="1"/>
  <c r="O10918" i="13" l="1"/>
  <c r="N10918" i="13" s="1"/>
  <c r="O10919" i="13" l="1"/>
  <c r="N10919" i="13" s="1"/>
  <c r="O10920" i="13" l="1"/>
  <c r="N10920" i="13" s="1"/>
  <c r="O10921" i="13" l="1"/>
  <c r="N10921" i="13" s="1"/>
  <c r="O10922" i="13" l="1"/>
  <c r="N10922" i="13" s="1"/>
  <c r="O10923" i="13" l="1"/>
  <c r="N10923" i="13" s="1"/>
  <c r="O10924" i="13" l="1"/>
  <c r="N10924" i="13" s="1"/>
  <c r="O10925" i="13" l="1"/>
  <c r="N10925" i="13" s="1"/>
  <c r="O10926" i="13" l="1"/>
  <c r="N10926" i="13" s="1"/>
  <c r="O10927" i="13" l="1"/>
  <c r="N10927" i="13" s="1"/>
  <c r="O10928" i="13" l="1"/>
  <c r="N10928" i="13" s="1"/>
  <c r="O10929" i="13" l="1"/>
  <c r="N10929" i="13" s="1"/>
  <c r="O10930" i="13" l="1"/>
  <c r="N10930" i="13" s="1"/>
  <c r="O10931" i="13" l="1"/>
  <c r="N10931" i="13" s="1"/>
  <c r="O10932" i="13" l="1"/>
  <c r="N10932" i="13" s="1"/>
  <c r="O10933" i="13" l="1"/>
  <c r="N10933" i="13" s="1"/>
  <c r="O10934" i="13" l="1"/>
  <c r="N10934" i="13" s="1"/>
  <c r="O10935" i="13" l="1"/>
  <c r="N10935" i="13" s="1"/>
  <c r="O10936" i="13" l="1"/>
  <c r="N10936" i="13" s="1"/>
  <c r="O10937" i="13" l="1"/>
  <c r="N10937" i="13" s="1"/>
  <c r="O10938" i="13" l="1"/>
  <c r="N10938" i="13" s="1"/>
  <c r="O10939" i="13" l="1"/>
  <c r="N10939" i="13" s="1"/>
  <c r="O10940" i="13" l="1"/>
  <c r="N10940" i="13" s="1"/>
  <c r="O10941" i="13" l="1"/>
  <c r="N10941" i="13" s="1"/>
  <c r="O10942" i="13" l="1"/>
  <c r="N10942" i="13" s="1"/>
  <c r="O10943" i="13" l="1"/>
  <c r="N10943" i="13" s="1"/>
  <c r="O10944" i="13" l="1"/>
  <c r="N10944" i="13" s="1"/>
  <c r="O10945" i="13" l="1"/>
  <c r="N10945" i="13" s="1"/>
  <c r="O10946" i="13" l="1"/>
  <c r="N10946" i="13" s="1"/>
  <c r="O10947" i="13" l="1"/>
  <c r="N10947" i="13" s="1"/>
  <c r="O10948" i="13" l="1"/>
  <c r="N10948" i="13" s="1"/>
  <c r="O10949" i="13" l="1"/>
  <c r="N10949" i="13" s="1"/>
  <c r="O10950" i="13" l="1"/>
  <c r="N10950" i="13" s="1"/>
  <c r="O10951" i="13" l="1"/>
  <c r="N10951" i="13" s="1"/>
  <c r="O10952" i="13" l="1"/>
  <c r="N10952" i="13" s="1"/>
  <c r="O10953" i="13" l="1"/>
  <c r="N10953" i="13" s="1"/>
  <c r="O10954" i="13" l="1"/>
  <c r="N10954" i="13" s="1"/>
  <c r="O10955" i="13" l="1"/>
  <c r="N10955" i="13" s="1"/>
  <c r="O10956" i="13" l="1"/>
  <c r="N10956" i="13" s="1"/>
  <c r="O10957" i="13" l="1"/>
  <c r="N10957" i="13" s="1"/>
  <c r="O10958" i="13" l="1"/>
  <c r="N10958" i="13" s="1"/>
  <c r="O10959" i="13" l="1"/>
  <c r="N10959" i="13" s="1"/>
  <c r="O10960" i="13" l="1"/>
  <c r="N10960" i="13" s="1"/>
  <c r="O10961" i="13" l="1"/>
  <c r="N10961" i="13" s="1"/>
  <c r="O10962" i="13" l="1"/>
  <c r="N10962" i="13" s="1"/>
  <c r="O10963" i="13" l="1"/>
  <c r="N10963" i="13" s="1"/>
  <c r="O10964" i="13" l="1"/>
  <c r="N10964" i="13" s="1"/>
  <c r="O10965" i="13" l="1"/>
  <c r="N10965" i="13" s="1"/>
  <c r="O10966" i="13" l="1"/>
  <c r="N10966" i="13" s="1"/>
  <c r="O10967" i="13" l="1"/>
  <c r="N10967" i="13" s="1"/>
  <c r="O10968" i="13" l="1"/>
  <c r="N10968" i="13" s="1"/>
  <c r="O10969" i="13" l="1"/>
  <c r="N10969" i="13" s="1"/>
  <c r="O10970" i="13" l="1"/>
  <c r="N10970" i="13" s="1"/>
  <c r="O10971" i="13" l="1"/>
  <c r="N10971" i="13" s="1"/>
  <c r="O10972" i="13" l="1"/>
  <c r="N10972" i="13" s="1"/>
  <c r="O10973" i="13" l="1"/>
  <c r="N10973" i="13" s="1"/>
  <c r="O10974" i="13" l="1"/>
  <c r="N10974" i="13" s="1"/>
  <c r="O10975" i="13" l="1"/>
  <c r="N10975" i="13" s="1"/>
  <c r="O10976" i="13" l="1"/>
  <c r="N10976" i="13" s="1"/>
  <c r="O10977" i="13" l="1"/>
  <c r="N10977" i="13" s="1"/>
  <c r="O10978" i="13" l="1"/>
  <c r="N10978" i="13" s="1"/>
  <c r="O10979" i="13" l="1"/>
  <c r="N10979" i="13" s="1"/>
  <c r="O10980" i="13" l="1"/>
  <c r="N10980" i="13" s="1"/>
  <c r="O10981" i="13" l="1"/>
  <c r="N10981" i="13" s="1"/>
  <c r="O10982" i="13" l="1"/>
  <c r="N10982" i="13" s="1"/>
  <c r="O10983" i="13" l="1"/>
  <c r="N10983" i="13" s="1"/>
  <c r="O10984" i="13" l="1"/>
  <c r="N10984" i="13" s="1"/>
  <c r="O10985" i="13" l="1"/>
  <c r="N10985" i="13" s="1"/>
  <c r="O10986" i="13" l="1"/>
  <c r="N10986" i="13" s="1"/>
  <c r="O10987" i="13" l="1"/>
  <c r="N10987" i="13" s="1"/>
  <c r="O10988" i="13" l="1"/>
  <c r="N10988" i="13" s="1"/>
  <c r="O10989" i="13" l="1"/>
  <c r="N10989" i="13" s="1"/>
  <c r="O10990" i="13" l="1"/>
  <c r="N10990" i="13" s="1"/>
  <c r="O10991" i="13" l="1"/>
  <c r="N10991" i="13" s="1"/>
  <c r="O10992" i="13" l="1"/>
  <c r="N10992" i="13" s="1"/>
  <c r="O10993" i="13" l="1"/>
  <c r="N10993" i="13" s="1"/>
  <c r="O10994" i="13" l="1"/>
  <c r="N10994" i="13" s="1"/>
  <c r="O10995" i="13" l="1"/>
  <c r="N10995" i="13" s="1"/>
  <c r="O10996" i="13" l="1"/>
  <c r="N10996" i="13" s="1"/>
  <c r="O10997" i="13" l="1"/>
  <c r="N10997" i="13" s="1"/>
  <c r="O10998" i="13" l="1"/>
  <c r="N10998" i="13" s="1"/>
  <c r="O10999" i="13" l="1"/>
  <c r="N10999" i="13" s="1"/>
  <c r="O11000" i="13" l="1"/>
  <c r="N11000" i="13" s="1"/>
  <c r="O11001" i="13" l="1"/>
  <c r="N11001" i="13" s="1"/>
  <c r="O11002" i="13" l="1"/>
  <c r="N11002" i="13" s="1"/>
  <c r="O11003" i="13" l="1"/>
  <c r="N11003" i="13" s="1"/>
  <c r="O11004" i="13" l="1"/>
  <c r="N11004" i="13" s="1"/>
  <c r="O11005" i="13" l="1"/>
  <c r="N11005" i="13" s="1"/>
  <c r="O11006" i="13" l="1"/>
  <c r="N11006" i="13" s="1"/>
  <c r="O11007" i="13" l="1"/>
  <c r="N11007" i="13" s="1"/>
  <c r="O11008" i="13" l="1"/>
  <c r="N11008" i="13" s="1"/>
  <c r="O11009" i="13" l="1"/>
  <c r="N11009" i="13" s="1"/>
  <c r="O11010" i="13" l="1"/>
  <c r="N11010" i="13" s="1"/>
  <c r="O11011" i="13" l="1"/>
  <c r="N11011" i="13" s="1"/>
  <c r="O11012" i="13" l="1"/>
  <c r="N11012" i="13" s="1"/>
  <c r="O11013" i="13" l="1"/>
  <c r="N11013" i="13" s="1"/>
  <c r="O11014" i="13" l="1"/>
  <c r="N11014" i="13" s="1"/>
  <c r="O11015" i="13" l="1"/>
  <c r="N11015" i="13" s="1"/>
  <c r="O11016" i="13" l="1"/>
  <c r="N11016" i="13" s="1"/>
  <c r="O11017" i="13" l="1"/>
  <c r="N11017" i="13" s="1"/>
  <c r="O11018" i="13" l="1"/>
  <c r="N11018" i="13" s="1"/>
  <c r="O11019" i="13" l="1"/>
  <c r="N11019" i="13" s="1"/>
  <c r="O11020" i="13" l="1"/>
  <c r="N11020" i="13" s="1"/>
  <c r="O11021" i="13" l="1"/>
  <c r="N11021" i="13" s="1"/>
  <c r="O11022" i="13" l="1"/>
  <c r="N11022" i="13" s="1"/>
  <c r="O11023" i="13" l="1"/>
  <c r="N11023" i="13" s="1"/>
  <c r="O11024" i="13" l="1"/>
  <c r="N11024" i="13" s="1"/>
  <c r="O11025" i="13" l="1"/>
  <c r="N11025" i="13" s="1"/>
  <c r="O11026" i="13" l="1"/>
  <c r="N11026" i="13" s="1"/>
  <c r="O11027" i="13" l="1"/>
  <c r="N11027" i="13" s="1"/>
  <c r="O11028" i="13" l="1"/>
  <c r="N11028" i="13" s="1"/>
  <c r="O11029" i="13" l="1"/>
  <c r="N11029" i="13" s="1"/>
  <c r="O11030" i="13" l="1"/>
  <c r="N11030" i="13" s="1"/>
  <c r="O11031" i="13" l="1"/>
  <c r="N11031" i="13" s="1"/>
  <c r="O11032" i="13" l="1"/>
  <c r="N11032" i="13" s="1"/>
  <c r="O11033" i="13" l="1"/>
  <c r="N11033" i="13" s="1"/>
  <c r="O11034" i="13" l="1"/>
  <c r="N11034" i="13" s="1"/>
  <c r="O11035" i="13" l="1"/>
  <c r="N11035" i="13" s="1"/>
  <c r="O11036" i="13" l="1"/>
  <c r="N11036" i="13" s="1"/>
  <c r="O11037" i="13" l="1"/>
  <c r="N11037" i="13" s="1"/>
  <c r="O11038" i="13" l="1"/>
  <c r="N11038" i="13" s="1"/>
  <c r="O11039" i="13" l="1"/>
  <c r="N11039" i="13" s="1"/>
  <c r="O11040" i="13" l="1"/>
  <c r="N11040" i="13" s="1"/>
  <c r="O11041" i="13" l="1"/>
  <c r="N11041" i="13" s="1"/>
  <c r="O11042" i="13" l="1"/>
  <c r="N11042" i="13" s="1"/>
  <c r="O11043" i="13" l="1"/>
  <c r="N11043" i="13" s="1"/>
  <c r="O11044" i="13" l="1"/>
  <c r="N11044" i="13" s="1"/>
  <c r="O11045" i="13" l="1"/>
  <c r="N11045" i="13" s="1"/>
  <c r="O11046" i="13" l="1"/>
  <c r="N11046" i="13" s="1"/>
  <c r="O11047" i="13" l="1"/>
  <c r="N11047" i="13" s="1"/>
  <c r="O11048" i="13" l="1"/>
  <c r="N11048" i="13" s="1"/>
  <c r="O11049" i="13" l="1"/>
  <c r="N11049" i="13" s="1"/>
  <c r="O11050" i="13" l="1"/>
  <c r="N11050" i="13" s="1"/>
  <c r="O11051" i="13" l="1"/>
  <c r="N11051" i="13" s="1"/>
  <c r="O11052" i="13" l="1"/>
  <c r="N11052" i="13" s="1"/>
  <c r="O11053" i="13" l="1"/>
  <c r="N11053" i="13" s="1"/>
  <c r="O11054" i="13" l="1"/>
  <c r="N11054" i="13" s="1"/>
  <c r="O11055" i="13" l="1"/>
  <c r="N11055" i="13" s="1"/>
  <c r="O11056" i="13" l="1"/>
  <c r="N11056" i="13" s="1"/>
  <c r="O11057" i="13" l="1"/>
  <c r="N11057" i="13" s="1"/>
  <c r="O11058" i="13" l="1"/>
  <c r="N11058" i="13" s="1"/>
  <c r="O11059" i="13" l="1"/>
  <c r="N11059" i="13" s="1"/>
  <c r="O11060" i="13" l="1"/>
  <c r="N11060" i="13" s="1"/>
  <c r="O11061" i="13" l="1"/>
  <c r="N11061" i="13" s="1"/>
  <c r="O11062" i="13" l="1"/>
  <c r="N11062" i="13" s="1"/>
  <c r="O11063" i="13" l="1"/>
  <c r="N11063" i="13" s="1"/>
  <c r="O11064" i="13" l="1"/>
  <c r="N11064" i="13" s="1"/>
  <c r="O11065" i="13" l="1"/>
  <c r="N11065" i="13" s="1"/>
  <c r="O11066" i="13" l="1"/>
  <c r="N11066" i="13" s="1"/>
  <c r="O11067" i="13" l="1"/>
  <c r="N11067" i="13" s="1"/>
  <c r="O11068" i="13" l="1"/>
  <c r="N11068" i="13" s="1"/>
  <c r="O11069" i="13" l="1"/>
  <c r="N11069" i="13" s="1"/>
  <c r="O11070" i="13" l="1"/>
  <c r="N11070" i="13" s="1"/>
  <c r="O11071" i="13" l="1"/>
  <c r="N11071" i="13" s="1"/>
  <c r="O11072" i="13" l="1"/>
  <c r="N11072" i="13" s="1"/>
  <c r="O11073" i="13" l="1"/>
  <c r="N11073" i="13" s="1"/>
  <c r="O11074" i="13" l="1"/>
  <c r="N11074" i="13" s="1"/>
  <c r="O11075" i="13" l="1"/>
  <c r="N11075" i="13" s="1"/>
  <c r="O11076" i="13" l="1"/>
  <c r="N11076" i="13" s="1"/>
  <c r="O11077" i="13" l="1"/>
  <c r="N11077" i="13" s="1"/>
  <c r="O11078" i="13" l="1"/>
  <c r="N11078" i="13" s="1"/>
  <c r="O11079" i="13" l="1"/>
  <c r="N11079" i="13" s="1"/>
  <c r="O11080" i="13" l="1"/>
  <c r="N11080" i="13" s="1"/>
  <c r="O11081" i="13" l="1"/>
  <c r="N11081" i="13" s="1"/>
  <c r="O11082" i="13" l="1"/>
  <c r="N11082" i="13" s="1"/>
  <c r="O11083" i="13" l="1"/>
  <c r="N11083" i="13" s="1"/>
  <c r="O11084" i="13" l="1"/>
  <c r="N11084" i="13" s="1"/>
  <c r="O11085" i="13" l="1"/>
  <c r="N11085" i="13" s="1"/>
  <c r="O11086" i="13" l="1"/>
  <c r="N11086" i="13" s="1"/>
  <c r="O11087" i="13" l="1"/>
  <c r="N11087" i="13" s="1"/>
  <c r="O11088" i="13" l="1"/>
  <c r="N11088" i="13" s="1"/>
  <c r="O11089" i="13" l="1"/>
  <c r="N11089" i="13" s="1"/>
  <c r="O11090" i="13" l="1"/>
  <c r="N11090" i="13" s="1"/>
  <c r="O11091" i="13" l="1"/>
  <c r="N11091" i="13" s="1"/>
  <c r="O11092" i="13" l="1"/>
  <c r="N11092" i="13" s="1"/>
  <c r="O11093" i="13" l="1"/>
  <c r="N11093" i="13" s="1"/>
  <c r="O11094" i="13" l="1"/>
  <c r="N11094" i="13" s="1"/>
  <c r="O11095" i="13" l="1"/>
  <c r="N11095" i="13" s="1"/>
  <c r="O11096" i="13" l="1"/>
  <c r="N11096" i="13" s="1"/>
  <c r="O11097" i="13" l="1"/>
  <c r="N11097" i="13" s="1"/>
  <c r="O11098" i="13" l="1"/>
  <c r="N11098" i="13" s="1"/>
  <c r="O11099" i="13" l="1"/>
  <c r="N11099" i="13" s="1"/>
  <c r="O11100" i="13" l="1"/>
  <c r="N11100" i="13" s="1"/>
  <c r="O11101" i="13" l="1"/>
  <c r="N11101" i="13" s="1"/>
  <c r="O11102" i="13" l="1"/>
  <c r="N11102" i="13" s="1"/>
  <c r="O11103" i="13" l="1"/>
  <c r="N11103" i="13" s="1"/>
  <c r="O11104" i="13" l="1"/>
  <c r="N11104" i="13" s="1"/>
  <c r="O11105" i="13" l="1"/>
  <c r="N11105" i="13" s="1"/>
  <c r="O11106" i="13" l="1"/>
  <c r="N11106" i="13" s="1"/>
  <c r="O11107" i="13" l="1"/>
  <c r="N11107" i="13" s="1"/>
  <c r="O11108" i="13" l="1"/>
  <c r="N11108" i="13" s="1"/>
  <c r="O11109" i="13" l="1"/>
  <c r="N11109" i="13" s="1"/>
  <c r="O11110" i="13" l="1"/>
  <c r="N11110" i="13" s="1"/>
  <c r="O11111" i="13" l="1"/>
  <c r="N11111" i="13" s="1"/>
  <c r="O11112" i="13" l="1"/>
  <c r="N11112" i="13" s="1"/>
  <c r="O11113" i="13" l="1"/>
  <c r="N11113" i="13" s="1"/>
  <c r="O11114" i="13" l="1"/>
  <c r="N11114" i="13" s="1"/>
  <c r="O11115" i="13" l="1"/>
  <c r="N11115" i="13" s="1"/>
  <c r="O11116" i="13" l="1"/>
  <c r="N11116" i="13" s="1"/>
  <c r="O11117" i="13" l="1"/>
  <c r="N11117" i="13" s="1"/>
  <c r="O11118" i="13" l="1"/>
  <c r="N11118" i="13" s="1"/>
  <c r="O11119" i="13" l="1"/>
  <c r="N11119" i="13" s="1"/>
  <c r="O11120" i="13" l="1"/>
  <c r="N11120" i="13" s="1"/>
  <c r="O11121" i="13" l="1"/>
  <c r="N11121" i="13" s="1"/>
  <c r="O11122" i="13" l="1"/>
  <c r="N11122" i="13" s="1"/>
  <c r="O11123" i="13" l="1"/>
  <c r="N11123" i="13" s="1"/>
  <c r="O11124" i="13" l="1"/>
  <c r="N11124" i="13" s="1"/>
  <c r="O11125" i="13" l="1"/>
  <c r="N11125" i="13" s="1"/>
  <c r="O11126" i="13" l="1"/>
  <c r="N11126" i="13" s="1"/>
  <c r="O11127" i="13" l="1"/>
  <c r="N11127" i="13" s="1"/>
  <c r="O11128" i="13" l="1"/>
  <c r="N11128" i="13" s="1"/>
  <c r="O11129" i="13" l="1"/>
  <c r="N11129" i="13" s="1"/>
  <c r="O11130" i="13" l="1"/>
  <c r="N11130" i="13" s="1"/>
  <c r="O11131" i="13" l="1"/>
  <c r="N11131" i="13" s="1"/>
  <c r="O11132" i="13" l="1"/>
  <c r="N11132" i="13" s="1"/>
  <c r="O11133" i="13" l="1"/>
  <c r="N11133" i="13" s="1"/>
  <c r="O11134" i="13" l="1"/>
  <c r="N11134" i="13" s="1"/>
  <c r="O11135" i="13" l="1"/>
  <c r="N11135" i="13" s="1"/>
  <c r="O11136" i="13" l="1"/>
  <c r="N11136" i="13" s="1"/>
  <c r="O11137" i="13" l="1"/>
  <c r="N11137" i="13" s="1"/>
  <c r="O11138" i="13" l="1"/>
  <c r="N11138" i="13" s="1"/>
  <c r="O11139" i="13" l="1"/>
  <c r="N11139" i="13" s="1"/>
  <c r="O11140" i="13" l="1"/>
  <c r="N11140" i="13" s="1"/>
  <c r="O11141" i="13" l="1"/>
  <c r="N11141" i="13" s="1"/>
  <c r="O11142" i="13" l="1"/>
  <c r="N11142" i="13" s="1"/>
  <c r="O11143" i="13" l="1"/>
  <c r="N11143" i="13" s="1"/>
  <c r="O11144" i="13" l="1"/>
  <c r="N11144" i="13" s="1"/>
  <c r="O11145" i="13" l="1"/>
  <c r="N11145" i="13" s="1"/>
  <c r="O11146" i="13" l="1"/>
  <c r="N11146" i="13" s="1"/>
  <c r="O11147" i="13" l="1"/>
  <c r="N11147" i="13" s="1"/>
  <c r="O11148" i="13" l="1"/>
  <c r="N11148" i="13" s="1"/>
  <c r="O11149" i="13" l="1"/>
  <c r="N11149" i="13" s="1"/>
  <c r="O11150" i="13" l="1"/>
  <c r="N11150" i="13" s="1"/>
  <c r="O11151" i="13" l="1"/>
  <c r="N11151" i="13" s="1"/>
  <c r="O11152" i="13" l="1"/>
  <c r="N11152" i="13" s="1"/>
  <c r="O11153" i="13" l="1"/>
  <c r="N11153" i="13" s="1"/>
  <c r="O11154" i="13" l="1"/>
  <c r="N11154" i="13" s="1"/>
  <c r="O11155" i="13" l="1"/>
  <c r="N11155" i="13" s="1"/>
  <c r="O11156" i="13" l="1"/>
  <c r="N11156" i="13" s="1"/>
  <c r="O11157" i="13" l="1"/>
  <c r="N11157" i="13" s="1"/>
  <c r="O11158" i="13" l="1"/>
  <c r="N11158" i="13" s="1"/>
  <c r="O11159" i="13" l="1"/>
  <c r="N11159" i="13" s="1"/>
  <c r="O11160" i="13" l="1"/>
  <c r="N11160" i="13" s="1"/>
  <c r="O11161" i="13" l="1"/>
  <c r="N11161" i="13" s="1"/>
  <c r="O11162" i="13" l="1"/>
  <c r="N11162" i="13" s="1"/>
  <c r="O11163" i="13" l="1"/>
  <c r="N11163" i="13" s="1"/>
  <c r="O11164" i="13" l="1"/>
  <c r="N11164" i="13" s="1"/>
  <c r="O11165" i="13" l="1"/>
  <c r="N11165" i="13" s="1"/>
  <c r="O11166" i="13" l="1"/>
  <c r="N11166" i="13" s="1"/>
  <c r="O11167" i="13" l="1"/>
  <c r="N11167" i="13" s="1"/>
  <c r="O11168" i="13" l="1"/>
  <c r="N11168" i="13" s="1"/>
  <c r="O11169" i="13" l="1"/>
  <c r="N11169" i="13" s="1"/>
  <c r="O11170" i="13" l="1"/>
  <c r="N11170" i="13" s="1"/>
  <c r="O11171" i="13" l="1"/>
  <c r="N11171" i="13" s="1"/>
  <c r="O11172" i="13" l="1"/>
  <c r="N11172" i="13" s="1"/>
  <c r="O11173" i="13" l="1"/>
  <c r="N11173" i="13" s="1"/>
  <c r="O11174" i="13" l="1"/>
  <c r="N11174" i="13" s="1"/>
  <c r="O11175" i="13" l="1"/>
  <c r="N11175" i="13" s="1"/>
  <c r="O11176" i="13" l="1"/>
  <c r="N11176" i="13" s="1"/>
  <c r="O11177" i="13" l="1"/>
  <c r="N11177" i="13" s="1"/>
  <c r="O11178" i="13" l="1"/>
  <c r="N11178" i="13" s="1"/>
  <c r="O11179" i="13" l="1"/>
  <c r="N11179" i="13" s="1"/>
  <c r="O11180" i="13" l="1"/>
  <c r="N11180" i="13" s="1"/>
  <c r="O11181" i="13" l="1"/>
  <c r="N11181" i="13" s="1"/>
  <c r="O11182" i="13" l="1"/>
  <c r="N11182" i="13" s="1"/>
  <c r="O11183" i="13" l="1"/>
  <c r="N11183" i="13" s="1"/>
  <c r="O11184" i="13" l="1"/>
  <c r="N11184" i="13" s="1"/>
  <c r="O11185" i="13" l="1"/>
  <c r="N11185" i="13" s="1"/>
  <c r="O11186" i="13" l="1"/>
  <c r="N11186" i="13" s="1"/>
  <c r="O11187" i="13" l="1"/>
  <c r="N11187" i="13" s="1"/>
  <c r="O11188" i="13" l="1"/>
  <c r="N11188" i="13" s="1"/>
  <c r="O11189" i="13" l="1"/>
  <c r="N11189" i="13" s="1"/>
  <c r="O11190" i="13" l="1"/>
  <c r="N11190" i="13" s="1"/>
  <c r="O11191" i="13" l="1"/>
  <c r="N11191" i="13" s="1"/>
  <c r="O11192" i="13" l="1"/>
  <c r="N11192" i="13" s="1"/>
  <c r="O11193" i="13" l="1"/>
  <c r="N11193" i="13" s="1"/>
  <c r="O11194" i="13" l="1"/>
  <c r="N11194" i="13" s="1"/>
  <c r="O11195" i="13" l="1"/>
  <c r="N11195" i="13" s="1"/>
  <c r="O11196" i="13" l="1"/>
  <c r="N11196" i="13" s="1"/>
  <c r="O11197" i="13" l="1"/>
  <c r="N11197" i="13" s="1"/>
  <c r="O11198" i="13" l="1"/>
  <c r="N11198" i="13" s="1"/>
  <c r="O11199" i="13" l="1"/>
  <c r="N11199" i="13" s="1"/>
  <c r="O11200" i="13" l="1"/>
  <c r="N11200" i="13" s="1"/>
  <c r="O11201" i="13" l="1"/>
  <c r="N11201" i="13" s="1"/>
  <c r="O11202" i="13" l="1"/>
  <c r="N11202" i="13" s="1"/>
  <c r="O11203" i="13" l="1"/>
  <c r="N11203" i="13" s="1"/>
  <c r="O11204" i="13" l="1"/>
  <c r="N11204" i="13" s="1"/>
  <c r="O11205" i="13" l="1"/>
  <c r="N11205" i="13" s="1"/>
  <c r="O11206" i="13" l="1"/>
  <c r="N11206" i="13" s="1"/>
  <c r="O11207" i="13" l="1"/>
  <c r="N11207" i="13" s="1"/>
  <c r="O11208" i="13" l="1"/>
  <c r="N11208" i="13" s="1"/>
  <c r="O11209" i="13" l="1"/>
  <c r="N11209" i="13" s="1"/>
  <c r="O11210" i="13" l="1"/>
  <c r="N11210" i="13" s="1"/>
  <c r="O11211" i="13" l="1"/>
  <c r="N11211" i="13" s="1"/>
  <c r="O11212" i="13" l="1"/>
  <c r="N11212" i="13" s="1"/>
  <c r="O11213" i="13" l="1"/>
  <c r="N11213" i="13" s="1"/>
  <c r="O11214" i="13" l="1"/>
  <c r="N11214" i="13" s="1"/>
  <c r="O11215" i="13" l="1"/>
  <c r="N11215" i="13" s="1"/>
  <c r="O11216" i="13" l="1"/>
  <c r="N11216" i="13" s="1"/>
  <c r="O11217" i="13" l="1"/>
  <c r="N11217" i="13" s="1"/>
  <c r="O11218" i="13" l="1"/>
  <c r="N11218" i="13" s="1"/>
  <c r="O11219" i="13" l="1"/>
  <c r="N11219" i="13" s="1"/>
  <c r="O11220" i="13" l="1"/>
  <c r="N11220" i="13" s="1"/>
  <c r="O11221" i="13" l="1"/>
  <c r="N11221" i="13" s="1"/>
  <c r="O11222" i="13" l="1"/>
  <c r="N11222" i="13" s="1"/>
  <c r="O11223" i="13" l="1"/>
  <c r="N11223" i="13" s="1"/>
  <c r="O11224" i="13" l="1"/>
  <c r="N11224" i="13" s="1"/>
  <c r="O11225" i="13" l="1"/>
  <c r="N11225" i="13" s="1"/>
  <c r="O11226" i="13" l="1"/>
  <c r="N11226" i="13" s="1"/>
  <c r="O11227" i="13" l="1"/>
  <c r="N11227" i="13" s="1"/>
  <c r="O11228" i="13" l="1"/>
  <c r="N11228" i="13" s="1"/>
  <c r="O11229" i="13" l="1"/>
  <c r="N11229" i="13" s="1"/>
  <c r="O11230" i="13" l="1"/>
  <c r="N11230" i="13" s="1"/>
  <c r="O11231" i="13" l="1"/>
  <c r="N11231" i="13" s="1"/>
  <c r="O11232" i="13" l="1"/>
  <c r="N11232" i="13" s="1"/>
  <c r="O11233" i="13" l="1"/>
  <c r="N11233" i="13" s="1"/>
  <c r="O11234" i="13" l="1"/>
  <c r="N11234" i="13" s="1"/>
  <c r="O11235" i="13" l="1"/>
  <c r="N11235" i="13" s="1"/>
  <c r="O11236" i="13" l="1"/>
  <c r="N11236" i="13" s="1"/>
  <c r="O11237" i="13" l="1"/>
  <c r="N11237" i="13" s="1"/>
  <c r="O11238" i="13" l="1"/>
  <c r="N11238" i="13" s="1"/>
  <c r="O11239" i="13" l="1"/>
  <c r="N11239" i="13" s="1"/>
  <c r="O11240" i="13" l="1"/>
  <c r="N11240" i="13" s="1"/>
  <c r="O11241" i="13" l="1"/>
  <c r="N11241" i="13" s="1"/>
  <c r="O11242" i="13" l="1"/>
  <c r="N11242" i="13" s="1"/>
  <c r="O11243" i="13" l="1"/>
  <c r="N11243" i="13" s="1"/>
  <c r="O11244" i="13" l="1"/>
  <c r="N11244" i="13" s="1"/>
  <c r="O11245" i="13" l="1"/>
  <c r="N11245" i="13" s="1"/>
  <c r="O11246" i="13" l="1"/>
  <c r="N11246" i="13" s="1"/>
  <c r="O11247" i="13" l="1"/>
  <c r="N11247" i="13" s="1"/>
  <c r="O11248" i="13" l="1"/>
  <c r="N11248" i="13" s="1"/>
  <c r="O11249" i="13" l="1"/>
  <c r="N11249" i="13" s="1"/>
  <c r="O11250" i="13" l="1"/>
  <c r="N11250" i="13" s="1"/>
  <c r="O11251" i="13" l="1"/>
  <c r="N11251" i="13" s="1"/>
  <c r="O11252" i="13" l="1"/>
  <c r="N11252" i="13" s="1"/>
  <c r="O11253" i="13" l="1"/>
  <c r="N11253" i="13" s="1"/>
  <c r="O11254" i="13" l="1"/>
  <c r="N11254" i="13" s="1"/>
  <c r="O11255" i="13" l="1"/>
  <c r="N11255" i="13" s="1"/>
  <c r="O11256" i="13" l="1"/>
  <c r="N11256" i="13" s="1"/>
  <c r="O11257" i="13" l="1"/>
  <c r="N11257" i="13" s="1"/>
  <c r="O11258" i="13" l="1"/>
  <c r="N11258" i="13" s="1"/>
  <c r="O11259" i="13" l="1"/>
  <c r="N11259" i="13" s="1"/>
  <c r="O11260" i="13" l="1"/>
  <c r="N11260" i="13" s="1"/>
  <c r="O11261" i="13" l="1"/>
  <c r="N11261" i="13" s="1"/>
  <c r="O11262" i="13" l="1"/>
  <c r="N11262" i="13" s="1"/>
  <c r="O11263" i="13" l="1"/>
  <c r="N11263" i="13" s="1"/>
  <c r="O11264" i="13" l="1"/>
  <c r="N11264" i="13" s="1"/>
  <c r="O11265" i="13" l="1"/>
  <c r="N11265" i="13" s="1"/>
  <c r="O11266" i="13" l="1"/>
  <c r="N11266" i="13" s="1"/>
  <c r="O11267" i="13" l="1"/>
  <c r="N11267" i="13" s="1"/>
  <c r="O11268" i="13" l="1"/>
  <c r="N11268" i="13" s="1"/>
  <c r="O11269" i="13" l="1"/>
  <c r="N11269" i="13" s="1"/>
  <c r="O11270" i="13" l="1"/>
  <c r="N11270" i="13" s="1"/>
  <c r="O11271" i="13" l="1"/>
  <c r="N11271" i="13" s="1"/>
  <c r="O11272" i="13" l="1"/>
  <c r="N11272" i="13" s="1"/>
  <c r="O11273" i="13" l="1"/>
  <c r="N11273" i="13" s="1"/>
  <c r="O11274" i="13" l="1"/>
  <c r="N11274" i="13" s="1"/>
  <c r="O11275" i="13" l="1"/>
  <c r="N11275" i="13" s="1"/>
  <c r="O11276" i="13" l="1"/>
  <c r="N11276" i="13" s="1"/>
  <c r="O11277" i="13" l="1"/>
  <c r="N11277" i="13" s="1"/>
  <c r="O11278" i="13" l="1"/>
  <c r="N11278" i="13" s="1"/>
  <c r="O11279" i="13" l="1"/>
  <c r="N11279" i="13" s="1"/>
  <c r="O11280" i="13" l="1"/>
  <c r="N11280" i="13" s="1"/>
  <c r="O11281" i="13" l="1"/>
  <c r="N11281" i="13" s="1"/>
  <c r="O11282" i="13" l="1"/>
  <c r="N11282" i="13" s="1"/>
  <c r="O11283" i="13" l="1"/>
  <c r="N11283" i="13" s="1"/>
  <c r="O11284" i="13" l="1"/>
  <c r="N11284" i="13" s="1"/>
  <c r="O11285" i="13" l="1"/>
  <c r="N11285" i="13" s="1"/>
  <c r="O11286" i="13" l="1"/>
  <c r="N11286" i="13" s="1"/>
  <c r="O11287" i="13" l="1"/>
  <c r="N11287" i="13" s="1"/>
  <c r="O11288" i="13" l="1"/>
  <c r="N11288" i="13" s="1"/>
  <c r="O11289" i="13" l="1"/>
  <c r="N11289" i="13" s="1"/>
  <c r="O11290" i="13" l="1"/>
  <c r="N11290" i="13" s="1"/>
  <c r="O11291" i="13" l="1"/>
  <c r="N11291" i="13" s="1"/>
  <c r="O11292" i="13" l="1"/>
  <c r="N11292" i="13" s="1"/>
  <c r="O11293" i="13" l="1"/>
  <c r="N11293" i="13" s="1"/>
  <c r="O11294" i="13" l="1"/>
  <c r="N11294" i="13" s="1"/>
  <c r="O11295" i="13" l="1"/>
  <c r="N11295" i="13" s="1"/>
  <c r="O11296" i="13" l="1"/>
  <c r="N11296" i="13" s="1"/>
  <c r="O11297" i="13" l="1"/>
  <c r="N11297" i="13" s="1"/>
  <c r="O11298" i="13" l="1"/>
  <c r="N11298" i="13" s="1"/>
  <c r="O11299" i="13" l="1"/>
  <c r="N11299" i="13" s="1"/>
  <c r="O11300" i="13" l="1"/>
  <c r="N11300" i="13" s="1"/>
  <c r="O11301" i="13" l="1"/>
  <c r="N11301" i="13" s="1"/>
  <c r="O11302" i="13" l="1"/>
  <c r="N11302" i="13" s="1"/>
  <c r="O11303" i="13" l="1"/>
  <c r="N11303" i="13" s="1"/>
  <c r="O11304" i="13" l="1"/>
  <c r="N11304" i="13" s="1"/>
  <c r="O11305" i="13" l="1"/>
  <c r="N11305" i="13" s="1"/>
  <c r="O11306" i="13" l="1"/>
  <c r="N11306" i="13" s="1"/>
  <c r="O11307" i="13" l="1"/>
  <c r="N11307" i="13" s="1"/>
  <c r="O11308" i="13" l="1"/>
  <c r="N11308" i="13" s="1"/>
  <c r="O11309" i="13" l="1"/>
  <c r="N11309" i="13" s="1"/>
  <c r="O11310" i="13" l="1"/>
  <c r="N11310" i="13" s="1"/>
  <c r="O11311" i="13" l="1"/>
  <c r="N11311" i="13" s="1"/>
  <c r="O11312" i="13" l="1"/>
  <c r="N11312" i="13" s="1"/>
  <c r="O11313" i="13" l="1"/>
  <c r="N11313" i="13" s="1"/>
  <c r="O11314" i="13" l="1"/>
  <c r="N11314" i="13" s="1"/>
  <c r="O11315" i="13" l="1"/>
  <c r="N11315" i="13" s="1"/>
  <c r="O11316" i="13" l="1"/>
  <c r="N11316" i="13" s="1"/>
  <c r="O11317" i="13" l="1"/>
  <c r="N11317" i="13" s="1"/>
  <c r="O11318" i="13" l="1"/>
  <c r="N11318" i="13" s="1"/>
  <c r="O11319" i="13" l="1"/>
  <c r="N11319" i="13" s="1"/>
  <c r="O11320" i="13" l="1"/>
  <c r="N11320" i="13" s="1"/>
  <c r="O11321" i="13" l="1"/>
  <c r="N11321" i="13" s="1"/>
  <c r="O11322" i="13" l="1"/>
  <c r="N11322" i="13" s="1"/>
  <c r="O11323" i="13" l="1"/>
  <c r="N11323" i="13" s="1"/>
  <c r="O11324" i="13" l="1"/>
  <c r="N11324" i="13" s="1"/>
  <c r="O11325" i="13" l="1"/>
  <c r="N11325" i="13" s="1"/>
  <c r="O11326" i="13" l="1"/>
  <c r="N11326" i="13" s="1"/>
  <c r="O11327" i="13" l="1"/>
  <c r="N11327" i="13" s="1"/>
  <c r="O11328" i="13" l="1"/>
  <c r="N11328" i="13" s="1"/>
  <c r="O11329" i="13" l="1"/>
  <c r="N11329" i="13" s="1"/>
  <c r="O11330" i="13" l="1"/>
  <c r="N11330" i="13" s="1"/>
  <c r="O11331" i="13" l="1"/>
  <c r="N11331" i="13" s="1"/>
  <c r="O11332" i="13" l="1"/>
  <c r="N11332" i="13" s="1"/>
  <c r="O11333" i="13" l="1"/>
  <c r="N11333" i="13" s="1"/>
  <c r="O11334" i="13" l="1"/>
  <c r="N11334" i="13" s="1"/>
  <c r="O11335" i="13" l="1"/>
  <c r="N11335" i="13" s="1"/>
  <c r="O11336" i="13" l="1"/>
  <c r="N11336" i="13" s="1"/>
  <c r="O11337" i="13" l="1"/>
  <c r="N11337" i="13" s="1"/>
  <c r="O11338" i="13" l="1"/>
  <c r="N11338" i="13" s="1"/>
  <c r="O11339" i="13" l="1"/>
  <c r="N11339" i="13" s="1"/>
  <c r="O11340" i="13" l="1"/>
  <c r="N11340" i="13" s="1"/>
  <c r="O11341" i="13" l="1"/>
  <c r="N11341" i="13" s="1"/>
  <c r="O11342" i="13" l="1"/>
  <c r="N11342" i="13" s="1"/>
  <c r="O11343" i="13" l="1"/>
  <c r="N11343" i="13" s="1"/>
  <c r="O11344" i="13" l="1"/>
  <c r="N11344" i="13" s="1"/>
  <c r="O11345" i="13" l="1"/>
  <c r="N11345" i="13" s="1"/>
  <c r="O11346" i="13" l="1"/>
  <c r="N11346" i="13" s="1"/>
  <c r="O11347" i="13" l="1"/>
  <c r="N11347" i="13" s="1"/>
  <c r="O11348" i="13" l="1"/>
  <c r="N11348" i="13" s="1"/>
  <c r="O11349" i="13" l="1"/>
  <c r="N11349" i="13" s="1"/>
  <c r="O11350" i="13" l="1"/>
  <c r="N11350" i="13" s="1"/>
  <c r="O11351" i="13" l="1"/>
  <c r="N11351" i="13" s="1"/>
  <c r="O11352" i="13" l="1"/>
  <c r="N11352" i="13" s="1"/>
  <c r="O11353" i="13" l="1"/>
  <c r="N11353" i="13" s="1"/>
  <c r="P91" i="12"/>
  <c r="P96" i="12"/>
  <c r="P97" i="12"/>
  <c r="P98" i="12"/>
  <c r="P99" i="12"/>
  <c r="P100" i="12"/>
  <c r="P101" i="12"/>
  <c r="P102" i="12"/>
  <c r="P103" i="12"/>
  <c r="P104" i="12"/>
  <c r="P105" i="12"/>
  <c r="O11354" i="13" l="1"/>
  <c r="N11354" i="13" s="1"/>
  <c r="P61" i="8"/>
  <c r="B3" i="5"/>
  <c r="G35" i="12"/>
  <c r="G34" i="12"/>
  <c r="G33" i="12"/>
  <c r="G32" i="12"/>
  <c r="G31" i="12"/>
  <c r="G30" i="12"/>
  <c r="G29" i="12"/>
  <c r="G28" i="12"/>
  <c r="G27" i="12"/>
  <c r="G26" i="12"/>
  <c r="G25" i="12"/>
  <c r="G24" i="12"/>
  <c r="F35" i="12"/>
  <c r="F34" i="12"/>
  <c r="F33" i="12"/>
  <c r="F32" i="12"/>
  <c r="F31" i="12"/>
  <c r="F30" i="12"/>
  <c r="F29" i="12"/>
  <c r="F28" i="12"/>
  <c r="F27" i="12"/>
  <c r="F26" i="12"/>
  <c r="F25" i="12"/>
  <c r="F24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L18" i="12"/>
  <c r="N35" i="12" s="1"/>
  <c r="L17" i="12"/>
  <c r="N34" i="12" s="1"/>
  <c r="L16" i="12"/>
  <c r="N33" i="12" s="1"/>
  <c r="L15" i="12"/>
  <c r="N32" i="12" s="1"/>
  <c r="L14" i="12"/>
  <c r="N31" i="12" s="1"/>
  <c r="L13" i="12"/>
  <c r="N30" i="12" s="1"/>
  <c r="L12" i="12"/>
  <c r="N29" i="12" s="1"/>
  <c r="L11" i="12"/>
  <c r="N28" i="12" s="1"/>
  <c r="L10" i="12"/>
  <c r="N27" i="12" s="1"/>
  <c r="L9" i="12"/>
  <c r="N26" i="12" s="1"/>
  <c r="L8" i="12"/>
  <c r="N25" i="12" s="1"/>
  <c r="L7" i="12"/>
  <c r="N24" i="12" s="1"/>
  <c r="G19" i="12"/>
  <c r="G18" i="12"/>
  <c r="G17" i="12"/>
  <c r="G16" i="12"/>
  <c r="G15" i="12"/>
  <c r="G14" i="12"/>
  <c r="G13" i="12"/>
  <c r="G12" i="12"/>
  <c r="G11" i="12"/>
  <c r="G10" i="12"/>
  <c r="G9" i="12"/>
  <c r="G8" i="12"/>
  <c r="G7" i="12"/>
  <c r="F18" i="12"/>
  <c r="M35" i="12" s="1"/>
  <c r="F17" i="12"/>
  <c r="M34" i="12" s="1"/>
  <c r="F16" i="12"/>
  <c r="M33" i="12" s="1"/>
  <c r="F15" i="12"/>
  <c r="M32" i="12" s="1"/>
  <c r="F14" i="12"/>
  <c r="M31" i="12" s="1"/>
  <c r="F13" i="12"/>
  <c r="M30" i="12" s="1"/>
  <c r="F12" i="12"/>
  <c r="M29" i="12" s="1"/>
  <c r="F11" i="12"/>
  <c r="M28" i="12" s="1"/>
  <c r="F10" i="12"/>
  <c r="M27" i="12" s="1"/>
  <c r="F9" i="12"/>
  <c r="M26" i="12" s="1"/>
  <c r="F8" i="12"/>
  <c r="M25" i="12" s="1"/>
  <c r="F7" i="12"/>
  <c r="M24" i="12" s="1"/>
  <c r="O11355" i="13" l="1"/>
  <c r="N11355" i="13" s="1"/>
  <c r="C2" i="12"/>
  <c r="O11356" i="13" l="1"/>
  <c r="N11356" i="13" s="1"/>
  <c r="P36" i="12"/>
  <c r="P112" i="12"/>
  <c r="P111" i="12"/>
  <c r="P110" i="12"/>
  <c r="P109" i="12"/>
  <c r="P108" i="12"/>
  <c r="P107" i="12"/>
  <c r="P106" i="12"/>
  <c r="P90" i="12"/>
  <c r="P89" i="12"/>
  <c r="P88" i="12"/>
  <c r="P87" i="12"/>
  <c r="P86" i="12"/>
  <c r="P85" i="12"/>
  <c r="P84" i="12"/>
  <c r="P83" i="12"/>
  <c r="P82" i="12"/>
  <c r="P81" i="12"/>
  <c r="P80" i="12"/>
  <c r="P79" i="12"/>
  <c r="P78" i="12"/>
  <c r="P77" i="12"/>
  <c r="P76" i="12"/>
  <c r="P75" i="12"/>
  <c r="P74" i="12"/>
  <c r="P73" i="12"/>
  <c r="P72" i="12"/>
  <c r="P71" i="12"/>
  <c r="P70" i="12"/>
  <c r="P69" i="12"/>
  <c r="P68" i="12"/>
  <c r="P67" i="12"/>
  <c r="P66" i="12"/>
  <c r="P65" i="12"/>
  <c r="P64" i="12"/>
  <c r="P63" i="12"/>
  <c r="P62" i="12"/>
  <c r="P61" i="12"/>
  <c r="P60" i="12"/>
  <c r="P59" i="12"/>
  <c r="P58" i="12"/>
  <c r="P57" i="12"/>
  <c r="P53" i="12"/>
  <c r="P52" i="12"/>
  <c r="P51" i="12"/>
  <c r="P50" i="12"/>
  <c r="P49" i="12"/>
  <c r="P48" i="12"/>
  <c r="P47" i="12"/>
  <c r="P46" i="12"/>
  <c r="P45" i="12"/>
  <c r="P44" i="12"/>
  <c r="P43" i="12"/>
  <c r="P42" i="12"/>
  <c r="P35" i="12"/>
  <c r="O35" i="12"/>
  <c r="P34" i="12"/>
  <c r="O34" i="12"/>
  <c r="P33" i="12"/>
  <c r="O33" i="12"/>
  <c r="P32" i="12"/>
  <c r="O32" i="12"/>
  <c r="P31" i="12"/>
  <c r="O31" i="12"/>
  <c r="P30" i="12"/>
  <c r="O30" i="12"/>
  <c r="P29" i="12"/>
  <c r="O29" i="12"/>
  <c r="P28" i="12"/>
  <c r="O28" i="12"/>
  <c r="P27" i="12"/>
  <c r="O27" i="12"/>
  <c r="P26" i="12"/>
  <c r="O26" i="12"/>
  <c r="P25" i="12"/>
  <c r="O25" i="12"/>
  <c r="P24" i="12"/>
  <c r="O24" i="12"/>
  <c r="C3" i="12"/>
  <c r="O11357" i="13" l="1"/>
  <c r="N11357" i="13" s="1"/>
  <c r="P34" i="8"/>
  <c r="P35" i="8"/>
  <c r="P36" i="8"/>
  <c r="P37" i="8"/>
  <c r="P38" i="8"/>
  <c r="P39" i="8"/>
  <c r="P40" i="8"/>
  <c r="P41" i="8"/>
  <c r="P42" i="8"/>
  <c r="P43" i="8"/>
  <c r="P44" i="8"/>
  <c r="P45" i="8"/>
  <c r="P46" i="8"/>
  <c r="P47" i="8"/>
  <c r="P48" i="8"/>
  <c r="P49" i="8"/>
  <c r="P50" i="8"/>
  <c r="P51" i="8"/>
  <c r="P33" i="8"/>
  <c r="P76" i="8"/>
  <c r="P75" i="8"/>
  <c r="P74" i="8"/>
  <c r="P73" i="8"/>
  <c r="P72" i="8"/>
  <c r="O11358" i="13" l="1"/>
  <c r="N11358" i="13" s="1"/>
  <c r="P64" i="8"/>
  <c r="P63" i="8"/>
  <c r="P62" i="8"/>
  <c r="P60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3" i="8"/>
  <c r="M24" i="8"/>
  <c r="M25" i="8"/>
  <c r="M7" i="8"/>
  <c r="L8" i="8"/>
  <c r="N34" i="8" s="1"/>
  <c r="L9" i="8"/>
  <c r="N35" i="8" s="1"/>
  <c r="L10" i="8"/>
  <c r="N36" i="8" s="1"/>
  <c r="L11" i="8"/>
  <c r="N37" i="8" s="1"/>
  <c r="L12" i="8"/>
  <c r="N38" i="8" s="1"/>
  <c r="L13" i="8"/>
  <c r="N39" i="8" s="1"/>
  <c r="L14" i="8"/>
  <c r="N40" i="8" s="1"/>
  <c r="L15" i="8"/>
  <c r="N41" i="8" s="1"/>
  <c r="L16" i="8"/>
  <c r="N42" i="8" s="1"/>
  <c r="L17" i="8"/>
  <c r="N43" i="8" s="1"/>
  <c r="L18" i="8"/>
  <c r="N44" i="8" s="1"/>
  <c r="L19" i="8"/>
  <c r="N45" i="8" s="1"/>
  <c r="L20" i="8"/>
  <c r="N46" i="8" s="1"/>
  <c r="L21" i="8"/>
  <c r="N47" i="8" s="1"/>
  <c r="L22" i="8"/>
  <c r="N48" i="8" s="1"/>
  <c r="L23" i="8"/>
  <c r="N49" i="8" s="1"/>
  <c r="L24" i="8"/>
  <c r="N50" i="8" s="1"/>
  <c r="L25" i="8"/>
  <c r="N51" i="8" s="1"/>
  <c r="L7" i="8"/>
  <c r="N33" i="8" s="1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7" i="8"/>
  <c r="F8" i="8"/>
  <c r="M34" i="8" s="1"/>
  <c r="F9" i="8"/>
  <c r="M35" i="8" s="1"/>
  <c r="F10" i="8"/>
  <c r="M36" i="8" s="1"/>
  <c r="F11" i="8"/>
  <c r="M37" i="8" s="1"/>
  <c r="F12" i="8"/>
  <c r="M38" i="8" s="1"/>
  <c r="F13" i="8"/>
  <c r="M39" i="8" s="1"/>
  <c r="F14" i="8"/>
  <c r="M40" i="8" s="1"/>
  <c r="F15" i="8"/>
  <c r="M41" i="8" s="1"/>
  <c r="F16" i="8"/>
  <c r="M42" i="8" s="1"/>
  <c r="F17" i="8"/>
  <c r="M43" i="8" s="1"/>
  <c r="F18" i="8"/>
  <c r="M44" i="8" s="1"/>
  <c r="F19" i="8"/>
  <c r="M45" i="8" s="1"/>
  <c r="F20" i="8"/>
  <c r="M46" i="8" s="1"/>
  <c r="F21" i="8"/>
  <c r="M47" i="8" s="1"/>
  <c r="F22" i="8"/>
  <c r="M48" i="8" s="1"/>
  <c r="F23" i="8"/>
  <c r="M49" i="8" s="1"/>
  <c r="F24" i="8"/>
  <c r="M50" i="8" s="1"/>
  <c r="F25" i="8"/>
  <c r="M51" i="8" s="1"/>
  <c r="F7" i="8"/>
  <c r="M33" i="8" s="1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33" i="8"/>
  <c r="O11359" i="13" l="1"/>
  <c r="N11359" i="13" s="1"/>
  <c r="O45" i="8"/>
  <c r="O44" i="8"/>
  <c r="O43" i="8"/>
  <c r="O42" i="8"/>
  <c r="O41" i="8"/>
  <c r="O50" i="8"/>
  <c r="O39" i="8"/>
  <c r="O40" i="8"/>
  <c r="O34" i="8"/>
  <c r="O33" i="8"/>
  <c r="O49" i="8"/>
  <c r="O46" i="8"/>
  <c r="O38" i="8"/>
  <c r="O37" i="8"/>
  <c r="O36" i="8"/>
  <c r="O35" i="8"/>
  <c r="O47" i="8"/>
  <c r="O51" i="8"/>
  <c r="O48" i="8"/>
  <c r="O11360" i="13" l="1"/>
  <c r="N11360" i="13" s="1"/>
  <c r="C3" i="8"/>
  <c r="O11361" i="13" l="1"/>
  <c r="N11361" i="13" s="1"/>
  <c r="O11362" i="13" l="1"/>
  <c r="N11362" i="13" s="1"/>
  <c r="O11363" i="13" l="1"/>
  <c r="N11363" i="13" s="1"/>
  <c r="F1" i="5"/>
  <c r="E1" i="5"/>
  <c r="O11364" i="13" l="1"/>
  <c r="N11364" i="13" s="1"/>
  <c r="A5" i="5"/>
  <c r="A4" i="5"/>
  <c r="C3" i="2"/>
  <c r="C2" i="2"/>
  <c r="O11365" i="13" l="1"/>
  <c r="N11365" i="13" s="1"/>
  <c r="O11366" i="13" l="1"/>
  <c r="N11366" i="13" s="1"/>
  <c r="O11367" i="13" l="1"/>
  <c r="N11367" i="13" s="1"/>
  <c r="O11368" i="13" l="1"/>
  <c r="N11368" i="13" s="1"/>
  <c r="O11369" i="13" l="1"/>
  <c r="N11369" i="13" s="1"/>
  <c r="O11370" i="13" l="1"/>
  <c r="N11370" i="13" s="1"/>
  <c r="O11371" i="13" l="1"/>
  <c r="N11371" i="13" s="1"/>
  <c r="O11372" i="13" l="1"/>
  <c r="N11372" i="13" s="1"/>
  <c r="O11373" i="13" l="1"/>
  <c r="N11373" i="13" s="1"/>
  <c r="O11374" i="13" l="1"/>
  <c r="N11374" i="13" s="1"/>
  <c r="O11375" i="13" l="1"/>
  <c r="N11375" i="13" s="1"/>
  <c r="O11376" i="13" l="1"/>
  <c r="N11376" i="13" s="1"/>
  <c r="O11377" i="13" l="1"/>
  <c r="N11377" i="13" s="1"/>
  <c r="O11378" i="13" l="1"/>
  <c r="N11378" i="13" s="1"/>
  <c r="O11379" i="13" l="1"/>
  <c r="N11379" i="13" s="1"/>
  <c r="O11380" i="13" l="1"/>
  <c r="N11380" i="13" s="1"/>
  <c r="O11381" i="13" l="1"/>
  <c r="N11381" i="13" s="1"/>
  <c r="O11382" i="13" l="1"/>
  <c r="N11382" i="13" s="1"/>
  <c r="O11383" i="13" l="1"/>
  <c r="N11383" i="13" s="1"/>
  <c r="O11384" i="13" l="1"/>
  <c r="N11384" i="13" s="1"/>
  <c r="O11385" i="13" l="1"/>
  <c r="N11385" i="13" s="1"/>
  <c r="O11386" i="13" l="1"/>
  <c r="N11386" i="13" s="1"/>
  <c r="O11387" i="13" l="1"/>
  <c r="N11387" i="13" s="1"/>
  <c r="O11388" i="13" l="1"/>
  <c r="N11388" i="13" s="1"/>
  <c r="O11389" i="13" l="1"/>
  <c r="N11389" i="13" s="1"/>
  <c r="O11390" i="13" l="1"/>
  <c r="N11390" i="13" s="1"/>
  <c r="O11391" i="13" l="1"/>
  <c r="N11391" i="13" s="1"/>
  <c r="O11392" i="13" l="1"/>
  <c r="N11392" i="13" s="1"/>
  <c r="O11393" i="13" l="1"/>
  <c r="N11393" i="13" s="1"/>
  <c r="O11394" i="13" l="1"/>
  <c r="N11394" i="13" s="1"/>
  <c r="O11395" i="13" l="1"/>
  <c r="N11395" i="13" s="1"/>
  <c r="O11396" i="13" l="1"/>
  <c r="N11396" i="13" s="1"/>
  <c r="O11397" i="13" l="1"/>
  <c r="N11397" i="13" s="1"/>
  <c r="O11398" i="13" l="1"/>
  <c r="N11398" i="13" s="1"/>
  <c r="O11399" i="13" l="1"/>
  <c r="N11399" i="13" s="1"/>
  <c r="O11400" i="13" l="1"/>
  <c r="N11400" i="13" s="1"/>
  <c r="O11401" i="13" l="1"/>
  <c r="N11401" i="13" s="1"/>
  <c r="O11402" i="13"/>
  <c r="N11402" i="1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<sst xmlns="http://schemas.openxmlformats.org/spreadsheetml/2006/main" count="480" uniqueCount="213">
  <si>
    <t>Time Series</t>
  </si>
  <si>
    <t>Cross Sectional</t>
  </si>
  <si>
    <t>1y</t>
  </si>
  <si>
    <t>10y</t>
  </si>
  <si>
    <t>Type</t>
  </si>
  <si>
    <t>Graph_Type</t>
  </si>
  <si>
    <t>Start_Date</t>
  </si>
  <si>
    <t>End_Date</t>
  </si>
  <si>
    <t>5m</t>
  </si>
  <si>
    <t>5y</t>
  </si>
  <si>
    <t>3y</t>
  </si>
  <si>
    <t>2y</t>
  </si>
  <si>
    <t>Mean options</t>
  </si>
  <si>
    <t>4m</t>
  </si>
  <si>
    <t>4y</t>
  </si>
  <si>
    <t>tenor</t>
  </si>
  <si>
    <t>days</t>
  </si>
  <si>
    <t>tenor label</t>
  </si>
  <si>
    <t>1m</t>
  </si>
  <si>
    <t>2m</t>
  </si>
  <si>
    <t>3m</t>
  </si>
  <si>
    <t>6m</t>
  </si>
  <si>
    <t>7m</t>
  </si>
  <si>
    <t>8m</t>
  </si>
  <si>
    <t>9m</t>
  </si>
  <si>
    <t>10m</t>
  </si>
  <si>
    <t>11m</t>
  </si>
  <si>
    <t>12m</t>
  </si>
  <si>
    <t>19m</t>
  </si>
  <si>
    <t>6y</t>
  </si>
  <si>
    <t>7y</t>
  </si>
  <si>
    <t>8y</t>
  </si>
  <si>
    <t>9y</t>
  </si>
  <si>
    <t>12y</t>
  </si>
  <si>
    <t>15y</t>
  </si>
  <si>
    <t>20y</t>
  </si>
  <si>
    <t>30y</t>
  </si>
  <si>
    <t>Spread Fwd_Tenor</t>
  </si>
  <si>
    <t>Spread Start_Tenor</t>
  </si>
  <si>
    <t>Btfly Start_Tenor</t>
  </si>
  <si>
    <t>Btfly Fwd_Tenor</t>
  </si>
  <si>
    <t>TS Instrument</t>
  </si>
  <si>
    <t>Instument</t>
  </si>
  <si>
    <t>TIIE</t>
  </si>
  <si>
    <t>Bono</t>
  </si>
  <si>
    <t>Udi</t>
  </si>
  <si>
    <t>USD</t>
  </si>
  <si>
    <t>Spread Instrument</t>
  </si>
  <si>
    <t>Btfly Instrument</t>
  </si>
  <si>
    <t>Possible instruments</t>
  </si>
  <si>
    <t>Mean</t>
  </si>
  <si>
    <t>Std</t>
  </si>
  <si>
    <t>Possible Graphs</t>
  </si>
  <si>
    <t>Parameters for Time Series</t>
  </si>
  <si>
    <t>Description</t>
  </si>
  <si>
    <t>If you want to show the mean in the graph set to True, otherwise set to False.</t>
  </si>
  <si>
    <t>Specify which Bono by writing in the forward tenor column the first three letters of the month followed by a dash and the year in two digits. For example, for Bono marzo 2025, write mar-25 in the forward tenor column. Make sure its format is text and not date.</t>
  </si>
  <si>
    <t>Specify which Udi by writing in the forward tenor column the first three letters of the month followed by a dash and the year in two digits. For example, for Udi november 2031, write nov-31 in the forward tenor column. Make sure its format is text and not date.</t>
  </si>
  <si>
    <t>Number of standard deviations you want to show in the graph. If none, leave cell empty or set to 0.</t>
  </si>
  <si>
    <t>Shows a time series of the specified instrument between the given dates.</t>
  </si>
  <si>
    <t xml:space="preserve">Shows the curve for a specified date and tenor. For example, if you set the date to 9/11/2021 and the tenor to 1y you will see November 9, 2021 rates for spot1y, 1m1y, 2m1y, …, 20y1y, 30y1y. </t>
  </si>
  <si>
    <t>When time series starts.</t>
  </si>
  <si>
    <t>When time series ends.</t>
  </si>
  <si>
    <t>ASW Spreads</t>
  </si>
  <si>
    <t>Mbono</t>
  </si>
  <si>
    <t>Max</t>
  </si>
  <si>
    <t>Min</t>
  </si>
  <si>
    <t>Ave</t>
  </si>
  <si>
    <t>T</t>
  </si>
  <si>
    <t>T-1</t>
  </si>
  <si>
    <t>Chg</t>
  </si>
  <si>
    <t>Start Date</t>
  </si>
  <si>
    <t>End Date</t>
  </si>
  <si>
    <t>dic23</t>
  </si>
  <si>
    <t>dic24</t>
  </si>
  <si>
    <t>sep24</t>
  </si>
  <si>
    <t>mar25</t>
  </si>
  <si>
    <t>mar26</t>
  </si>
  <si>
    <t>sep26</t>
  </si>
  <si>
    <t>mar27</t>
  </si>
  <si>
    <t>jun27</t>
  </si>
  <si>
    <t>may29</t>
  </si>
  <si>
    <t>may31</t>
  </si>
  <si>
    <t>may33</t>
  </si>
  <si>
    <t>nov34</t>
  </si>
  <si>
    <t>may35</t>
  </si>
  <si>
    <t>nov36</t>
  </si>
  <si>
    <t>nov38</t>
  </si>
  <si>
    <t>nov42</t>
  </si>
  <si>
    <t>nov47</t>
  </si>
  <si>
    <t xml:space="preserve">Scenario Inputs </t>
  </si>
  <si>
    <t>MPC Meetings</t>
  </si>
  <si>
    <t>Scenario</t>
  </si>
  <si>
    <t>A</t>
  </si>
  <si>
    <t>B</t>
  </si>
  <si>
    <t>C</t>
  </si>
  <si>
    <t>D</t>
  </si>
  <si>
    <t>Maturity</t>
  </si>
  <si>
    <t>Price</t>
  </si>
  <si>
    <t>Settlement</t>
  </si>
  <si>
    <t>P&amp;L Cete</t>
  </si>
  <si>
    <t>Specify start tenor in start tenor column and forward tenor in forward tenor column. For example, Spot/1y.</t>
  </si>
  <si>
    <t>Specify start tenor in start tenor column and forward tenor in forward tenor column. For example, 1y/2y.</t>
  </si>
  <si>
    <t>mar29</t>
  </si>
  <si>
    <t>jul53</t>
  </si>
  <si>
    <t>Valmer</t>
  </si>
  <si>
    <t>Close (T)</t>
  </si>
  <si>
    <t>TIIE 28 (T)</t>
  </si>
  <si>
    <t>TIIE 182 (T)</t>
  </si>
  <si>
    <t>Spread 28 (T)</t>
  </si>
  <si>
    <t>Spread 182 (T)</t>
  </si>
  <si>
    <t>Close (T-1)</t>
  </si>
  <si>
    <t>TIIE 28 (T-1)</t>
  </si>
  <si>
    <t>TIIE 182 (T-1)</t>
  </si>
  <si>
    <t>Spread 28 (T-1)</t>
  </si>
  <si>
    <t>Spread 182 (T-1)</t>
  </si>
  <si>
    <t>Fix Amount</t>
  </si>
  <si>
    <t>Float Amount</t>
  </si>
  <si>
    <t>Tot P&amp;L TIIE</t>
  </si>
  <si>
    <t>Ref Rate</t>
  </si>
  <si>
    <t>Rate</t>
  </si>
  <si>
    <t>Decision</t>
  </si>
  <si>
    <t>Funding Rate</t>
  </si>
  <si>
    <t>TIIE 28</t>
  </si>
  <si>
    <t>Fix Eff</t>
  </si>
  <si>
    <t>Cete vs TIIE</t>
  </si>
  <si>
    <t>Today</t>
  </si>
  <si>
    <t>Date</t>
  </si>
  <si>
    <t>Funding</t>
  </si>
  <si>
    <t>TIIE Rate</t>
  </si>
  <si>
    <t>TIIE_FairRate</t>
  </si>
  <si>
    <t>YTM</t>
  </si>
  <si>
    <t>Duration</t>
  </si>
  <si>
    <t>Fuding Cost</t>
  </si>
  <si>
    <t>Tot P&amp;L CETE</t>
  </si>
  <si>
    <t>Notional</t>
  </si>
  <si>
    <t>Live</t>
  </si>
  <si>
    <t>Live TIIE 28</t>
  </si>
  <si>
    <t>TIIE 182</t>
  </si>
  <si>
    <t>Spread 28</t>
  </si>
  <si>
    <t>Spread 182</t>
  </si>
  <si>
    <t>Serie</t>
  </si>
  <si>
    <t>ala</t>
  </si>
  <si>
    <t>Avg</t>
  </si>
  <si>
    <t>CETE</t>
  </si>
  <si>
    <t>Scenario D</t>
  </si>
  <si>
    <t>T+1</t>
  </si>
  <si>
    <t>TIIE Zero (T)</t>
  </si>
  <si>
    <t>Spread Zero (T)</t>
  </si>
  <si>
    <t>Live TIIE Zero</t>
  </si>
  <si>
    <t>Spread Zero</t>
  </si>
  <si>
    <t>TIIE Zero (T-1)</t>
  </si>
  <si>
    <t>Spread Zero (T-1)</t>
  </si>
  <si>
    <t>P&amp;L Mbono</t>
  </si>
  <si>
    <t>Tot P&amp;L Mbono</t>
  </si>
  <si>
    <t>Mbono vs TIIE</t>
  </si>
  <si>
    <t>Return</t>
  </si>
  <si>
    <t>Funding Cost</t>
  </si>
  <si>
    <t>TIIE Fair Rate</t>
  </si>
  <si>
    <t>Factor</t>
  </si>
  <si>
    <t>YTD Chg</t>
  </si>
  <si>
    <t>MTD Chg</t>
  </si>
  <si>
    <t>Wk Chg</t>
  </si>
  <si>
    <t>1d Chg</t>
  </si>
  <si>
    <t>Spread</t>
  </si>
  <si>
    <t>TIIE vs US Swaps</t>
  </si>
  <si>
    <t>10y/30y</t>
  </si>
  <si>
    <t>5y/10y</t>
  </si>
  <si>
    <t>2y/10y</t>
  </si>
  <si>
    <t>2y/5y</t>
  </si>
  <si>
    <t>1y/10y</t>
  </si>
  <si>
    <t>1y/5y</t>
  </si>
  <si>
    <t>Leg 2</t>
  </si>
  <si>
    <t>TIIE Spreads</t>
  </si>
  <si>
    <t>YTD</t>
  </si>
  <si>
    <t>MTD</t>
  </si>
  <si>
    <t>WTD</t>
  </si>
  <si>
    <t>1d</t>
  </si>
  <si>
    <t>Tenor</t>
  </si>
  <si>
    <t>TIIE EOD Snapshot</t>
  </si>
  <si>
    <t>5y/30y</t>
  </si>
  <si>
    <t>2y/30y</t>
  </si>
  <si>
    <t>Bon 2</t>
  </si>
  <si>
    <t>Bon 1</t>
  </si>
  <si>
    <t>Mbono Spreads</t>
  </si>
  <si>
    <t>nov50</t>
  </si>
  <si>
    <t>nov31</t>
  </si>
  <si>
    <t>nov28</t>
  </si>
  <si>
    <t>dic25</t>
  </si>
  <si>
    <t>Udibono Spreads</t>
  </si>
  <si>
    <t>nov46</t>
  </si>
  <si>
    <t>nov43</t>
  </si>
  <si>
    <t>nov40</t>
  </si>
  <si>
    <t>nov35</t>
  </si>
  <si>
    <t>dic26</t>
  </si>
  <si>
    <t>nov23</t>
  </si>
  <si>
    <t>Udibono EOD Snapshot</t>
  </si>
  <si>
    <t>Mbono EOD Snapshot</t>
  </si>
  <si>
    <t>Udi 1</t>
  </si>
  <si>
    <t>Udi 2</t>
  </si>
  <si>
    <t>Leg 1</t>
  </si>
  <si>
    <t>Spot</t>
  </si>
  <si>
    <t>Udibono</t>
  </si>
  <si>
    <t>{mx} Yesterday's Close - Finamex</t>
  </si>
  <si>
    <t>{mx} TIIE vs  Mbono Spreads</t>
  </si>
  <si>
    <t>Close</t>
  </si>
  <si>
    <t>Inc. Pric. Bond</t>
  </si>
  <si>
    <t>Inc. Pric. TIIE</t>
  </si>
  <si>
    <t>Fwd TIIE28</t>
  </si>
  <si>
    <t>CETES</t>
  </si>
  <si>
    <t>Bonos</t>
  </si>
  <si>
    <t>Pricing Bonds</t>
  </si>
  <si>
    <t>Pricing TIIE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</si>
</sst>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3" formatCode="_-* #,##0.00_-;\-* #,##0.00_-;_-* &quot;-&quot;??_-;_-@_-"/>
    <numFmt numFmtId="164" formatCode="0.000000"/>
    <numFmt numFmtId="165" formatCode="0.000"/>
    <numFmt numFmtId="166" formatCode="[$-409]d\-mmm\-yy;@"/>
    <numFmt numFmtId="167" formatCode="#,##0&quot;bp&quot;"/>
    <numFmt numFmtId="168" formatCode="0&quot;bp&quot;"/>
    <numFmt numFmtId="169" formatCode="dd\-mmm\-yyyy"/>
    <numFmt numFmtId="170" formatCode="#,##0.0_ ;[Red]\-#,##0.0\ "/>
    <numFmt numFmtId="171" formatCode="yyyy\-mm\-dd;@"/>
    <numFmt numFmtId="172" formatCode="#,##0.0000"/>
    <numFmt numFmtId="173" formatCode="0.00000"/>
    <numFmt numFmtId="174" formatCode="[$-F800]dddd\,\ mmmm\ dd\,\ yyyy"/>
    <numFmt numFmtId="175" formatCode="ddmmmyy"/>
    <numFmt numFmtId="176" formatCode="0_ ;[Red]\-0\ "/>
    <numFmt numFmtId="177" formatCode="#,##0_ ;[Red]\-#,##0\ "/>
    <numFmt numFmtId="178" formatCode="#,##0_);[Red]\-#,##0"/>
    <numFmt numFmtId="179" formatCode="0.00_ ;[Red]\-0.00\ "/>
    <numFmt numFmtId="180" formatCode="_(* #,##0.00000_);_(* \(#,##0.00000\);_(* &quot;-&quot;??_);_(@_)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00800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indexed="9"/>
      <name val="Calibri"/>
      <family val="2"/>
    </font>
    <font>
      <sz val="11"/>
      <color rgb="FF000000"/>
      <name val="Calibri"/>
      <family val="2"/>
      <scheme val="minor"/>
    </font>
    <font>
      <sz val="10"/>
      <color rgb="FFFFFFFF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theme="6" tint="0.39997558519241921"/>
      <name val="Calibri"/>
      <family val="2"/>
      <scheme val="minor"/>
    </font>
    <font>
      <sz val="11"/>
      <color rgb="FF1119E1"/>
      <name val="Calibri"/>
      <family val="2"/>
      <scheme val="minor"/>
    </font>
    <font>
      <sz val="11"/>
      <color rgb="FF061923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001C7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CE0C8"/>
        <bgColor indexed="64"/>
      </patternFill>
    </fill>
    <fill>
      <patternFill patternType="solid">
        <fgColor rgb="FFFFDE9B"/>
        <bgColor indexed="64"/>
      </patternFill>
    </fill>
    <fill>
      <patternFill patternType="solid">
        <fgColor rgb="FFD8E4BC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499984740745262"/>
        <bgColor rgb="FF0000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5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rgb="FF1F4E78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7D507"/>
        <bgColor indexed="64"/>
      </patternFill>
    </fill>
    <fill>
      <patternFill patternType="solid">
        <fgColor rgb="FF92D050"/>
        <bgColor indexed="64"/>
      </patternFill>
    </fill>
  </fills>
  <borders count="40">
    <border>
      <left/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theme="0"/>
      </left>
      <right/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thin">
        <color theme="0"/>
      </left>
      <right/>
      <top/>
      <bottom style="thin">
        <color indexed="64"/>
      </bottom>
      <diagonal/>
    </border>
    <border>
      <left/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 style="thin">
        <color indexed="64"/>
      </top>
      <bottom/>
      <diagonal/>
    </border>
  </borders>
  <cellStyleXfs count="15">
    <xf numFmtId="0" fontId="0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2" fillId="16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72">
    <xf numFmtId="0" fontId="0" fillId="0" borderId="0" xfId="0"/>
    <xf numFmtId="0" fontId="2" fillId="2" borderId="2" xfId="0" applyFont="1" applyFill="1" applyBorder="1"/>
    <xf numFmtId="0" fontId="2" fillId="2" borderId="3" xfId="0" applyFont="1" applyFill="1" applyBorder="1"/>
    <xf numFmtId="0" fontId="2" fillId="3" borderId="4" xfId="0" applyFont="1" applyFill="1" applyBorder="1" applyAlignment="1">
      <alignment horizontal="center"/>
    </xf>
    <xf numFmtId="0" fontId="2" fillId="3" borderId="4" xfId="0" applyFont="1" applyFill="1" applyBorder="1"/>
    <xf numFmtId="0" fontId="0" fillId="0" borderId="4" xfId="0" applyBorder="1"/>
    <xf numFmtId="0" fontId="0" fillId="4" borderId="0" xfId="0" applyFill="1"/>
    <xf numFmtId="43" fontId="3" fillId="4" borderId="6" xfId="1" applyFont="1" applyFill="1" applyBorder="1" applyAlignment="1">
      <alignment horizontal="left" vertical="center"/>
    </xf>
    <xf numFmtId="43" fontId="0" fillId="4" borderId="1" xfId="1" applyFont="1" applyFill="1" applyBorder="1" applyAlignment="1"/>
    <xf numFmtId="0" fontId="0" fillId="5" borderId="5" xfId="0" applyFill="1" applyBorder="1" applyAlignment="1">
      <alignment horizontal="center"/>
    </xf>
    <xf numFmtId="14" fontId="0" fillId="5" borderId="3" xfId="0" applyNumberFormat="1" applyFill="1" applyBorder="1"/>
    <xf numFmtId="14" fontId="0" fillId="7" borderId="3" xfId="0" applyNumberFormat="1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49" fontId="0" fillId="7" borderId="3" xfId="0" applyNumberFormat="1" applyFill="1" applyBorder="1" applyAlignment="1">
      <alignment horizontal="center"/>
    </xf>
    <xf numFmtId="0" fontId="2" fillId="10" borderId="0" xfId="0" applyFont="1" applyFill="1" applyAlignment="1">
      <alignment horizontal="center"/>
    </xf>
    <xf numFmtId="0" fontId="2" fillId="10" borderId="7" xfId="0" applyFont="1" applyFill="1" applyBorder="1" applyAlignment="1">
      <alignment horizontal="center"/>
    </xf>
    <xf numFmtId="0" fontId="0" fillId="4" borderId="8" xfId="0" applyFill="1" applyBorder="1" applyAlignment="1">
      <alignment wrapText="1"/>
    </xf>
    <xf numFmtId="0" fontId="0" fillId="4" borderId="9" xfId="0" applyFill="1" applyBorder="1" applyAlignment="1">
      <alignment wrapText="1"/>
    </xf>
    <xf numFmtId="0" fontId="0" fillId="4" borderId="10" xfId="0" applyFill="1" applyBorder="1"/>
    <xf numFmtId="0" fontId="0" fillId="4" borderId="11" xfId="0" applyFill="1" applyBorder="1"/>
    <xf numFmtId="0" fontId="0" fillId="4" borderId="12" xfId="0" applyFill="1" applyBorder="1"/>
    <xf numFmtId="0" fontId="0" fillId="4" borderId="13" xfId="0" applyFill="1" applyBorder="1"/>
    <xf numFmtId="0" fontId="0" fillId="4" borderId="14" xfId="0" applyFill="1" applyBorder="1"/>
    <xf numFmtId="0" fontId="0" fillId="4" borderId="13" xfId="0" applyFill="1" applyBorder="1" applyAlignment="1">
      <alignment wrapText="1"/>
    </xf>
    <xf numFmtId="0" fontId="0" fillId="4" borderId="15" xfId="0" applyFill="1" applyBorder="1" applyAlignment="1">
      <alignment wrapText="1"/>
    </xf>
    <xf numFmtId="0" fontId="0" fillId="4" borderId="15" xfId="0" applyFill="1" applyBorder="1"/>
    <xf numFmtId="49" fontId="0" fillId="6" borderId="3" xfId="0" applyNumberFormat="1" applyFill="1" applyBorder="1" applyAlignment="1">
      <alignment horizontal="center"/>
    </xf>
    <xf numFmtId="49" fontId="0" fillId="8" borderId="3" xfId="0" applyNumberFormat="1" applyFill="1" applyBorder="1" applyAlignment="1">
      <alignment horizontal="center"/>
    </xf>
    <xf numFmtId="49" fontId="0" fillId="4" borderId="0" xfId="0" applyNumberFormat="1" applyFill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14" fontId="0" fillId="0" borderId="0" xfId="0" applyNumberFormat="1"/>
    <xf numFmtId="0" fontId="0" fillId="0" borderId="0" xfId="0" quotePrefix="1"/>
    <xf numFmtId="17" fontId="0" fillId="0" borderId="0" xfId="0" quotePrefix="1" applyNumberFormat="1"/>
    <xf numFmtId="2" fontId="2" fillId="10" borderId="16" xfId="0" applyNumberFormat="1" applyFont="1" applyFill="1" applyBorder="1" applyAlignment="1">
      <alignment horizontal="center" vertical="center"/>
    </xf>
    <xf numFmtId="2" fontId="4" fillId="12" borderId="4" xfId="0" applyNumberFormat="1" applyFont="1" applyFill="1" applyBorder="1" applyAlignment="1">
      <alignment horizontal="center" vertical="center"/>
    </xf>
    <xf numFmtId="2" fontId="2" fillId="10" borderId="4" xfId="0" applyNumberFormat="1" applyFont="1" applyFill="1" applyBorder="1" applyAlignment="1">
      <alignment horizontal="center" vertical="center"/>
    </xf>
    <xf numFmtId="167" fontId="5" fillId="13" borderId="0" xfId="0" applyNumberFormat="1" applyFont="1" applyFill="1"/>
    <xf numFmtId="168" fontId="5" fillId="4" borderId="0" xfId="0" applyNumberFormat="1" applyFont="1" applyFill="1"/>
    <xf numFmtId="167" fontId="5" fillId="0" borderId="0" xfId="0" applyNumberFormat="1" applyFont="1"/>
    <xf numFmtId="164" fontId="0" fillId="4" borderId="0" xfId="0" applyNumberFormat="1" applyFill="1" applyAlignment="1">
      <alignment horizontal="center"/>
    </xf>
    <xf numFmtId="38" fontId="0" fillId="4" borderId="0" xfId="1" applyNumberFormat="1" applyFont="1" applyFill="1" applyBorder="1" applyAlignment="1">
      <alignment horizontal="center"/>
    </xf>
    <xf numFmtId="165" fontId="0" fillId="4" borderId="0" xfId="0" applyNumberFormat="1" applyFill="1" applyAlignment="1">
      <alignment horizontal="center"/>
    </xf>
    <xf numFmtId="2" fontId="2" fillId="10" borderId="17" xfId="0" applyNumberFormat="1" applyFont="1" applyFill="1" applyBorder="1" applyAlignment="1">
      <alignment horizontal="center" vertical="center"/>
    </xf>
    <xf numFmtId="0" fontId="6" fillId="11" borderId="0" xfId="0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0" fontId="0" fillId="4" borderId="21" xfId="0" applyFill="1" applyBorder="1" applyAlignment="1">
      <alignment horizontal="center"/>
    </xf>
    <xf numFmtId="2" fontId="0" fillId="4" borderId="0" xfId="0" applyNumberFormat="1" applyFill="1" applyAlignment="1">
      <alignment horizontal="center"/>
    </xf>
    <xf numFmtId="169" fontId="0" fillId="4" borderId="0" xfId="0" applyNumberFormat="1" applyFill="1" applyAlignment="1">
      <alignment horizontal="center"/>
    </xf>
    <xf numFmtId="2" fontId="2" fillId="15" borderId="16" xfId="0" applyNumberFormat="1" applyFont="1" applyFill="1" applyBorder="1" applyAlignment="1">
      <alignment horizontal="center" vertical="center"/>
    </xf>
    <xf numFmtId="166" fontId="7" fillId="13" borderId="0" xfId="0" applyNumberFormat="1" applyFont="1" applyFill="1"/>
    <xf numFmtId="168" fontId="7" fillId="13" borderId="0" xfId="0" applyNumberFormat="1" applyFont="1" applyFill="1"/>
    <xf numFmtId="166" fontId="9" fillId="13" borderId="23" xfId="0" applyNumberFormat="1" applyFont="1" applyFill="1" applyBorder="1"/>
    <xf numFmtId="166" fontId="9" fillId="4" borderId="0" xfId="0" applyNumberFormat="1" applyFont="1" applyFill="1"/>
    <xf numFmtId="166" fontId="9" fillId="4" borderId="5" xfId="0" applyNumberFormat="1" applyFont="1" applyFill="1" applyBorder="1"/>
    <xf numFmtId="168" fontId="9" fillId="13" borderId="0" xfId="0" applyNumberFormat="1" applyFont="1" applyFill="1"/>
    <xf numFmtId="167" fontId="9" fillId="4" borderId="0" xfId="0" applyNumberFormat="1" applyFont="1" applyFill="1"/>
    <xf numFmtId="168" fontId="9" fillId="4" borderId="24" xfId="0" applyNumberFormat="1" applyFont="1" applyFill="1" applyBorder="1"/>
    <xf numFmtId="2" fontId="9" fillId="13" borderId="7" xfId="0" applyNumberFormat="1" applyFont="1" applyFill="1" applyBorder="1"/>
    <xf numFmtId="166" fontId="7" fillId="4" borderId="5" xfId="0" applyNumberFormat="1" applyFont="1" applyFill="1" applyBorder="1"/>
    <xf numFmtId="168" fontId="7" fillId="4" borderId="0" xfId="0" applyNumberFormat="1" applyFont="1" applyFill="1"/>
    <xf numFmtId="2" fontId="9" fillId="4" borderId="0" xfId="0" applyNumberFormat="1" applyFont="1" applyFill="1"/>
    <xf numFmtId="167" fontId="7" fillId="0" borderId="0" xfId="0" applyNumberFormat="1" applyFont="1"/>
    <xf numFmtId="2" fontId="9" fillId="4" borderId="2" xfId="0" applyNumberFormat="1" applyFont="1" applyFill="1" applyBorder="1"/>
    <xf numFmtId="0" fontId="0" fillId="12" borderId="0" xfId="0" applyFill="1" applyAlignment="1">
      <alignment horizontal="center"/>
    </xf>
    <xf numFmtId="171" fontId="0" fillId="0" borderId="0" xfId="0" applyNumberFormat="1" applyAlignment="1">
      <alignment horizontal="center"/>
    </xf>
    <xf numFmtId="2" fontId="2" fillId="10" borderId="26" xfId="0" applyNumberFormat="1" applyFont="1" applyFill="1" applyBorder="1" applyAlignment="1">
      <alignment horizontal="center" vertical="center"/>
    </xf>
    <xf numFmtId="38" fontId="0" fillId="0" borderId="22" xfId="0" applyNumberFormat="1" applyBorder="1"/>
    <xf numFmtId="2" fontId="0" fillId="4" borderId="28" xfId="0" applyNumberFormat="1" applyFill="1" applyBorder="1" applyAlignment="1">
      <alignment horizontal="center"/>
    </xf>
    <xf numFmtId="169" fontId="0" fillId="4" borderId="28" xfId="0" applyNumberFormat="1" applyFill="1" applyBorder="1" applyAlignment="1">
      <alignment horizontal="center"/>
    </xf>
    <xf numFmtId="164" fontId="0" fillId="4" borderId="28" xfId="0" applyNumberFormat="1" applyFill="1" applyBorder="1" applyAlignment="1">
      <alignment horizontal="center"/>
    </xf>
    <xf numFmtId="38" fontId="0" fillId="4" borderId="28" xfId="1" applyNumberFormat="1" applyFont="1" applyFill="1" applyBorder="1" applyAlignment="1">
      <alignment horizontal="center"/>
    </xf>
    <xf numFmtId="165" fontId="0" fillId="4" borderId="28" xfId="0" applyNumberFormat="1" applyFill="1" applyBorder="1" applyAlignment="1">
      <alignment horizontal="center"/>
    </xf>
    <xf numFmtId="38" fontId="0" fillId="0" borderId="8" xfId="0" applyNumberFormat="1" applyBorder="1"/>
    <xf numFmtId="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2" fontId="2" fillId="10" borderId="2" xfId="0" applyNumberFormat="1" applyFont="1" applyFill="1" applyBorder="1" applyAlignment="1">
      <alignment horizontal="center" vertical="center"/>
    </xf>
    <xf numFmtId="2" fontId="2" fillId="10" borderId="32" xfId="0" applyNumberFormat="1" applyFont="1" applyFill="1" applyBorder="1" applyAlignment="1">
      <alignment horizontal="center" vertical="center"/>
    </xf>
    <xf numFmtId="0" fontId="10" fillId="0" borderId="18" xfId="0" applyFont="1" applyBorder="1" applyAlignment="1">
      <alignment horizontal="center"/>
    </xf>
    <xf numFmtId="169" fontId="0" fillId="4" borderId="19" xfId="0" applyNumberFormat="1" applyFill="1" applyBorder="1" applyAlignment="1">
      <alignment horizontal="center"/>
    </xf>
    <xf numFmtId="2" fontId="0" fillId="4" borderId="19" xfId="0" applyNumberFormat="1" applyFill="1" applyBorder="1" applyAlignment="1">
      <alignment horizontal="center"/>
    </xf>
    <xf numFmtId="164" fontId="0" fillId="4" borderId="19" xfId="0" applyNumberFormat="1" applyFill="1" applyBorder="1" applyAlignment="1">
      <alignment horizontal="center"/>
    </xf>
    <xf numFmtId="38" fontId="0" fillId="4" borderId="19" xfId="1" applyNumberFormat="1" applyFont="1" applyFill="1" applyBorder="1" applyAlignment="1">
      <alignment horizontal="center"/>
    </xf>
    <xf numFmtId="165" fontId="0" fillId="4" borderId="19" xfId="0" applyNumberFormat="1" applyFill="1" applyBorder="1" applyAlignment="1">
      <alignment horizontal="center"/>
    </xf>
    <xf numFmtId="38" fontId="0" fillId="0" borderId="20" xfId="0" applyNumberFormat="1" applyBorder="1"/>
    <xf numFmtId="0" fontId="10" fillId="0" borderId="21" xfId="0" applyFont="1" applyBorder="1" applyAlignment="1">
      <alignment horizontal="center"/>
    </xf>
    <xf numFmtId="0" fontId="10" fillId="0" borderId="27" xfId="0" applyFont="1" applyBorder="1" applyAlignment="1">
      <alignment horizontal="center"/>
    </xf>
    <xf numFmtId="3" fontId="0" fillId="12" borderId="0" xfId="0" applyNumberFormat="1" applyFill="1" applyAlignment="1">
      <alignment horizontal="center"/>
    </xf>
    <xf numFmtId="0" fontId="0" fillId="4" borderId="0" xfId="0" applyFill="1" applyAlignment="1">
      <alignment horizontal="center"/>
    </xf>
    <xf numFmtId="165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70" fontId="0" fillId="0" borderId="0" xfId="0" applyNumberFormat="1" applyAlignment="1">
      <alignment horizontal="center"/>
    </xf>
    <xf numFmtId="0" fontId="0" fillId="4" borderId="33" xfId="0" applyFill="1" applyBorder="1"/>
    <xf numFmtId="38" fontId="0" fillId="0" borderId="0" xfId="0" applyNumberFormat="1"/>
    <xf numFmtId="0" fontId="10" fillId="0" borderId="0" xfId="0" applyFont="1" applyAlignment="1">
      <alignment horizontal="center"/>
    </xf>
    <xf numFmtId="0" fontId="0" fillId="0" borderId="21" xfId="0" quotePrefix="1" applyBorder="1"/>
    <xf numFmtId="2" fontId="2" fillId="4" borderId="0" xfId="0" applyNumberFormat="1" applyFont="1" applyFill="1" applyAlignment="1">
      <alignment horizontal="center" vertical="center"/>
    </xf>
    <xf numFmtId="16" fontId="0" fillId="0" borderId="21" xfId="0" quotePrefix="1" applyNumberFormat="1" applyBorder="1"/>
    <xf numFmtId="0" fontId="0" fillId="0" borderId="0" xfId="0" applyAlignment="1">
      <alignment horizontal="center"/>
    </xf>
    <xf numFmtId="4" fontId="0" fillId="4" borderId="0" xfId="0" applyNumberFormat="1" applyFill="1" applyAlignment="1">
      <alignment horizontal="center"/>
    </xf>
    <xf numFmtId="0" fontId="0" fillId="0" borderId="18" xfId="0" quotePrefix="1" applyBorder="1"/>
    <xf numFmtId="0" fontId="0" fillId="0" borderId="19" xfId="0" applyBorder="1"/>
    <xf numFmtId="0" fontId="0" fillId="0" borderId="27" xfId="0" quotePrefix="1" applyBorder="1"/>
    <xf numFmtId="0" fontId="0" fillId="0" borderId="28" xfId="0" applyBorder="1" applyAlignment="1">
      <alignment horizontal="center"/>
    </xf>
    <xf numFmtId="0" fontId="0" fillId="0" borderId="28" xfId="0" applyBorder="1"/>
    <xf numFmtId="38" fontId="0" fillId="4" borderId="22" xfId="1" applyNumberFormat="1" applyFont="1" applyFill="1" applyBorder="1" applyAlignment="1">
      <alignment horizontal="center"/>
    </xf>
    <xf numFmtId="38" fontId="0" fillId="4" borderId="8" xfId="1" applyNumberFormat="1" applyFont="1" applyFill="1" applyBorder="1" applyAlignment="1">
      <alignment horizontal="center"/>
    </xf>
    <xf numFmtId="0" fontId="0" fillId="12" borderId="28" xfId="0" applyFill="1" applyBorder="1" applyAlignment="1">
      <alignment horizontal="center"/>
    </xf>
    <xf numFmtId="0" fontId="0" fillId="12" borderId="18" xfId="0" quotePrefix="1" applyFill="1" applyBorder="1"/>
    <xf numFmtId="16" fontId="0" fillId="12" borderId="21" xfId="0" quotePrefix="1" applyNumberFormat="1" applyFill="1" applyBorder="1"/>
    <xf numFmtId="0" fontId="0" fillId="12" borderId="21" xfId="0" quotePrefix="1" applyFill="1" applyBorder="1"/>
    <xf numFmtId="0" fontId="0" fillId="12" borderId="27" xfId="0" quotePrefix="1" applyFill="1" applyBorder="1"/>
    <xf numFmtId="165" fontId="0" fillId="0" borderId="19" xfId="0" applyNumberFormat="1" applyBorder="1" applyAlignment="1">
      <alignment horizontal="center"/>
    </xf>
    <xf numFmtId="2" fontId="0" fillId="0" borderId="19" xfId="0" applyNumberFormat="1" applyBorder="1" applyAlignment="1">
      <alignment horizontal="center"/>
    </xf>
    <xf numFmtId="2" fontId="0" fillId="0" borderId="20" xfId="0" applyNumberFormat="1" applyBorder="1" applyAlignment="1">
      <alignment horizontal="center"/>
    </xf>
    <xf numFmtId="2" fontId="0" fillId="0" borderId="22" xfId="0" applyNumberFormat="1" applyBorder="1" applyAlignment="1">
      <alignment horizontal="center"/>
    </xf>
    <xf numFmtId="165" fontId="0" fillId="0" borderId="28" xfId="0" applyNumberFormat="1" applyBorder="1" applyAlignment="1">
      <alignment horizontal="center"/>
    </xf>
    <xf numFmtId="2" fontId="0" fillId="0" borderId="28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165" fontId="0" fillId="0" borderId="18" xfId="0" applyNumberFormat="1" applyBorder="1" applyAlignment="1">
      <alignment horizontal="center"/>
    </xf>
    <xf numFmtId="165" fontId="0" fillId="0" borderId="21" xfId="0" applyNumberFormat="1" applyBorder="1" applyAlignment="1">
      <alignment horizontal="center"/>
    </xf>
    <xf numFmtId="165" fontId="0" fillId="0" borderId="27" xfId="0" applyNumberFormat="1" applyBorder="1" applyAlignment="1">
      <alignment horizontal="center"/>
    </xf>
    <xf numFmtId="0" fontId="0" fillId="12" borderId="19" xfId="0" applyFill="1" applyBorder="1" applyAlignment="1">
      <alignment horizontal="center"/>
    </xf>
    <xf numFmtId="170" fontId="0" fillId="0" borderId="19" xfId="0" applyNumberFormat="1" applyBorder="1" applyAlignment="1">
      <alignment horizontal="center"/>
    </xf>
    <xf numFmtId="170" fontId="0" fillId="0" borderId="20" xfId="0" applyNumberFormat="1" applyBorder="1" applyAlignment="1">
      <alignment horizontal="center"/>
    </xf>
    <xf numFmtId="170" fontId="0" fillId="0" borderId="22" xfId="0" applyNumberFormat="1" applyBorder="1" applyAlignment="1">
      <alignment horizontal="center"/>
    </xf>
    <xf numFmtId="170" fontId="0" fillId="0" borderId="28" xfId="0" applyNumberFormat="1" applyBorder="1" applyAlignment="1">
      <alignment horizontal="center"/>
    </xf>
    <xf numFmtId="170" fontId="0" fillId="0" borderId="8" xfId="0" applyNumberFormat="1" applyBorder="1" applyAlignment="1">
      <alignment horizontal="center"/>
    </xf>
    <xf numFmtId="170" fontId="11" fillId="4" borderId="0" xfId="0" applyNumberFormat="1" applyFont="1" applyFill="1"/>
    <xf numFmtId="3" fontId="0" fillId="4" borderId="0" xfId="0" applyNumberFormat="1" applyFill="1"/>
    <xf numFmtId="0" fontId="3" fillId="0" borderId="0" xfId="0" quotePrefix="1" applyFont="1"/>
    <xf numFmtId="0" fontId="3" fillId="0" borderId="0" xfId="0" applyFont="1"/>
    <xf numFmtId="2" fontId="3" fillId="4" borderId="0" xfId="0" applyNumberFormat="1" applyFont="1" applyFill="1" applyAlignment="1">
      <alignment horizontal="center" vertical="center"/>
    </xf>
    <xf numFmtId="17" fontId="0" fillId="0" borderId="21" xfId="0" quotePrefix="1" applyNumberFormat="1" applyBorder="1"/>
    <xf numFmtId="0" fontId="4" fillId="0" borderId="0" xfId="0" applyFont="1" applyAlignment="1">
      <alignment horizontal="left"/>
    </xf>
    <xf numFmtId="0" fontId="10" fillId="0" borderId="27" xfId="0" quotePrefix="1" applyFont="1" applyBorder="1" applyAlignment="1">
      <alignment horizontal="center"/>
    </xf>
    <xf numFmtId="170" fontId="11" fillId="0" borderId="0" xfId="0" applyNumberFormat="1" applyFont="1"/>
    <xf numFmtId="2" fontId="2" fillId="10" borderId="25" xfId="0" applyNumberFormat="1" applyFont="1" applyFill="1" applyBorder="1" applyAlignment="1">
      <alignment horizontal="center" vertical="center"/>
    </xf>
    <xf numFmtId="0" fontId="10" fillId="0" borderId="18" xfId="0" quotePrefix="1" applyFont="1" applyBorder="1" applyAlignment="1">
      <alignment horizontal="center"/>
    </xf>
    <xf numFmtId="0" fontId="10" fillId="0" borderId="21" xfId="0" quotePrefix="1" applyFont="1" applyBorder="1" applyAlignment="1">
      <alignment horizontal="center"/>
    </xf>
    <xf numFmtId="172" fontId="0" fillId="0" borderId="0" xfId="0" applyNumberFormat="1" applyAlignment="1">
      <alignment horizontal="center"/>
    </xf>
    <xf numFmtId="14" fontId="0" fillId="12" borderId="3" xfId="0" applyNumberFormat="1" applyFill="1" applyBorder="1"/>
    <xf numFmtId="2" fontId="2" fillId="10" borderId="3" xfId="0" applyNumberFormat="1" applyFont="1" applyFill="1" applyBorder="1" applyAlignment="1">
      <alignment horizontal="center" vertical="center"/>
    </xf>
    <xf numFmtId="166" fontId="0" fillId="0" borderId="0" xfId="0" applyNumberFormat="1" applyAlignment="1">
      <alignment horizontal="center"/>
    </xf>
    <xf numFmtId="166" fontId="0" fillId="0" borderId="0" xfId="0" applyNumberFormat="1"/>
    <xf numFmtId="2" fontId="2" fillId="10" borderId="0" xfId="0" applyNumberFormat="1" applyFont="1" applyFill="1" applyAlignment="1">
      <alignment horizontal="center" vertical="center"/>
    </xf>
    <xf numFmtId="173" fontId="0" fillId="0" borderId="0" xfId="0" applyNumberFormat="1"/>
    <xf numFmtId="17" fontId="0" fillId="0" borderId="27" xfId="0" quotePrefix="1" applyNumberFormat="1" applyBorder="1"/>
    <xf numFmtId="0" fontId="13" fillId="0" borderId="0" xfId="0" applyFont="1" applyAlignment="1">
      <alignment horizontal="center"/>
    </xf>
    <xf numFmtId="0" fontId="13" fillId="17" borderId="0" xfId="0" applyFont="1" applyFill="1" applyAlignment="1">
      <alignment horizontal="center"/>
    </xf>
    <xf numFmtId="1" fontId="13" fillId="0" borderId="0" xfId="0" applyNumberFormat="1" applyFont="1" applyAlignment="1">
      <alignment horizontal="center"/>
    </xf>
    <xf numFmtId="1" fontId="13" fillId="17" borderId="0" xfId="0" applyNumberFormat="1" applyFont="1" applyFill="1" applyAlignment="1">
      <alignment horizontal="center"/>
    </xf>
    <xf numFmtId="14" fontId="14" fillId="18" borderId="0" xfId="0" applyNumberFormat="1" applyFont="1" applyFill="1" applyAlignment="1">
      <alignment horizontal="center" vertical="center"/>
    </xf>
    <xf numFmtId="2" fontId="0" fillId="0" borderId="0" xfId="1" applyNumberFormat="1" applyFont="1" applyAlignment="1">
      <alignment horizontal="center"/>
    </xf>
    <xf numFmtId="2" fontId="0" fillId="12" borderId="0" xfId="0" applyNumberFormat="1" applyFill="1" applyAlignment="1">
      <alignment horizontal="center"/>
    </xf>
    <xf numFmtId="2" fontId="0" fillId="0" borderId="30" xfId="1" applyNumberFormat="1" applyFont="1" applyBorder="1" applyAlignment="1">
      <alignment horizontal="center"/>
    </xf>
    <xf numFmtId="0" fontId="0" fillId="0" borderId="23" xfId="0" applyBorder="1"/>
    <xf numFmtId="14" fontId="14" fillId="18" borderId="4" xfId="0" applyNumberFormat="1" applyFont="1" applyFill="1" applyBorder="1" applyAlignment="1">
      <alignment horizontal="center" vertical="center"/>
    </xf>
    <xf numFmtId="14" fontId="14" fillId="18" borderId="16" xfId="0" applyNumberFormat="1" applyFont="1" applyFill="1" applyBorder="1" applyAlignment="1">
      <alignment horizontal="center" vertical="center"/>
    </xf>
    <xf numFmtId="0" fontId="0" fillId="0" borderId="7" xfId="0" applyBorder="1"/>
    <xf numFmtId="0" fontId="15" fillId="0" borderId="0" xfId="0" applyFont="1" applyAlignment="1">
      <alignment horizontal="left"/>
    </xf>
    <xf numFmtId="17" fontId="0" fillId="0" borderId="0" xfId="0" applyNumberFormat="1"/>
    <xf numFmtId="0" fontId="16" fillId="0" borderId="0" xfId="0" applyFont="1"/>
    <xf numFmtId="174" fontId="16" fillId="0" borderId="0" xfId="0" applyNumberFormat="1" applyFont="1"/>
    <xf numFmtId="0" fontId="13" fillId="0" borderId="0" xfId="0" quotePrefix="1" applyFont="1" applyAlignment="1">
      <alignment horizontal="center"/>
    </xf>
    <xf numFmtId="14" fontId="16" fillId="0" borderId="0" xfId="0" applyNumberFormat="1" applyFont="1"/>
    <xf numFmtId="14" fontId="14" fillId="18" borderId="31" xfId="0" applyNumberFormat="1" applyFont="1" applyFill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14" fontId="14" fillId="0" borderId="16" xfId="0" applyNumberFormat="1" applyFont="1" applyBorder="1" applyAlignment="1">
      <alignment horizontal="center" vertical="center"/>
    </xf>
    <xf numFmtId="14" fontId="14" fillId="0" borderId="31" xfId="0" applyNumberFormat="1" applyFont="1" applyBorder="1" applyAlignment="1">
      <alignment horizontal="center" vertical="center"/>
    </xf>
    <xf numFmtId="0" fontId="0" fillId="0" borderId="24" xfId="0" applyBorder="1"/>
    <xf numFmtId="0" fontId="3" fillId="0" borderId="24" xfId="0" applyFont="1" applyBorder="1"/>
    <xf numFmtId="175" fontId="6" fillId="11" borderId="0" xfId="0" applyNumberFormat="1" applyFont="1" applyFill="1" applyAlignment="1">
      <alignment horizontal="center" vertical="center"/>
    </xf>
    <xf numFmtId="176" fontId="0" fillId="19" borderId="0" xfId="0" applyNumberFormat="1" applyFill="1" applyAlignment="1">
      <alignment horizontal="center"/>
    </xf>
    <xf numFmtId="176" fontId="0" fillId="0" borderId="0" xfId="1" applyNumberFormat="1" applyFont="1" applyAlignment="1">
      <alignment horizontal="center"/>
    </xf>
    <xf numFmtId="177" fontId="0" fillId="0" borderId="0" xfId="0" applyNumberFormat="1" applyAlignment="1">
      <alignment horizontal="center"/>
    </xf>
    <xf numFmtId="165" fontId="0" fillId="12" borderId="0" xfId="0" applyNumberFormat="1" applyFill="1" applyAlignment="1">
      <alignment horizontal="center"/>
    </xf>
    <xf numFmtId="0" fontId="6" fillId="11" borderId="30" xfId="0" applyFont="1" applyFill="1" applyBorder="1" applyAlignment="1">
      <alignment horizontal="center" vertical="center"/>
    </xf>
    <xf numFmtId="0" fontId="0" fillId="0" borderId="25" xfId="0" applyBorder="1"/>
    <xf numFmtId="176" fontId="0" fillId="19" borderId="30" xfId="0" applyNumberFormat="1" applyFill="1" applyBorder="1" applyAlignment="1">
      <alignment horizontal="center"/>
    </xf>
    <xf numFmtId="177" fontId="0" fillId="0" borderId="30" xfId="0" applyNumberFormat="1" applyBorder="1" applyAlignment="1">
      <alignment horizontal="center"/>
    </xf>
    <xf numFmtId="0" fontId="13" fillId="0" borderId="30" xfId="0" applyFont="1" applyBorder="1" applyAlignment="1">
      <alignment horizontal="center"/>
    </xf>
    <xf numFmtId="17" fontId="0" fillId="0" borderId="0" xfId="0" quotePrefix="1" applyNumberFormat="1" applyAlignment="1">
      <alignment horizontal="center"/>
    </xf>
    <xf numFmtId="0" fontId="0" fillId="0" borderId="0" xfId="0" quotePrefix="1" applyAlignment="1">
      <alignment horizontal="center"/>
    </xf>
    <xf numFmtId="2" fontId="0" fillId="0" borderId="30" xfId="0" applyNumberFormat="1" applyBorder="1" applyAlignment="1">
      <alignment horizontal="center"/>
    </xf>
    <xf numFmtId="1" fontId="13" fillId="0" borderId="30" xfId="0" applyNumberFormat="1" applyFon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1" fontId="13" fillId="17" borderId="19" xfId="0" applyNumberFormat="1" applyFont="1" applyFill="1" applyBorder="1" applyAlignment="1">
      <alignment horizontal="center"/>
    </xf>
    <xf numFmtId="0" fontId="0" fillId="0" borderId="30" xfId="0" applyBorder="1" applyAlignment="1">
      <alignment horizontal="center"/>
    </xf>
    <xf numFmtId="176" fontId="0" fillId="0" borderId="0" xfId="1" applyNumberFormat="1" applyFont="1" applyBorder="1" applyAlignment="1">
      <alignment horizontal="center"/>
    </xf>
    <xf numFmtId="2" fontId="2" fillId="0" borderId="6" xfId="0" applyNumberFormat="1" applyFont="1" applyBorder="1" applyAlignment="1">
      <alignment horizontal="center" vertical="center"/>
    </xf>
    <xf numFmtId="0" fontId="3" fillId="0" borderId="35" xfId="0" applyFont="1" applyBorder="1"/>
    <xf numFmtId="0" fontId="0" fillId="0" borderId="34" xfId="0" applyBorder="1"/>
    <xf numFmtId="10" fontId="18" fillId="5" borderId="22" xfId="14" applyNumberFormat="1" applyFont="1" applyFill="1" applyBorder="1" applyAlignment="1">
      <alignment horizontal="center" vertical="center"/>
    </xf>
    <xf numFmtId="10" fontId="18" fillId="0" borderId="22" xfId="14" applyNumberFormat="1" applyFont="1" applyFill="1" applyBorder="1" applyAlignment="1">
      <alignment horizontal="center" vertical="center"/>
    </xf>
    <xf numFmtId="15" fontId="9" fillId="5" borderId="21" xfId="0" applyNumberFormat="1" applyFont="1" applyFill="1" applyBorder="1" applyAlignment="1">
      <alignment horizontal="center" vertical="center"/>
    </xf>
    <xf numFmtId="15" fontId="9" fillId="5" borderId="22" xfId="0" applyNumberFormat="1" applyFont="1" applyFill="1" applyBorder="1" applyAlignment="1">
      <alignment horizontal="center" vertical="center"/>
    </xf>
    <xf numFmtId="15" fontId="9" fillId="0" borderId="21" xfId="0" applyNumberFormat="1" applyFont="1" applyBorder="1" applyAlignment="1">
      <alignment horizontal="center" vertical="center"/>
    </xf>
    <xf numFmtId="15" fontId="9" fillId="0" borderId="22" xfId="0" applyNumberFormat="1" applyFont="1" applyBorder="1" applyAlignment="1">
      <alignment horizontal="center" vertical="center"/>
    </xf>
    <xf numFmtId="165" fontId="17" fillId="20" borderId="19" xfId="14" applyNumberFormat="1" applyFont="1" applyFill="1" applyBorder="1" applyAlignment="1">
      <alignment horizontal="center"/>
    </xf>
    <xf numFmtId="178" fontId="0" fillId="5" borderId="22" xfId="0" applyNumberFormat="1" applyFill="1" applyBorder="1" applyAlignment="1">
      <alignment horizontal="center"/>
    </xf>
    <xf numFmtId="178" fontId="0" fillId="0" borderId="22" xfId="0" applyNumberFormat="1" applyBorder="1" applyAlignment="1">
      <alignment horizontal="center"/>
    </xf>
    <xf numFmtId="15" fontId="9" fillId="5" borderId="27" xfId="0" applyNumberFormat="1" applyFont="1" applyFill="1" applyBorder="1" applyAlignment="1">
      <alignment horizontal="center" vertical="center"/>
    </xf>
    <xf numFmtId="15" fontId="9" fillId="5" borderId="8" xfId="0" applyNumberFormat="1" applyFont="1" applyFill="1" applyBorder="1" applyAlignment="1">
      <alignment horizontal="center" vertical="center"/>
    </xf>
    <xf numFmtId="10" fontId="18" fillId="5" borderId="8" xfId="14" applyNumberFormat="1" applyFont="1" applyFill="1" applyBorder="1" applyAlignment="1">
      <alignment horizontal="center" vertical="center"/>
    </xf>
    <xf numFmtId="178" fontId="0" fillId="5" borderId="8" xfId="0" applyNumberForma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49" fontId="0" fillId="9" borderId="3" xfId="0" applyNumberFormat="1" applyFill="1" applyBorder="1" applyAlignment="1">
      <alignment horizontal="center"/>
    </xf>
    <xf numFmtId="14" fontId="0" fillId="9" borderId="3" xfId="0" applyNumberFormat="1" applyFill="1" applyBorder="1" applyAlignment="1">
      <alignment horizontal="center"/>
    </xf>
    <xf numFmtId="14" fontId="0" fillId="8" borderId="3" xfId="0" applyNumberFormat="1" applyFill="1" applyBorder="1" applyAlignment="1">
      <alignment horizontal="center"/>
    </xf>
    <xf numFmtId="0" fontId="6" fillId="11" borderId="8" xfId="0" applyFont="1" applyFill="1" applyBorder="1" applyAlignment="1">
      <alignment horizontal="center" vertical="center"/>
    </xf>
    <xf numFmtId="2" fontId="2" fillId="10" borderId="36" xfId="0" applyNumberFormat="1" applyFont="1" applyFill="1" applyBorder="1" applyAlignment="1">
      <alignment horizontal="center" vertical="center"/>
    </xf>
    <xf numFmtId="0" fontId="0" fillId="0" borderId="22" xfId="0" applyBorder="1"/>
    <xf numFmtId="0" fontId="19" fillId="10" borderId="0" xfId="0" applyFont="1" applyFill="1"/>
    <xf numFmtId="2" fontId="19" fillId="10" borderId="0" xfId="0" applyNumberFormat="1" applyFont="1" applyFill="1"/>
    <xf numFmtId="0" fontId="20" fillId="0" borderId="0" xfId="0" applyFont="1" applyAlignment="1">
      <alignment horizontal="center"/>
    </xf>
    <xf numFmtId="179" fontId="20" fillId="0" borderId="0" xfId="0" applyNumberFormat="1" applyFont="1" applyAlignment="1">
      <alignment horizontal="center"/>
    </xf>
    <xf numFmtId="9" fontId="20" fillId="0" borderId="0" xfId="0" applyNumberFormat="1" applyFont="1"/>
    <xf numFmtId="180" fontId="20" fillId="0" borderId="0" xfId="0" applyNumberFormat="1" applyFont="1"/>
    <xf numFmtId="0" fontId="20" fillId="0" borderId="0" xfId="0" applyFont="1"/>
    <xf numFmtId="0" fontId="21" fillId="0" borderId="0" xfId="0" applyFont="1"/>
    <xf numFmtId="0" fontId="20" fillId="21" borderId="0" xfId="0" applyFont="1" applyFill="1"/>
    <xf numFmtId="0" fontId="20" fillId="21" borderId="0" xfId="0" applyFont="1" applyFill="1" applyAlignment="1">
      <alignment horizontal="center"/>
    </xf>
    <xf numFmtId="0" fontId="0" fillId="21" borderId="0" xfId="0" applyFill="1"/>
    <xf numFmtId="0" fontId="14" fillId="11" borderId="0" xfId="0" applyFont="1" applyFill="1" applyAlignment="1">
      <alignment horizontal="center" vertical="center"/>
    </xf>
    <xf numFmtId="0" fontId="14" fillId="11" borderId="22" xfId="0" applyFont="1" applyFill="1" applyBorder="1" applyAlignment="1">
      <alignment horizontal="center" vertical="center"/>
    </xf>
    <xf numFmtId="176" fontId="20" fillId="0" borderId="0" xfId="0" applyNumberFormat="1" applyFont="1" applyAlignment="1">
      <alignment horizontal="center"/>
    </xf>
    <xf numFmtId="2" fontId="2" fillId="10" borderId="37" xfId="0" applyNumberFormat="1" applyFont="1" applyFill="1" applyBorder="1" applyAlignment="1">
      <alignment horizontal="center" vertical="center"/>
    </xf>
    <xf numFmtId="2" fontId="2" fillId="10" borderId="20" xfId="0" applyNumberFormat="1" applyFont="1" applyFill="1" applyBorder="1" applyAlignment="1">
      <alignment horizontal="center" vertical="center"/>
    </xf>
    <xf numFmtId="2" fontId="2" fillId="10" borderId="16" xfId="0" applyNumberFormat="1" applyFont="1" applyFill="1" applyBorder="1" applyAlignment="1">
      <alignment horizontal="center" vertical="center"/>
    </xf>
    <xf numFmtId="2" fontId="2" fillId="10" borderId="17" xfId="0" applyNumberFormat="1" applyFont="1" applyFill="1" applyBorder="1" applyAlignment="1">
      <alignment horizontal="center" vertical="center"/>
    </xf>
    <xf numFmtId="2" fontId="2" fillId="10" borderId="25" xfId="0" applyNumberFormat="1" applyFont="1" applyFill="1" applyBorder="1" applyAlignment="1">
      <alignment horizontal="center" vertical="center"/>
    </xf>
    <xf numFmtId="2" fontId="2" fillId="10" borderId="37" xfId="0" applyNumberFormat="1" applyFont="1" applyFill="1" applyBorder="1" applyAlignment="1">
      <alignment horizontal="center" vertical="center"/>
    </xf>
    <xf numFmtId="2" fontId="2" fillId="10" borderId="38" xfId="0" applyNumberFormat="1" applyFont="1" applyFill="1" applyBorder="1" applyAlignment="1">
      <alignment horizontal="center" vertical="center"/>
    </xf>
    <xf numFmtId="2" fontId="2" fillId="10" borderId="32" xfId="0" applyNumberFormat="1" applyFont="1" applyFill="1" applyBorder="1" applyAlignment="1">
      <alignment horizontal="center" vertical="center"/>
    </xf>
    <xf numFmtId="0" fontId="8" fillId="10" borderId="0" xfId="0" applyFont="1" applyFill="1" applyAlignment="1">
      <alignment horizontal="center" vertical="center"/>
    </xf>
    <xf numFmtId="0" fontId="8" fillId="10" borderId="24" xfId="0" applyFont="1" applyFill="1" applyBorder="1" applyAlignment="1">
      <alignment horizontal="center" vertical="center"/>
    </xf>
    <xf numFmtId="2" fontId="2" fillId="10" borderId="29" xfId="0" applyNumberFormat="1" applyFont="1" applyFill="1" applyBorder="1" applyAlignment="1">
      <alignment horizontal="center" vertical="center"/>
    </xf>
    <xf numFmtId="2" fontId="2" fillId="10" borderId="30" xfId="0" applyNumberFormat="1" applyFont="1" applyFill="1" applyBorder="1" applyAlignment="1">
      <alignment horizontal="center" vertical="center"/>
    </xf>
    <xf numFmtId="2" fontId="2" fillId="10" borderId="31" xfId="0" applyNumberFormat="1" applyFont="1" applyFill="1" applyBorder="1" applyAlignment="1">
      <alignment horizontal="center" vertical="center"/>
    </xf>
    <xf numFmtId="2" fontId="2" fillId="10" borderId="5" xfId="0" applyNumberFormat="1" applyFont="1" applyFill="1" applyBorder="1" applyAlignment="1">
      <alignment horizontal="center" vertical="center"/>
    </xf>
    <xf numFmtId="2" fontId="2" fillId="10" borderId="24" xfId="0" applyNumberFormat="1" applyFont="1" applyFill="1" applyBorder="1" applyAlignment="1">
      <alignment horizontal="center" vertical="center"/>
    </xf>
    <xf numFmtId="2" fontId="2" fillId="10" borderId="2" xfId="0" applyNumberFormat="1" applyFont="1" applyFill="1" applyBorder="1" applyAlignment="1">
      <alignment horizontal="center" vertical="center"/>
    </xf>
    <xf numFmtId="2" fontId="2" fillId="10" borderId="6" xfId="0" applyNumberFormat="1" applyFont="1" applyFill="1" applyBorder="1" applyAlignment="1">
      <alignment horizontal="center" vertical="center"/>
    </xf>
    <xf numFmtId="2" fontId="2" fillId="10" borderId="1" xfId="0" applyNumberFormat="1" applyFont="1" applyFill="1" applyBorder="1" applyAlignment="1">
      <alignment horizontal="center" vertical="center"/>
    </xf>
    <xf numFmtId="2" fontId="2" fillId="10" borderId="3" xfId="0" applyNumberFormat="1" applyFont="1" applyFill="1" applyBorder="1" applyAlignment="1">
      <alignment horizontal="center" vertical="center"/>
    </xf>
    <xf numFmtId="0" fontId="0" fillId="0" borderId="21" xfId="0" applyBorder="1"/>
    <xf numFmtId="2" fontId="2" fillId="10" borderId="29" xfId="0" applyNumberFormat="1" applyFont="1" applyFill="1" applyBorder="1" applyAlignment="1">
      <alignment vertical="center"/>
    </xf>
    <xf numFmtId="2" fontId="2" fillId="10" borderId="39" xfId="0" applyNumberFormat="1" applyFont="1" applyFill="1" applyBorder="1" applyAlignment="1">
      <alignment horizontal="center" vertical="center" wrapText="1"/>
    </xf>
    <xf numFmtId="2" fontId="2" fillId="10" borderId="23" xfId="0" applyNumberFormat="1" applyFont="1" applyFill="1" applyBorder="1" applyAlignment="1">
      <alignment horizontal="center" vertical="center" wrapText="1"/>
    </xf>
    <xf numFmtId="2" fontId="2" fillId="10" borderId="1" xfId="0" applyNumberFormat="1" applyFont="1" applyFill="1" applyBorder="1" applyAlignment="1">
      <alignment vertical="center"/>
    </xf>
    <xf numFmtId="2" fontId="2" fillId="10" borderId="32" xfId="0" applyNumberFormat="1" applyFont="1" applyFill="1" applyBorder="1" applyAlignment="1">
      <alignment horizontal="center" vertical="center" wrapText="1"/>
    </xf>
    <xf numFmtId="2" fontId="2" fillId="10" borderId="25" xfId="0" applyNumberFormat="1" applyFont="1" applyFill="1" applyBorder="1" applyAlignment="1">
      <alignment horizontal="center" vertical="center" wrapText="1"/>
    </xf>
    <xf numFmtId="10" fontId="0" fillId="0" borderId="0" xfId="0" applyNumberFormat="1"/>
    <xf numFmtId="0" fontId="0" fillId="0" borderId="0" xfId="0" applyBorder="1" applyAlignment="1">
      <alignment horizontal="center"/>
    </xf>
    <xf numFmtId="169" fontId="0" fillId="4" borderId="0" xfId="0" applyNumberFormat="1" applyFill="1" applyBorder="1" applyAlignment="1">
      <alignment horizontal="center"/>
    </xf>
    <xf numFmtId="2" fontId="0" fillId="4" borderId="0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71" fontId="0" fillId="0" borderId="0" xfId="0" applyNumberFormat="1"/>
    <xf numFmtId="178" fontId="0" fillId="0" borderId="0" xfId="0" applyNumberFormat="1" applyBorder="1" applyAlignment="1">
      <alignment horizontal="center"/>
    </xf>
    <xf numFmtId="0" fontId="0" fillId="0" borderId="21" xfId="0" applyBorder="1" applyAlignment="1">
      <alignment horizontal="center"/>
    </xf>
    <xf numFmtId="171" fontId="0" fillId="0" borderId="0" xfId="0" applyNumberFormat="1" applyBorder="1" applyAlignment="1">
      <alignment horizontal="center"/>
    </xf>
    <xf numFmtId="10" fontId="0" fillId="0" borderId="0" xfId="14" applyNumberFormat="1" applyFont="1" applyBorder="1" applyAlignment="1">
      <alignment horizontal="center"/>
    </xf>
    <xf numFmtId="0" fontId="0" fillId="0" borderId="27" xfId="0" applyBorder="1" applyAlignment="1">
      <alignment horizontal="center"/>
    </xf>
    <xf numFmtId="171" fontId="0" fillId="0" borderId="28" xfId="0" applyNumberFormat="1" applyBorder="1" applyAlignment="1">
      <alignment horizontal="center"/>
    </xf>
    <xf numFmtId="10" fontId="0" fillId="0" borderId="28" xfId="14" applyNumberFormat="1" applyFont="1" applyBorder="1" applyAlignment="1">
      <alignment horizontal="center"/>
    </xf>
    <xf numFmtId="178" fontId="0" fillId="0" borderId="28" xfId="0" applyNumberFormat="1" applyBorder="1" applyAlignment="1">
      <alignment horizontal="center"/>
    </xf>
    <xf numFmtId="178" fontId="0" fillId="0" borderId="8" xfId="0" applyNumberFormat="1" applyBorder="1" applyAlignment="1">
      <alignment horizontal="center"/>
    </xf>
  </cellXfs>
  <cellStyles count="15">
    <cellStyle name="blp_column_header" xfId="3" xr:uid="{D7636DB3-E967-40FF-BB16-4E8B06C35F19}"/>
    <cellStyle name="Millares" xfId="1" builtinId="3"/>
    <cellStyle name="Millares 2" xfId="4" xr:uid="{DF66E638-CF44-4B80-9EF9-2C7FEFB7E6CD}"/>
    <cellStyle name="Millares 2 2" xfId="6" xr:uid="{0EF3CB71-D641-45F3-8C71-D03A174118E6}"/>
    <cellStyle name="Millares 2 2 2" xfId="8" xr:uid="{67628110-CE74-4D2E-8B24-A6518FCCF8E5}"/>
    <cellStyle name="Millares 2 2 2 2" xfId="13" xr:uid="{0EFC0E4F-17DC-4437-BE0E-B1CC9C3D5FB5}"/>
    <cellStyle name="Millares 2 2 3" xfId="11" xr:uid="{6B56666F-7B75-47A8-B7B5-E03DF868B431}"/>
    <cellStyle name="Millares 2 3" xfId="9" xr:uid="{3C59AA5F-768B-4FAE-ADD2-37E773C18E8A}"/>
    <cellStyle name="Millares 3" xfId="5" xr:uid="{9E2AA4BC-D064-4C92-95C2-62D36CFBEDF0}"/>
    <cellStyle name="Millares 3 2" xfId="7" xr:uid="{C2041235-E114-4D70-8999-FEE917EADDBB}"/>
    <cellStyle name="Millares 3 2 2" xfId="12" xr:uid="{1ABC49FA-D2F7-4D59-B520-C0402CB767D0}"/>
    <cellStyle name="Millares 3 3" xfId="10" xr:uid="{2BB069E2-5673-4D1C-8742-8A75810CC5F8}"/>
    <cellStyle name="Millares 4" xfId="2" xr:uid="{6A807B9B-FE79-4EE9-A1F7-F4FDE8AF287A}"/>
    <cellStyle name="Normal" xfId="0" builtinId="0"/>
    <cellStyle name="Porcentaje" xfId="14" builtinId="5"/>
  </cellStyles>
  <dxfs count="76"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rgb="FF002060"/>
        </patternFill>
      </fill>
    </dxf>
  </dxfs>
  <tableStyles count="0" defaultTableStyle="TableStyleMedium2" defaultPivotStyle="PivotStyleLight16"/>
  <colors>
    <mruColors>
      <color rgb="FFD8E4BC"/>
      <color rgb="FFFFDE9B"/>
      <color rgb="FFCCECFF"/>
      <color rgb="FFFCE0C8"/>
      <color rgb="FFEB3D66"/>
      <color rgb="FFF7316E"/>
      <color rgb="FFF7D50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Historical Spread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strRef>
              <c:f>ASW_Bonos!$K$32</c:f>
              <c:strCache>
                <c:ptCount val="1"/>
                <c:pt idx="0">
                  <c:v>Min</c:v>
                </c:pt>
              </c:strCache>
            </c:strRef>
          </c:tx>
          <c:spPr>
            <a:noFill/>
            <a:ln>
              <a:noFill/>
            </a:ln>
            <a:effectLst/>
          </c:spPr>
          <c:cat>
            <c:strRef>
              <c:f>ASW_Bonos!$I$33:$I$51</c:f>
              <c:strCache>
                <c:ptCount val="19"/>
                <c:pt idx="0">
                  <c:v>dic23</c:v>
                </c:pt>
                <c:pt idx="1">
                  <c:v>sep24</c:v>
                </c:pt>
                <c:pt idx="2">
                  <c:v>dic24</c:v>
                </c:pt>
                <c:pt idx="3">
                  <c:v>mar25</c:v>
                </c:pt>
                <c:pt idx="4">
                  <c:v>mar26</c:v>
                </c:pt>
                <c:pt idx="5">
                  <c:v>sep26</c:v>
                </c:pt>
                <c:pt idx="6">
                  <c:v>mar27</c:v>
                </c:pt>
                <c:pt idx="7">
                  <c:v>jun27</c:v>
                </c:pt>
                <c:pt idx="8">
                  <c:v>mar29</c:v>
                </c:pt>
                <c:pt idx="9">
                  <c:v>may29</c:v>
                </c:pt>
                <c:pt idx="10">
                  <c:v>may31</c:v>
                </c:pt>
                <c:pt idx="11">
                  <c:v>may33</c:v>
                </c:pt>
                <c:pt idx="12">
                  <c:v>nov34</c:v>
                </c:pt>
                <c:pt idx="13">
                  <c:v>may35</c:v>
                </c:pt>
                <c:pt idx="14">
                  <c:v>nov36</c:v>
                </c:pt>
                <c:pt idx="15">
                  <c:v>nov38</c:v>
                </c:pt>
                <c:pt idx="16">
                  <c:v>nov42</c:v>
                </c:pt>
                <c:pt idx="17">
                  <c:v>nov47</c:v>
                </c:pt>
                <c:pt idx="18">
                  <c:v>jul53</c:v>
                </c:pt>
              </c:strCache>
            </c:strRef>
          </c:cat>
          <c:val>
            <c:numRef>
              <c:f>ASW_Bonos!$K$33:$K$51</c:f>
              <c:numCache>
                <c:formatCode>#,##0.0_ ;[Red]\-#,##0.0\ </c:formatCode>
                <c:ptCount val="19"/>
                <c:pt idx="0">
                  <c:v>-13.08589242750724</c:v>
                </c:pt>
                <c:pt idx="1">
                  <c:v>-23.0833333333333</c:v>
                </c:pt>
                <c:pt idx="2">
                  <c:v>-20.357142857142918</c:v>
                </c:pt>
                <c:pt idx="3">
                  <c:v>-9.8673469387755119</c:v>
                </c:pt>
                <c:pt idx="4">
                  <c:v>-43.813186813186711</c:v>
                </c:pt>
                <c:pt idx="5">
                  <c:v>-64.37087912087911</c:v>
                </c:pt>
                <c:pt idx="6">
                  <c:v>-62.395604395604387</c:v>
                </c:pt>
                <c:pt idx="7">
                  <c:v>-60.659340659340799</c:v>
                </c:pt>
                <c:pt idx="8">
                  <c:v>-67.092572247898914</c:v>
                </c:pt>
                <c:pt idx="9">
                  <c:v>-58.032967032967164</c:v>
                </c:pt>
                <c:pt idx="10">
                  <c:v>-65.648351648351706</c:v>
                </c:pt>
                <c:pt idx="11">
                  <c:v>-67</c:v>
                </c:pt>
                <c:pt idx="12">
                  <c:v>-64.923076923076906</c:v>
                </c:pt>
                <c:pt idx="13">
                  <c:v>-63.673076923076977</c:v>
                </c:pt>
                <c:pt idx="14">
                  <c:v>-59.692307692307622</c:v>
                </c:pt>
                <c:pt idx="15">
                  <c:v>-67.999999999999972</c:v>
                </c:pt>
                <c:pt idx="16">
                  <c:v>-73.114835164835057</c:v>
                </c:pt>
                <c:pt idx="17">
                  <c:v>-70.4425824175825</c:v>
                </c:pt>
                <c:pt idx="18">
                  <c:v>-74.030219780219753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68-455C-A6B1-4FA1E63CD8CB}"/>
            </c:ext>
          </c:extLst>
        </c:ser>
        <c:ser>
          <c:idx val="6"/>
          <c:order val="4"/>
          <c:tx>
            <c:strRef>
              <c:f>ASW_Bonos!$P$32</c:f>
              <c:strCache>
                <c:ptCount val="1"/>
                <c:pt idx="0">
                  <c:v>ala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cat>
            <c:strRef>
              <c:f>ASW_Bonos!$I$33:$I$51</c:f>
              <c:strCache>
                <c:ptCount val="19"/>
                <c:pt idx="0">
                  <c:v>dic23</c:v>
                </c:pt>
                <c:pt idx="1">
                  <c:v>sep24</c:v>
                </c:pt>
                <c:pt idx="2">
                  <c:v>dic24</c:v>
                </c:pt>
                <c:pt idx="3">
                  <c:v>mar25</c:v>
                </c:pt>
                <c:pt idx="4">
                  <c:v>mar26</c:v>
                </c:pt>
                <c:pt idx="5">
                  <c:v>sep26</c:v>
                </c:pt>
                <c:pt idx="6">
                  <c:v>mar27</c:v>
                </c:pt>
                <c:pt idx="7">
                  <c:v>jun27</c:v>
                </c:pt>
                <c:pt idx="8">
                  <c:v>mar29</c:v>
                </c:pt>
                <c:pt idx="9">
                  <c:v>may29</c:v>
                </c:pt>
                <c:pt idx="10">
                  <c:v>may31</c:v>
                </c:pt>
                <c:pt idx="11">
                  <c:v>may33</c:v>
                </c:pt>
                <c:pt idx="12">
                  <c:v>nov34</c:v>
                </c:pt>
                <c:pt idx="13">
                  <c:v>may35</c:v>
                </c:pt>
                <c:pt idx="14">
                  <c:v>nov36</c:v>
                </c:pt>
                <c:pt idx="15">
                  <c:v>nov38</c:v>
                </c:pt>
                <c:pt idx="16">
                  <c:v>nov42</c:v>
                </c:pt>
                <c:pt idx="17">
                  <c:v>nov47</c:v>
                </c:pt>
                <c:pt idx="18">
                  <c:v>jul53</c:v>
                </c:pt>
              </c:strCache>
            </c:strRef>
          </c:cat>
          <c:val>
            <c:numRef>
              <c:f>ASW_Bonos!$P$33:$P$51</c:f>
              <c:numCache>
                <c:formatCode>#,##0.0_ ;[Red]\-#,##0.0\ </c:formatCode>
                <c:ptCount val="19"/>
                <c:pt idx="0">
                  <c:v>36.657320998935816</c:v>
                </c:pt>
                <c:pt idx="1">
                  <c:v>37.111201605920918</c:v>
                </c:pt>
                <c:pt idx="2">
                  <c:v>66.736601041343675</c:v>
                </c:pt>
                <c:pt idx="3">
                  <c:v>77.896255947199762</c:v>
                </c:pt>
                <c:pt idx="4">
                  <c:v>47.689978779767372</c:v>
                </c:pt>
                <c:pt idx="5">
                  <c:v>37.352690011319467</c:v>
                </c:pt>
                <c:pt idx="6">
                  <c:v>42.232621150254168</c:v>
                </c:pt>
                <c:pt idx="7">
                  <c:v>32.265895688736812</c:v>
                </c:pt>
                <c:pt idx="8">
                  <c:v>31.914515875122447</c:v>
                </c:pt>
                <c:pt idx="9">
                  <c:v>31.28473470103863</c:v>
                </c:pt>
                <c:pt idx="10">
                  <c:v>29.340511503399476</c:v>
                </c:pt>
                <c:pt idx="11">
                  <c:v>37.767180243470129</c:v>
                </c:pt>
                <c:pt idx="12">
                  <c:v>40.52056226299765</c:v>
                </c:pt>
                <c:pt idx="13">
                  <c:v>49.203011633109739</c:v>
                </c:pt>
                <c:pt idx="14">
                  <c:v>38.687803082863859</c:v>
                </c:pt>
                <c:pt idx="15">
                  <c:v>45.142121214587227</c:v>
                </c:pt>
                <c:pt idx="16">
                  <c:v>50.587739397243681</c:v>
                </c:pt>
                <c:pt idx="17">
                  <c:v>56.118150615405327</c:v>
                </c:pt>
                <c:pt idx="18">
                  <c:v>62.849569076693257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E68-455C-A6B1-4FA1E63CD8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07887"/>
        <c:axId val="141601855"/>
      </c:areaChart>
      <c:scatterChart>
        <c:scatterStyle val="lineMarker"/>
        <c:varyColors val="0"/>
        <c:ser>
          <c:idx val="2"/>
          <c:order val="1"/>
          <c:tx>
            <c:strRef>
              <c:f>ASW_Bonos!$L$32</c:f>
              <c:strCache>
                <c:ptCount val="1"/>
                <c:pt idx="0">
                  <c:v>Ave</c:v>
                </c:pt>
              </c:strCache>
            </c:strRef>
          </c:tx>
          <c:spPr>
            <a:ln w="1905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strRef>
              <c:f>ASW_Bonos!$I$33:$I$51</c:f>
              <c:strCache>
                <c:ptCount val="19"/>
                <c:pt idx="0">
                  <c:v>dic23</c:v>
                </c:pt>
                <c:pt idx="1">
                  <c:v>sep24</c:v>
                </c:pt>
                <c:pt idx="2">
                  <c:v>dic24</c:v>
                </c:pt>
                <c:pt idx="3">
                  <c:v>mar25</c:v>
                </c:pt>
                <c:pt idx="4">
                  <c:v>mar26</c:v>
                </c:pt>
                <c:pt idx="5">
                  <c:v>sep26</c:v>
                </c:pt>
                <c:pt idx="6">
                  <c:v>mar27</c:v>
                </c:pt>
                <c:pt idx="7">
                  <c:v>jun27</c:v>
                </c:pt>
                <c:pt idx="8">
                  <c:v>mar29</c:v>
                </c:pt>
                <c:pt idx="9">
                  <c:v>may29</c:v>
                </c:pt>
                <c:pt idx="10">
                  <c:v>may31</c:v>
                </c:pt>
                <c:pt idx="11">
                  <c:v>may33</c:v>
                </c:pt>
                <c:pt idx="12">
                  <c:v>nov34</c:v>
                </c:pt>
                <c:pt idx="13">
                  <c:v>may35</c:v>
                </c:pt>
                <c:pt idx="14">
                  <c:v>nov36</c:v>
                </c:pt>
                <c:pt idx="15">
                  <c:v>nov38</c:v>
                </c:pt>
                <c:pt idx="16">
                  <c:v>nov42</c:v>
                </c:pt>
                <c:pt idx="17">
                  <c:v>nov47</c:v>
                </c:pt>
                <c:pt idx="18">
                  <c:v>jul53</c:v>
                </c:pt>
              </c:strCache>
            </c:strRef>
          </c:xVal>
          <c:yVal>
            <c:numRef>
              <c:f>ASW_Bonos!$L$33:$L$51</c:f>
              <c:numCache>
                <c:formatCode>#,##0.0_ ;[Red]\-#,##0.0\ </c:formatCode>
                <c:ptCount val="19"/>
                <c:pt idx="0">
                  <c:v>-0.22432335778200405</c:v>
                </c:pt>
                <c:pt idx="1">
                  <c:v>-4.0124558272312942</c:v>
                </c:pt>
                <c:pt idx="2">
                  <c:v>6.8551771792013119</c:v>
                </c:pt>
                <c:pt idx="3">
                  <c:v>24.643134945258328</c:v>
                </c:pt>
                <c:pt idx="4">
                  <c:v>-23.36693230581519</c:v>
                </c:pt>
                <c:pt idx="5">
                  <c:v>-47.098452507836882</c:v>
                </c:pt>
                <c:pt idx="6">
                  <c:v>-40.993515556849083</c:v>
                </c:pt>
                <c:pt idx="7">
                  <c:v>-44.899979997275395</c:v>
                </c:pt>
                <c:pt idx="8">
                  <c:v>-52.069103992666875</c:v>
                </c:pt>
                <c:pt idx="9">
                  <c:v>-44.727477590031739</c:v>
                </c:pt>
                <c:pt idx="10">
                  <c:v>-51.866114236486816</c:v>
                </c:pt>
                <c:pt idx="11">
                  <c:v>-49.406364794718584</c:v>
                </c:pt>
                <c:pt idx="12">
                  <c:v>-45.608393335698182</c:v>
                </c:pt>
                <c:pt idx="13">
                  <c:v>-43.738242396993705</c:v>
                </c:pt>
                <c:pt idx="14">
                  <c:v>-42.518523974971302</c:v>
                </c:pt>
                <c:pt idx="15">
                  <c:v>-48.476046705803221</c:v>
                </c:pt>
                <c:pt idx="16">
                  <c:v>-50.09627823951115</c:v>
                </c:pt>
                <c:pt idx="17">
                  <c:v>-44.386330122219654</c:v>
                </c:pt>
                <c:pt idx="18">
                  <c:v>-45.613263773677247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68-455C-A6B1-4FA1E63CD8CB}"/>
            </c:ext>
          </c:extLst>
        </c:ser>
        <c:ser>
          <c:idx val="3"/>
          <c:order val="2"/>
          <c:tx>
            <c:strRef>
              <c:f>ASW_Bonos!$M$32</c:f>
              <c:strCache>
                <c:ptCount val="1"/>
                <c:pt idx="0">
                  <c:v>T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strRef>
              <c:f>ASW_Bonos!$I$33:$I$51</c:f>
              <c:strCache>
                <c:ptCount val="19"/>
                <c:pt idx="0">
                  <c:v>dic23</c:v>
                </c:pt>
                <c:pt idx="1">
                  <c:v>sep24</c:v>
                </c:pt>
                <c:pt idx="2">
                  <c:v>dic24</c:v>
                </c:pt>
                <c:pt idx="3">
                  <c:v>mar25</c:v>
                </c:pt>
                <c:pt idx="4">
                  <c:v>mar26</c:v>
                </c:pt>
                <c:pt idx="5">
                  <c:v>sep26</c:v>
                </c:pt>
                <c:pt idx="6">
                  <c:v>mar27</c:v>
                </c:pt>
                <c:pt idx="7">
                  <c:v>jun27</c:v>
                </c:pt>
                <c:pt idx="8">
                  <c:v>mar29</c:v>
                </c:pt>
                <c:pt idx="9">
                  <c:v>may29</c:v>
                </c:pt>
                <c:pt idx="10">
                  <c:v>may31</c:v>
                </c:pt>
                <c:pt idx="11">
                  <c:v>may33</c:v>
                </c:pt>
                <c:pt idx="12">
                  <c:v>nov34</c:v>
                </c:pt>
                <c:pt idx="13">
                  <c:v>may35</c:v>
                </c:pt>
                <c:pt idx="14">
                  <c:v>nov36</c:v>
                </c:pt>
                <c:pt idx="15">
                  <c:v>nov38</c:v>
                </c:pt>
                <c:pt idx="16">
                  <c:v>nov42</c:v>
                </c:pt>
                <c:pt idx="17">
                  <c:v>nov47</c:v>
                </c:pt>
                <c:pt idx="18">
                  <c:v>jul53</c:v>
                </c:pt>
              </c:strCache>
            </c:strRef>
          </c:xVal>
          <c:yVal>
            <c:numRef>
              <c:f>ASW_Bonos!$M$33:$M$51</c:f>
              <c:numCache>
                <c:formatCode>#,##0.0_ ;[Red]\-#,##0.0\ </c:formatCode>
                <c:ptCount val="19"/>
                <c:pt idx="0">
                  <c:v>-3.6631461926971198</c:v>
                </c:pt>
                <c:pt idx="1">
                  <c:v>14.384557049131708</c:v>
                </c:pt>
                <c:pt idx="2">
                  <c:v>19.783254656939775</c:v>
                </c:pt>
                <c:pt idx="3">
                  <c:v>34.261085381459822</c:v>
                </c:pt>
                <c:pt idx="4">
                  <c:v>-26.239078094762824</c:v>
                </c:pt>
                <c:pt idx="5">
                  <c:v>-34.904654523477419</c:v>
                </c:pt>
                <c:pt idx="6">
                  <c:v>-29.437693675705212</c:v>
                </c:pt>
                <c:pt idx="7">
                  <c:v>-34.755817297774705</c:v>
                </c:pt>
                <c:pt idx="8">
                  <c:v>-50.361373643374208</c:v>
                </c:pt>
                <c:pt idx="9">
                  <c:v>-49.551549027203556</c:v>
                </c:pt>
                <c:pt idx="10">
                  <c:v>-53.63969751709714</c:v>
                </c:pt>
                <c:pt idx="11">
                  <c:v>-53.162273505351543</c:v>
                </c:pt>
                <c:pt idx="12">
                  <c:v>-51.934024693612812</c:v>
                </c:pt>
                <c:pt idx="13">
                  <c:v>-46.236472427726305</c:v>
                </c:pt>
                <c:pt idx="14">
                  <c:v>-50.417912109499952</c:v>
                </c:pt>
                <c:pt idx="15">
                  <c:v>-56.96061281752467</c:v>
                </c:pt>
                <c:pt idx="16">
                  <c:v>-60.606500357697435</c:v>
                </c:pt>
                <c:pt idx="17">
                  <c:v>-57.727114202350727</c:v>
                </c:pt>
                <c:pt idx="18">
                  <c:v>-57.667153706077912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68-455C-A6B1-4FA1E63CD8CB}"/>
            </c:ext>
          </c:extLst>
        </c:ser>
        <c:ser>
          <c:idx val="4"/>
          <c:order val="3"/>
          <c:tx>
            <c:strRef>
              <c:f>ASW_Bonos!$N$32</c:f>
              <c:strCache>
                <c:ptCount val="1"/>
                <c:pt idx="0">
                  <c:v>T-1</c:v>
                </c:pt>
              </c:strCache>
            </c:strRef>
          </c:tx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rgbClr val="002060"/>
                </a:solidFill>
              </a:ln>
              <a:effectLst/>
            </c:spPr>
          </c:marker>
          <c:xVal>
            <c:strRef>
              <c:f>ASW_Bonos!$I$33:$I$51</c:f>
              <c:strCache>
                <c:ptCount val="19"/>
                <c:pt idx="0">
                  <c:v>dic23</c:v>
                </c:pt>
                <c:pt idx="1">
                  <c:v>sep24</c:v>
                </c:pt>
                <c:pt idx="2">
                  <c:v>dic24</c:v>
                </c:pt>
                <c:pt idx="3">
                  <c:v>mar25</c:v>
                </c:pt>
                <c:pt idx="4">
                  <c:v>mar26</c:v>
                </c:pt>
                <c:pt idx="5">
                  <c:v>sep26</c:v>
                </c:pt>
                <c:pt idx="6">
                  <c:v>mar27</c:v>
                </c:pt>
                <c:pt idx="7">
                  <c:v>jun27</c:v>
                </c:pt>
                <c:pt idx="8">
                  <c:v>mar29</c:v>
                </c:pt>
                <c:pt idx="9">
                  <c:v>may29</c:v>
                </c:pt>
                <c:pt idx="10">
                  <c:v>may31</c:v>
                </c:pt>
                <c:pt idx="11">
                  <c:v>may33</c:v>
                </c:pt>
                <c:pt idx="12">
                  <c:v>nov34</c:v>
                </c:pt>
                <c:pt idx="13">
                  <c:v>may35</c:v>
                </c:pt>
                <c:pt idx="14">
                  <c:v>nov36</c:v>
                </c:pt>
                <c:pt idx="15">
                  <c:v>nov38</c:v>
                </c:pt>
                <c:pt idx="16">
                  <c:v>nov42</c:v>
                </c:pt>
                <c:pt idx="17">
                  <c:v>nov47</c:v>
                </c:pt>
                <c:pt idx="18">
                  <c:v>jul53</c:v>
                </c:pt>
              </c:strCache>
            </c:strRef>
          </c:xVal>
          <c:yVal>
            <c:numRef>
              <c:f>ASW_Bonos!$N$33:$N$51</c:f>
              <c:numCache>
                <c:formatCode>#,##0.0_ ;[Red]\-#,##0.0\ </c:formatCode>
                <c:ptCount val="19"/>
                <c:pt idx="0">
                  <c:v>-5.0515576729067035</c:v>
                </c:pt>
                <c:pt idx="1">
                  <c:v>2.981756052797202</c:v>
                </c:pt>
                <c:pt idx="2">
                  <c:v>11.826435429645521</c:v>
                </c:pt>
                <c:pt idx="3">
                  <c:v>20.372884485976073</c:v>
                </c:pt>
                <c:pt idx="4">
                  <c:v>-34.009885882772828</c:v>
                </c:pt>
                <c:pt idx="5">
                  <c:v>-45.457183824644787</c:v>
                </c:pt>
                <c:pt idx="6">
                  <c:v>-30.594790698924434</c:v>
                </c:pt>
                <c:pt idx="7">
                  <c:v>-34.403853891873659</c:v>
                </c:pt>
                <c:pt idx="8">
                  <c:v>-45.335845966443777</c:v>
                </c:pt>
                <c:pt idx="9">
                  <c:v>-41.954712679566342</c:v>
                </c:pt>
                <c:pt idx="10">
                  <c:v>-51.941090260715406</c:v>
                </c:pt>
                <c:pt idx="11">
                  <c:v>-52.072359208265162</c:v>
                </c:pt>
                <c:pt idx="12">
                  <c:v>-50.211112370713451</c:v>
                </c:pt>
                <c:pt idx="13">
                  <c:v>-59.531086481771744</c:v>
                </c:pt>
                <c:pt idx="14">
                  <c:v>-49.617720343046301</c:v>
                </c:pt>
                <c:pt idx="15">
                  <c:v>-51.980548128083548</c:v>
                </c:pt>
                <c:pt idx="16">
                  <c:v>-56.568521425761098</c:v>
                </c:pt>
                <c:pt idx="17">
                  <c:v>-53.711446724431333</c:v>
                </c:pt>
                <c:pt idx="18">
                  <c:v>-52.65648637864544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E68-455C-A6B1-4FA1E63CD8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07887"/>
        <c:axId val="141601855"/>
      </c:scatterChart>
      <c:catAx>
        <c:axId val="1446078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41601855"/>
        <c:crosses val="autoZero"/>
        <c:auto val="1"/>
        <c:lblAlgn val="ctr"/>
        <c:lblOffset val="100"/>
        <c:noMultiLvlLbl val="0"/>
      </c:catAx>
      <c:valAx>
        <c:axId val="141601855"/>
        <c:scaling>
          <c:orientation val="minMax"/>
          <c:max val="50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 ;[Red]\-#,##0.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446078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Historical</a:t>
            </a:r>
            <a:r>
              <a:rPr lang="es-MX" baseline="0"/>
              <a:t> Spread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areaChart>
        <c:grouping val="stacked"/>
        <c:varyColors val="0"/>
        <c:ser>
          <c:idx val="2"/>
          <c:order val="0"/>
          <c:tx>
            <c:strRef>
              <c:f>ASW_Cetes!$K$23</c:f>
              <c:strCache>
                <c:ptCount val="1"/>
                <c:pt idx="0">
                  <c:v>Min</c:v>
                </c:pt>
              </c:strCache>
            </c:strRef>
          </c:tx>
          <c:spPr>
            <a:noFill/>
            <a:ln>
              <a:noFill/>
            </a:ln>
            <a:effectLst/>
          </c:spPr>
          <c:cat>
            <c:numRef>
              <c:f>ASW_Cetes!$I$24:$I$36</c:f>
              <c:numCache>
                <c:formatCode>General</c:formatCode>
                <c:ptCount val="13"/>
                <c:pt idx="0">
                  <c:v>7</c:v>
                </c:pt>
                <c:pt idx="1">
                  <c:v>28</c:v>
                </c:pt>
                <c:pt idx="2">
                  <c:v>56</c:v>
                </c:pt>
                <c:pt idx="3">
                  <c:v>91</c:v>
                </c:pt>
                <c:pt idx="4">
                  <c:v>133</c:v>
                </c:pt>
                <c:pt idx="5">
                  <c:v>182</c:v>
                </c:pt>
                <c:pt idx="6">
                  <c:v>210</c:v>
                </c:pt>
                <c:pt idx="7">
                  <c:v>280</c:v>
                </c:pt>
                <c:pt idx="8">
                  <c:v>364</c:v>
                </c:pt>
                <c:pt idx="9">
                  <c:v>448</c:v>
                </c:pt>
                <c:pt idx="10">
                  <c:v>560</c:v>
                </c:pt>
                <c:pt idx="11">
                  <c:v>644</c:v>
                </c:pt>
                <c:pt idx="12">
                  <c:v>728</c:v>
                </c:pt>
              </c:numCache>
            </c:numRef>
          </c:cat>
          <c:val>
            <c:numRef>
              <c:f>ASW_Cetes!$K$24:$K$36</c:f>
              <c:numCache>
                <c:formatCode>#,##0.0_ ;[Red]\-#,##0.0\ </c:formatCode>
                <c:ptCount val="13"/>
                <c:pt idx="0">
                  <c:v>16.000000000000014</c:v>
                </c:pt>
                <c:pt idx="1">
                  <c:v>14.000000000000057</c:v>
                </c:pt>
                <c:pt idx="2">
                  <c:v>2.9999999999999361</c:v>
                </c:pt>
                <c:pt idx="3">
                  <c:v>9.4967401849944011</c:v>
                </c:pt>
                <c:pt idx="4">
                  <c:v>-1.7832280922352339</c:v>
                </c:pt>
                <c:pt idx="5">
                  <c:v>-14.188085987817622</c:v>
                </c:pt>
                <c:pt idx="6">
                  <c:v>-15.930063002188</c:v>
                </c:pt>
                <c:pt idx="7">
                  <c:v>-29.285116347929296</c:v>
                </c:pt>
                <c:pt idx="8">
                  <c:v>-46.949857143426676</c:v>
                </c:pt>
                <c:pt idx="9">
                  <c:v>-74.039999999999935</c:v>
                </c:pt>
                <c:pt idx="10">
                  <c:v>-94.288571428571544</c:v>
                </c:pt>
                <c:pt idx="11">
                  <c:v>-103.78428571428574</c:v>
                </c:pt>
                <c:pt idx="12">
                  <c:v>-150.11442855704757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A43-4302-A708-FEBCA1721EC7}"/>
            </c:ext>
          </c:extLst>
        </c:ser>
        <c:ser>
          <c:idx val="0"/>
          <c:order val="4"/>
          <c:tx>
            <c:strRef>
              <c:f>ASW_Cetes!$P$23</c:f>
              <c:strCache>
                <c:ptCount val="1"/>
                <c:pt idx="0">
                  <c:v>Max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cat>
            <c:numRef>
              <c:f>ASW_Cetes!$I$24:$I$36</c:f>
              <c:numCache>
                <c:formatCode>General</c:formatCode>
                <c:ptCount val="13"/>
                <c:pt idx="0">
                  <c:v>7</c:v>
                </c:pt>
                <c:pt idx="1">
                  <c:v>28</c:v>
                </c:pt>
                <c:pt idx="2">
                  <c:v>56</c:v>
                </c:pt>
                <c:pt idx="3">
                  <c:v>91</c:v>
                </c:pt>
                <c:pt idx="4">
                  <c:v>133</c:v>
                </c:pt>
                <c:pt idx="5">
                  <c:v>182</c:v>
                </c:pt>
                <c:pt idx="6">
                  <c:v>210</c:v>
                </c:pt>
                <c:pt idx="7">
                  <c:v>280</c:v>
                </c:pt>
                <c:pt idx="8">
                  <c:v>364</c:v>
                </c:pt>
                <c:pt idx="9">
                  <c:v>448</c:v>
                </c:pt>
                <c:pt idx="10">
                  <c:v>560</c:v>
                </c:pt>
                <c:pt idx="11">
                  <c:v>644</c:v>
                </c:pt>
                <c:pt idx="12">
                  <c:v>728</c:v>
                </c:pt>
              </c:numCache>
            </c:numRef>
          </c:cat>
          <c:val>
            <c:numRef>
              <c:f>ASW_Cetes!$P$24:$P$36</c:f>
              <c:numCache>
                <c:formatCode>#,##0.0_ ;[Red]\-#,##0.0\ </c:formatCode>
                <c:ptCount val="13"/>
                <c:pt idx="0">
                  <c:v>18.893280522153333</c:v>
                </c:pt>
                <c:pt idx="1">
                  <c:v>41.699999999969428</c:v>
                </c:pt>
                <c:pt idx="2">
                  <c:v>37.702256740172935</c:v>
                </c:pt>
                <c:pt idx="3">
                  <c:v>22.003259815005727</c:v>
                </c:pt>
                <c:pt idx="4">
                  <c:v>19.21322809223529</c:v>
                </c:pt>
                <c:pt idx="5">
                  <c:v>26.188085987817544</c:v>
                </c:pt>
                <c:pt idx="6">
                  <c:v>24.790063002188134</c:v>
                </c:pt>
                <c:pt idx="7">
                  <c:v>31.965116347929268</c:v>
                </c:pt>
                <c:pt idx="8">
                  <c:v>22.619857143426714</c:v>
                </c:pt>
                <c:pt idx="9">
                  <c:v>31.528360779059746</c:v>
                </c:pt>
                <c:pt idx="10">
                  <c:v>75.61337358366896</c:v>
                </c:pt>
                <c:pt idx="11">
                  <c:v>31.479716530825272</c:v>
                </c:pt>
                <c:pt idx="12">
                  <c:v>59.634428557047414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A43-4302-A708-FEBCA1721E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07887"/>
        <c:axId val="141601855"/>
      </c:areaChart>
      <c:scatterChart>
        <c:scatterStyle val="lineMarker"/>
        <c:varyColors val="0"/>
        <c:ser>
          <c:idx val="3"/>
          <c:order val="1"/>
          <c:tx>
            <c:strRef>
              <c:f>ASW_Cetes!$L$23</c:f>
              <c:strCache>
                <c:ptCount val="1"/>
                <c:pt idx="0">
                  <c:v>Avg</c:v>
                </c:pt>
              </c:strCache>
            </c:strRef>
          </c:tx>
          <c:spPr>
            <a:ln w="1905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yVal>
            <c:numRef>
              <c:f>ASW_Cetes!$L$24:$L$36</c:f>
              <c:numCache>
                <c:formatCode>#,##0.0_ ;[Red]\-#,##0.0\ </c:formatCode>
                <c:ptCount val="13"/>
                <c:pt idx="0">
                  <c:v>25.698362170162277</c:v>
                </c:pt>
                <c:pt idx="1">
                  <c:v>31.612872340426591</c:v>
                </c:pt>
                <c:pt idx="2">
                  <c:v>20.241261787303834</c:v>
                </c:pt>
                <c:pt idx="3">
                  <c:v>15.51075875999253</c:v>
                </c:pt>
                <c:pt idx="4">
                  <c:v>6.4079209473027383</c:v>
                </c:pt>
                <c:pt idx="5">
                  <c:v>-2.5095502450207139</c:v>
                </c:pt>
                <c:pt idx="6">
                  <c:v>-5.0809227338622494</c:v>
                </c:pt>
                <c:pt idx="7">
                  <c:v>-13.272358249647006</c:v>
                </c:pt>
                <c:pt idx="8">
                  <c:v>-34.959423356335392</c:v>
                </c:pt>
                <c:pt idx="9">
                  <c:v>-58.247168043370436</c:v>
                </c:pt>
                <c:pt idx="10">
                  <c:v>-51.893871770202026</c:v>
                </c:pt>
                <c:pt idx="11">
                  <c:v>-85.598940378953387</c:v>
                </c:pt>
                <c:pt idx="12">
                  <c:v>-113.72613664727918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A43-4302-A708-FEBCA1721EC7}"/>
            </c:ext>
          </c:extLst>
        </c:ser>
        <c:ser>
          <c:idx val="6"/>
          <c:order val="3"/>
          <c:tx>
            <c:strRef>
              <c:f>ASW_Cetes!$N$23</c:f>
              <c:strCache>
                <c:ptCount val="1"/>
                <c:pt idx="0">
                  <c:v>T-1</c:v>
                </c:pt>
              </c:strCache>
            </c:strRef>
          </c:tx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rgbClr val="002060"/>
                </a:solidFill>
              </a:ln>
              <a:effectLst/>
            </c:spPr>
          </c:marker>
          <c:yVal>
            <c:numRef>
              <c:f>ASW_Cetes!$N$24:$N$36</c:f>
              <c:numCache>
                <c:formatCode>#,##0.0_ ;[Red]\-#,##0.0\ </c:formatCode>
                <c:ptCount val="13"/>
                <c:pt idx="0">
                  <c:v>31.112953016186573</c:v>
                </c:pt>
                <c:pt idx="1">
                  <c:v>53.40999997891096</c:v>
                </c:pt>
                <c:pt idx="2">
                  <c:v>17.700348001853961</c:v>
                </c:pt>
                <c:pt idx="3">
                  <c:v>11.558142833215079</c:v>
                </c:pt>
                <c:pt idx="4">
                  <c:v>-0.44040918621206515</c:v>
                </c:pt>
                <c:pt idx="5">
                  <c:v>-13.110494737866674</c:v>
                </c:pt>
                <c:pt idx="6">
                  <c:v>-11.429679886321686</c:v>
                </c:pt>
                <c:pt idx="7">
                  <c:v>-25.578872956896248</c:v>
                </c:pt>
                <c:pt idx="8">
                  <c:v>-44.619656101892424</c:v>
                </c:pt>
                <c:pt idx="9">
                  <c:v>-53.247057536622577</c:v>
                </c:pt>
                <c:pt idx="10">
                  <c:v>-60.480531807571936</c:v>
                </c:pt>
                <c:pt idx="11">
                  <c:v>-96.984481810673628</c:v>
                </c:pt>
                <c:pt idx="12">
                  <c:v>-112.95794585697311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A43-4302-A708-FEBCA1721EC7}"/>
            </c:ext>
          </c:extLst>
        </c:ser>
        <c:ser>
          <c:idx val="4"/>
          <c:order val="2"/>
          <c:tx>
            <c:strRef>
              <c:f>ASW_Cetes!$M$23</c:f>
              <c:strCache>
                <c:ptCount val="1"/>
                <c:pt idx="0">
                  <c:v>T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yVal>
            <c:numRef>
              <c:f>ASW_Cetes!$M$24:$M$36</c:f>
              <c:numCache>
                <c:formatCode>#,##0.0_ ;[Red]\-#,##0.0\ </c:formatCode>
                <c:ptCount val="13"/>
                <c:pt idx="0">
                  <c:v>29.563516749594854</c:v>
                </c:pt>
                <c:pt idx="1">
                  <c:v>51.775031710602626</c:v>
                </c:pt>
                <c:pt idx="2">
                  <c:v>19.398156759678464</c:v>
                </c:pt>
                <c:pt idx="3">
                  <c:v>12.871450567088338</c:v>
                </c:pt>
                <c:pt idx="4">
                  <c:v>-0.57771219239572957</c:v>
                </c:pt>
                <c:pt idx="5">
                  <c:v>-14.130132733068201</c:v>
                </c:pt>
                <c:pt idx="6">
                  <c:v>-15.99067041835589</c:v>
                </c:pt>
                <c:pt idx="7">
                  <c:v>-26.967749651097961</c:v>
                </c:pt>
                <c:pt idx="8">
                  <c:v>-46.731171870712629</c:v>
                </c:pt>
                <c:pt idx="9">
                  <c:v>-57.784479726479532</c:v>
                </c:pt>
                <c:pt idx="10">
                  <c:v>-61.131580788145179</c:v>
                </c:pt>
                <c:pt idx="11">
                  <c:v>-91.92536669755907</c:v>
                </c:pt>
                <c:pt idx="12">
                  <c:v>-109.99791448428802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A43-4302-A708-FEBCA1721E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07887"/>
        <c:axId val="141601855"/>
      </c:scatterChart>
      <c:catAx>
        <c:axId val="1446078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41601855"/>
        <c:crosses val="autoZero"/>
        <c:auto val="1"/>
        <c:lblAlgn val="ctr"/>
        <c:lblOffset val="100"/>
        <c:noMultiLvlLbl val="0"/>
      </c:catAx>
      <c:valAx>
        <c:axId val="141601855"/>
        <c:scaling>
          <c:orientation val="minMax"/>
          <c:max val="70"/>
          <c:min val="-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 ;[Red]\-#,##0.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446078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100012</xdr:colOff>
      <xdr:row>0</xdr:row>
      <xdr:rowOff>66675</xdr:rowOff>
    </xdr:from>
    <xdr:to>
      <xdr:col>6</xdr:col>
      <xdr:colOff>270715</xdr:colOff>
      <xdr:row>1</xdr:row>
      <xdr:rowOff>40781</xdr:rowOff>
    </xdr:to>
    <xdr:pic macro="[0]!_xludf.Clear">
      <xdr:nvPicPr>
        <xdr:cNvPr id="7" name="Imagen 6">
          <a:extLst>
            <a:ext uri="{FF2B5EF4-FFF2-40B4-BE49-F238E27FC236}">
              <a16:creationId xmlns:a16="http://schemas.microsoft.com/office/drawing/2014/main" id="{DA3DAF09-3F4A-402B-A56C-50CC3DA4AA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41231" y="66675"/>
          <a:ext cx="170703" cy="164606"/>
        </a:xfrm>
        <a:prstGeom prst="rect">
          <a:avLst/>
        </a:prstGeom>
      </xdr:spPr>
    </xdr:pic>
    <xdr:clientData/>
  </xdr:twoCellAnchor>
  <xdr:twoCellAnchor editAs="oneCell">
    <xdr:from>
      <xdr:col>10</xdr:col>
      <xdr:colOff>123825</xdr:colOff>
      <xdr:row>0</xdr:row>
      <xdr:rowOff>34925</xdr:rowOff>
    </xdr:from>
    <xdr:to>
      <xdr:col>10</xdr:col>
      <xdr:colOff>294528</xdr:colOff>
      <xdr:row>1</xdr:row>
      <xdr:rowOff>9031</xdr:rowOff>
    </xdr:to>
    <xdr:pic macro="[0]!ClearExtra">
      <xdr:nvPicPr>
        <xdr:cNvPr id="2" name="Imagen 1">
          <a:extLst>
            <a:ext uri="{FF2B5EF4-FFF2-40B4-BE49-F238E27FC236}">
              <a16:creationId xmlns:a16="http://schemas.microsoft.com/office/drawing/2014/main" id="{C35769FA-1302-4DC2-9527-5D05E87343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79856" y="34925"/>
          <a:ext cx="170703" cy="164606"/>
        </a:xfrm>
        <a:prstGeom prst="rect">
          <a:avLst/>
        </a:prstGeom>
      </xdr:spPr>
    </xdr:pic>
    <xdr:clientData/>
  </xdr:twoCellAnchor>
  <xdr:twoCellAnchor editAs="oneCell">
    <xdr:from>
      <xdr:col>14</xdr:col>
      <xdr:colOff>201706</xdr:colOff>
      <xdr:row>0</xdr:row>
      <xdr:rowOff>44824</xdr:rowOff>
    </xdr:from>
    <xdr:to>
      <xdr:col>14</xdr:col>
      <xdr:colOff>372409</xdr:colOff>
      <xdr:row>1</xdr:row>
      <xdr:rowOff>18930</xdr:rowOff>
    </xdr:to>
    <xdr:pic macro="[0]!ClearExtra2">
      <xdr:nvPicPr>
        <xdr:cNvPr id="5" name="Imagen 4">
          <a:extLst>
            <a:ext uri="{FF2B5EF4-FFF2-40B4-BE49-F238E27FC236}">
              <a16:creationId xmlns:a16="http://schemas.microsoft.com/office/drawing/2014/main" id="{6CCD9B94-E5A0-44AD-9AFC-E378B2BABC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155706" y="44824"/>
          <a:ext cx="170703" cy="16460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560915</xdr:colOff>
      <xdr:row>25</xdr:row>
      <xdr:rowOff>162982</xdr:rowOff>
    </xdr:from>
    <xdr:to>
      <xdr:col>28</xdr:col>
      <xdr:colOff>95249</xdr:colOff>
      <xdr:row>55</xdr:row>
      <xdr:rowOff>21166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7883ACC-63DD-7923-4DFA-BEAAEBBEFA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20</xdr:row>
      <xdr:rowOff>0</xdr:rowOff>
    </xdr:from>
    <xdr:to>
      <xdr:col>29</xdr:col>
      <xdr:colOff>296334</xdr:colOff>
      <xdr:row>49</xdr:row>
      <xdr:rowOff>143934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DA2F6A1-2B4D-4271-A873-100C2D2F68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7A642-6209-4408-9479-35A070A6D6A2}">
  <sheetPr codeName="Hoja1"/>
  <dimension ref="A1:N49"/>
  <sheetViews>
    <sheetView zoomScale="80" zoomScaleNormal="80" workbookViewId="0">
      <selection activeCell="J2" sqref="J2"/>
    </sheetView>
  </sheetViews>
  <sheetFormatPr baseColWidth="10" defaultColWidth="11.42578125" defaultRowHeight="15" x14ac:dyDescent="0.25"/>
  <cols>
    <col min="1" max="1" width="11.42578125" style="6"/>
    <col min="2" max="2" width="15.85546875" style="6" customWidth="1"/>
    <col min="3" max="3" width="11.42578125" style="6"/>
    <col min="4" max="4" width="13.28515625" style="6" bestFit="1" customWidth="1"/>
    <col min="5" max="5" width="16.5703125" style="6" bestFit="1" customWidth="1"/>
    <col min="6" max="6" width="20.5703125" style="6" bestFit="1" customWidth="1"/>
    <col min="7" max="7" width="6.5703125" style="6" customWidth="1"/>
    <col min="8" max="8" width="17.5703125" style="6" bestFit="1" customWidth="1"/>
    <col min="9" max="9" width="19.85546875" style="6" customWidth="1"/>
    <col min="10" max="10" width="17.42578125" style="31" customWidth="1"/>
    <col min="11" max="11" width="5.42578125" style="6" customWidth="1"/>
    <col min="12" max="12" width="15.42578125" style="6" bestFit="1" customWidth="1"/>
    <col min="13" max="13" width="15.140625" style="6" customWidth="1"/>
    <col min="14" max="14" width="15.7109375" style="6" customWidth="1"/>
    <col min="15" max="16384" width="11.42578125" style="6"/>
  </cols>
  <sheetData>
    <row r="1" spans="1:14" x14ac:dyDescent="0.25">
      <c r="A1" s="1" t="s">
        <v>5</v>
      </c>
      <c r="B1" s="9" t="s">
        <v>0</v>
      </c>
      <c r="D1" s="3" t="s">
        <v>41</v>
      </c>
      <c r="E1" s="3" t="str">
        <f>IF(B1="Cross Sectional", "Date", "TS Start_Tenor")</f>
        <v>TS Start_Tenor</v>
      </c>
      <c r="F1" s="3" t="str">
        <f>IF(B1="Cross Sectional", "Tenor", "TS Forward_Tenor")</f>
        <v>TS Forward_Tenor</v>
      </c>
      <c r="H1" s="3" t="s">
        <v>47</v>
      </c>
      <c r="I1" s="3" t="s">
        <v>38</v>
      </c>
      <c r="J1" s="3" t="s">
        <v>37</v>
      </c>
      <c r="L1" s="3" t="s">
        <v>48</v>
      </c>
      <c r="M1" s="3" t="s">
        <v>39</v>
      </c>
      <c r="N1" s="3" t="s">
        <v>40</v>
      </c>
    </row>
    <row r="2" spans="1:14" x14ac:dyDescent="0.25">
      <c r="A2" s="2" t="s">
        <v>6</v>
      </c>
      <c r="B2" s="10">
        <v>44871</v>
      </c>
      <c r="D2" s="11" t="s">
        <v>44</v>
      </c>
      <c r="E2" s="16"/>
      <c r="F2" s="16" t="s">
        <v>73</v>
      </c>
      <c r="H2" s="11" t="s">
        <v>44</v>
      </c>
      <c r="I2" s="16"/>
      <c r="J2" s="16" t="s">
        <v>73</v>
      </c>
      <c r="L2" s="11"/>
      <c r="M2" s="16"/>
      <c r="N2" s="16"/>
    </row>
    <row r="3" spans="1:14" x14ac:dyDescent="0.25">
      <c r="A3" s="2" t="s">
        <v>7</v>
      </c>
      <c r="B3" s="10">
        <f ca="1">TODAY()-1</f>
        <v>45242</v>
      </c>
      <c r="D3" s="11" t="s">
        <v>45</v>
      </c>
      <c r="E3" s="16"/>
      <c r="F3" s="16" t="s">
        <v>195</v>
      </c>
      <c r="H3" s="11" t="s">
        <v>45</v>
      </c>
      <c r="I3" s="16"/>
      <c r="J3" s="16" t="s">
        <v>195</v>
      </c>
      <c r="L3" s="11"/>
      <c r="M3" s="16"/>
      <c r="N3" s="16"/>
    </row>
    <row r="4" spans="1:14" x14ac:dyDescent="0.25">
      <c r="A4" s="7" t="str">
        <f>IF(B1&lt;&gt;"Cross Sectional", "Mean", "")</f>
        <v>Mean</v>
      </c>
      <c r="B4" s="8" t="b">
        <v>0</v>
      </c>
      <c r="D4" s="11"/>
      <c r="E4" s="16"/>
      <c r="F4" s="16"/>
      <c r="H4" s="13"/>
      <c r="I4" s="29"/>
      <c r="J4" s="29"/>
      <c r="L4" s="11"/>
      <c r="M4" s="16"/>
      <c r="N4" s="16"/>
    </row>
    <row r="5" spans="1:14" x14ac:dyDescent="0.25">
      <c r="A5" s="7" t="str">
        <f>IF(B1&lt;&gt;"Cross Sectional","Std", "")</f>
        <v>Std</v>
      </c>
      <c r="B5" s="8">
        <v>0</v>
      </c>
      <c r="D5" s="12"/>
      <c r="E5" s="16"/>
      <c r="F5" s="16"/>
      <c r="H5" s="13"/>
      <c r="I5" s="29"/>
      <c r="J5" s="29"/>
      <c r="L5" s="13"/>
      <c r="M5" s="29"/>
      <c r="N5" s="29"/>
    </row>
    <row r="6" spans="1:14" x14ac:dyDescent="0.25">
      <c r="D6" s="11"/>
      <c r="E6" s="16"/>
      <c r="F6" s="16"/>
      <c r="H6" s="14"/>
      <c r="I6" s="30"/>
      <c r="J6" s="30"/>
      <c r="L6" s="13"/>
      <c r="M6" s="29"/>
      <c r="N6" s="29"/>
    </row>
    <row r="7" spans="1:14" x14ac:dyDescent="0.25">
      <c r="D7" s="11"/>
      <c r="E7" s="16"/>
      <c r="F7" s="16"/>
      <c r="H7" s="14"/>
      <c r="I7" s="30"/>
      <c r="J7" s="30"/>
      <c r="L7" s="13"/>
      <c r="M7" s="29"/>
      <c r="N7" s="29"/>
    </row>
    <row r="8" spans="1:14" x14ac:dyDescent="0.25">
      <c r="D8" s="13"/>
      <c r="E8" s="29"/>
      <c r="F8" s="29"/>
      <c r="H8" s="15"/>
      <c r="I8" s="210"/>
      <c r="J8" s="210"/>
      <c r="L8" s="14"/>
      <c r="M8" s="30"/>
      <c r="N8" s="30"/>
    </row>
    <row r="9" spans="1:14" x14ac:dyDescent="0.25">
      <c r="D9" s="13"/>
      <c r="E9" s="29"/>
      <c r="F9" s="29"/>
      <c r="H9" s="15"/>
      <c r="I9" s="210"/>
      <c r="J9" s="210"/>
      <c r="L9" s="14"/>
      <c r="M9" s="30"/>
      <c r="N9" s="30"/>
    </row>
    <row r="10" spans="1:14" x14ac:dyDescent="0.25">
      <c r="D10" s="13"/>
      <c r="E10" s="29"/>
      <c r="F10" s="29"/>
      <c r="H10" s="11"/>
      <c r="I10" s="16"/>
      <c r="J10" s="16"/>
      <c r="L10" s="14"/>
      <c r="M10" s="30"/>
      <c r="N10" s="30"/>
    </row>
    <row r="11" spans="1:14" x14ac:dyDescent="0.25">
      <c r="D11" s="13"/>
      <c r="E11" s="29"/>
      <c r="F11" s="29"/>
      <c r="H11" s="12"/>
      <c r="I11" s="16"/>
      <c r="J11" s="16"/>
      <c r="L11" s="15"/>
      <c r="M11" s="210"/>
      <c r="N11" s="210"/>
    </row>
    <row r="12" spans="1:14" x14ac:dyDescent="0.25">
      <c r="D12" s="13"/>
      <c r="E12" s="29"/>
      <c r="F12" s="29"/>
      <c r="H12" s="13"/>
      <c r="I12" s="29"/>
      <c r="J12" s="29"/>
      <c r="L12" s="15"/>
      <c r="M12" s="210"/>
      <c r="N12" s="210"/>
    </row>
    <row r="13" spans="1:14" x14ac:dyDescent="0.25">
      <c r="D13" s="13"/>
      <c r="E13" s="29"/>
      <c r="F13" s="29"/>
      <c r="H13" s="13"/>
      <c r="I13" s="29"/>
      <c r="J13" s="29"/>
      <c r="L13" s="15"/>
      <c r="M13" s="210"/>
      <c r="N13" s="210"/>
    </row>
    <row r="14" spans="1:14" x14ac:dyDescent="0.25">
      <c r="D14" s="14"/>
      <c r="E14" s="30"/>
      <c r="F14" s="30"/>
      <c r="H14" s="14"/>
      <c r="I14" s="30"/>
      <c r="J14" s="30"/>
      <c r="L14" s="11"/>
      <c r="M14" s="16"/>
      <c r="N14" s="16"/>
    </row>
    <row r="15" spans="1:14" x14ac:dyDescent="0.25">
      <c r="D15" s="14"/>
      <c r="E15" s="30"/>
      <c r="F15" s="30"/>
      <c r="H15" s="14"/>
      <c r="I15" s="30"/>
      <c r="J15" s="30"/>
      <c r="L15" s="11"/>
      <c r="M15" s="16"/>
      <c r="N15" s="16"/>
    </row>
    <row r="16" spans="1:14" x14ac:dyDescent="0.25">
      <c r="D16" s="14"/>
      <c r="E16" s="30"/>
      <c r="F16" s="30"/>
      <c r="H16" s="15"/>
      <c r="I16" s="210"/>
      <c r="J16" s="210"/>
      <c r="L16" s="11"/>
      <c r="M16" s="16"/>
      <c r="N16" s="16"/>
    </row>
    <row r="17" spans="4:14" x14ac:dyDescent="0.25">
      <c r="D17" s="14"/>
      <c r="E17" s="30"/>
      <c r="F17" s="30"/>
      <c r="H17" s="15"/>
      <c r="I17" s="210"/>
      <c r="J17" s="210"/>
      <c r="L17" s="13"/>
      <c r="M17" s="29"/>
      <c r="N17" s="29"/>
    </row>
    <row r="18" spans="4:14" x14ac:dyDescent="0.25">
      <c r="D18" s="14"/>
      <c r="E18" s="30"/>
      <c r="F18" s="30"/>
      <c r="H18" s="11"/>
      <c r="I18" s="16"/>
      <c r="J18" s="16"/>
      <c r="L18" s="13"/>
      <c r="M18" s="29"/>
      <c r="N18" s="29"/>
    </row>
    <row r="19" spans="4:14" x14ac:dyDescent="0.25">
      <c r="D19" s="14"/>
      <c r="E19" s="30"/>
      <c r="F19" s="30"/>
      <c r="H19" s="12"/>
      <c r="I19" s="16"/>
      <c r="J19" s="16"/>
      <c r="L19" s="13"/>
      <c r="M19" s="29"/>
      <c r="N19" s="29"/>
    </row>
    <row r="20" spans="4:14" x14ac:dyDescent="0.25">
      <c r="D20" s="15"/>
      <c r="E20" s="210"/>
      <c r="F20" s="210"/>
      <c r="H20" s="13"/>
      <c r="I20" s="29"/>
      <c r="J20" s="29"/>
      <c r="L20" s="14"/>
      <c r="M20" s="30"/>
      <c r="N20" s="30"/>
    </row>
    <row r="21" spans="4:14" x14ac:dyDescent="0.25">
      <c r="D21" s="15"/>
      <c r="E21" s="210"/>
      <c r="F21" s="210"/>
      <c r="H21" s="13"/>
      <c r="I21" s="29"/>
      <c r="J21" s="29"/>
      <c r="L21" s="14"/>
      <c r="M21" s="30"/>
      <c r="N21" s="30"/>
    </row>
    <row r="22" spans="4:14" x14ac:dyDescent="0.25">
      <c r="D22" s="211"/>
      <c r="E22" s="210"/>
      <c r="F22" s="210"/>
      <c r="H22" s="14"/>
      <c r="I22" s="30"/>
      <c r="J22" s="30"/>
      <c r="L22" s="14"/>
      <c r="M22" s="30"/>
      <c r="N22" s="30"/>
    </row>
    <row r="23" spans="4:14" x14ac:dyDescent="0.25">
      <c r="D23" s="211"/>
      <c r="E23" s="210"/>
      <c r="F23" s="210"/>
      <c r="H23" s="14"/>
      <c r="I23" s="30"/>
      <c r="J23" s="30"/>
      <c r="L23" s="15"/>
      <c r="M23" s="210"/>
      <c r="N23" s="210"/>
    </row>
    <row r="24" spans="4:14" x14ac:dyDescent="0.25">
      <c r="D24" s="15"/>
      <c r="E24" s="210"/>
      <c r="F24" s="210"/>
      <c r="H24" s="15"/>
      <c r="I24" s="210"/>
      <c r="J24" s="210"/>
      <c r="L24" s="15"/>
      <c r="M24" s="210"/>
      <c r="N24" s="210"/>
    </row>
    <row r="25" spans="4:14" x14ac:dyDescent="0.25">
      <c r="D25" s="15"/>
      <c r="E25" s="210"/>
      <c r="F25" s="210"/>
      <c r="H25" s="15"/>
      <c r="I25" s="210"/>
      <c r="J25" s="210"/>
      <c r="L25" s="15"/>
      <c r="M25" s="210"/>
      <c r="N25" s="210"/>
    </row>
    <row r="26" spans="4:14" x14ac:dyDescent="0.25">
      <c r="D26" s="11"/>
      <c r="E26" s="16"/>
      <c r="F26" s="16"/>
      <c r="H26" s="11"/>
      <c r="I26" s="16"/>
      <c r="J26" s="16"/>
      <c r="L26" s="11"/>
      <c r="M26" s="16"/>
      <c r="N26" s="16"/>
    </row>
    <row r="27" spans="4:14" x14ac:dyDescent="0.25">
      <c r="D27" s="12"/>
      <c r="E27" s="16"/>
      <c r="F27" s="16"/>
      <c r="H27" s="12"/>
      <c r="I27" s="16"/>
      <c r="J27" s="16"/>
      <c r="L27" s="11"/>
      <c r="M27" s="16"/>
      <c r="N27" s="16"/>
    </row>
    <row r="28" spans="4:14" x14ac:dyDescent="0.25">
      <c r="D28" s="12"/>
      <c r="E28" s="16"/>
      <c r="F28" s="16"/>
      <c r="H28" s="13"/>
      <c r="I28" s="29"/>
      <c r="J28" s="29"/>
      <c r="L28" s="11"/>
      <c r="M28" s="16"/>
      <c r="N28" s="16"/>
    </row>
    <row r="29" spans="4:14" x14ac:dyDescent="0.25">
      <c r="D29" s="12"/>
      <c r="E29" s="16"/>
      <c r="F29" s="16"/>
      <c r="H29" s="13"/>
      <c r="I29" s="29"/>
      <c r="J29" s="29"/>
      <c r="L29" s="13"/>
      <c r="M29" s="29"/>
      <c r="N29" s="29"/>
    </row>
    <row r="30" spans="4:14" x14ac:dyDescent="0.25">
      <c r="D30" s="12"/>
      <c r="E30" s="16"/>
      <c r="F30" s="16"/>
      <c r="H30" s="14"/>
      <c r="I30" s="30"/>
      <c r="J30" s="30"/>
      <c r="L30" s="13"/>
      <c r="M30" s="29"/>
      <c r="N30" s="29"/>
    </row>
    <row r="31" spans="4:14" x14ac:dyDescent="0.25">
      <c r="D31" s="12"/>
      <c r="E31" s="16"/>
      <c r="F31" s="16"/>
      <c r="H31" s="14"/>
      <c r="I31" s="30"/>
      <c r="J31" s="30"/>
      <c r="L31" s="13"/>
      <c r="M31" s="29"/>
      <c r="N31" s="29"/>
    </row>
    <row r="32" spans="4:14" x14ac:dyDescent="0.25">
      <c r="D32" s="13"/>
      <c r="E32" s="29"/>
      <c r="F32" s="29"/>
      <c r="H32" s="15"/>
      <c r="I32" s="210"/>
      <c r="J32" s="210"/>
      <c r="L32" s="14"/>
      <c r="M32" s="30"/>
      <c r="N32" s="30"/>
    </row>
    <row r="33" spans="4:14" x14ac:dyDescent="0.25">
      <c r="D33" s="13"/>
      <c r="E33" s="29"/>
      <c r="F33" s="29"/>
      <c r="H33" s="15"/>
      <c r="I33" s="210"/>
      <c r="J33" s="210"/>
      <c r="L33" s="14"/>
      <c r="M33" s="30"/>
      <c r="N33" s="30"/>
    </row>
    <row r="34" spans="4:14" x14ac:dyDescent="0.25">
      <c r="D34" s="13"/>
      <c r="E34" s="29"/>
      <c r="F34" s="29"/>
      <c r="H34" s="11"/>
      <c r="I34" s="16"/>
      <c r="J34" s="16"/>
      <c r="L34" s="14"/>
      <c r="M34" s="30"/>
      <c r="N34" s="30"/>
    </row>
    <row r="35" spans="4:14" x14ac:dyDescent="0.25">
      <c r="D35" s="13"/>
      <c r="E35" s="29"/>
      <c r="F35" s="29"/>
      <c r="H35" s="12"/>
      <c r="I35" s="16"/>
      <c r="J35" s="16"/>
      <c r="L35" s="15"/>
      <c r="M35" s="210"/>
      <c r="N35" s="210"/>
    </row>
    <row r="36" spans="4:14" x14ac:dyDescent="0.25">
      <c r="D36" s="13"/>
      <c r="E36" s="29"/>
      <c r="F36" s="29"/>
      <c r="H36" s="13"/>
      <c r="I36" s="29"/>
      <c r="J36" s="29"/>
      <c r="L36" s="15"/>
      <c r="M36" s="210"/>
      <c r="N36" s="210"/>
    </row>
    <row r="37" spans="4:14" x14ac:dyDescent="0.25">
      <c r="D37" s="13"/>
      <c r="E37" s="29"/>
      <c r="F37" s="29"/>
      <c r="H37" s="13"/>
      <c r="I37" s="29"/>
      <c r="J37" s="29"/>
      <c r="L37" s="15"/>
      <c r="M37" s="210"/>
      <c r="N37" s="210"/>
    </row>
    <row r="38" spans="4:14" x14ac:dyDescent="0.25">
      <c r="D38" s="14"/>
      <c r="E38" s="30"/>
      <c r="F38" s="30"/>
      <c r="H38" s="14"/>
      <c r="I38" s="30"/>
      <c r="J38" s="30"/>
      <c r="L38" s="11"/>
      <c r="M38" s="16"/>
      <c r="N38" s="16"/>
    </row>
    <row r="39" spans="4:14" x14ac:dyDescent="0.25">
      <c r="D39" s="14"/>
      <c r="E39" s="30"/>
      <c r="F39" s="30"/>
      <c r="H39" s="14"/>
      <c r="I39" s="30"/>
      <c r="J39" s="30"/>
      <c r="L39" s="11"/>
      <c r="M39" s="16"/>
      <c r="N39" s="16"/>
    </row>
    <row r="40" spans="4:14" x14ac:dyDescent="0.25">
      <c r="D40" s="14"/>
      <c r="E40" s="30"/>
      <c r="F40" s="30"/>
      <c r="H40" s="15"/>
      <c r="I40" s="210"/>
      <c r="J40" s="210"/>
      <c r="L40" s="11"/>
      <c r="M40" s="16"/>
      <c r="N40" s="16"/>
    </row>
    <row r="41" spans="4:14" x14ac:dyDescent="0.25">
      <c r="D41" s="14"/>
      <c r="E41" s="30"/>
      <c r="F41" s="30"/>
      <c r="H41" s="15"/>
      <c r="I41" s="210"/>
      <c r="J41" s="210"/>
      <c r="L41" s="13"/>
      <c r="M41" s="29"/>
      <c r="N41" s="29"/>
    </row>
    <row r="42" spans="4:14" x14ac:dyDescent="0.25">
      <c r="D42" s="212"/>
      <c r="E42" s="30"/>
      <c r="F42" s="30"/>
      <c r="H42" s="11"/>
      <c r="I42" s="16"/>
      <c r="J42" s="16"/>
      <c r="L42" s="13"/>
      <c r="M42" s="29"/>
      <c r="N42" s="29"/>
    </row>
    <row r="43" spans="4:14" x14ac:dyDescent="0.25">
      <c r="D43" s="212"/>
      <c r="E43" s="30"/>
      <c r="F43" s="30"/>
      <c r="H43" s="12"/>
      <c r="I43" s="16"/>
      <c r="J43" s="16"/>
      <c r="L43" s="13"/>
      <c r="M43" s="29"/>
      <c r="N43" s="29"/>
    </row>
    <row r="44" spans="4:14" x14ac:dyDescent="0.25">
      <c r="D44" s="15"/>
      <c r="E44" s="210"/>
      <c r="F44" s="210"/>
      <c r="H44" s="13"/>
      <c r="I44" s="29"/>
      <c r="J44" s="29"/>
      <c r="L44" s="14"/>
      <c r="M44" s="30"/>
      <c r="N44" s="30"/>
    </row>
    <row r="45" spans="4:14" x14ac:dyDescent="0.25">
      <c r="D45" s="15"/>
      <c r="E45" s="210"/>
      <c r="F45" s="210"/>
      <c r="H45" s="13"/>
      <c r="I45" s="29"/>
      <c r="J45" s="29"/>
      <c r="L45" s="14"/>
      <c r="M45" s="30"/>
      <c r="N45" s="30"/>
    </row>
    <row r="46" spans="4:14" x14ac:dyDescent="0.25">
      <c r="D46" s="211"/>
      <c r="E46" s="210"/>
      <c r="F46" s="210"/>
      <c r="H46" s="14"/>
      <c r="I46" s="30"/>
      <c r="J46" s="30"/>
      <c r="L46" s="14"/>
      <c r="M46" s="30"/>
      <c r="N46" s="30"/>
    </row>
    <row r="47" spans="4:14" x14ac:dyDescent="0.25">
      <c r="D47" s="15"/>
      <c r="E47" s="210"/>
      <c r="F47" s="210"/>
      <c r="H47" s="14"/>
      <c r="I47" s="30"/>
      <c r="J47" s="30"/>
      <c r="L47" s="15"/>
      <c r="M47" s="210"/>
      <c r="N47" s="210"/>
    </row>
    <row r="48" spans="4:14" x14ac:dyDescent="0.25">
      <c r="D48" s="15"/>
      <c r="E48" s="210"/>
      <c r="F48" s="210"/>
      <c r="H48" s="15"/>
      <c r="I48" s="210"/>
      <c r="J48" s="210"/>
      <c r="L48" s="15"/>
      <c r="M48" s="210"/>
      <c r="N48" s="210"/>
    </row>
    <row r="49" spans="4:14" x14ac:dyDescent="0.25">
      <c r="D49" s="15"/>
      <c r="E49" s="210"/>
      <c r="F49" s="210"/>
      <c r="H49" s="15"/>
      <c r="I49" s="210"/>
      <c r="J49" s="210"/>
      <c r="L49" s="15"/>
      <c r="M49" s="210"/>
      <c r="N49" s="210"/>
    </row>
  </sheetData>
  <conditionalFormatting sqref="A4:A5">
    <cfRule type="expression" dxfId="75" priority="298">
      <formula>$B$1&lt;&gt;"Cross Sectional"</formula>
    </cfRule>
  </conditionalFormatting>
  <conditionalFormatting sqref="B4:B5">
    <cfRule type="expression" dxfId="74" priority="297">
      <formula>OR($B$1="Spread", $B$1="Time Series", $B$1="Butterfly")</formula>
    </cfRule>
  </conditionalFormatting>
  <conditionalFormatting sqref="B4:B5">
    <cfRule type="expression" dxfId="73" priority="296">
      <formula>$B$1="Cross Sectional"</formula>
    </cfRule>
  </conditionalFormatting>
  <conditionalFormatting sqref="A2:B2 D1:D1048576">
    <cfRule type="expression" dxfId="72" priority="295">
      <formula>$B$1="Cross Sectional"</formula>
    </cfRule>
  </conditionalFormatting>
  <conditionalFormatting sqref="A3">
    <cfRule type="expression" dxfId="71" priority="294">
      <formula>$B$1="Cross Sectional"</formula>
    </cfRule>
  </conditionalFormatting>
  <conditionalFormatting sqref="B3">
    <cfRule type="expression" dxfId="70" priority="293">
      <formula>$B$1="Cross Sectional"</formula>
    </cfRule>
  </conditionalFormatting>
  <conditionalFormatting sqref="E2:F6 H1:J1 H50:J1048576 L50:N1048576 I10:J11 I18:J19 I26:J27 I34:J35 H4:H49 I42:J43 L1:N4 L5:L13 L14:N16 L17:L25 L26:N28 L29:L37 L38:N40 L41:L49 I2:J3">
    <cfRule type="expression" dxfId="69" priority="66">
      <formula>$B$1="Cross Sectional"</formula>
    </cfRule>
  </conditionalFormatting>
  <conditionalFormatting sqref="F7:F49">
    <cfRule type="expression" dxfId="68" priority="65">
      <formula>$B$1="Cross Sectional"</formula>
    </cfRule>
  </conditionalFormatting>
  <conditionalFormatting sqref="E7:E49">
    <cfRule type="expression" dxfId="67" priority="64">
      <formula>$B$1="Cross Sectional"</formula>
    </cfRule>
  </conditionalFormatting>
  <conditionalFormatting sqref="J4:J5">
    <cfRule type="expression" dxfId="66" priority="63">
      <formula>$B$1="Cross Sectional"</formula>
    </cfRule>
  </conditionalFormatting>
  <conditionalFormatting sqref="I4:I5">
    <cfRule type="expression" dxfId="65" priority="62">
      <formula>$B$1="Cross Sectional"</formula>
    </cfRule>
  </conditionalFormatting>
  <conditionalFormatting sqref="J6:J7">
    <cfRule type="expression" dxfId="64" priority="61">
      <formula>$B$1="Cross Sectional"</formula>
    </cfRule>
  </conditionalFormatting>
  <conditionalFormatting sqref="I6:I7">
    <cfRule type="expression" dxfId="63" priority="60">
      <formula>$B$1="Cross Sectional"</formula>
    </cfRule>
  </conditionalFormatting>
  <conditionalFormatting sqref="J8:J9">
    <cfRule type="expression" dxfId="62" priority="57">
      <formula>$B$1="Cross Sectional"</formula>
    </cfRule>
  </conditionalFormatting>
  <conditionalFormatting sqref="I8:I9">
    <cfRule type="expression" dxfId="61" priority="56">
      <formula>$B$1="Cross Sectional"</formula>
    </cfRule>
  </conditionalFormatting>
  <conditionalFormatting sqref="J12:J13">
    <cfRule type="expression" dxfId="60" priority="55">
      <formula>$B$1="Cross Sectional"</formula>
    </cfRule>
  </conditionalFormatting>
  <conditionalFormatting sqref="I12:I13">
    <cfRule type="expression" dxfId="59" priority="54">
      <formula>$B$1="Cross Sectional"</formula>
    </cfRule>
  </conditionalFormatting>
  <conditionalFormatting sqref="J14:J15">
    <cfRule type="expression" dxfId="58" priority="53">
      <formula>$B$1="Cross Sectional"</formula>
    </cfRule>
  </conditionalFormatting>
  <conditionalFormatting sqref="I14:I15">
    <cfRule type="expression" dxfId="57" priority="52">
      <formula>$B$1="Cross Sectional"</formula>
    </cfRule>
  </conditionalFormatting>
  <conditionalFormatting sqref="J16:J17">
    <cfRule type="expression" dxfId="56" priority="51">
      <formula>$B$1="Cross Sectional"</formula>
    </cfRule>
  </conditionalFormatting>
  <conditionalFormatting sqref="I16:I17">
    <cfRule type="expression" dxfId="55" priority="50">
      <formula>$B$1="Cross Sectional"</formula>
    </cfRule>
  </conditionalFormatting>
  <conditionalFormatting sqref="J20:J21">
    <cfRule type="expression" dxfId="54" priority="49">
      <formula>$B$1="Cross Sectional"</formula>
    </cfRule>
  </conditionalFormatting>
  <conditionalFormatting sqref="I20:I21">
    <cfRule type="expression" dxfId="53" priority="48">
      <formula>$B$1="Cross Sectional"</formula>
    </cfRule>
  </conditionalFormatting>
  <conditionalFormatting sqref="J22:J23">
    <cfRule type="expression" dxfId="52" priority="47">
      <formula>$B$1="Cross Sectional"</formula>
    </cfRule>
  </conditionalFormatting>
  <conditionalFormatting sqref="I22:I23">
    <cfRule type="expression" dxfId="51" priority="46">
      <formula>$B$1="Cross Sectional"</formula>
    </cfRule>
  </conditionalFormatting>
  <conditionalFormatting sqref="J24:J25">
    <cfRule type="expression" dxfId="50" priority="45">
      <formula>$B$1="Cross Sectional"</formula>
    </cfRule>
  </conditionalFormatting>
  <conditionalFormatting sqref="I24:I25">
    <cfRule type="expression" dxfId="49" priority="44">
      <formula>$B$1="Cross Sectional"</formula>
    </cfRule>
  </conditionalFormatting>
  <conditionalFormatting sqref="J28:J29">
    <cfRule type="expression" dxfId="48" priority="43">
      <formula>$B$1="Cross Sectional"</formula>
    </cfRule>
  </conditionalFormatting>
  <conditionalFormatting sqref="I28:I29">
    <cfRule type="expression" dxfId="47" priority="42">
      <formula>$B$1="Cross Sectional"</formula>
    </cfRule>
  </conditionalFormatting>
  <conditionalFormatting sqref="J30:J31">
    <cfRule type="expression" dxfId="46" priority="41">
      <formula>$B$1="Cross Sectional"</formula>
    </cfRule>
  </conditionalFormatting>
  <conditionalFormatting sqref="I30:I31">
    <cfRule type="expression" dxfId="45" priority="40">
      <formula>$B$1="Cross Sectional"</formula>
    </cfRule>
  </conditionalFormatting>
  <conditionalFormatting sqref="J32:J33">
    <cfRule type="expression" dxfId="44" priority="39">
      <formula>$B$1="Cross Sectional"</formula>
    </cfRule>
  </conditionalFormatting>
  <conditionalFormatting sqref="I32:I33">
    <cfRule type="expression" dxfId="43" priority="38">
      <formula>$B$1="Cross Sectional"</formula>
    </cfRule>
  </conditionalFormatting>
  <conditionalFormatting sqref="J36:J37">
    <cfRule type="expression" dxfId="42" priority="37">
      <formula>$B$1="Cross Sectional"</formula>
    </cfRule>
  </conditionalFormatting>
  <conditionalFormatting sqref="I36:I37">
    <cfRule type="expression" dxfId="41" priority="36">
      <formula>$B$1="Cross Sectional"</formula>
    </cfRule>
  </conditionalFormatting>
  <conditionalFormatting sqref="J38:J39">
    <cfRule type="expression" dxfId="40" priority="35">
      <formula>$B$1="Cross Sectional"</formula>
    </cfRule>
  </conditionalFormatting>
  <conditionalFormatting sqref="I38:I39">
    <cfRule type="expression" dxfId="39" priority="34">
      <formula>$B$1="Cross Sectional"</formula>
    </cfRule>
  </conditionalFormatting>
  <conditionalFormatting sqref="J40:J41">
    <cfRule type="expression" dxfId="38" priority="33">
      <formula>$B$1="Cross Sectional"</formula>
    </cfRule>
  </conditionalFormatting>
  <conditionalFormatting sqref="I40:I41">
    <cfRule type="expression" dxfId="37" priority="32">
      <formula>$B$1="Cross Sectional"</formula>
    </cfRule>
  </conditionalFormatting>
  <conditionalFormatting sqref="J44:J45">
    <cfRule type="expression" dxfId="36" priority="31">
      <formula>$B$1="Cross Sectional"</formula>
    </cfRule>
  </conditionalFormatting>
  <conditionalFormatting sqref="I44:I45">
    <cfRule type="expression" dxfId="35" priority="30">
      <formula>$B$1="Cross Sectional"</formula>
    </cfRule>
  </conditionalFormatting>
  <conditionalFormatting sqref="J46:J47">
    <cfRule type="expression" dxfId="34" priority="29">
      <formula>$B$1="Cross Sectional"</formula>
    </cfRule>
  </conditionalFormatting>
  <conditionalFormatting sqref="I46:I47">
    <cfRule type="expression" dxfId="33" priority="28">
      <formula>$B$1="Cross Sectional"</formula>
    </cfRule>
  </conditionalFormatting>
  <conditionalFormatting sqref="J48:J49">
    <cfRule type="expression" dxfId="32" priority="27">
      <formula>$B$1="Cross Sectional"</formula>
    </cfRule>
  </conditionalFormatting>
  <conditionalFormatting sqref="I48:I49">
    <cfRule type="expression" dxfId="31" priority="26">
      <formula>$B$1="Cross Sectional"</formula>
    </cfRule>
  </conditionalFormatting>
  <conditionalFormatting sqref="N5:N7">
    <cfRule type="expression" dxfId="30" priority="25">
      <formula>$B$1="Cross Sectional"</formula>
    </cfRule>
  </conditionalFormatting>
  <conditionalFormatting sqref="M5:M7">
    <cfRule type="expression" dxfId="29" priority="24">
      <formula>$B$1="Cross Sectional"</formula>
    </cfRule>
  </conditionalFormatting>
  <conditionalFormatting sqref="N8:N10">
    <cfRule type="expression" dxfId="28" priority="23">
      <formula>$B$1="Cross Sectional"</formula>
    </cfRule>
  </conditionalFormatting>
  <conditionalFormatting sqref="M8:M10">
    <cfRule type="expression" dxfId="27" priority="22">
      <formula>$B$1="Cross Sectional"</formula>
    </cfRule>
  </conditionalFormatting>
  <conditionalFormatting sqref="N11:N13">
    <cfRule type="expression" dxfId="26" priority="21">
      <formula>$B$1="Cross Sectional"</formula>
    </cfRule>
  </conditionalFormatting>
  <conditionalFormatting sqref="M11:M13">
    <cfRule type="expression" dxfId="25" priority="20">
      <formula>$B$1="Cross Sectional"</formula>
    </cfRule>
  </conditionalFormatting>
  <conditionalFormatting sqref="N17:N19">
    <cfRule type="expression" dxfId="24" priority="19">
      <formula>$B$1="Cross Sectional"</formula>
    </cfRule>
  </conditionalFormatting>
  <conditionalFormatting sqref="M17:M19">
    <cfRule type="expression" dxfId="23" priority="18">
      <formula>$B$1="Cross Sectional"</formula>
    </cfRule>
  </conditionalFormatting>
  <conditionalFormatting sqref="N20:N22">
    <cfRule type="expression" dxfId="22" priority="17">
      <formula>$B$1="Cross Sectional"</formula>
    </cfRule>
  </conditionalFormatting>
  <conditionalFormatting sqref="M20:M22">
    <cfRule type="expression" dxfId="21" priority="16">
      <formula>$B$1="Cross Sectional"</formula>
    </cfRule>
  </conditionalFormatting>
  <conditionalFormatting sqref="N23:N25">
    <cfRule type="expression" dxfId="20" priority="15">
      <formula>$B$1="Cross Sectional"</formula>
    </cfRule>
  </conditionalFormatting>
  <conditionalFormatting sqref="M23:M25">
    <cfRule type="expression" dxfId="19" priority="14">
      <formula>$B$1="Cross Sectional"</formula>
    </cfRule>
  </conditionalFormatting>
  <conditionalFormatting sqref="N29:N31">
    <cfRule type="expression" dxfId="18" priority="13">
      <formula>$B$1="Cross Sectional"</formula>
    </cfRule>
  </conditionalFormatting>
  <conditionalFormatting sqref="M29:M31">
    <cfRule type="expression" dxfId="17" priority="12">
      <formula>$B$1="Cross Sectional"</formula>
    </cfRule>
  </conditionalFormatting>
  <conditionalFormatting sqref="N32:N34">
    <cfRule type="expression" dxfId="16" priority="11">
      <formula>$B$1="Cross Sectional"</formula>
    </cfRule>
  </conditionalFormatting>
  <conditionalFormatting sqref="M32:M34">
    <cfRule type="expression" dxfId="15" priority="10">
      <formula>$B$1="Cross Sectional"</formula>
    </cfRule>
  </conditionalFormatting>
  <conditionalFormatting sqref="N35:N37">
    <cfRule type="expression" dxfId="14" priority="9">
      <formula>$B$1="Cross Sectional"</formula>
    </cfRule>
  </conditionalFormatting>
  <conditionalFormatting sqref="M35:M37">
    <cfRule type="expression" dxfId="13" priority="8">
      <formula>$B$1="Cross Sectional"</formula>
    </cfRule>
  </conditionalFormatting>
  <conditionalFormatting sqref="N41:N43">
    <cfRule type="expression" dxfId="12" priority="7">
      <formula>$B$1="Cross Sectional"</formula>
    </cfRule>
  </conditionalFormatting>
  <conditionalFormatting sqref="M41:M43">
    <cfRule type="expression" dxfId="11" priority="6">
      <formula>$B$1="Cross Sectional"</formula>
    </cfRule>
  </conditionalFormatting>
  <conditionalFormatting sqref="N44:N46">
    <cfRule type="expression" dxfId="10" priority="5">
      <formula>$B$1="Cross Sectional"</formula>
    </cfRule>
  </conditionalFormatting>
  <conditionalFormatting sqref="M44:M46">
    <cfRule type="expression" dxfId="9" priority="4">
      <formula>$B$1="Cross Sectional"</formula>
    </cfRule>
  </conditionalFormatting>
  <conditionalFormatting sqref="N47:N49">
    <cfRule type="expression" dxfId="8" priority="3">
      <formula>$B$1="Cross Sectional"</formula>
    </cfRule>
  </conditionalFormatting>
  <conditionalFormatting sqref="M47:M49">
    <cfRule type="expression" dxfId="7" priority="2">
      <formula>$B$1="Cross Sectional"</formula>
    </cfRule>
  </conditionalFormatting>
  <conditionalFormatting sqref="H2:H3">
    <cfRule type="expression" dxfId="6" priority="1">
      <formula>$B$1="Cross Sectional"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9D2414F-288B-4522-A91D-8455E887806C}">
          <x14:formula1>
            <xm:f>Graph_Types!$C$2:$C$3</xm:f>
          </x14:formula1>
          <xm:sqref>B4</xm:sqref>
        </x14:dataValidation>
        <x14:dataValidation type="list" allowBlank="1" showInputMessage="1" showErrorMessage="1" xr:uid="{07802527-89A9-4EF8-AB1D-63A8293E085F}">
          <x14:formula1>
            <xm:f>Graph_Types!$A$2:$A$3</xm:f>
          </x14:formula1>
          <xm:sqref>B1</xm:sqref>
        </x14:dataValidation>
        <x14:dataValidation type="list" allowBlank="1" showInputMessage="1" showErrorMessage="1" xr:uid="{7DADF4DC-9CC2-440B-9DEB-82D7F6FB0894}">
          <x14:formula1>
            <xm:f>Graph_Types!$F$2:$F$5</xm:f>
          </x14:formula1>
          <xm:sqref>L2:L49 D2:D49 H2:H49</xm:sqref>
        </x14:dataValidation>
        <x14:dataValidation type="list" allowBlank="1" showInputMessage="1" showErrorMessage="1" xr:uid="{56C21555-B4E1-4BA6-9654-132A509CE9FF}">
          <x14:formula1>
            <xm:f>_xlfn.IFS(D2="Bono", ASW_Bonos!$B$7:$B$25, D2="TIIE", Tenor!$C$3:$C$29, D2="USD",Tenor!$C$3:$C$29, D2="Udi", Snapshot!$P$4:$P$13 )</xm:f>
          </x14:formula1>
          <xm:sqref>F2:F49 J2:J49 N2:N49</xm:sqref>
        </x14:dataValidation>
        <x14:dataValidation type="list" allowBlank="1" showInputMessage="1" showErrorMessage="1" xr:uid="{9A299B76-FEF4-421D-89EE-F3D4245A7CC2}">
          <x14:formula1>
            <xm:f>IF(C2="Bono", ASW_Bonos!A4:A22, Tenor!$C$2:$C$29)</xm:f>
          </x14:formula1>
          <xm:sqref>E2:E49 I2:I49 M2:M49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A67FB-8F73-462B-B773-84F6FCD6D5DF}">
  <sheetPr codeName="Hoja4"/>
  <dimension ref="A1:P93"/>
  <sheetViews>
    <sheetView showGridLines="0" topLeftCell="A43" zoomScale="90" zoomScaleNormal="90" workbookViewId="0">
      <selection activeCell="F62" sqref="F62"/>
    </sheetView>
  </sheetViews>
  <sheetFormatPr baseColWidth="10" defaultColWidth="11.42578125" defaultRowHeight="15" x14ac:dyDescent="0.25"/>
  <cols>
    <col min="1" max="1" width="3.7109375" customWidth="1"/>
    <col min="2" max="2" width="12.7109375" bestFit="1" customWidth="1"/>
    <col min="3" max="3" width="13.5703125" bestFit="1" customWidth="1"/>
    <col min="6" max="6" width="13.5703125" bestFit="1" customWidth="1"/>
    <col min="7" max="7" width="16.28515625" bestFit="1" customWidth="1"/>
    <col min="8" max="8" width="13.5703125" bestFit="1" customWidth="1"/>
    <col min="9" max="9" width="14.85546875" bestFit="1" customWidth="1"/>
    <col min="10" max="10" width="14.28515625" bestFit="1" customWidth="1"/>
    <col min="11" max="11" width="12.85546875" bestFit="1" customWidth="1"/>
    <col min="12" max="12" width="14.28515625" bestFit="1" customWidth="1"/>
    <col min="13" max="13" width="14.140625" bestFit="1" customWidth="1"/>
    <col min="14" max="14" width="13.5703125" bestFit="1" customWidth="1"/>
    <col min="15" max="15" width="13.28515625" bestFit="1" customWidth="1"/>
    <col min="16" max="16" width="12.7109375" bestFit="1" customWidth="1"/>
  </cols>
  <sheetData>
    <row r="1" spans="2:13" ht="6.95" customHeight="1" x14ac:dyDescent="0.25"/>
    <row r="2" spans="2:13" x14ac:dyDescent="0.25">
      <c r="B2" s="2" t="s">
        <v>71</v>
      </c>
      <c r="C2" s="144">
        <v>45108</v>
      </c>
    </row>
    <row r="3" spans="2:13" x14ac:dyDescent="0.25">
      <c r="B3" s="2" t="s">
        <v>72</v>
      </c>
      <c r="C3" s="144">
        <f ca="1">WORKDAY(TODAY(),-1)</f>
        <v>45240</v>
      </c>
    </row>
    <row r="5" spans="2:13" x14ac:dyDescent="0.25">
      <c r="B5" s="32" t="s">
        <v>105</v>
      </c>
      <c r="C5" s="33"/>
      <c r="D5" s="33"/>
      <c r="E5" s="33"/>
      <c r="I5" s="32" t="s">
        <v>69</v>
      </c>
    </row>
    <row r="6" spans="2:13" x14ac:dyDescent="0.25">
      <c r="B6" s="47" t="s">
        <v>64</v>
      </c>
      <c r="C6" s="47" t="s">
        <v>106</v>
      </c>
      <c r="D6" s="47" t="s">
        <v>107</v>
      </c>
      <c r="E6" s="47" t="s">
        <v>108</v>
      </c>
      <c r="F6" s="47" t="s">
        <v>109</v>
      </c>
      <c r="G6" s="213" t="s">
        <v>110</v>
      </c>
      <c r="H6" s="48"/>
      <c r="I6" s="47" t="s">
        <v>111</v>
      </c>
      <c r="J6" s="47" t="s">
        <v>112</v>
      </c>
      <c r="K6" s="47" t="s">
        <v>113</v>
      </c>
      <c r="L6" s="47" t="s">
        <v>114</v>
      </c>
      <c r="M6" s="47" t="s">
        <v>115</v>
      </c>
    </row>
    <row r="7" spans="2:13" x14ac:dyDescent="0.25">
      <c r="B7" s="103" t="s">
        <v>73</v>
      </c>
      <c r="C7" s="115">
        <v>11.53</v>
      </c>
      <c r="D7" s="115">
        <v>11.493368538073028</v>
      </c>
      <c r="E7" s="115">
        <v>11.779728807988871</v>
      </c>
      <c r="F7" s="116">
        <f>(D7-C7)*100</f>
        <v>-3.6631461926971198</v>
      </c>
      <c r="G7" s="117">
        <f>(E7-C7)*100</f>
        <v>24.972880798887154</v>
      </c>
      <c r="I7" s="122">
        <v>11.55</v>
      </c>
      <c r="J7" s="115">
        <v>11.499484423270934</v>
      </c>
      <c r="K7" s="115">
        <v>11.78615158194674</v>
      </c>
      <c r="L7" s="116">
        <f>(J7-I7)*100</f>
        <v>-5.0515576729067035</v>
      </c>
      <c r="M7" s="117">
        <f>(K7-I7)*100</f>
        <v>23.615158194673924</v>
      </c>
    </row>
    <row r="8" spans="2:13" x14ac:dyDescent="0.25">
      <c r="B8" s="98" t="s">
        <v>75</v>
      </c>
      <c r="C8" s="92">
        <v>11.1</v>
      </c>
      <c r="D8" s="92">
        <v>11.243845570491317</v>
      </c>
      <c r="E8" s="92">
        <v>11.517827007169856</v>
      </c>
      <c r="F8" s="93">
        <f t="shared" ref="F8:F25" si="0">(D8-C8)*100</f>
        <v>14.384557049131708</v>
      </c>
      <c r="G8" s="118">
        <f t="shared" ref="G8:G25" si="1">(E8-C8)*100</f>
        <v>41.782700716985666</v>
      </c>
      <c r="I8" s="123">
        <v>11.26</v>
      </c>
      <c r="J8" s="92">
        <v>11.289817560527972</v>
      </c>
      <c r="K8" s="92">
        <v>11.566058845538876</v>
      </c>
      <c r="L8" s="93">
        <f t="shared" ref="L8:L25" si="2">(J8-I8)*100</f>
        <v>2.981756052797202</v>
      </c>
      <c r="M8" s="118">
        <f t="shared" ref="M8:M25" si="3">(K8-I8)*100</f>
        <v>30.605884553887641</v>
      </c>
    </row>
    <row r="9" spans="2:13" x14ac:dyDescent="0.25">
      <c r="B9" s="98" t="s">
        <v>74</v>
      </c>
      <c r="C9" s="92">
        <v>10.81</v>
      </c>
      <c r="D9" s="92">
        <v>11.007832546569398</v>
      </c>
      <c r="E9" s="92">
        <v>11.270360277830648</v>
      </c>
      <c r="F9" s="93">
        <f t="shared" si="0"/>
        <v>19.783254656939775</v>
      </c>
      <c r="G9" s="118">
        <f t="shared" si="1"/>
        <v>46.036027783064704</v>
      </c>
      <c r="I9" s="123">
        <v>10.97</v>
      </c>
      <c r="J9" s="92">
        <v>11.088264354296456</v>
      </c>
      <c r="K9" s="92">
        <v>11.354667616614227</v>
      </c>
      <c r="L9" s="93">
        <f t="shared" si="2"/>
        <v>11.826435429645521</v>
      </c>
      <c r="M9" s="118">
        <f t="shared" si="3"/>
        <v>38.466761661422666</v>
      </c>
    </row>
    <row r="10" spans="2:13" x14ac:dyDescent="0.25">
      <c r="B10" s="98" t="s">
        <v>76</v>
      </c>
      <c r="C10" s="92">
        <v>10.4</v>
      </c>
      <c r="D10" s="92">
        <v>10.742610853814599</v>
      </c>
      <c r="E10" s="92">
        <v>10.992562834315679</v>
      </c>
      <c r="F10" s="93">
        <f t="shared" si="0"/>
        <v>34.261085381459822</v>
      </c>
      <c r="G10" s="118">
        <f t="shared" si="1"/>
        <v>59.25628343156788</v>
      </c>
      <c r="I10" s="123">
        <v>10.64</v>
      </c>
      <c r="J10" s="92">
        <v>10.843728844859761</v>
      </c>
      <c r="K10" s="92">
        <v>11.098438573508805</v>
      </c>
      <c r="L10" s="93">
        <f t="shared" si="2"/>
        <v>20.372884485976073</v>
      </c>
      <c r="M10" s="118">
        <f t="shared" si="3"/>
        <v>45.843857350880413</v>
      </c>
    </row>
    <row r="11" spans="2:13" x14ac:dyDescent="0.25">
      <c r="B11" s="98" t="s">
        <v>77</v>
      </c>
      <c r="C11" s="92">
        <v>10.15</v>
      </c>
      <c r="D11" s="92">
        <v>9.8876092190523721</v>
      </c>
      <c r="E11" s="92">
        <v>10.099145767553662</v>
      </c>
      <c r="F11" s="93">
        <f t="shared" si="0"/>
        <v>-26.239078094762824</v>
      </c>
      <c r="G11" s="118">
        <f t="shared" si="1"/>
        <v>-5.0854232446338798</v>
      </c>
      <c r="I11" s="123">
        <v>10.36</v>
      </c>
      <c r="J11" s="92">
        <v>10.019901141172271</v>
      </c>
      <c r="K11" s="92">
        <v>10.2371696868346</v>
      </c>
      <c r="L11" s="93">
        <f t="shared" si="2"/>
        <v>-34.009885882772828</v>
      </c>
      <c r="M11" s="118">
        <f t="shared" si="3"/>
        <v>-12.283031316539983</v>
      </c>
    </row>
    <row r="12" spans="2:13" x14ac:dyDescent="0.25">
      <c r="B12" s="98" t="s">
        <v>78</v>
      </c>
      <c r="C12" s="92">
        <v>9.98</v>
      </c>
      <c r="D12" s="92">
        <v>9.6309534547652262</v>
      </c>
      <c r="E12" s="92">
        <v>9.8315904933008103</v>
      </c>
      <c r="F12" s="93">
        <f t="shared" si="0"/>
        <v>-34.904654523477419</v>
      </c>
      <c r="G12" s="118">
        <f t="shared" si="1"/>
        <v>-14.840950669919017</v>
      </c>
      <c r="I12" s="123">
        <v>10.220000000000001</v>
      </c>
      <c r="J12" s="92">
        <v>9.7654281617535528</v>
      </c>
      <c r="K12" s="92">
        <v>9.971739635918313</v>
      </c>
      <c r="L12" s="93">
        <f t="shared" si="2"/>
        <v>-45.457183824644787</v>
      </c>
      <c r="M12" s="118">
        <f t="shared" si="3"/>
        <v>-24.826036408168761</v>
      </c>
    </row>
    <row r="13" spans="2:13" x14ac:dyDescent="0.25">
      <c r="B13" s="98" t="s">
        <v>79</v>
      </c>
      <c r="C13" s="92">
        <v>9.74</v>
      </c>
      <c r="D13" s="92">
        <v>9.4456230632429481</v>
      </c>
      <c r="E13" s="92">
        <v>9.638570799392463</v>
      </c>
      <c r="F13" s="93">
        <f t="shared" si="0"/>
        <v>-29.437693675705212</v>
      </c>
      <c r="G13" s="118">
        <f t="shared" si="1"/>
        <v>-10.142920060753724</v>
      </c>
      <c r="I13" s="123">
        <v>9.8800000000000008</v>
      </c>
      <c r="J13" s="92">
        <v>9.5740520930107564</v>
      </c>
      <c r="K13" s="92">
        <v>9.7723121512652309</v>
      </c>
      <c r="L13" s="93">
        <f t="shared" si="2"/>
        <v>-30.594790698924434</v>
      </c>
      <c r="M13" s="118">
        <f t="shared" si="3"/>
        <v>-10.768784873476989</v>
      </c>
    </row>
    <row r="14" spans="2:13" x14ac:dyDescent="0.25">
      <c r="B14" s="98" t="s">
        <v>80</v>
      </c>
      <c r="C14" s="92">
        <v>9.7200000000000006</v>
      </c>
      <c r="D14" s="92">
        <v>9.3724418270222536</v>
      </c>
      <c r="E14" s="92">
        <v>9.5623951200092669</v>
      </c>
      <c r="F14" s="93">
        <f t="shared" si="0"/>
        <v>-34.755817297774705</v>
      </c>
      <c r="G14" s="118">
        <f t="shared" si="1"/>
        <v>-15.760487999073369</v>
      </c>
      <c r="I14" s="123">
        <v>9.84</v>
      </c>
      <c r="J14" s="92">
        <v>9.4959614610812633</v>
      </c>
      <c r="K14" s="92">
        <v>9.6909826970994892</v>
      </c>
      <c r="L14" s="93">
        <f t="shared" si="2"/>
        <v>-34.403853891873659</v>
      </c>
      <c r="M14" s="118">
        <f t="shared" si="3"/>
        <v>-14.901730290051063</v>
      </c>
    </row>
    <row r="15" spans="2:13" x14ac:dyDescent="0.25">
      <c r="B15" s="98" t="s">
        <v>103</v>
      </c>
      <c r="C15" s="92">
        <v>9.61</v>
      </c>
      <c r="D15" s="92">
        <v>9.1063862635662574</v>
      </c>
      <c r="E15" s="92">
        <v>9.2856524630831423</v>
      </c>
      <c r="F15" s="93">
        <f t="shared" si="0"/>
        <v>-50.361373643374208</v>
      </c>
      <c r="G15" s="118">
        <f t="shared" si="1"/>
        <v>-32.434753691685714</v>
      </c>
      <c r="I15" s="123">
        <v>9.65</v>
      </c>
      <c r="J15" s="92">
        <v>9.1966415403355626</v>
      </c>
      <c r="K15" s="92">
        <v>9.3794981255372694</v>
      </c>
      <c r="L15" s="93">
        <f t="shared" si="2"/>
        <v>-45.335845966443777</v>
      </c>
      <c r="M15" s="118">
        <f t="shared" si="3"/>
        <v>-27.0501874462731</v>
      </c>
    </row>
    <row r="16" spans="2:13" x14ac:dyDescent="0.25">
      <c r="B16" s="98" t="s">
        <v>81</v>
      </c>
      <c r="C16" s="92">
        <v>9.59</v>
      </c>
      <c r="D16" s="92">
        <v>9.0944845097279643</v>
      </c>
      <c r="E16" s="92">
        <v>9.2732799381456879</v>
      </c>
      <c r="F16" s="93">
        <f t="shared" si="0"/>
        <v>-49.551549027203556</v>
      </c>
      <c r="G16" s="118">
        <f t="shared" si="1"/>
        <v>-31.672006185431201</v>
      </c>
      <c r="I16" s="123">
        <v>9.6</v>
      </c>
      <c r="J16" s="92">
        <v>9.1804528732043362</v>
      </c>
      <c r="K16" s="92">
        <v>9.3626628198314084</v>
      </c>
      <c r="L16" s="93">
        <f t="shared" si="2"/>
        <v>-41.954712679566342</v>
      </c>
      <c r="M16" s="118">
        <f t="shared" si="3"/>
        <v>-23.733718016859129</v>
      </c>
    </row>
    <row r="17" spans="2:16" x14ac:dyDescent="0.25">
      <c r="B17" s="98" t="s">
        <v>82</v>
      </c>
      <c r="C17" s="92">
        <v>9.6199999999999992</v>
      </c>
      <c r="D17" s="92">
        <v>9.0836030248290278</v>
      </c>
      <c r="E17" s="92">
        <v>9.2619685860007692</v>
      </c>
      <c r="F17" s="93">
        <f t="shared" si="0"/>
        <v>-53.63969751709714</v>
      </c>
      <c r="G17" s="118">
        <f t="shared" si="1"/>
        <v>-35.803141399923</v>
      </c>
      <c r="I17" s="123">
        <v>9.66</v>
      </c>
      <c r="J17" s="92">
        <v>9.1405890973928461</v>
      </c>
      <c r="K17" s="92">
        <v>9.321211663790848</v>
      </c>
      <c r="L17" s="93">
        <f t="shared" si="2"/>
        <v>-51.941090260715406</v>
      </c>
      <c r="M17" s="118">
        <f t="shared" si="3"/>
        <v>-33.878833620915216</v>
      </c>
    </row>
    <row r="18" spans="2:16" x14ac:dyDescent="0.25">
      <c r="B18" s="98" t="s">
        <v>83</v>
      </c>
      <c r="C18" s="92">
        <v>9.64</v>
      </c>
      <c r="D18" s="92">
        <v>9.1083772649464851</v>
      </c>
      <c r="E18" s="92">
        <v>9.2877222791302696</v>
      </c>
      <c r="F18" s="93">
        <f t="shared" si="0"/>
        <v>-53.162273505351543</v>
      </c>
      <c r="G18" s="118">
        <f t="shared" si="1"/>
        <v>-35.227772086973097</v>
      </c>
      <c r="I18" s="123">
        <v>9.67</v>
      </c>
      <c r="J18" s="92">
        <v>9.1492764079173483</v>
      </c>
      <c r="K18" s="92">
        <v>9.3302443059453495</v>
      </c>
      <c r="L18" s="93">
        <f t="shared" si="2"/>
        <v>-52.072359208265162</v>
      </c>
      <c r="M18" s="118">
        <f t="shared" si="3"/>
        <v>-33.975569405465045</v>
      </c>
    </row>
    <row r="19" spans="2:16" x14ac:dyDescent="0.25">
      <c r="B19" s="98" t="s">
        <v>84</v>
      </c>
      <c r="C19" s="92">
        <v>9.65</v>
      </c>
      <c r="D19" s="92">
        <v>9.1306597530638722</v>
      </c>
      <c r="E19" s="92">
        <v>9.3108880235931064</v>
      </c>
      <c r="F19" s="93">
        <f t="shared" si="0"/>
        <v>-51.934024693612812</v>
      </c>
      <c r="G19" s="118">
        <f t="shared" si="1"/>
        <v>-33.911197640689394</v>
      </c>
      <c r="I19" s="123">
        <v>9.67</v>
      </c>
      <c r="J19" s="92">
        <v>9.1678888762928654</v>
      </c>
      <c r="K19" s="92">
        <v>9.3495977656394409</v>
      </c>
      <c r="L19" s="93">
        <f t="shared" si="2"/>
        <v>-50.211112370713451</v>
      </c>
      <c r="M19" s="118">
        <f t="shared" si="3"/>
        <v>-32.040223436055904</v>
      </c>
    </row>
    <row r="20" spans="2:16" x14ac:dyDescent="0.25">
      <c r="B20" s="98" t="s">
        <v>85</v>
      </c>
      <c r="C20" s="92">
        <v>9.6</v>
      </c>
      <c r="D20" s="92">
        <v>9.1376352757227366</v>
      </c>
      <c r="E20" s="92">
        <v>9.3181404998871304</v>
      </c>
      <c r="F20" s="93">
        <f t="shared" si="0"/>
        <v>-46.236472427726305</v>
      </c>
      <c r="G20" s="118">
        <f t="shared" si="1"/>
        <v>-28.18595001128692</v>
      </c>
      <c r="I20" s="123">
        <v>9.77</v>
      </c>
      <c r="J20" s="92">
        <v>9.1746891351822821</v>
      </c>
      <c r="K20" s="92">
        <v>9.3566691350456459</v>
      </c>
      <c r="L20" s="93">
        <f t="shared" si="2"/>
        <v>-59.531086481771744</v>
      </c>
      <c r="M20" s="118">
        <f t="shared" si="3"/>
        <v>-41.333086495435367</v>
      </c>
    </row>
    <row r="21" spans="2:16" x14ac:dyDescent="0.25">
      <c r="B21" s="98" t="s">
        <v>86</v>
      </c>
      <c r="C21" s="92">
        <v>9.66</v>
      </c>
      <c r="D21" s="92">
        <v>9.1558208789050006</v>
      </c>
      <c r="E21" s="92">
        <v>9.3370491480941933</v>
      </c>
      <c r="F21" s="93">
        <f t="shared" si="0"/>
        <v>-50.417912109499952</v>
      </c>
      <c r="G21" s="118">
        <f t="shared" si="1"/>
        <v>-32.295085190580686</v>
      </c>
      <c r="I21" s="123">
        <v>9.69</v>
      </c>
      <c r="J21" s="92">
        <v>9.1938227965695365</v>
      </c>
      <c r="K21" s="92">
        <v>9.3765667069068392</v>
      </c>
      <c r="L21" s="93">
        <f t="shared" si="2"/>
        <v>-49.617720343046301</v>
      </c>
      <c r="M21" s="118">
        <f t="shared" si="3"/>
        <v>-31.343329309316026</v>
      </c>
    </row>
    <row r="22" spans="2:16" x14ac:dyDescent="0.25">
      <c r="B22" s="98" t="s">
        <v>87</v>
      </c>
      <c r="C22" s="92">
        <v>9.74</v>
      </c>
      <c r="D22" s="92">
        <v>9.1703938718247535</v>
      </c>
      <c r="E22" s="92">
        <v>9.3522026057594818</v>
      </c>
      <c r="F22" s="93">
        <f t="shared" si="0"/>
        <v>-56.96061281752467</v>
      </c>
      <c r="G22" s="118">
        <f t="shared" si="1"/>
        <v>-38.77973942405184</v>
      </c>
      <c r="I22" s="123">
        <v>9.73</v>
      </c>
      <c r="J22" s="92">
        <v>9.2101945187191649</v>
      </c>
      <c r="K22" s="92">
        <v>9.3935933530539053</v>
      </c>
      <c r="L22" s="93">
        <f t="shared" si="2"/>
        <v>-51.980548128083548</v>
      </c>
      <c r="M22" s="118">
        <f t="shared" si="3"/>
        <v>-33.640664694609512</v>
      </c>
    </row>
    <row r="23" spans="2:16" x14ac:dyDescent="0.25">
      <c r="B23" s="98" t="s">
        <v>88</v>
      </c>
      <c r="C23" s="92">
        <v>9.7799999999999994</v>
      </c>
      <c r="D23" s="92">
        <v>9.173934996423025</v>
      </c>
      <c r="E23" s="92">
        <v>9.3558849204574344</v>
      </c>
      <c r="F23" s="93">
        <f t="shared" si="0"/>
        <v>-60.606500357697435</v>
      </c>
      <c r="G23" s="118">
        <f t="shared" si="1"/>
        <v>-42.4115079542565</v>
      </c>
      <c r="I23" s="123">
        <v>9.7799999999999994</v>
      </c>
      <c r="J23" s="92">
        <v>9.2143147857423884</v>
      </c>
      <c r="K23" s="92">
        <v>9.3978786311119347</v>
      </c>
      <c r="L23" s="93">
        <f t="shared" si="2"/>
        <v>-56.568521425761098</v>
      </c>
      <c r="M23" s="118">
        <f t="shared" si="3"/>
        <v>-38.212136888806469</v>
      </c>
    </row>
    <row r="24" spans="2:16" x14ac:dyDescent="0.25">
      <c r="B24" s="98" t="s">
        <v>89</v>
      </c>
      <c r="C24" s="92">
        <v>9.75</v>
      </c>
      <c r="D24" s="92">
        <v>9.1727288579764927</v>
      </c>
      <c r="E24" s="92">
        <v>9.3546306851910632</v>
      </c>
      <c r="F24" s="93">
        <f t="shared" si="0"/>
        <v>-57.727114202350727</v>
      </c>
      <c r="G24" s="118">
        <f t="shared" si="1"/>
        <v>-39.536931480893678</v>
      </c>
      <c r="I24" s="123">
        <v>9.75</v>
      </c>
      <c r="J24" s="92">
        <v>9.2128855327556867</v>
      </c>
      <c r="K24" s="92">
        <v>9.3963921300111295</v>
      </c>
      <c r="L24" s="93">
        <f t="shared" si="2"/>
        <v>-53.711446724431333</v>
      </c>
      <c r="M24" s="118">
        <f t="shared" si="3"/>
        <v>-35.36078699888705</v>
      </c>
    </row>
    <row r="25" spans="2:16" x14ac:dyDescent="0.25">
      <c r="B25" s="105" t="s">
        <v>104</v>
      </c>
      <c r="C25" s="119">
        <v>9.75</v>
      </c>
      <c r="D25" s="119">
        <v>9.1733284629392209</v>
      </c>
      <c r="E25" s="119">
        <v>9.3552541996170877</v>
      </c>
      <c r="F25" s="120">
        <f t="shared" si="0"/>
        <v>-57.667153706077912</v>
      </c>
      <c r="G25" s="121">
        <f t="shared" si="1"/>
        <v>-39.474580038291229</v>
      </c>
      <c r="I25" s="124">
        <v>9.74</v>
      </c>
      <c r="J25" s="119">
        <v>9.2134351362135458</v>
      </c>
      <c r="K25" s="119">
        <v>9.3969637465314459</v>
      </c>
      <c r="L25" s="120">
        <f t="shared" si="2"/>
        <v>-52.65648637864544</v>
      </c>
      <c r="M25" s="121">
        <f t="shared" si="3"/>
        <v>-34.303625346855426</v>
      </c>
    </row>
    <row r="31" spans="2:16" x14ac:dyDescent="0.25">
      <c r="B31" s="32" t="s">
        <v>136</v>
      </c>
      <c r="I31" s="32" t="s">
        <v>63</v>
      </c>
      <c r="J31" s="33"/>
      <c r="K31" s="33"/>
      <c r="L31" s="33"/>
    </row>
    <row r="32" spans="2:16" x14ac:dyDescent="0.25">
      <c r="B32" s="47" t="s">
        <v>64</v>
      </c>
      <c r="C32" s="47" t="s">
        <v>136</v>
      </c>
      <c r="D32" s="47" t="s">
        <v>137</v>
      </c>
      <c r="E32" s="47" t="s">
        <v>138</v>
      </c>
      <c r="F32" s="47" t="s">
        <v>139</v>
      </c>
      <c r="G32" s="47" t="s">
        <v>140</v>
      </c>
      <c r="I32" s="47" t="s">
        <v>64</v>
      </c>
      <c r="J32" s="47" t="s">
        <v>65</v>
      </c>
      <c r="K32" s="47" t="s">
        <v>66</v>
      </c>
      <c r="L32" s="47" t="s">
        <v>67</v>
      </c>
      <c r="M32" s="47" t="s">
        <v>68</v>
      </c>
      <c r="N32" s="47" t="s">
        <v>69</v>
      </c>
      <c r="O32" s="213" t="s">
        <v>70</v>
      </c>
      <c r="P32" s="48" t="s">
        <v>142</v>
      </c>
    </row>
    <row r="33" spans="2:16" x14ac:dyDescent="0.25">
      <c r="B33" s="103" t="s">
        <v>73</v>
      </c>
      <c r="C33" s="125">
        <v>11.52</v>
      </c>
      <c r="D33" s="115">
        <v>11.493865574321022</v>
      </c>
      <c r="E33" s="115">
        <v>11.78025077878157</v>
      </c>
      <c r="F33" s="116">
        <f>(D33-C33)*100</f>
        <v>-2.613442567897728</v>
      </c>
      <c r="G33" s="117">
        <f>(E33-C33)*100</f>
        <v>26.025077878156999</v>
      </c>
      <c r="I33" s="103" t="s">
        <v>73</v>
      </c>
      <c r="J33" s="126">
        <v>23.571428571428577</v>
      </c>
      <c r="K33" s="126">
        <v>-13.08589242750724</v>
      </c>
      <c r="L33" s="126">
        <v>-0.22432335778200405</v>
      </c>
      <c r="M33" s="126">
        <f>F7</f>
        <v>-3.6631461926971198</v>
      </c>
      <c r="N33" s="126">
        <f>L7</f>
        <v>-5.0515576729067035</v>
      </c>
      <c r="O33" s="127">
        <f>M33-N33</f>
        <v>1.3884114802095837</v>
      </c>
      <c r="P33" s="131">
        <f>+J33-K33</f>
        <v>36.657320998935816</v>
      </c>
    </row>
    <row r="34" spans="2:16" x14ac:dyDescent="0.25">
      <c r="B34" s="100" t="s">
        <v>75</v>
      </c>
      <c r="C34" s="67">
        <v>11.46</v>
      </c>
      <c r="D34" s="92">
        <v>11.243937542599975</v>
      </c>
      <c r="E34" s="92">
        <v>11.517923490971112</v>
      </c>
      <c r="F34" s="93">
        <f t="shared" ref="F34:F51" si="4">(D34-C34)*100</f>
        <v>-21.606245740002628</v>
      </c>
      <c r="G34" s="118">
        <f t="shared" ref="G34:G51" si="5">(E34-C34)*100</f>
        <v>5.7923490971111491</v>
      </c>
      <c r="I34" s="100" t="s">
        <v>75</v>
      </c>
      <c r="J34" s="94">
        <v>14.027868272587618</v>
      </c>
      <c r="K34" s="94">
        <v>-23.0833333333333</v>
      </c>
      <c r="L34" s="94">
        <v>-4.0124558272312942</v>
      </c>
      <c r="M34" s="94">
        <f t="shared" ref="M34:M51" si="6">F8</f>
        <v>14.384557049131708</v>
      </c>
      <c r="N34" s="94">
        <f t="shared" ref="N34:N51" si="7">L8</f>
        <v>2.981756052797202</v>
      </c>
      <c r="O34" s="128">
        <f t="shared" ref="O34:O51" si="8">M34-N34</f>
        <v>11.402800996334506</v>
      </c>
      <c r="P34" s="131">
        <f t="shared" ref="P34:P51" si="9">+J34-K34</f>
        <v>37.111201605920918</v>
      </c>
    </row>
    <row r="35" spans="2:16" x14ac:dyDescent="0.25">
      <c r="B35" s="98" t="s">
        <v>74</v>
      </c>
      <c r="C35" s="67">
        <v>11.23</v>
      </c>
      <c r="D35" s="92">
        <v>11.016681939615779</v>
      </c>
      <c r="E35" s="92">
        <v>11.279634662526783</v>
      </c>
      <c r="F35" s="93">
        <f t="shared" si="4"/>
        <v>-21.33180603842213</v>
      </c>
      <c r="G35" s="118">
        <f t="shared" si="5"/>
        <v>4.9634662526782947</v>
      </c>
      <c r="I35" s="98" t="s">
        <v>74</v>
      </c>
      <c r="J35" s="94">
        <v>46.37945818420075</v>
      </c>
      <c r="K35" s="94">
        <v>-20.357142857142918</v>
      </c>
      <c r="L35" s="94">
        <v>6.8551771792013119</v>
      </c>
      <c r="M35" s="94">
        <f t="shared" si="6"/>
        <v>19.783254656939775</v>
      </c>
      <c r="N35" s="94">
        <f t="shared" si="7"/>
        <v>11.826435429645521</v>
      </c>
      <c r="O35" s="128">
        <f t="shared" si="8"/>
        <v>7.9568192272942539</v>
      </c>
      <c r="P35" s="131">
        <f t="shared" si="9"/>
        <v>66.736601041343675</v>
      </c>
    </row>
    <row r="36" spans="2:16" x14ac:dyDescent="0.25">
      <c r="B36" s="100" t="s">
        <v>76</v>
      </c>
      <c r="C36" s="67">
        <v>10.89</v>
      </c>
      <c r="D36" s="92">
        <v>10.752423604048793</v>
      </c>
      <c r="E36" s="92">
        <v>11.002835298962765</v>
      </c>
      <c r="F36" s="93">
        <f t="shared" si="4"/>
        <v>-13.757639595120708</v>
      </c>
      <c r="G36" s="118">
        <f t="shared" si="5"/>
        <v>11.283529896276434</v>
      </c>
      <c r="I36" s="100" t="s">
        <v>76</v>
      </c>
      <c r="J36" s="94">
        <v>68.02890900842425</v>
      </c>
      <c r="K36" s="94">
        <v>-9.8673469387755119</v>
      </c>
      <c r="L36" s="94">
        <v>24.643134945258328</v>
      </c>
      <c r="M36" s="94">
        <f t="shared" si="6"/>
        <v>34.261085381459822</v>
      </c>
      <c r="N36" s="94">
        <f t="shared" si="7"/>
        <v>20.372884485976073</v>
      </c>
      <c r="O36" s="128">
        <f t="shared" si="8"/>
        <v>13.888200895483749</v>
      </c>
      <c r="P36" s="131">
        <f t="shared" si="9"/>
        <v>77.896255947199762</v>
      </c>
    </row>
    <row r="37" spans="2:16" x14ac:dyDescent="0.25">
      <c r="B37" s="100" t="s">
        <v>77</v>
      </c>
      <c r="C37" s="67">
        <v>10.71</v>
      </c>
      <c r="D37" s="92">
        <v>9.8814904498643124</v>
      </c>
      <c r="E37" s="92">
        <v>10.092763757135986</v>
      </c>
      <c r="F37" s="93">
        <f t="shared" si="4"/>
        <v>-82.85095501356885</v>
      </c>
      <c r="G37" s="118">
        <f t="shared" si="5"/>
        <v>-61.723624286401524</v>
      </c>
      <c r="I37" s="100" t="s">
        <v>77</v>
      </c>
      <c r="J37" s="94">
        <v>3.8767919665806616</v>
      </c>
      <c r="K37" s="94">
        <v>-43.813186813186711</v>
      </c>
      <c r="L37" s="94">
        <v>-23.36693230581519</v>
      </c>
      <c r="M37" s="94">
        <f t="shared" si="6"/>
        <v>-26.239078094762824</v>
      </c>
      <c r="N37" s="94">
        <f t="shared" si="7"/>
        <v>-34.009885882772828</v>
      </c>
      <c r="O37" s="128">
        <f t="shared" si="8"/>
        <v>7.7708077880100035</v>
      </c>
      <c r="P37" s="131">
        <f t="shared" si="9"/>
        <v>47.689978779767372</v>
      </c>
    </row>
    <row r="38" spans="2:16" x14ac:dyDescent="0.25">
      <c r="B38" s="100" t="s">
        <v>78</v>
      </c>
      <c r="C38" s="67">
        <v>10.59</v>
      </c>
      <c r="D38" s="92">
        <v>9.6179840714943765</v>
      </c>
      <c r="E38" s="92">
        <v>9.8180780707391495</v>
      </c>
      <c r="F38" s="93">
        <f t="shared" si="4"/>
        <v>-97.201592850562335</v>
      </c>
      <c r="G38" s="118">
        <f t="shared" si="5"/>
        <v>-77.192192926085028</v>
      </c>
      <c r="I38" s="100" t="s">
        <v>78</v>
      </c>
      <c r="J38" s="94">
        <v>-27.018189109559643</v>
      </c>
      <c r="K38" s="94">
        <v>-64.37087912087911</v>
      </c>
      <c r="L38" s="94">
        <v>-47.098452507836882</v>
      </c>
      <c r="M38" s="94">
        <f t="shared" si="6"/>
        <v>-34.904654523477419</v>
      </c>
      <c r="N38" s="94">
        <f t="shared" si="7"/>
        <v>-45.457183824644787</v>
      </c>
      <c r="O38" s="128">
        <f t="shared" si="8"/>
        <v>10.552529301167368</v>
      </c>
      <c r="P38" s="131">
        <f t="shared" si="9"/>
        <v>37.352690011319467</v>
      </c>
    </row>
    <row r="39" spans="2:16" x14ac:dyDescent="0.25">
      <c r="B39" s="100" t="s">
        <v>79</v>
      </c>
      <c r="C39" s="67">
        <v>10.27</v>
      </c>
      <c r="D39" s="92">
        <v>9.4281718837779831</v>
      </c>
      <c r="E39" s="92">
        <v>9.6204033997634806</v>
      </c>
      <c r="F39" s="93">
        <f t="shared" si="4"/>
        <v>-84.182811622201655</v>
      </c>
      <c r="G39" s="118">
        <f t="shared" si="5"/>
        <v>-64.959660023651907</v>
      </c>
      <c r="I39" s="100" t="s">
        <v>79</v>
      </c>
      <c r="J39" s="94">
        <v>-20.162983245350219</v>
      </c>
      <c r="K39" s="94">
        <v>-62.395604395604387</v>
      </c>
      <c r="L39" s="94">
        <v>-40.993515556849083</v>
      </c>
      <c r="M39" s="94">
        <f t="shared" si="6"/>
        <v>-29.437693675705212</v>
      </c>
      <c r="N39" s="94">
        <f t="shared" si="7"/>
        <v>-30.594790698924434</v>
      </c>
      <c r="O39" s="128">
        <f t="shared" si="8"/>
        <v>1.1570970232192224</v>
      </c>
      <c r="P39" s="131">
        <f t="shared" si="9"/>
        <v>42.232621150254168</v>
      </c>
    </row>
    <row r="40" spans="2:16" x14ac:dyDescent="0.25">
      <c r="B40" s="100" t="s">
        <v>80</v>
      </c>
      <c r="C40" s="67">
        <v>10.28</v>
      </c>
      <c r="D40" s="92">
        <v>9.3543919034847569</v>
      </c>
      <c r="E40" s="92">
        <v>9.543610265805869</v>
      </c>
      <c r="F40" s="93">
        <f t="shared" si="4"/>
        <v>-92.560809651524238</v>
      </c>
      <c r="G40" s="118">
        <f t="shared" si="5"/>
        <v>-73.638973419413034</v>
      </c>
      <c r="I40" s="100" t="s">
        <v>80</v>
      </c>
      <c r="J40" s="94">
        <v>-28.393444970603987</v>
      </c>
      <c r="K40" s="94">
        <v>-60.659340659340799</v>
      </c>
      <c r="L40" s="94">
        <v>-44.899979997275395</v>
      </c>
      <c r="M40" s="94">
        <f t="shared" si="6"/>
        <v>-34.755817297774705</v>
      </c>
      <c r="N40" s="94">
        <f t="shared" si="7"/>
        <v>-34.403853891873659</v>
      </c>
      <c r="O40" s="128">
        <f t="shared" si="8"/>
        <v>-0.35196340590104569</v>
      </c>
      <c r="P40" s="131">
        <f t="shared" si="9"/>
        <v>32.265895688736812</v>
      </c>
    </row>
    <row r="41" spans="2:16" x14ac:dyDescent="0.25">
      <c r="B41" s="100" t="s">
        <v>103</v>
      </c>
      <c r="C41" s="67">
        <v>10.130000000000001</v>
      </c>
      <c r="D41" s="92">
        <v>9.1193000857899538</v>
      </c>
      <c r="E41" s="92">
        <v>9.2990777960918685</v>
      </c>
      <c r="F41" s="93">
        <f t="shared" si="4"/>
        <v>-101.0699914210047</v>
      </c>
      <c r="G41" s="118">
        <f t="shared" si="5"/>
        <v>-83.092220390813225</v>
      </c>
      <c r="I41" s="100" t="s">
        <v>103</v>
      </c>
      <c r="J41" s="94">
        <v>-35.178056372776467</v>
      </c>
      <c r="K41" s="94">
        <v>-67.092572247898914</v>
      </c>
      <c r="L41" s="94">
        <v>-52.069103992666875</v>
      </c>
      <c r="M41" s="94">
        <f t="shared" si="6"/>
        <v>-50.361373643374208</v>
      </c>
      <c r="N41" s="94">
        <f t="shared" si="7"/>
        <v>-45.335845966443777</v>
      </c>
      <c r="O41" s="128">
        <f t="shared" si="8"/>
        <v>-5.0255276769304302</v>
      </c>
      <c r="P41" s="131">
        <f t="shared" si="9"/>
        <v>31.914515875122447</v>
      </c>
    </row>
    <row r="42" spans="2:16" x14ac:dyDescent="0.25">
      <c r="B42" s="100" t="s">
        <v>81</v>
      </c>
      <c r="C42" s="67">
        <v>9.9700000000000006</v>
      </c>
      <c r="D42" s="92">
        <v>9.1117431790380738</v>
      </c>
      <c r="E42" s="92">
        <v>9.2912214742248302</v>
      </c>
      <c r="F42" s="93">
        <f t="shared" si="4"/>
        <v>-85.825682096192679</v>
      </c>
      <c r="G42" s="118">
        <f t="shared" si="5"/>
        <v>-67.877852577517046</v>
      </c>
      <c r="I42" s="100" t="s">
        <v>81</v>
      </c>
      <c r="J42" s="94">
        <v>-26.748232331928534</v>
      </c>
      <c r="K42" s="94">
        <v>-58.032967032967164</v>
      </c>
      <c r="L42" s="94">
        <v>-44.727477590031739</v>
      </c>
      <c r="M42" s="94">
        <f t="shared" si="6"/>
        <v>-49.551549027203556</v>
      </c>
      <c r="N42" s="94">
        <f t="shared" si="7"/>
        <v>-41.954712679566342</v>
      </c>
      <c r="O42" s="128">
        <f t="shared" si="8"/>
        <v>-7.5968363476372147</v>
      </c>
      <c r="P42" s="131">
        <f t="shared" si="9"/>
        <v>31.28473470103863</v>
      </c>
    </row>
    <row r="43" spans="2:16" x14ac:dyDescent="0.25">
      <c r="B43" s="100" t="s">
        <v>82</v>
      </c>
      <c r="C43" s="67">
        <v>10.01</v>
      </c>
      <c r="D43" s="92">
        <v>9.1135997165766796</v>
      </c>
      <c r="E43" s="92">
        <v>9.293151546985829</v>
      </c>
      <c r="F43" s="93">
        <f t="shared" si="4"/>
        <v>-89.640028342332016</v>
      </c>
      <c r="G43" s="118">
        <f t="shared" si="5"/>
        <v>-71.684845301417084</v>
      </c>
      <c r="I43" s="136" t="s">
        <v>82</v>
      </c>
      <c r="J43" s="94">
        <v>-36.30784014495223</v>
      </c>
      <c r="K43" s="94">
        <v>-65.648351648351706</v>
      </c>
      <c r="L43" s="94">
        <v>-51.866114236486816</v>
      </c>
      <c r="M43" s="94">
        <f t="shared" si="6"/>
        <v>-53.63969751709714</v>
      </c>
      <c r="N43" s="94">
        <f t="shared" si="7"/>
        <v>-51.941090260715406</v>
      </c>
      <c r="O43" s="128">
        <f t="shared" si="8"/>
        <v>-1.6986072563817345</v>
      </c>
      <c r="P43" s="131">
        <f t="shared" si="9"/>
        <v>29.340511503399476</v>
      </c>
    </row>
    <row r="44" spans="2:16" x14ac:dyDescent="0.25">
      <c r="B44" s="136" t="s">
        <v>83</v>
      </c>
      <c r="C44" s="67">
        <v>9.94</v>
      </c>
      <c r="D44" s="92">
        <v>9.1299976762421124</v>
      </c>
      <c r="E44" s="92">
        <v>9.3101996710778998</v>
      </c>
      <c r="F44" s="93">
        <f t="shared" si="4"/>
        <v>-81.000232375788698</v>
      </c>
      <c r="G44" s="118">
        <f t="shared" si="5"/>
        <v>-62.980032892209969</v>
      </c>
      <c r="I44" s="136" t="s">
        <v>83</v>
      </c>
      <c r="J44" s="94">
        <v>-29.232819756529871</v>
      </c>
      <c r="K44" s="94">
        <v>-67</v>
      </c>
      <c r="L44" s="94">
        <v>-49.406364794718584</v>
      </c>
      <c r="M44" s="94">
        <f t="shared" si="6"/>
        <v>-53.162273505351543</v>
      </c>
      <c r="N44" s="94">
        <f t="shared" si="7"/>
        <v>-52.072359208265162</v>
      </c>
      <c r="O44" s="128">
        <f t="shared" si="8"/>
        <v>-1.0899142970863807</v>
      </c>
      <c r="P44" s="131">
        <f t="shared" si="9"/>
        <v>37.767180243470129</v>
      </c>
    </row>
    <row r="45" spans="2:16" x14ac:dyDescent="0.25">
      <c r="B45" s="136" t="s">
        <v>84</v>
      </c>
      <c r="C45" s="67">
        <v>9.92</v>
      </c>
      <c r="D45" s="92">
        <v>9.1484295888046034</v>
      </c>
      <c r="E45" s="92">
        <v>9.3293638100355825</v>
      </c>
      <c r="F45" s="93">
        <f t="shared" si="4"/>
        <v>-77.157041119539656</v>
      </c>
      <c r="G45" s="118">
        <f t="shared" si="5"/>
        <v>-59.063618996441747</v>
      </c>
      <c r="I45" s="136" t="s">
        <v>84</v>
      </c>
      <c r="J45" s="94">
        <v>-24.402514660079255</v>
      </c>
      <c r="K45" s="94">
        <v>-64.923076923076906</v>
      </c>
      <c r="L45" s="94">
        <v>-45.608393335698182</v>
      </c>
      <c r="M45" s="94">
        <f t="shared" si="6"/>
        <v>-51.934024693612812</v>
      </c>
      <c r="N45" s="94">
        <f t="shared" si="7"/>
        <v>-50.211112370713451</v>
      </c>
      <c r="O45" s="128">
        <f t="shared" si="8"/>
        <v>-1.7229123228993615</v>
      </c>
      <c r="P45" s="131">
        <f t="shared" si="9"/>
        <v>40.52056226299765</v>
      </c>
    </row>
    <row r="46" spans="2:16" x14ac:dyDescent="0.25">
      <c r="B46" s="136" t="s">
        <v>85</v>
      </c>
      <c r="C46" s="67">
        <v>9.9499999999999993</v>
      </c>
      <c r="D46" s="92">
        <v>9.15470512812065</v>
      </c>
      <c r="E46" s="92">
        <v>9.3358889938943186</v>
      </c>
      <c r="F46" s="93">
        <f t="shared" si="4"/>
        <v>-79.529487187934933</v>
      </c>
      <c r="G46" s="118">
        <f t="shared" si="5"/>
        <v>-61.41110061056807</v>
      </c>
      <c r="I46" s="136" t="s">
        <v>85</v>
      </c>
      <c r="J46" s="94">
        <v>-14.470065289967238</v>
      </c>
      <c r="K46" s="94">
        <v>-63.673076923076977</v>
      </c>
      <c r="L46" s="94">
        <v>-43.738242396993705</v>
      </c>
      <c r="M46" s="94">
        <f t="shared" si="6"/>
        <v>-46.236472427726305</v>
      </c>
      <c r="N46" s="94">
        <f t="shared" si="7"/>
        <v>-59.531086481771744</v>
      </c>
      <c r="O46" s="128">
        <f t="shared" si="8"/>
        <v>13.294614054045439</v>
      </c>
      <c r="P46" s="131">
        <f t="shared" si="9"/>
        <v>49.203011633109739</v>
      </c>
    </row>
    <row r="47" spans="2:16" x14ac:dyDescent="0.25">
      <c r="B47" s="136" t="s">
        <v>86</v>
      </c>
      <c r="C47" s="67">
        <v>9.91</v>
      </c>
      <c r="D47" s="92">
        <v>9.1707717906410959</v>
      </c>
      <c r="E47" s="92">
        <v>9.3525955901420978</v>
      </c>
      <c r="F47" s="93">
        <f t="shared" si="4"/>
        <v>-73.922820935890428</v>
      </c>
      <c r="G47" s="118">
        <f t="shared" si="5"/>
        <v>-55.740440985790229</v>
      </c>
      <c r="I47" s="136" t="s">
        <v>86</v>
      </c>
      <c r="J47" s="94">
        <v>-21.004504609443764</v>
      </c>
      <c r="K47" s="94">
        <v>-59.692307692307622</v>
      </c>
      <c r="L47" s="94">
        <v>-42.518523974971302</v>
      </c>
      <c r="M47" s="94">
        <f t="shared" si="6"/>
        <v>-50.417912109499952</v>
      </c>
      <c r="N47" s="94">
        <f t="shared" si="7"/>
        <v>-49.617720343046301</v>
      </c>
      <c r="O47" s="128">
        <f t="shared" si="8"/>
        <v>-0.80019176645365064</v>
      </c>
      <c r="P47" s="131">
        <f t="shared" si="9"/>
        <v>38.687803082863859</v>
      </c>
    </row>
    <row r="48" spans="2:16" x14ac:dyDescent="0.25">
      <c r="B48" s="136" t="s">
        <v>87</v>
      </c>
      <c r="C48" s="67">
        <v>9.93</v>
      </c>
      <c r="D48" s="92">
        <v>9.1852744398781017</v>
      </c>
      <c r="E48" s="92">
        <v>9.3676768576607365</v>
      </c>
      <c r="F48" s="93">
        <f t="shared" si="4"/>
        <v>-74.472556012189813</v>
      </c>
      <c r="G48" s="118">
        <f t="shared" si="5"/>
        <v>-56.232314233926317</v>
      </c>
      <c r="I48" s="136" t="s">
        <v>87</v>
      </c>
      <c r="J48" s="94">
        <v>-22.857878785412744</v>
      </c>
      <c r="K48" s="94">
        <v>-67.999999999999972</v>
      </c>
      <c r="L48" s="94">
        <v>-48.476046705803221</v>
      </c>
      <c r="M48" s="94">
        <f t="shared" si="6"/>
        <v>-56.96061281752467</v>
      </c>
      <c r="N48" s="94">
        <f t="shared" si="7"/>
        <v>-51.980548128083548</v>
      </c>
      <c r="O48" s="128">
        <f t="shared" si="8"/>
        <v>-4.9800646894411216</v>
      </c>
      <c r="P48" s="131">
        <f t="shared" si="9"/>
        <v>45.142121214587227</v>
      </c>
    </row>
    <row r="49" spans="1:16" x14ac:dyDescent="0.25">
      <c r="B49" s="136" t="s">
        <v>88</v>
      </c>
      <c r="C49" s="67">
        <v>9.93</v>
      </c>
      <c r="D49" s="92">
        <v>9.1988582383769675</v>
      </c>
      <c r="E49" s="92">
        <v>9.381803457261249</v>
      </c>
      <c r="F49" s="93">
        <f t="shared" si="4"/>
        <v>-73.114176162303224</v>
      </c>
      <c r="G49" s="118">
        <f t="shared" si="5"/>
        <v>-54.819654273875074</v>
      </c>
      <c r="I49" s="136" t="s">
        <v>88</v>
      </c>
      <c r="J49" s="94">
        <v>-22.527095767591376</v>
      </c>
      <c r="K49" s="94">
        <v>-73.114835164835057</v>
      </c>
      <c r="L49" s="94">
        <v>-50.09627823951115</v>
      </c>
      <c r="M49" s="94">
        <f t="shared" si="6"/>
        <v>-60.606500357697435</v>
      </c>
      <c r="N49" s="94">
        <f t="shared" si="7"/>
        <v>-56.568521425761098</v>
      </c>
      <c r="O49" s="128">
        <f t="shared" si="8"/>
        <v>-4.0379789319363368</v>
      </c>
      <c r="P49" s="131">
        <f t="shared" si="9"/>
        <v>50.587739397243681</v>
      </c>
    </row>
    <row r="50" spans="1:16" x14ac:dyDescent="0.25">
      <c r="B50" s="136" t="s">
        <v>89</v>
      </c>
      <c r="C50" s="67">
        <v>9.9499999999999993</v>
      </c>
      <c r="D50" s="92">
        <v>9.1974994316030134</v>
      </c>
      <c r="E50" s="92">
        <v>9.3803903166298355</v>
      </c>
      <c r="F50" s="93">
        <f t="shared" si="4"/>
        <v>-75.250056839698587</v>
      </c>
      <c r="G50" s="118">
        <f t="shared" si="5"/>
        <v>-56.960968337016382</v>
      </c>
      <c r="I50" s="98" t="s">
        <v>89</v>
      </c>
      <c r="J50" s="94">
        <v>-14.324431802177173</v>
      </c>
      <c r="K50" s="94">
        <v>-70.4425824175825</v>
      </c>
      <c r="L50" s="94">
        <v>-44.386330122219654</v>
      </c>
      <c r="M50" s="94">
        <f t="shared" si="6"/>
        <v>-57.727114202350727</v>
      </c>
      <c r="N50" s="94">
        <f t="shared" si="7"/>
        <v>-53.711446724431333</v>
      </c>
      <c r="O50" s="128">
        <f t="shared" si="8"/>
        <v>-4.0156674779193935</v>
      </c>
      <c r="P50" s="131">
        <f t="shared" si="9"/>
        <v>56.118150615405327</v>
      </c>
    </row>
    <row r="51" spans="1:16" x14ac:dyDescent="0.25">
      <c r="B51" s="150" t="s">
        <v>104</v>
      </c>
      <c r="C51" s="110">
        <v>9.89</v>
      </c>
      <c r="D51" s="119">
        <v>9.1901337385630963</v>
      </c>
      <c r="E51" s="119">
        <v>9.3727302376110533</v>
      </c>
      <c r="F51" s="120">
        <f t="shared" si="4"/>
        <v>-69.986626143690415</v>
      </c>
      <c r="G51" s="121">
        <f t="shared" si="5"/>
        <v>-51.726976238894729</v>
      </c>
      <c r="I51" s="105" t="s">
        <v>104</v>
      </c>
      <c r="J51" s="129">
        <v>-11.180650703526496</v>
      </c>
      <c r="K51" s="129">
        <v>-74.030219780219753</v>
      </c>
      <c r="L51" s="129">
        <v>-45.613263773677247</v>
      </c>
      <c r="M51" s="129">
        <f t="shared" si="6"/>
        <v>-57.667153706077912</v>
      </c>
      <c r="N51" s="129">
        <f t="shared" si="7"/>
        <v>-52.65648637864544</v>
      </c>
      <c r="O51" s="130">
        <f t="shared" si="8"/>
        <v>-5.010667327432472</v>
      </c>
      <c r="P51" s="131">
        <f t="shared" si="9"/>
        <v>62.849569076693257</v>
      </c>
    </row>
    <row r="56" spans="1:16" x14ac:dyDescent="0.25">
      <c r="B56" s="39" t="s">
        <v>135</v>
      </c>
      <c r="C56" s="132">
        <f>Scenarios!C6</f>
        <v>5000000000</v>
      </c>
    </row>
    <row r="57" spans="1:16" ht="15" customHeight="1" x14ac:dyDescent="0.25">
      <c r="B57" s="39" t="s">
        <v>92</v>
      </c>
      <c r="C57" s="135" t="str">
        <f>RIGHT(Scenarios!G27, 1)</f>
        <v>D</v>
      </c>
      <c r="D57" s="99"/>
      <c r="E57" s="99"/>
      <c r="F57" s="99"/>
      <c r="G57" s="99"/>
      <c r="H57" s="99"/>
      <c r="I57" s="99"/>
      <c r="J57" s="99"/>
      <c r="K57" s="99"/>
      <c r="L57" s="99"/>
      <c r="M57" s="99"/>
      <c r="N57" s="99"/>
      <c r="O57" s="99"/>
    </row>
    <row r="58" spans="1:16" ht="8.1" customHeight="1" x14ac:dyDescent="0.25">
      <c r="B58" s="99"/>
      <c r="C58" s="99"/>
      <c r="D58" s="99"/>
      <c r="E58" s="99"/>
      <c r="F58" s="99"/>
      <c r="G58" s="99"/>
      <c r="H58" s="99"/>
      <c r="I58" s="99"/>
      <c r="J58" s="99"/>
      <c r="K58" s="99"/>
      <c r="L58" s="99"/>
      <c r="M58" s="99"/>
      <c r="N58" s="99"/>
      <c r="O58" s="99"/>
    </row>
    <row r="59" spans="1:16" x14ac:dyDescent="0.25">
      <c r="A59" s="215"/>
      <c r="B59" s="214" t="s">
        <v>64</v>
      </c>
      <c r="C59" s="80" t="s">
        <v>97</v>
      </c>
      <c r="D59" s="80" t="s">
        <v>131</v>
      </c>
      <c r="E59" s="80" t="s">
        <v>98</v>
      </c>
      <c r="F59" s="80" t="s">
        <v>99</v>
      </c>
      <c r="G59" s="140" t="s">
        <v>156</v>
      </c>
      <c r="H59" s="80" t="s">
        <v>153</v>
      </c>
      <c r="I59" s="80" t="s">
        <v>122</v>
      </c>
      <c r="J59" s="80" t="s">
        <v>133</v>
      </c>
      <c r="K59" s="80" t="s">
        <v>154</v>
      </c>
      <c r="L59" s="80" t="s">
        <v>130</v>
      </c>
      <c r="M59" s="80" t="s">
        <v>116</v>
      </c>
      <c r="N59" s="80" t="s">
        <v>117</v>
      </c>
      <c r="O59" s="80" t="s">
        <v>118</v>
      </c>
      <c r="P59" s="69" t="s">
        <v>155</v>
      </c>
    </row>
    <row r="60" spans="1:16" x14ac:dyDescent="0.25">
      <c r="B60" s="103" t="s">
        <v>73</v>
      </c>
      <c r="C60" s="82">
        <v>45267</v>
      </c>
      <c r="D60" s="83">
        <v>11.53</v>
      </c>
      <c r="E60" s="104">
        <v>103.30217904295652</v>
      </c>
      <c r="F60" s="85">
        <v>5165108952.1478262</v>
      </c>
      <c r="G60" s="44">
        <v>5202222222.2222223</v>
      </c>
      <c r="H60" s="85">
        <v>37113270.074396133</v>
      </c>
      <c r="I60" s="86">
        <v>11.290522491061106</v>
      </c>
      <c r="J60" s="85">
        <v>-37257942.006642781</v>
      </c>
      <c r="K60" s="85">
        <v>-144671.93224664778</v>
      </c>
      <c r="L60" s="86">
        <v>11.493368538073028</v>
      </c>
      <c r="M60" s="85">
        <v>-36714927.274399951</v>
      </c>
      <c r="N60" s="85">
        <v>36758472.222222224</v>
      </c>
      <c r="O60" s="85">
        <v>43544.947822272778</v>
      </c>
      <c r="P60" s="87">
        <f>IF(K60&lt;&gt;"", O60+K60, "")</f>
        <v>-101126.984424375</v>
      </c>
    </row>
    <row r="61" spans="1:16" x14ac:dyDescent="0.25">
      <c r="B61" s="100" t="s">
        <v>75</v>
      </c>
      <c r="C61" s="51">
        <v>45540</v>
      </c>
      <c r="D61" s="50">
        <v>11.1</v>
      </c>
      <c r="E61">
        <v>99.112312182453664</v>
      </c>
      <c r="F61" s="44">
        <v>4955615609.1226835</v>
      </c>
      <c r="G61" s="44">
        <v>5404444444.4444447</v>
      </c>
      <c r="H61" s="44">
        <v>448828835.32176113</v>
      </c>
      <c r="I61" s="45">
        <v>11.734979434709564</v>
      </c>
      <c r="J61" s="44">
        <v>-478155499.68823886</v>
      </c>
      <c r="K61" s="44">
        <v>-29326664.366477728</v>
      </c>
      <c r="L61" s="45">
        <v>11.243845570491317</v>
      </c>
      <c r="M61" s="44">
        <v>-462246984.56464297</v>
      </c>
      <c r="N61" s="44">
        <v>473065555.55555546</v>
      </c>
      <c r="O61" s="44">
        <v>10818570.990912497</v>
      </c>
      <c r="P61" s="70">
        <f>IF(K61&lt;&gt;"", O61+K61, "")</f>
        <v>-18508093.375565231</v>
      </c>
    </row>
    <row r="62" spans="1:16" x14ac:dyDescent="0.25">
      <c r="B62" s="98" t="s">
        <v>74</v>
      </c>
      <c r="C62" s="51">
        <v>45631</v>
      </c>
      <c r="D62" s="50">
        <v>10.81</v>
      </c>
      <c r="E62">
        <v>103.6001318926447</v>
      </c>
      <c r="F62" s="44">
        <v>5180006594.6322346</v>
      </c>
      <c r="G62" s="44">
        <v>5758333333.333334</v>
      </c>
      <c r="H62" s="44">
        <v>578326738.7010994</v>
      </c>
      <c r="I62" s="45">
        <v>11.653507412192013</v>
      </c>
      <c r="J62" s="44">
        <v>-648926386.39181519</v>
      </c>
      <c r="K62" s="44">
        <v>-70599647.69071579</v>
      </c>
      <c r="L62" s="45">
        <v>11.007832546569402</v>
      </c>
      <c r="M62" s="44">
        <v>-591670999.3781054</v>
      </c>
      <c r="N62" s="44">
        <v>606834583.33333325</v>
      </c>
      <c r="O62" s="44">
        <v>15163583.955227852</v>
      </c>
      <c r="P62" s="70">
        <f>IF(K62&lt;&gt;"", O62+K62, "")</f>
        <v>-55436063.735487938</v>
      </c>
    </row>
    <row r="63" spans="1:16" x14ac:dyDescent="0.25">
      <c r="B63" s="100" t="s">
        <v>76</v>
      </c>
      <c r="C63" s="51">
        <v>45722</v>
      </c>
      <c r="D63" s="50">
        <v>10.4</v>
      </c>
      <c r="E63">
        <v>94.391269816421527</v>
      </c>
      <c r="F63" s="44">
        <v>4719563490.8210764</v>
      </c>
      <c r="G63" s="44">
        <v>5379166666.666666</v>
      </c>
      <c r="H63" s="44">
        <v>659603175.84558964</v>
      </c>
      <c r="I63" s="45">
        <v>11.423820493032618</v>
      </c>
      <c r="J63" s="44">
        <v>-715877312.43232656</v>
      </c>
      <c r="K63" s="44">
        <v>-56274136.586736917</v>
      </c>
      <c r="L63" s="45">
        <v>10.742610853814599</v>
      </c>
      <c r="M63" s="44">
        <v>-713189998.35046911</v>
      </c>
      <c r="N63" s="44">
        <v>730950833.33333325</v>
      </c>
      <c r="O63" s="44">
        <v>17760834.982864141</v>
      </c>
      <c r="P63" s="70">
        <f>IF(K63&lt;&gt;"", O63+K63, "")</f>
        <v>-38513301.603872776</v>
      </c>
    </row>
    <row r="64" spans="1:16" x14ac:dyDescent="0.25">
      <c r="B64" s="100" t="s">
        <v>77</v>
      </c>
      <c r="C64" s="51">
        <v>46086</v>
      </c>
      <c r="D64" s="50">
        <v>10.15</v>
      </c>
      <c r="E64">
        <v>92.110342330182959</v>
      </c>
      <c r="F64" s="44">
        <v>4605517116.5091476</v>
      </c>
      <c r="G64" s="44">
        <v>5726736111.1111116</v>
      </c>
      <c r="H64" s="44">
        <v>1121218994.601964</v>
      </c>
      <c r="I64" s="45">
        <v>10.164193447137924</v>
      </c>
      <c r="J64" s="44">
        <v>-1094865859.0746617</v>
      </c>
      <c r="K64" s="44">
        <v>26353135.527302265</v>
      </c>
      <c r="L64" s="45">
        <v>9.887609219052365</v>
      </c>
      <c r="M64" s="44">
        <v>-1156300967.0058458</v>
      </c>
      <c r="N64" s="44">
        <v>1108526944.4444442</v>
      </c>
      <c r="O64" s="44">
        <v>-47774022.561401606</v>
      </c>
      <c r="P64" s="70">
        <f>IF(K64&lt;&gt;"", O64+K64, "")</f>
        <v>-21420887.03409934</v>
      </c>
    </row>
    <row r="65" spans="1:16" x14ac:dyDescent="0.25">
      <c r="B65" s="98"/>
      <c r="C65" s="51"/>
      <c r="D65" s="101"/>
      <c r="E65" s="50"/>
      <c r="G65" s="44"/>
      <c r="H65" s="44"/>
      <c r="I65" s="44"/>
      <c r="J65" s="45"/>
      <c r="K65" s="44"/>
      <c r="L65" s="44"/>
      <c r="M65" s="45"/>
      <c r="N65" s="44"/>
      <c r="O65" s="44"/>
      <c r="P65" s="108"/>
    </row>
    <row r="66" spans="1:16" x14ac:dyDescent="0.25">
      <c r="B66" s="98"/>
      <c r="C66" s="51"/>
      <c r="D66" s="101"/>
      <c r="E66" s="50"/>
      <c r="G66" s="44"/>
      <c r="H66" s="44"/>
      <c r="I66" s="44"/>
      <c r="J66" s="45"/>
      <c r="K66" s="44"/>
      <c r="L66" s="44"/>
      <c r="M66" s="45"/>
      <c r="N66" s="44"/>
      <c r="O66" s="44"/>
      <c r="P66" s="108"/>
    </row>
    <row r="67" spans="1:16" x14ac:dyDescent="0.25">
      <c r="B67" s="98"/>
      <c r="C67" s="51"/>
      <c r="D67" s="101"/>
      <c r="E67" s="50"/>
      <c r="G67" s="44"/>
      <c r="H67" s="44"/>
      <c r="I67" s="44"/>
      <c r="J67" s="45"/>
      <c r="K67" s="44"/>
      <c r="L67" s="44"/>
      <c r="M67" s="45"/>
      <c r="N67" s="44"/>
      <c r="O67" s="44"/>
      <c r="P67" s="108"/>
    </row>
    <row r="68" spans="1:16" x14ac:dyDescent="0.25">
      <c r="B68" s="105"/>
      <c r="C68" s="72"/>
      <c r="D68" s="106"/>
      <c r="E68" s="71"/>
      <c r="F68" s="107"/>
      <c r="G68" s="74"/>
      <c r="H68" s="74"/>
      <c r="I68" s="74"/>
      <c r="J68" s="75"/>
      <c r="K68" s="74"/>
      <c r="L68" s="74"/>
      <c r="M68" s="75"/>
      <c r="N68" s="74"/>
      <c r="O68" s="74"/>
      <c r="P68" s="109"/>
    </row>
    <row r="69" spans="1:16" x14ac:dyDescent="0.25">
      <c r="B69" s="35"/>
      <c r="C69" s="51"/>
      <c r="D69" s="101"/>
      <c r="E69" s="50"/>
      <c r="H69" s="44"/>
      <c r="I69" s="44"/>
      <c r="J69" s="45"/>
      <c r="K69" s="44"/>
      <c r="L69" s="44"/>
      <c r="M69" s="45"/>
      <c r="N69" s="44"/>
      <c r="O69" s="44"/>
      <c r="P69" s="44"/>
    </row>
    <row r="70" spans="1:16" x14ac:dyDescent="0.25">
      <c r="B70" s="133"/>
      <c r="C70" s="51"/>
      <c r="D70" s="101"/>
      <c r="E70" s="50"/>
      <c r="H70" s="44"/>
      <c r="I70" s="44"/>
      <c r="J70" s="102"/>
      <c r="K70" s="44"/>
      <c r="L70" s="44"/>
      <c r="M70" s="45"/>
      <c r="N70" s="44"/>
      <c r="O70" s="44"/>
      <c r="P70" s="44"/>
    </row>
    <row r="71" spans="1:16" x14ac:dyDescent="0.25">
      <c r="A71" s="215"/>
      <c r="B71" s="214" t="s">
        <v>64</v>
      </c>
      <c r="C71" s="80" t="s">
        <v>97</v>
      </c>
      <c r="D71" s="80" t="s">
        <v>131</v>
      </c>
      <c r="E71" s="80" t="s">
        <v>98</v>
      </c>
      <c r="F71" s="80" t="s">
        <v>99</v>
      </c>
      <c r="G71" s="140" t="s">
        <v>156</v>
      </c>
      <c r="H71" s="80" t="s">
        <v>153</v>
      </c>
      <c r="I71" s="80" t="s">
        <v>122</v>
      </c>
      <c r="J71" s="80" t="s">
        <v>133</v>
      </c>
      <c r="K71" s="80" t="s">
        <v>154</v>
      </c>
      <c r="L71" s="80" t="s">
        <v>130</v>
      </c>
      <c r="M71" s="80" t="s">
        <v>116</v>
      </c>
      <c r="N71" s="80" t="s">
        <v>117</v>
      </c>
      <c r="O71" s="80" t="s">
        <v>118</v>
      </c>
      <c r="P71" s="69" t="s">
        <v>155</v>
      </c>
    </row>
    <row r="72" spans="1:16" x14ac:dyDescent="0.25">
      <c r="B72" s="111" t="s">
        <v>73</v>
      </c>
      <c r="C72" s="82">
        <v>45267</v>
      </c>
      <c r="D72" s="67">
        <v>10.039999999999999</v>
      </c>
      <c r="E72" s="104">
        <v>103.39547491654459</v>
      </c>
      <c r="F72" s="85">
        <v>5169773745.8272295</v>
      </c>
      <c r="G72" s="44">
        <v>5202222222.2222223</v>
      </c>
      <c r="H72" s="85">
        <v>32448476.394992828</v>
      </c>
      <c r="I72" s="86">
        <v>11.290522491061106</v>
      </c>
      <c r="J72" s="85">
        <v>-37291590.97977972</v>
      </c>
      <c r="K72" s="85">
        <v>-4843114.5847868919</v>
      </c>
      <c r="L72" s="86">
        <v>11.493865574321022</v>
      </c>
      <c r="M72" s="85">
        <v>-36716515.029081039</v>
      </c>
      <c r="N72" s="85">
        <v>36758472.222222224</v>
      </c>
      <c r="O72" s="85">
        <v>41957.193141184747</v>
      </c>
      <c r="P72" s="87">
        <f>IF(K72&lt;&gt;"", O72+K72, "")</f>
        <v>-4801157.3916457072</v>
      </c>
    </row>
    <row r="73" spans="1:16" x14ac:dyDescent="0.25">
      <c r="B73" s="112" t="s">
        <v>75</v>
      </c>
      <c r="C73" s="51">
        <v>45540</v>
      </c>
      <c r="D73" s="67">
        <v>9.99</v>
      </c>
      <c r="E73">
        <v>99.953879854907214</v>
      </c>
      <c r="F73" s="44">
        <v>4997693992.7453604</v>
      </c>
      <c r="G73" s="44">
        <v>5404444444.4444447</v>
      </c>
      <c r="H73" s="44">
        <v>406750451.69908428</v>
      </c>
      <c r="I73" s="45">
        <v>11.734979434709564</v>
      </c>
      <c r="J73" s="44">
        <v>-482215542.30133742</v>
      </c>
      <c r="K73" s="44">
        <v>-75465090.602253139</v>
      </c>
      <c r="L73" s="45">
        <v>11.243937542599975</v>
      </c>
      <c r="M73" s="44">
        <v>-462250765.64022118</v>
      </c>
      <c r="N73" s="44">
        <v>473065555.55555546</v>
      </c>
      <c r="O73" s="44">
        <v>10814789.915334284</v>
      </c>
      <c r="P73" s="70">
        <f>IF(K73&lt;&gt;"", O73+K73, "")</f>
        <v>-64650300.686918855</v>
      </c>
    </row>
    <row r="74" spans="1:16" x14ac:dyDescent="0.25">
      <c r="B74" s="113" t="s">
        <v>76</v>
      </c>
      <c r="C74" s="51">
        <v>45722</v>
      </c>
      <c r="D74" s="67">
        <v>10.98</v>
      </c>
      <c r="E74">
        <v>93.724125923057201</v>
      </c>
      <c r="F74" s="44">
        <v>4686206296.1528597</v>
      </c>
      <c r="G74" s="44">
        <v>5379166666.666666</v>
      </c>
      <c r="H74" s="44">
        <v>692960370.51380634</v>
      </c>
      <c r="I74" s="45">
        <v>11.423820493032618</v>
      </c>
      <c r="J74" s="44">
        <v>-710817594.74533975</v>
      </c>
      <c r="K74" s="44">
        <v>-17857224.231533408</v>
      </c>
      <c r="L74" s="45">
        <v>10.752423604048793</v>
      </c>
      <c r="M74" s="44">
        <v>-713841455.93546164</v>
      </c>
      <c r="N74" s="44">
        <v>730950833.33333325</v>
      </c>
      <c r="O74" s="44">
        <v>17109377.397871614</v>
      </c>
      <c r="P74" s="70">
        <f>IF(K74&lt;&gt;"", O74+K74, "")</f>
        <v>-747846.83366179466</v>
      </c>
    </row>
    <row r="75" spans="1:16" x14ac:dyDescent="0.25">
      <c r="B75" s="112"/>
      <c r="C75" s="51"/>
      <c r="D75" s="67"/>
      <c r="F75" s="44"/>
      <c r="G75" s="44"/>
      <c r="H75" s="44"/>
      <c r="I75" s="45"/>
      <c r="J75" s="44"/>
      <c r="K75" s="44"/>
      <c r="L75" s="45"/>
      <c r="M75" s="44"/>
      <c r="N75" s="44"/>
      <c r="O75" s="44"/>
      <c r="P75" s="70" t="str">
        <f>IF(K75&lt;&gt;"", O75+K75, "")</f>
        <v/>
      </c>
    </row>
    <row r="76" spans="1:16" x14ac:dyDescent="0.25">
      <c r="B76" s="112"/>
      <c r="C76" s="51"/>
      <c r="D76" s="67"/>
      <c r="F76" s="44"/>
      <c r="G76" s="44"/>
      <c r="H76" s="44"/>
      <c r="I76" s="45"/>
      <c r="J76" s="44"/>
      <c r="K76" s="44"/>
      <c r="L76" s="45"/>
      <c r="M76" s="44"/>
      <c r="N76" s="44"/>
      <c r="O76" s="44"/>
      <c r="P76" s="70" t="str">
        <f>IF(K76&lt;&gt;"", O76+K76, "")</f>
        <v/>
      </c>
    </row>
    <row r="77" spans="1:16" x14ac:dyDescent="0.25">
      <c r="B77" s="113"/>
      <c r="C77" s="51"/>
      <c r="D77" s="67"/>
      <c r="E77" s="50"/>
      <c r="G77" s="44"/>
      <c r="H77" s="44"/>
      <c r="I77" s="44"/>
      <c r="J77" s="45"/>
      <c r="K77" s="44"/>
      <c r="L77" s="44"/>
      <c r="M77" s="45"/>
      <c r="N77" s="44"/>
      <c r="O77" s="44"/>
      <c r="P77" s="108"/>
    </row>
    <row r="78" spans="1:16" x14ac:dyDescent="0.25">
      <c r="B78" s="113"/>
      <c r="C78" s="51"/>
      <c r="D78" s="67"/>
      <c r="E78" s="50"/>
      <c r="G78" s="44"/>
      <c r="H78" s="44"/>
      <c r="I78" s="44"/>
      <c r="J78" s="45"/>
      <c r="K78" s="44"/>
      <c r="L78" s="44"/>
      <c r="M78" s="45"/>
      <c r="N78" s="44"/>
      <c r="O78" s="44"/>
      <c r="P78" s="108"/>
    </row>
    <row r="79" spans="1:16" x14ac:dyDescent="0.25">
      <c r="B79" s="113"/>
      <c r="C79" s="51"/>
      <c r="D79" s="67"/>
      <c r="E79" s="50"/>
      <c r="G79" s="44"/>
      <c r="H79" s="44"/>
      <c r="I79" s="44"/>
      <c r="J79" s="45"/>
      <c r="K79" s="44"/>
      <c r="L79" s="44"/>
      <c r="M79" s="45"/>
      <c r="N79" s="44"/>
      <c r="O79" s="44"/>
      <c r="P79" s="108"/>
    </row>
    <row r="80" spans="1:16" x14ac:dyDescent="0.25">
      <c r="B80" s="114"/>
      <c r="C80" s="72"/>
      <c r="D80" s="110"/>
      <c r="E80" s="71"/>
      <c r="F80" s="107"/>
      <c r="G80" s="74"/>
      <c r="H80" s="74"/>
      <c r="I80" s="74"/>
      <c r="J80" s="75"/>
      <c r="K80" s="74"/>
      <c r="L80" s="74"/>
      <c r="M80" s="75"/>
      <c r="N80" s="74"/>
      <c r="O80" s="74"/>
      <c r="P80" s="109"/>
    </row>
    <row r="81" spans="2:16" x14ac:dyDescent="0.25">
      <c r="B81" s="91"/>
      <c r="C81" s="51"/>
      <c r="E81" s="50"/>
      <c r="F81" s="43"/>
      <c r="G81" s="44"/>
      <c r="H81" s="44"/>
      <c r="I81" s="45"/>
      <c r="J81" s="44"/>
      <c r="K81" s="44"/>
      <c r="L81" s="45"/>
      <c r="M81" s="44"/>
      <c r="N81" s="44"/>
      <c r="O81" s="44"/>
      <c r="P81" s="96"/>
    </row>
    <row r="82" spans="2:16" x14ac:dyDescent="0.25">
      <c r="B82" s="91"/>
      <c r="C82" s="51"/>
      <c r="E82" s="50"/>
      <c r="F82" s="43"/>
      <c r="G82" s="44"/>
      <c r="H82" s="44"/>
      <c r="I82" s="45"/>
      <c r="J82" s="44"/>
      <c r="K82" s="44"/>
      <c r="L82" s="45"/>
      <c r="M82" s="44"/>
      <c r="N82" s="44"/>
      <c r="O82" s="44"/>
      <c r="P82" s="96"/>
    </row>
    <row r="83" spans="2:16" x14ac:dyDescent="0.25">
      <c r="B83" s="91"/>
      <c r="C83" s="51"/>
      <c r="E83" s="50"/>
      <c r="F83" s="43"/>
      <c r="G83" s="44"/>
      <c r="H83" s="44"/>
      <c r="I83" s="45"/>
      <c r="J83" s="44"/>
      <c r="K83" s="44"/>
      <c r="L83" s="45"/>
      <c r="M83" s="44"/>
      <c r="N83" s="44"/>
      <c r="O83" s="44"/>
      <c r="P83" s="96"/>
    </row>
    <row r="84" spans="2:16" x14ac:dyDescent="0.25">
      <c r="B84" s="91"/>
      <c r="C84" s="51"/>
      <c r="E84" s="50"/>
      <c r="F84" s="43"/>
      <c r="G84" s="44"/>
      <c r="H84" s="44"/>
      <c r="I84" s="45"/>
      <c r="J84" s="44"/>
      <c r="K84" s="44"/>
      <c r="L84" s="45"/>
      <c r="M84" s="44"/>
      <c r="N84" s="44"/>
      <c r="O84" s="44"/>
      <c r="P84" s="96"/>
    </row>
    <row r="85" spans="2:16" x14ac:dyDescent="0.25">
      <c r="B85" s="91"/>
      <c r="C85" s="51"/>
      <c r="E85" s="50"/>
      <c r="F85" s="43"/>
      <c r="G85" s="44"/>
      <c r="H85" s="44"/>
      <c r="I85" s="45"/>
      <c r="J85" s="44"/>
      <c r="K85" s="44"/>
      <c r="L85" s="45"/>
      <c r="M85" s="44"/>
      <c r="N85" s="44"/>
      <c r="O85" s="44"/>
      <c r="P85" s="96"/>
    </row>
    <row r="86" spans="2:16" x14ac:dyDescent="0.25">
      <c r="B86" s="91"/>
      <c r="C86" s="51"/>
      <c r="E86" s="50"/>
      <c r="F86" s="43"/>
      <c r="G86" s="44"/>
      <c r="H86" s="44"/>
      <c r="I86" s="45"/>
      <c r="J86" s="44"/>
      <c r="K86" s="44"/>
      <c r="L86" s="45"/>
      <c r="M86" s="44"/>
      <c r="N86" s="44"/>
      <c r="O86" s="44"/>
      <c r="P86" s="96"/>
    </row>
    <row r="87" spans="2:16" x14ac:dyDescent="0.25">
      <c r="B87" s="91"/>
      <c r="C87" s="51"/>
      <c r="E87" s="50"/>
      <c r="F87" s="43"/>
      <c r="G87" s="44"/>
      <c r="H87" s="44"/>
      <c r="I87" s="45"/>
      <c r="J87" s="44"/>
      <c r="K87" s="44"/>
      <c r="L87" s="45"/>
      <c r="M87" s="44"/>
      <c r="N87" s="44"/>
      <c r="O87" s="44"/>
      <c r="P87" s="96"/>
    </row>
    <row r="88" spans="2:16" x14ac:dyDescent="0.25">
      <c r="B88" s="91"/>
      <c r="C88" s="51"/>
      <c r="E88" s="50"/>
      <c r="F88" s="43"/>
      <c r="G88" s="44"/>
      <c r="H88" s="44"/>
      <c r="I88" s="45"/>
      <c r="J88" s="44"/>
      <c r="K88" s="44"/>
      <c r="L88" s="45"/>
      <c r="M88" s="44"/>
      <c r="N88" s="44"/>
      <c r="O88" s="44"/>
      <c r="P88" s="96"/>
    </row>
    <row r="89" spans="2:16" x14ac:dyDescent="0.25">
      <c r="B89" s="91"/>
      <c r="C89" s="51"/>
      <c r="E89" s="50"/>
      <c r="F89" s="43"/>
      <c r="G89" s="44"/>
      <c r="H89" s="44"/>
      <c r="I89" s="45"/>
      <c r="J89" s="44"/>
      <c r="K89" s="44"/>
      <c r="L89" s="45"/>
      <c r="M89" s="44"/>
      <c r="N89" s="44"/>
      <c r="O89" s="44"/>
      <c r="P89" s="96"/>
    </row>
    <row r="90" spans="2:16" x14ac:dyDescent="0.25">
      <c r="B90" s="91"/>
      <c r="C90" s="51"/>
      <c r="E90" s="50"/>
      <c r="F90" s="43"/>
      <c r="G90" s="44"/>
      <c r="H90" s="44"/>
      <c r="I90" s="45"/>
      <c r="J90" s="44"/>
      <c r="K90" s="44"/>
      <c r="L90" s="45"/>
      <c r="M90" s="44"/>
      <c r="N90" s="44"/>
      <c r="O90" s="44"/>
      <c r="P90" s="96"/>
    </row>
    <row r="91" spans="2:16" x14ac:dyDescent="0.25">
      <c r="B91" s="91"/>
      <c r="C91" s="51"/>
      <c r="E91" s="50"/>
      <c r="F91" s="43"/>
      <c r="G91" s="44"/>
      <c r="H91" s="44"/>
      <c r="I91" s="45"/>
      <c r="J91" s="44"/>
      <c r="K91" s="44"/>
      <c r="L91" s="45"/>
      <c r="M91" s="44"/>
      <c r="N91" s="44"/>
      <c r="O91" s="44"/>
      <c r="P91" s="96"/>
    </row>
    <row r="92" spans="2:16" x14ac:dyDescent="0.25">
      <c r="B92" s="91"/>
      <c r="C92" s="51"/>
      <c r="E92" s="50"/>
      <c r="F92" s="43"/>
      <c r="G92" s="44"/>
      <c r="H92" s="44"/>
      <c r="I92" s="45"/>
      <c r="J92" s="44"/>
      <c r="K92" s="44"/>
      <c r="L92" s="45"/>
      <c r="M92" s="44"/>
      <c r="N92" s="44"/>
      <c r="O92" s="44"/>
      <c r="P92" s="96"/>
    </row>
    <row r="93" spans="2:16" x14ac:dyDescent="0.25">
      <c r="B93" s="97"/>
      <c r="C93" s="51"/>
      <c r="E93" s="50"/>
      <c r="F93" s="43"/>
      <c r="G93" s="44"/>
      <c r="H93" s="44"/>
      <c r="I93" s="45"/>
      <c r="J93" s="44"/>
      <c r="K93" s="44"/>
      <c r="L93" s="45"/>
      <c r="M93" s="44"/>
      <c r="N93" s="44"/>
      <c r="O93" s="44"/>
      <c r="P93" s="96"/>
    </row>
  </sheetData>
  <conditionalFormatting sqref="B2:C2">
    <cfRule type="expression" dxfId="5" priority="11">
      <formula>$C$1="Cross Sectional"</formula>
    </cfRule>
  </conditionalFormatting>
  <conditionalFormatting sqref="B3">
    <cfRule type="expression" dxfId="4" priority="10">
      <formula>$C$1="Cross Sectional"</formula>
    </cfRule>
  </conditionalFormatting>
  <conditionalFormatting sqref="C3">
    <cfRule type="expression" dxfId="3" priority="9">
      <formula>$C$1="Cross Sectional"</formula>
    </cfRule>
  </conditionalFormatting>
  <conditionalFormatting sqref="F33:G5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2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2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2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2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60:P64 P81:P93 P72:P76">
    <cfRule type="colorScale" priority="1">
      <colorScale>
        <cfvo type="min"/>
        <cfvo type="percentile" val="50"/>
        <cfvo type="max"/>
        <color theme="5" tint="0.39997558519241921"/>
        <color rgb="FFFFEB84"/>
        <color rgb="FF63BE7B"/>
      </colorScale>
    </cfRule>
  </conditionalFormatting>
  <dataValidations count="2">
    <dataValidation type="custom" allowBlank="1" showInputMessage="1" showErrorMessage="1" sqref="B26:B30" xr:uid="{2B4EDE94-7600-4364-A0FE-DD876C6B3AC3}">
      <formula1>ISTEXT(B26:B70)</formula1>
    </dataValidation>
    <dataValidation type="custom" allowBlank="1" showInputMessage="1" showErrorMessage="1" sqref="I33:I51" xr:uid="{1DD3743F-AA37-4312-A07E-616B62523DB8}">
      <formula1>ISTEXT(B26:B51)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1BA9E-76CF-459E-BDE4-1F9AEBD4079C}">
  <sheetPr codeName="Hoja5"/>
  <dimension ref="A1:P112"/>
  <sheetViews>
    <sheetView showGridLines="0" tabSelected="1" zoomScale="90" zoomScaleNormal="90" workbookViewId="0">
      <selection activeCell="F29" sqref="F29"/>
    </sheetView>
  </sheetViews>
  <sheetFormatPr baseColWidth="10" defaultColWidth="11.42578125" defaultRowHeight="15" x14ac:dyDescent="0.25"/>
  <cols>
    <col min="1" max="1" width="3.7109375" customWidth="1"/>
    <col min="2" max="2" width="12.7109375" bestFit="1" customWidth="1"/>
    <col min="3" max="3" width="13.5703125" bestFit="1" customWidth="1"/>
    <col min="4" max="4" width="12.7109375" bestFit="1" customWidth="1"/>
    <col min="6" max="6" width="13.5703125" bestFit="1" customWidth="1"/>
    <col min="7" max="7" width="16.28515625" bestFit="1" customWidth="1"/>
    <col min="8" max="8" width="12" bestFit="1" customWidth="1"/>
    <col min="9" max="9" width="14.85546875" bestFit="1" customWidth="1"/>
    <col min="10" max="10" width="12.7109375" bestFit="1" customWidth="1"/>
    <col min="11" max="11" width="12.85546875" bestFit="1" customWidth="1"/>
    <col min="12" max="12" width="14.28515625" bestFit="1" customWidth="1"/>
    <col min="13" max="13" width="14.140625" bestFit="1" customWidth="1"/>
    <col min="14" max="14" width="13.5703125" bestFit="1" customWidth="1"/>
    <col min="15" max="15" width="12" bestFit="1" customWidth="1"/>
    <col min="16" max="16" width="12.7109375" bestFit="1" customWidth="1"/>
  </cols>
  <sheetData>
    <row r="1" spans="2:13" ht="6.95" customHeight="1" x14ac:dyDescent="0.25"/>
    <row r="2" spans="2:13" x14ac:dyDescent="0.25">
      <c r="B2" s="2" t="s">
        <v>71</v>
      </c>
      <c r="C2" s="144">
        <f>ASW_Bonos!C2</f>
        <v>45108</v>
      </c>
    </row>
    <row r="3" spans="2:13" x14ac:dyDescent="0.25">
      <c r="B3" s="2" t="s">
        <v>72</v>
      </c>
      <c r="C3" s="144">
        <f ca="1">WORKDAY(TODAY(),-1)</f>
        <v>45240</v>
      </c>
    </row>
    <row r="5" spans="2:13" x14ac:dyDescent="0.25">
      <c r="B5" s="32" t="s">
        <v>105</v>
      </c>
      <c r="C5" s="33"/>
      <c r="D5" s="33"/>
      <c r="E5" s="33"/>
      <c r="I5" s="32" t="s">
        <v>69</v>
      </c>
    </row>
    <row r="6" spans="2:13" x14ac:dyDescent="0.25">
      <c r="B6" s="47" t="s">
        <v>144</v>
      </c>
      <c r="C6" s="47" t="s">
        <v>106</v>
      </c>
      <c r="D6" s="47" t="s">
        <v>107</v>
      </c>
      <c r="E6" s="47" t="s">
        <v>147</v>
      </c>
      <c r="F6" s="47" t="s">
        <v>109</v>
      </c>
      <c r="G6" s="213" t="s">
        <v>148</v>
      </c>
      <c r="H6" s="48"/>
      <c r="I6" s="47" t="s">
        <v>111</v>
      </c>
      <c r="J6" s="47" t="s">
        <v>112</v>
      </c>
      <c r="K6" s="47" t="s">
        <v>151</v>
      </c>
      <c r="L6" s="47" t="s">
        <v>114</v>
      </c>
      <c r="M6" s="47" t="s">
        <v>152</v>
      </c>
    </row>
    <row r="7" spans="2:13" x14ac:dyDescent="0.25">
      <c r="B7" s="141">
        <v>7</v>
      </c>
      <c r="C7" s="115">
        <v>11.164300000000001</v>
      </c>
      <c r="D7" s="115">
        <v>11.459935167495949</v>
      </c>
      <c r="E7" s="115">
        <v>11.46105027045774</v>
      </c>
      <c r="F7" s="116">
        <f>IF(C7&lt;&gt;"", (D7-C7)*100, "")</f>
        <v>29.563516749594854</v>
      </c>
      <c r="G7" s="117">
        <f>IF(C7&lt;&gt;"", (E7-C7)*100, "")</f>
        <v>29.675027045773916</v>
      </c>
      <c r="I7" s="122">
        <v>11.1586</v>
      </c>
      <c r="J7" s="115">
        <v>11.469729530161866</v>
      </c>
      <c r="K7" s="115">
        <v>11.46783451782505</v>
      </c>
      <c r="L7" s="116">
        <f>IF(I7&lt;&gt;"", (J7-I7)*100, "")</f>
        <v>31.112953016186573</v>
      </c>
      <c r="M7" s="117">
        <f>IF(I7&lt;&gt;"", (K7-I7)*100, "")</f>
        <v>30.92345178250504</v>
      </c>
    </row>
    <row r="8" spans="2:13" x14ac:dyDescent="0.25">
      <c r="B8" s="142">
        <v>28</v>
      </c>
      <c r="C8" s="92">
        <v>10.9857</v>
      </c>
      <c r="D8" s="92">
        <v>11.503450317106026</v>
      </c>
      <c r="E8" s="92">
        <v>11.50485467030658</v>
      </c>
      <c r="F8" s="93">
        <f t="shared" ref="F8:F18" si="0">IF(C8&lt;&gt;"", (D8-C8)*100, "")</f>
        <v>51.775031710602626</v>
      </c>
      <c r="G8" s="118">
        <f t="shared" ref="G8:G19" si="1">IF(C8&lt;&gt;"", (E8-C8)*100, "")</f>
        <v>51.915467030658036</v>
      </c>
      <c r="I8" s="123">
        <v>10.972899999999999</v>
      </c>
      <c r="J8" s="92">
        <v>11.506999999789109</v>
      </c>
      <c r="K8" s="92">
        <v>11.50691921644777</v>
      </c>
      <c r="L8" s="93">
        <f t="shared" ref="L8:L18" si="2">IF(I8&lt;&gt;"", (J8-I8)*100, "")</f>
        <v>53.40999997891096</v>
      </c>
      <c r="M8" s="118">
        <f t="shared" ref="M8:M19" si="3">IF(I8&lt;&gt;"", (K8-I8)*100, "")</f>
        <v>53.401921644777062</v>
      </c>
    </row>
    <row r="9" spans="2:13" x14ac:dyDescent="0.25">
      <c r="B9" s="142">
        <v>56</v>
      </c>
      <c r="C9" s="92">
        <v>11.322900000000001</v>
      </c>
      <c r="D9" s="92">
        <v>11.516881567596785</v>
      </c>
      <c r="E9" s="92">
        <v>11.567455468477521</v>
      </c>
      <c r="F9" s="93">
        <f t="shared" si="0"/>
        <v>19.398156759678464</v>
      </c>
      <c r="G9" s="118">
        <f t="shared" si="1"/>
        <v>24.455546847751997</v>
      </c>
      <c r="I9" s="123">
        <v>11.33</v>
      </c>
      <c r="J9" s="92">
        <v>11.50700348001854</v>
      </c>
      <c r="K9" s="92">
        <v>11.55877693256461</v>
      </c>
      <c r="L9" s="93">
        <f t="shared" si="2"/>
        <v>17.700348001853961</v>
      </c>
      <c r="M9" s="118">
        <f t="shared" si="3"/>
        <v>22.877693256461029</v>
      </c>
    </row>
    <row r="10" spans="2:13" x14ac:dyDescent="0.25">
      <c r="B10" s="142">
        <v>91</v>
      </c>
      <c r="C10" s="92">
        <v>11.38</v>
      </c>
      <c r="D10" s="92">
        <v>11.508714505670884</v>
      </c>
      <c r="E10" s="92">
        <v>11.6288351352667</v>
      </c>
      <c r="F10" s="93">
        <f t="shared" si="0"/>
        <v>12.871450567088338</v>
      </c>
      <c r="G10" s="118">
        <f t="shared" si="1"/>
        <v>24.883513526669887</v>
      </c>
      <c r="I10" s="123">
        <v>11.38</v>
      </c>
      <c r="J10" s="92">
        <v>11.495581428332152</v>
      </c>
      <c r="K10" s="92">
        <v>11.616207802535699</v>
      </c>
      <c r="L10" s="93">
        <f t="shared" si="2"/>
        <v>11.558142833215079</v>
      </c>
      <c r="M10" s="118">
        <f t="shared" si="3"/>
        <v>23.620780253569862</v>
      </c>
    </row>
    <row r="11" spans="2:13" x14ac:dyDescent="0.25">
      <c r="B11" s="142">
        <v>133</v>
      </c>
      <c r="C11" s="92">
        <v>11.482900000000001</v>
      </c>
      <c r="D11" s="92">
        <v>11.477122878076043</v>
      </c>
      <c r="E11" s="92">
        <v>11.67540223169919</v>
      </c>
      <c r="F11" s="93">
        <f t="shared" si="0"/>
        <v>-0.57771219239572957</v>
      </c>
      <c r="G11" s="118">
        <f t="shared" si="1"/>
        <v>19.25022316991889</v>
      </c>
      <c r="I11" s="123">
        <v>11.481400000000001</v>
      </c>
      <c r="J11" s="92">
        <v>11.47699590813788</v>
      </c>
      <c r="K11" s="92">
        <v>11.6734601108737</v>
      </c>
      <c r="L11" s="93">
        <f t="shared" si="2"/>
        <v>-0.44040918621206515</v>
      </c>
      <c r="M11" s="118">
        <f t="shared" si="3"/>
        <v>19.206011087369923</v>
      </c>
    </row>
    <row r="12" spans="2:13" x14ac:dyDescent="0.25">
      <c r="B12" s="142">
        <v>182</v>
      </c>
      <c r="C12" s="92">
        <v>11.57</v>
      </c>
      <c r="D12" s="92">
        <v>11.428698672669318</v>
      </c>
      <c r="E12" s="92">
        <v>11.71674920838187</v>
      </c>
      <c r="F12" s="93">
        <f t="shared" si="0"/>
        <v>-14.130132733068201</v>
      </c>
      <c r="G12" s="118">
        <f t="shared" si="1"/>
        <v>14.674920838186978</v>
      </c>
      <c r="I12" s="123">
        <v>11.572900000000001</v>
      </c>
      <c r="J12" s="92">
        <v>11.441795052621334</v>
      </c>
      <c r="K12" s="92">
        <v>11.727931509244559</v>
      </c>
      <c r="L12" s="93">
        <f t="shared" si="2"/>
        <v>-13.110494737866674</v>
      </c>
      <c r="M12" s="118">
        <f t="shared" si="3"/>
        <v>15.503150924455866</v>
      </c>
    </row>
    <row r="13" spans="2:13" x14ac:dyDescent="0.25">
      <c r="B13" s="142">
        <v>210</v>
      </c>
      <c r="C13" s="92">
        <v>11.556800000000001</v>
      </c>
      <c r="D13" s="92">
        <v>11.396893295816442</v>
      </c>
      <c r="E13" s="92">
        <v>11.735488519362111</v>
      </c>
      <c r="F13" s="93">
        <f t="shared" si="0"/>
        <v>-15.99067041835589</v>
      </c>
      <c r="G13" s="118">
        <f t="shared" si="1"/>
        <v>17.868851936210994</v>
      </c>
      <c r="I13" s="123">
        <v>11.53</v>
      </c>
      <c r="J13" s="92">
        <v>11.415703201136782</v>
      </c>
      <c r="K13" s="92">
        <v>11.752218308969709</v>
      </c>
      <c r="L13" s="93">
        <f t="shared" si="2"/>
        <v>-11.429679886321686</v>
      </c>
      <c r="M13" s="118">
        <f t="shared" si="3"/>
        <v>22.221830896971007</v>
      </c>
    </row>
    <row r="14" spans="2:13" x14ac:dyDescent="0.25">
      <c r="B14" s="142">
        <v>280</v>
      </c>
      <c r="C14" s="92">
        <v>11.55</v>
      </c>
      <c r="D14" s="92">
        <v>11.280322503489021</v>
      </c>
      <c r="E14" s="92">
        <v>11.739159961428101</v>
      </c>
      <c r="F14" s="93">
        <f t="shared" si="0"/>
        <v>-26.967749651097961</v>
      </c>
      <c r="G14" s="118">
        <f t="shared" si="1"/>
        <v>18.915996142809988</v>
      </c>
      <c r="I14" s="123">
        <v>11.5771</v>
      </c>
      <c r="J14" s="92">
        <v>11.321311270431037</v>
      </c>
      <c r="K14" s="92">
        <v>11.77808153872391</v>
      </c>
      <c r="L14" s="93">
        <f t="shared" si="2"/>
        <v>-25.578872956896248</v>
      </c>
      <c r="M14" s="118">
        <f t="shared" si="3"/>
        <v>20.098153872391045</v>
      </c>
    </row>
    <row r="15" spans="2:13" x14ac:dyDescent="0.25">
      <c r="B15" s="142">
        <v>364</v>
      </c>
      <c r="C15" s="92">
        <v>11.54</v>
      </c>
      <c r="D15" s="92">
        <v>11.072688281292873</v>
      </c>
      <c r="E15" s="92">
        <v>11.66111415938702</v>
      </c>
      <c r="F15" s="93">
        <f t="shared" si="0"/>
        <v>-46.731171870712629</v>
      </c>
      <c r="G15" s="118">
        <f t="shared" si="1"/>
        <v>12.11141593870213</v>
      </c>
      <c r="I15" s="123">
        <v>11.5943</v>
      </c>
      <c r="J15" s="92">
        <v>11.148103438981076</v>
      </c>
      <c r="K15" s="92">
        <v>11.737899436473789</v>
      </c>
      <c r="L15" s="93">
        <f t="shared" si="2"/>
        <v>-44.619656101892424</v>
      </c>
      <c r="M15" s="118">
        <f t="shared" si="3"/>
        <v>14.35994364737887</v>
      </c>
    </row>
    <row r="16" spans="2:13" x14ac:dyDescent="0.25">
      <c r="B16" s="142">
        <v>448</v>
      </c>
      <c r="C16" s="92">
        <v>11.4086</v>
      </c>
      <c r="D16" s="92">
        <v>10.830755202735205</v>
      </c>
      <c r="E16" s="92">
        <v>11.530277408864141</v>
      </c>
      <c r="F16" s="93">
        <f t="shared" si="0"/>
        <v>-57.784479726479532</v>
      </c>
      <c r="G16" s="118">
        <f t="shared" si="1"/>
        <v>12.16774088641408</v>
      </c>
      <c r="I16" s="123">
        <v>11.458600000000001</v>
      </c>
      <c r="J16" s="92">
        <v>10.926129424633775</v>
      </c>
      <c r="K16" s="92">
        <v>11.63421772131786</v>
      </c>
      <c r="L16" s="93">
        <f t="shared" si="2"/>
        <v>-53.247057536622577</v>
      </c>
      <c r="M16" s="118">
        <f t="shared" si="3"/>
        <v>17.561772131785958</v>
      </c>
    </row>
    <row r="17" spans="2:16" x14ac:dyDescent="0.25">
      <c r="B17" s="142">
        <v>560</v>
      </c>
      <c r="C17" s="92">
        <v>11.120900000000001</v>
      </c>
      <c r="D17" s="92">
        <v>10.509584192118549</v>
      </c>
      <c r="E17" s="92">
        <v>11.335816185763131</v>
      </c>
      <c r="F17" s="93">
        <f t="shared" si="0"/>
        <v>-61.131580788145179</v>
      </c>
      <c r="G17" s="118">
        <f t="shared" si="1"/>
        <v>21.491618576312987</v>
      </c>
      <c r="I17" s="123">
        <v>11.23</v>
      </c>
      <c r="J17" s="92">
        <v>10.625194681924281</v>
      </c>
      <c r="K17" s="92">
        <v>11.46323729480242</v>
      </c>
      <c r="L17" s="93">
        <f t="shared" si="2"/>
        <v>-60.480531807571936</v>
      </c>
      <c r="M17" s="118">
        <f t="shared" si="3"/>
        <v>23.323729480241973</v>
      </c>
    </row>
    <row r="18" spans="2:16" x14ac:dyDescent="0.25">
      <c r="B18" s="142">
        <v>644</v>
      </c>
      <c r="C18" s="92">
        <v>11.2102</v>
      </c>
      <c r="D18" s="92">
        <v>10.29094633302441</v>
      </c>
      <c r="E18" s="92">
        <v>11.20256656010576</v>
      </c>
      <c r="F18" s="93">
        <f t="shared" si="0"/>
        <v>-91.92536669755907</v>
      </c>
      <c r="G18" s="118">
        <f t="shared" si="1"/>
        <v>-0.76334398942403681</v>
      </c>
      <c r="I18" s="123">
        <v>11.3843</v>
      </c>
      <c r="J18" s="92">
        <v>10.414455181893263</v>
      </c>
      <c r="K18" s="92">
        <v>11.342639754931451</v>
      </c>
      <c r="L18" s="93">
        <f t="shared" si="2"/>
        <v>-96.984481810673628</v>
      </c>
      <c r="M18" s="118">
        <f t="shared" si="3"/>
        <v>-4.1660245068548818</v>
      </c>
    </row>
    <row r="19" spans="2:16" x14ac:dyDescent="0.25">
      <c r="B19" s="138">
        <v>728</v>
      </c>
      <c r="C19" s="119">
        <v>11.2</v>
      </c>
      <c r="D19" s="119">
        <v>10.100020855157119</v>
      </c>
      <c r="E19" s="119">
        <v>11.09373805548824</v>
      </c>
      <c r="F19" s="120">
        <f>IF(C19&lt;&gt;"", (D19-C19)*100, "")</f>
        <v>-109.99791448428802</v>
      </c>
      <c r="G19" s="121">
        <f t="shared" si="1"/>
        <v>-10.626194451175941</v>
      </c>
      <c r="I19" s="124">
        <v>11.358599999999999</v>
      </c>
      <c r="J19" s="119">
        <v>10.229020541430268</v>
      </c>
      <c r="K19" s="119">
        <v>11.244251882910721</v>
      </c>
      <c r="L19" s="120">
        <f>IF(I19&lt;&gt;"", (J19-I19)*100, "")</f>
        <v>-112.95794585697311</v>
      </c>
      <c r="M19" s="121">
        <f t="shared" si="3"/>
        <v>-11.434811708927839</v>
      </c>
    </row>
    <row r="20" spans="2:16" x14ac:dyDescent="0.25">
      <c r="B20" s="35"/>
      <c r="C20" s="92"/>
      <c r="D20" s="92"/>
      <c r="E20" s="92"/>
      <c r="F20" s="93"/>
      <c r="G20" s="93"/>
      <c r="I20" s="92"/>
      <c r="J20" s="92"/>
      <c r="K20" s="92"/>
      <c r="L20" s="93"/>
      <c r="M20" s="93"/>
    </row>
    <row r="21" spans="2:16" x14ac:dyDescent="0.25">
      <c r="B21" s="35"/>
      <c r="C21" s="92"/>
      <c r="D21" s="92"/>
      <c r="E21" s="92"/>
      <c r="F21" s="93"/>
      <c r="G21" s="93"/>
      <c r="I21" s="92"/>
      <c r="J21" s="92"/>
      <c r="K21" s="92"/>
      <c r="L21" s="93"/>
      <c r="M21" s="93"/>
    </row>
    <row r="22" spans="2:16" x14ac:dyDescent="0.25">
      <c r="B22" s="32"/>
      <c r="I22" s="32"/>
      <c r="J22" s="33"/>
      <c r="K22" s="33"/>
      <c r="L22" s="33"/>
    </row>
    <row r="23" spans="2:16" x14ac:dyDescent="0.25">
      <c r="B23" s="47" t="s">
        <v>144</v>
      </c>
      <c r="C23" s="47" t="s">
        <v>136</v>
      </c>
      <c r="D23" s="47" t="s">
        <v>137</v>
      </c>
      <c r="E23" s="47" t="s">
        <v>149</v>
      </c>
      <c r="F23" s="47" t="s">
        <v>139</v>
      </c>
      <c r="G23" s="47" t="s">
        <v>150</v>
      </c>
      <c r="I23" s="47" t="s">
        <v>144</v>
      </c>
      <c r="J23" s="47" t="s">
        <v>65</v>
      </c>
      <c r="K23" s="47" t="s">
        <v>66</v>
      </c>
      <c r="L23" s="47" t="s">
        <v>143</v>
      </c>
      <c r="M23" s="47" t="s">
        <v>68</v>
      </c>
      <c r="N23" s="47" t="s">
        <v>69</v>
      </c>
      <c r="O23" s="213" t="s">
        <v>70</v>
      </c>
      <c r="P23" s="48" t="s">
        <v>65</v>
      </c>
    </row>
    <row r="24" spans="2:16" x14ac:dyDescent="0.25">
      <c r="B24" s="141">
        <v>7</v>
      </c>
      <c r="C24" s="125">
        <v>11.52</v>
      </c>
      <c r="D24" s="115">
        <v>11.461220900659313</v>
      </c>
      <c r="E24" s="115">
        <v>11.462986062994007</v>
      </c>
      <c r="F24" s="116">
        <f t="shared" ref="F24:F36" si="4">IF(C24&lt;&gt;"", (D24-C24)*100, "")</f>
        <v>-5.8779099340686258</v>
      </c>
      <c r="G24" s="117">
        <f t="shared" ref="G24:G36" si="5">IF(C24&lt;&gt;"", (E24-C24)*100, "")</f>
        <v>-5.7013937005992332</v>
      </c>
      <c r="I24" s="81">
        <v>7</v>
      </c>
      <c r="J24" s="126">
        <v>34.893280522153347</v>
      </c>
      <c r="K24" s="126">
        <v>16.000000000000014</v>
      </c>
      <c r="L24" s="126">
        <v>25.698362170162277</v>
      </c>
      <c r="M24" s="126">
        <f>F7</f>
        <v>29.563516749594854</v>
      </c>
      <c r="N24" s="126">
        <f>L7</f>
        <v>31.112953016186573</v>
      </c>
      <c r="O24" s="127">
        <f t="shared" ref="O24:O36" si="6">M24-N24</f>
        <v>-1.5494362665917194</v>
      </c>
      <c r="P24" s="139">
        <f t="shared" ref="P24:P36" si="7">+J24-K24</f>
        <v>18.893280522153333</v>
      </c>
    </row>
    <row r="25" spans="2:16" x14ac:dyDescent="0.25">
      <c r="B25" s="142">
        <v>28</v>
      </c>
      <c r="C25" s="67">
        <v>11.46</v>
      </c>
      <c r="D25" s="92">
        <v>11.503450332294184</v>
      </c>
      <c r="E25" s="92">
        <v>11.508631997229735</v>
      </c>
      <c r="F25" s="93">
        <f t="shared" si="4"/>
        <v>4.3450332294183269</v>
      </c>
      <c r="G25" s="118">
        <f t="shared" si="5"/>
        <v>4.863199722973377</v>
      </c>
      <c r="I25" s="88">
        <v>28</v>
      </c>
      <c r="J25" s="94">
        <v>55.699999999969485</v>
      </c>
      <c r="K25" s="94">
        <v>14.000000000000057</v>
      </c>
      <c r="L25" s="94">
        <v>31.612872340426591</v>
      </c>
      <c r="M25" s="94">
        <f t="shared" ref="M25:M35" si="8">F8</f>
        <v>51.775031710602626</v>
      </c>
      <c r="N25" s="94">
        <f t="shared" ref="N25:N35" si="9">L8</f>
        <v>53.40999997891096</v>
      </c>
      <c r="O25" s="128">
        <f t="shared" si="6"/>
        <v>-1.6349682683083344</v>
      </c>
      <c r="P25" s="139">
        <f t="shared" si="7"/>
        <v>41.699999999969428</v>
      </c>
    </row>
    <row r="26" spans="2:16" x14ac:dyDescent="0.25">
      <c r="B26" s="142">
        <v>56</v>
      </c>
      <c r="C26" s="67">
        <v>11.23</v>
      </c>
      <c r="D26" s="92">
        <v>11.514126568339494</v>
      </c>
      <c r="E26" s="92">
        <v>11.567235888222079</v>
      </c>
      <c r="F26" s="93">
        <f t="shared" si="4"/>
        <v>28.412656833949335</v>
      </c>
      <c r="G26" s="118">
        <f t="shared" si="5"/>
        <v>33.723588822207873</v>
      </c>
      <c r="I26" s="88">
        <v>56</v>
      </c>
      <c r="J26" s="94">
        <v>40.702256740172871</v>
      </c>
      <c r="K26" s="94">
        <v>2.9999999999999361</v>
      </c>
      <c r="L26" s="94">
        <v>20.241261787303834</v>
      </c>
      <c r="M26" s="94">
        <f t="shared" si="8"/>
        <v>19.398156759678464</v>
      </c>
      <c r="N26" s="94">
        <f t="shared" si="9"/>
        <v>17.700348001853961</v>
      </c>
      <c r="O26" s="128">
        <f t="shared" si="6"/>
        <v>1.6978087578245038</v>
      </c>
      <c r="P26" s="139">
        <f t="shared" si="7"/>
        <v>37.702256740172935</v>
      </c>
    </row>
    <row r="27" spans="2:16" x14ac:dyDescent="0.25">
      <c r="B27" s="142">
        <v>91</v>
      </c>
      <c r="C27" s="67">
        <v>10.89</v>
      </c>
      <c r="D27" s="92">
        <v>11.503319072911486</v>
      </c>
      <c r="E27" s="92">
        <v>11.62432224993441</v>
      </c>
      <c r="F27" s="93">
        <f t="shared" si="4"/>
        <v>61.331907291148546</v>
      </c>
      <c r="G27" s="118">
        <f t="shared" si="5"/>
        <v>73.432224993440968</v>
      </c>
      <c r="I27" s="88">
        <v>91</v>
      </c>
      <c r="J27" s="94">
        <v>31.500000000000128</v>
      </c>
      <c r="K27" s="94">
        <v>9.4967401849944011</v>
      </c>
      <c r="L27" s="94">
        <v>15.51075875999253</v>
      </c>
      <c r="M27" s="94">
        <f t="shared" si="8"/>
        <v>12.871450567088338</v>
      </c>
      <c r="N27" s="94">
        <f t="shared" si="9"/>
        <v>11.558142833215079</v>
      </c>
      <c r="O27" s="128">
        <f t="shared" si="6"/>
        <v>1.3133077338732591</v>
      </c>
      <c r="P27" s="139">
        <f t="shared" si="7"/>
        <v>22.003259815005727</v>
      </c>
    </row>
    <row r="28" spans="2:16" x14ac:dyDescent="0.25">
      <c r="B28" s="142">
        <v>133</v>
      </c>
      <c r="C28" s="67">
        <v>10.71</v>
      </c>
      <c r="D28" s="92">
        <v>11.470231078761199</v>
      </c>
      <c r="E28" s="92">
        <v>11.667270280753932</v>
      </c>
      <c r="F28" s="93">
        <f t="shared" si="4"/>
        <v>76.023107876119767</v>
      </c>
      <c r="G28" s="118">
        <f t="shared" si="5"/>
        <v>95.72702807539315</v>
      </c>
      <c r="I28" s="88">
        <v>133</v>
      </c>
      <c r="J28" s="94">
        <v>17.430000000000057</v>
      </c>
      <c r="K28" s="94">
        <v>-1.7832280922352339</v>
      </c>
      <c r="L28" s="94">
        <v>6.4079209473027383</v>
      </c>
      <c r="M28" s="94">
        <f t="shared" si="8"/>
        <v>-0.57771219239572957</v>
      </c>
      <c r="N28" s="94">
        <f t="shared" si="9"/>
        <v>-0.44040918621206515</v>
      </c>
      <c r="O28" s="128">
        <f t="shared" si="6"/>
        <v>-0.13730300618366442</v>
      </c>
      <c r="P28" s="139">
        <f t="shared" si="7"/>
        <v>19.21322809223529</v>
      </c>
    </row>
    <row r="29" spans="2:16" x14ac:dyDescent="0.25">
      <c r="B29" s="142">
        <v>182</v>
      </c>
      <c r="C29" s="67">
        <v>10.59</v>
      </c>
      <c r="D29" s="92">
        <v>11.421078650247187</v>
      </c>
      <c r="E29" s="92">
        <v>11.706609629148733</v>
      </c>
      <c r="F29" s="93">
        <f t="shared" si="4"/>
        <v>83.107865024718734</v>
      </c>
      <c r="G29" s="118">
        <f t="shared" si="5"/>
        <v>111.66096291487335</v>
      </c>
      <c r="I29" s="88">
        <v>182</v>
      </c>
      <c r="J29" s="94">
        <v>11.999999999999922</v>
      </c>
      <c r="K29" s="94">
        <v>-14.188085987817622</v>
      </c>
      <c r="L29" s="94">
        <v>-2.5095502450207139</v>
      </c>
      <c r="M29" s="94">
        <f t="shared" si="8"/>
        <v>-14.130132733068201</v>
      </c>
      <c r="N29" s="94">
        <f t="shared" si="9"/>
        <v>-13.110494737866674</v>
      </c>
      <c r="O29" s="128">
        <f t="shared" si="6"/>
        <v>-1.0196379952015278</v>
      </c>
      <c r="P29" s="139">
        <f t="shared" si="7"/>
        <v>26.188085987817544</v>
      </c>
    </row>
    <row r="30" spans="2:16" x14ac:dyDescent="0.25">
      <c r="B30" s="142">
        <v>210</v>
      </c>
      <c r="C30" s="67">
        <v>10.27</v>
      </c>
      <c r="D30" s="92">
        <v>11.389513218314598</v>
      </c>
      <c r="E30" s="92">
        <v>11.724590764278057</v>
      </c>
      <c r="F30" s="93">
        <f t="shared" si="4"/>
        <v>111.95132183145979</v>
      </c>
      <c r="G30" s="118">
        <f t="shared" si="5"/>
        <v>145.45907642780574</v>
      </c>
      <c r="I30" s="88">
        <v>210</v>
      </c>
      <c r="J30" s="94">
        <v>8.8600000000001344</v>
      </c>
      <c r="K30" s="94">
        <v>-15.930063002188</v>
      </c>
      <c r="L30" s="94">
        <v>-5.0809227338622494</v>
      </c>
      <c r="M30" s="94">
        <f t="shared" si="8"/>
        <v>-15.99067041835589</v>
      </c>
      <c r="N30" s="94">
        <f t="shared" si="9"/>
        <v>-11.429679886321686</v>
      </c>
      <c r="O30" s="128">
        <f t="shared" si="6"/>
        <v>-4.5609905320342037</v>
      </c>
      <c r="P30" s="139">
        <f t="shared" si="7"/>
        <v>24.790063002188134</v>
      </c>
    </row>
    <row r="31" spans="2:16" x14ac:dyDescent="0.25">
      <c r="B31" s="142">
        <v>280</v>
      </c>
      <c r="C31" s="67">
        <v>10.28</v>
      </c>
      <c r="D31" s="92">
        <v>11.278407056332075</v>
      </c>
      <c r="E31" s="92">
        <v>11.730533851921527</v>
      </c>
      <c r="F31" s="93">
        <f t="shared" si="4"/>
        <v>99.840705633207534</v>
      </c>
      <c r="G31" s="118">
        <f t="shared" si="5"/>
        <v>145.05338519215272</v>
      </c>
      <c r="I31" s="88">
        <v>280</v>
      </c>
      <c r="J31" s="94">
        <v>2.6799999999999713</v>
      </c>
      <c r="K31" s="94">
        <v>-29.285116347929296</v>
      </c>
      <c r="L31" s="94">
        <v>-13.272358249647006</v>
      </c>
      <c r="M31" s="94">
        <f t="shared" si="8"/>
        <v>-26.967749651097961</v>
      </c>
      <c r="N31" s="94">
        <f t="shared" si="9"/>
        <v>-25.578872956896248</v>
      </c>
      <c r="O31" s="128">
        <f t="shared" si="6"/>
        <v>-1.3888766942017128</v>
      </c>
      <c r="P31" s="139">
        <f t="shared" si="7"/>
        <v>31.965116347929268</v>
      </c>
    </row>
    <row r="32" spans="2:16" x14ac:dyDescent="0.25">
      <c r="B32" s="142">
        <v>364</v>
      </c>
      <c r="C32" s="67">
        <v>10.130000000000001</v>
      </c>
      <c r="D32" s="92">
        <v>11.08014150404324</v>
      </c>
      <c r="E32" s="92">
        <v>11.659796450248917</v>
      </c>
      <c r="F32" s="93">
        <f t="shared" si="4"/>
        <v>95.014150404323942</v>
      </c>
      <c r="G32" s="118">
        <f t="shared" si="5"/>
        <v>152.97964502489165</v>
      </c>
      <c r="I32" s="88">
        <v>364</v>
      </c>
      <c r="J32" s="94">
        <v>-24.329999999999963</v>
      </c>
      <c r="K32" s="94">
        <v>-46.949857143426676</v>
      </c>
      <c r="L32" s="94">
        <v>-34.959423356335392</v>
      </c>
      <c r="M32" s="94">
        <f t="shared" si="8"/>
        <v>-46.731171870712629</v>
      </c>
      <c r="N32" s="94">
        <f t="shared" si="9"/>
        <v>-44.619656101892424</v>
      </c>
      <c r="O32" s="128">
        <f t="shared" si="6"/>
        <v>-2.1115157688202046</v>
      </c>
      <c r="P32" s="139">
        <f t="shared" si="7"/>
        <v>22.619857143426714</v>
      </c>
    </row>
    <row r="33" spans="1:16" x14ac:dyDescent="0.25">
      <c r="B33" s="142">
        <v>448</v>
      </c>
      <c r="C33" s="67">
        <v>9.9700000000000006</v>
      </c>
      <c r="D33" s="92">
        <v>10.840859932380093</v>
      </c>
      <c r="E33" s="92">
        <v>11.530488866945612</v>
      </c>
      <c r="F33" s="93">
        <f t="shared" si="4"/>
        <v>87.085993238009252</v>
      </c>
      <c r="G33" s="118">
        <f t="shared" si="5"/>
        <v>156.04888669456116</v>
      </c>
      <c r="I33" s="88">
        <v>448</v>
      </c>
      <c r="J33" s="94">
        <v>-42.511639220940189</v>
      </c>
      <c r="K33" s="94">
        <v>-74.039999999999935</v>
      </c>
      <c r="L33" s="94">
        <v>-58.247168043370436</v>
      </c>
      <c r="M33" s="94">
        <f t="shared" si="8"/>
        <v>-57.784479726479532</v>
      </c>
      <c r="N33" s="94">
        <f t="shared" si="9"/>
        <v>-53.247057536622577</v>
      </c>
      <c r="O33" s="128">
        <f t="shared" si="6"/>
        <v>-4.5374221898569544</v>
      </c>
      <c r="P33" s="139">
        <f t="shared" si="7"/>
        <v>31.528360779059746</v>
      </c>
    </row>
    <row r="34" spans="1:16" x14ac:dyDescent="0.25">
      <c r="B34" s="142">
        <v>560</v>
      </c>
      <c r="C34" s="67">
        <v>10.01</v>
      </c>
      <c r="D34" s="92">
        <v>10.516852592895161</v>
      </c>
      <c r="E34" s="92">
        <v>11.33246444205483</v>
      </c>
      <c r="F34" s="93">
        <f t="shared" si="4"/>
        <v>50.685259289516083</v>
      </c>
      <c r="G34" s="118">
        <f t="shared" si="5"/>
        <v>132.24644420548302</v>
      </c>
      <c r="I34" s="88">
        <v>560</v>
      </c>
      <c r="J34" s="94">
        <v>-18.675197844902591</v>
      </c>
      <c r="K34" s="94">
        <v>-94.288571428571544</v>
      </c>
      <c r="L34" s="94">
        <v>-51.893871770202026</v>
      </c>
      <c r="M34" s="94">
        <f t="shared" si="8"/>
        <v>-61.131580788145179</v>
      </c>
      <c r="N34" s="94">
        <f t="shared" si="9"/>
        <v>-60.480531807571936</v>
      </c>
      <c r="O34" s="128">
        <f t="shared" si="6"/>
        <v>-0.65104898057324334</v>
      </c>
      <c r="P34" s="139">
        <f t="shared" si="7"/>
        <v>75.61337358366896</v>
      </c>
    </row>
    <row r="35" spans="1:16" x14ac:dyDescent="0.25">
      <c r="B35" s="142">
        <v>644</v>
      </c>
      <c r="C35" s="67">
        <v>9.94</v>
      </c>
      <c r="D35" s="92">
        <v>10.294296463018624</v>
      </c>
      <c r="E35" s="92">
        <v>11.194966642440471</v>
      </c>
      <c r="F35" s="93">
        <f t="shared" si="4"/>
        <v>35.429646301862405</v>
      </c>
      <c r="G35" s="118">
        <f t="shared" si="5"/>
        <v>125.4966642440472</v>
      </c>
      <c r="I35" s="88">
        <v>644</v>
      </c>
      <c r="J35" s="94">
        <v>-72.304569183460472</v>
      </c>
      <c r="K35" s="94">
        <v>-103.78428571428574</v>
      </c>
      <c r="L35" s="94">
        <v>-85.598940378953387</v>
      </c>
      <c r="M35" s="94">
        <f t="shared" si="8"/>
        <v>-91.92536669755907</v>
      </c>
      <c r="N35" s="94">
        <f t="shared" si="9"/>
        <v>-96.984481810673628</v>
      </c>
      <c r="O35" s="128">
        <f t="shared" si="6"/>
        <v>5.059115113114558</v>
      </c>
      <c r="P35" s="139">
        <f t="shared" si="7"/>
        <v>31.479716530825272</v>
      </c>
    </row>
    <row r="36" spans="1:16" x14ac:dyDescent="0.25">
      <c r="B36" s="138">
        <v>728</v>
      </c>
      <c r="C36" s="110">
        <v>11.1</v>
      </c>
      <c r="D36" s="119">
        <v>10.099167921046615</v>
      </c>
      <c r="E36" s="119">
        <v>11.081751921307951</v>
      </c>
      <c r="F36" s="120">
        <f t="shared" ref="F36" si="10">IF(C36&lt;&gt;"", (D36-C36)*100, "")</f>
        <v>-100.08320789533852</v>
      </c>
      <c r="G36" s="121">
        <f t="shared" ref="G36" si="11">IF(D36&lt;&gt;"", (E36-D36)*100, "")</f>
        <v>98.258400026133685</v>
      </c>
      <c r="I36" s="89">
        <v>728</v>
      </c>
      <c r="J36" s="129">
        <v>-90.48000000000016</v>
      </c>
      <c r="K36" s="129">
        <v>-150.11442855704757</v>
      </c>
      <c r="L36" s="129">
        <v>-113.72613664727918</v>
      </c>
      <c r="M36" s="129">
        <f>IF(F19&lt;&gt;"",F19,"")</f>
        <v>-109.99791448428802</v>
      </c>
      <c r="N36" s="129">
        <f>IF(L19&lt;&gt;"",L19,"")</f>
        <v>-112.95794585697311</v>
      </c>
      <c r="O36" s="130">
        <f t="shared" si="6"/>
        <v>2.9600313726850942</v>
      </c>
      <c r="P36" s="139">
        <f t="shared" si="7"/>
        <v>59.634428557047414</v>
      </c>
    </row>
    <row r="37" spans="1:16" x14ac:dyDescent="0.25">
      <c r="B37" s="35"/>
      <c r="C37" s="91"/>
      <c r="D37" s="92"/>
      <c r="E37" s="92"/>
      <c r="F37" s="93"/>
      <c r="G37" s="93"/>
      <c r="I37" s="36"/>
      <c r="J37" s="94"/>
      <c r="K37" s="94"/>
      <c r="L37" s="94"/>
      <c r="M37" s="94"/>
      <c r="N37" s="94"/>
      <c r="O37" s="94"/>
      <c r="P37" s="131"/>
    </row>
    <row r="38" spans="1:16" x14ac:dyDescent="0.25">
      <c r="B38" s="39" t="s">
        <v>135</v>
      </c>
      <c r="C38" s="132">
        <f>Scenarios!C6</f>
        <v>5000000000</v>
      </c>
      <c r="P38" s="131"/>
    </row>
    <row r="39" spans="1:16" x14ac:dyDescent="0.25">
      <c r="B39" s="39" t="s">
        <v>92</v>
      </c>
      <c r="C39" s="135" t="str">
        <f>RIGHT(Scenarios!G27, 1)</f>
        <v>D</v>
      </c>
      <c r="P39" s="131"/>
    </row>
    <row r="40" spans="1:16" ht="8.1" customHeight="1" x14ac:dyDescent="0.25">
      <c r="B40" s="32"/>
      <c r="P40" s="131"/>
    </row>
    <row r="41" spans="1:16" x14ac:dyDescent="0.25">
      <c r="A41" s="215"/>
      <c r="B41" s="214" t="s">
        <v>132</v>
      </c>
      <c r="C41" s="80" t="s">
        <v>141</v>
      </c>
      <c r="D41" s="80" t="s">
        <v>97</v>
      </c>
      <c r="E41" s="80" t="s">
        <v>131</v>
      </c>
      <c r="F41" s="80" t="s">
        <v>98</v>
      </c>
      <c r="G41" s="80" t="s">
        <v>99</v>
      </c>
      <c r="H41" s="80" t="s">
        <v>100</v>
      </c>
      <c r="I41" s="80" t="s">
        <v>122</v>
      </c>
      <c r="J41" s="80" t="s">
        <v>157</v>
      </c>
      <c r="K41" s="80" t="s">
        <v>134</v>
      </c>
      <c r="L41" s="80" t="s">
        <v>158</v>
      </c>
      <c r="M41" s="80" t="s">
        <v>116</v>
      </c>
      <c r="N41" s="80" t="s">
        <v>117</v>
      </c>
      <c r="O41" s="80" t="s">
        <v>118</v>
      </c>
      <c r="P41" s="69" t="s">
        <v>125</v>
      </c>
    </row>
    <row r="42" spans="1:16" x14ac:dyDescent="0.25">
      <c r="B42" s="81">
        <v>7</v>
      </c>
      <c r="C42" s="101">
        <v>231121</v>
      </c>
      <c r="D42" s="82">
        <v>45251</v>
      </c>
      <c r="E42" s="83">
        <v>11.125714285714285</v>
      </c>
      <c r="F42" s="84">
        <v>9.9784133657520897</v>
      </c>
      <c r="G42" s="85">
        <v>4989206682.8760452</v>
      </c>
      <c r="H42" s="85">
        <v>10793317.123954773</v>
      </c>
      <c r="I42" s="86">
        <v>11.26231238093256</v>
      </c>
      <c r="J42" s="85">
        <v>-10925834.14914179</v>
      </c>
      <c r="K42" s="85">
        <v>-132517.0251870174</v>
      </c>
      <c r="L42" s="86">
        <v>11.459935167495949</v>
      </c>
      <c r="M42" s="85">
        <v>-2228320.7270130669</v>
      </c>
      <c r="N42" s="85">
        <v>2237472.222222222</v>
      </c>
      <c r="O42" s="85">
        <v>9151.4952091551386</v>
      </c>
      <c r="P42" s="87">
        <f t="shared" ref="P42:P54" si="12">O42+K42</f>
        <v>-123365.52997786226</v>
      </c>
    </row>
    <row r="43" spans="1:16" x14ac:dyDescent="0.25">
      <c r="B43" s="88">
        <v>28</v>
      </c>
      <c r="C43" s="101">
        <v>231213</v>
      </c>
      <c r="D43" s="51">
        <v>45273</v>
      </c>
      <c r="E43" s="50">
        <v>11.114285714285714</v>
      </c>
      <c r="F43" s="43">
        <v>9.9112627342027455</v>
      </c>
      <c r="G43" s="44">
        <v>4955631367.1013727</v>
      </c>
      <c r="H43" s="44">
        <v>44368632.898627281</v>
      </c>
      <c r="I43" s="45">
        <v>11.301125558274006</v>
      </c>
      <c r="J43" s="44">
        <v>-43558831.788992859</v>
      </c>
      <c r="K43" s="44">
        <v>809801.10963442177</v>
      </c>
      <c r="L43" s="45">
        <v>11.503450317106026</v>
      </c>
      <c r="M43" s="44">
        <v>-9266668.3110020924</v>
      </c>
      <c r="N43" s="44">
        <v>9269527.7777777761</v>
      </c>
      <c r="O43" s="44">
        <v>2859.4667756836861</v>
      </c>
      <c r="P43" s="70">
        <f t="shared" si="12"/>
        <v>812660.57641010545</v>
      </c>
    </row>
    <row r="44" spans="1:16" x14ac:dyDescent="0.25">
      <c r="B44" s="88">
        <v>56</v>
      </c>
      <c r="C44" s="101">
        <v>240109</v>
      </c>
      <c r="D44" s="51">
        <v>45300</v>
      </c>
      <c r="E44" s="50">
        <v>11.327142857142857</v>
      </c>
      <c r="F44" s="43">
        <v>9.8268508873646354</v>
      </c>
      <c r="G44" s="44">
        <v>4913425443.6823177</v>
      </c>
      <c r="H44" s="44">
        <v>86574556.317682266</v>
      </c>
      <c r="I44" s="45">
        <v>11.349003851970632</v>
      </c>
      <c r="J44" s="44">
        <v>-86741642.22378844</v>
      </c>
      <c r="K44" s="44">
        <v>-167085.90610617399</v>
      </c>
      <c r="L44" s="45">
        <v>11.516881567596785</v>
      </c>
      <c r="M44" s="44">
        <v>-17915149.105150353</v>
      </c>
      <c r="N44" s="44">
        <v>17899777.777777776</v>
      </c>
      <c r="O44" s="44">
        <v>-15371.327372577041</v>
      </c>
      <c r="P44" s="70">
        <f t="shared" si="12"/>
        <v>-182457.23347875103</v>
      </c>
    </row>
    <row r="45" spans="1:16" x14ac:dyDescent="0.25">
      <c r="B45" s="88">
        <v>91</v>
      </c>
      <c r="C45" s="101">
        <v>240213</v>
      </c>
      <c r="D45" s="51">
        <v>45335</v>
      </c>
      <c r="E45" s="50">
        <v>11.38</v>
      </c>
      <c r="F45" s="43">
        <v>9.7203823998436096</v>
      </c>
      <c r="G45" s="44">
        <v>4860191199.9218044</v>
      </c>
      <c r="H45" s="44">
        <v>139808800.07819557</v>
      </c>
      <c r="I45" s="45">
        <v>11.411471056038053</v>
      </c>
      <c r="J45" s="44">
        <v>-140195437.21192738</v>
      </c>
      <c r="K45" s="44">
        <v>-386637.13373181224</v>
      </c>
      <c r="L45" s="45">
        <v>11.508714505670884</v>
      </c>
      <c r="M45" s="44">
        <v>-29091472.778224103</v>
      </c>
      <c r="N45" s="44">
        <v>29087138.888888888</v>
      </c>
      <c r="O45" s="44">
        <v>-4333.8893352150917</v>
      </c>
      <c r="P45" s="70">
        <f t="shared" si="12"/>
        <v>-390971.02306702733</v>
      </c>
    </row>
    <row r="46" spans="1:16" x14ac:dyDescent="0.25">
      <c r="B46" s="88">
        <v>133</v>
      </c>
      <c r="C46" s="101">
        <v>240326</v>
      </c>
      <c r="D46" s="51">
        <v>45377</v>
      </c>
      <c r="E46" s="50">
        <v>11.487142857142857</v>
      </c>
      <c r="F46" s="43">
        <v>9.5928910282220201</v>
      </c>
      <c r="G46" s="44">
        <v>4796445514.1110096</v>
      </c>
      <c r="H46" s="44">
        <v>203554485.8889904</v>
      </c>
      <c r="I46" s="45">
        <v>11.487036830639004</v>
      </c>
      <c r="J46" s="44">
        <v>-203552607.07797977</v>
      </c>
      <c r="K46" s="44">
        <v>1878.8110106289387</v>
      </c>
      <c r="L46" s="45">
        <v>11.477122878076043</v>
      </c>
      <c r="M46" s="44">
        <v>-42401592.85511402</v>
      </c>
      <c r="N46" s="44">
        <v>42511972.222222216</v>
      </c>
      <c r="O46" s="44">
        <v>110379.36710819602</v>
      </c>
      <c r="P46" s="70">
        <f t="shared" si="12"/>
        <v>112258.17811882496</v>
      </c>
    </row>
    <row r="47" spans="1:16" x14ac:dyDescent="0.25">
      <c r="B47" s="88">
        <v>182</v>
      </c>
      <c r="C47" s="101">
        <v>240514</v>
      </c>
      <c r="D47" s="51">
        <v>45426</v>
      </c>
      <c r="E47" s="50">
        <v>11.57</v>
      </c>
      <c r="F47" s="43">
        <v>9.4473955892209425</v>
      </c>
      <c r="G47" s="44">
        <v>4723697794.6104717</v>
      </c>
      <c r="H47" s="44">
        <v>276302205.38952827</v>
      </c>
      <c r="I47" s="45">
        <v>11.576039516210717</v>
      </c>
      <c r="J47" s="44">
        <v>-276446434.57263273</v>
      </c>
      <c r="K47" s="44">
        <v>-144229.18310445547</v>
      </c>
      <c r="L47" s="45">
        <v>11.428698672669318</v>
      </c>
      <c r="M47" s="44">
        <v>-57778421.067383736</v>
      </c>
      <c r="N47" s="44">
        <v>58174277.777777776</v>
      </c>
      <c r="O47" s="44">
        <v>395856.71039403975</v>
      </c>
      <c r="P47" s="70">
        <f t="shared" si="12"/>
        <v>251627.52728958428</v>
      </c>
    </row>
    <row r="48" spans="1:16" x14ac:dyDescent="0.25">
      <c r="B48" s="88">
        <v>210</v>
      </c>
      <c r="C48" s="101">
        <v>240611</v>
      </c>
      <c r="D48" s="51">
        <v>45454</v>
      </c>
      <c r="E48" s="50">
        <v>11.555714285714286</v>
      </c>
      <c r="F48" s="43">
        <v>9.3684859745957887</v>
      </c>
      <c r="G48" s="44">
        <v>4684242987.2978945</v>
      </c>
      <c r="H48" s="44">
        <v>315757012.70210552</v>
      </c>
      <c r="I48" s="45">
        <v>11.627309424973134</v>
      </c>
      <c r="J48" s="44">
        <v>-317713332.03792655</v>
      </c>
      <c r="K48" s="44">
        <v>-1956319.3358210325</v>
      </c>
      <c r="L48" s="45">
        <v>11.396893295816442</v>
      </c>
      <c r="M48" s="44">
        <v>-66481877.558929764</v>
      </c>
      <c r="N48" s="44">
        <v>67124166.666666657</v>
      </c>
      <c r="O48" s="44">
        <v>642289.107736893</v>
      </c>
      <c r="P48" s="70">
        <f t="shared" si="12"/>
        <v>-1314030.2280841395</v>
      </c>
    </row>
    <row r="49" spans="1:16" x14ac:dyDescent="0.25">
      <c r="B49" s="88">
        <v>280</v>
      </c>
      <c r="C49" s="101">
        <v>240820</v>
      </c>
      <c r="D49" s="51">
        <v>45524</v>
      </c>
      <c r="E49" s="50">
        <v>11.55</v>
      </c>
      <c r="F49" s="43">
        <v>9.1757149411224947</v>
      </c>
      <c r="G49" s="44">
        <v>4587857470.5612469</v>
      </c>
      <c r="H49" s="44">
        <v>412142529.43875313</v>
      </c>
      <c r="I49" s="45">
        <v>11.733505106364637</v>
      </c>
      <c r="J49" s="44">
        <v>-418690603.78524971</v>
      </c>
      <c r="K49" s="44">
        <v>-6548074.346496582</v>
      </c>
      <c r="L49" s="45">
        <v>11.280322503489021</v>
      </c>
      <c r="M49" s="44">
        <v>-87735841.69380343</v>
      </c>
      <c r="N49" s="44">
        <v>89498888.888888896</v>
      </c>
      <c r="O49" s="44">
        <v>1763047.1950854659</v>
      </c>
      <c r="P49" s="70">
        <f t="shared" si="12"/>
        <v>-4785027.1514111161</v>
      </c>
    </row>
    <row r="50" spans="1:16" x14ac:dyDescent="0.25">
      <c r="B50" s="88">
        <v>364</v>
      </c>
      <c r="C50" s="101">
        <v>241112</v>
      </c>
      <c r="D50" s="51">
        <v>45608</v>
      </c>
      <c r="E50" s="50">
        <v>11.54</v>
      </c>
      <c r="F50" s="43">
        <v>8.955099132947403</v>
      </c>
      <c r="G50" s="44">
        <v>4477549566.4737015</v>
      </c>
      <c r="H50" s="44">
        <v>522450433.52629852</v>
      </c>
      <c r="I50" s="45">
        <v>11.695467227473296</v>
      </c>
      <c r="J50" s="44">
        <v>-529488901.49792439</v>
      </c>
      <c r="K50" s="44">
        <v>-7038467.9716258645</v>
      </c>
      <c r="L50" s="45">
        <v>11.072688281292873</v>
      </c>
      <c r="M50" s="44">
        <v>-111957181.5108487</v>
      </c>
      <c r="N50" s="44">
        <v>114793000</v>
      </c>
      <c r="O50" s="44">
        <v>2835818.489151299</v>
      </c>
      <c r="P50" s="70">
        <f t="shared" si="12"/>
        <v>-4202649.4824745655</v>
      </c>
    </row>
    <row r="51" spans="1:16" x14ac:dyDescent="0.25">
      <c r="B51" s="88">
        <v>448</v>
      </c>
      <c r="C51" s="101">
        <v>250204</v>
      </c>
      <c r="D51" s="51">
        <v>45692</v>
      </c>
      <c r="E51" s="50">
        <v>11.36142857142857</v>
      </c>
      <c r="F51" s="43">
        <v>8.7612728377178648</v>
      </c>
      <c r="G51" s="44">
        <v>4380636418.8589325</v>
      </c>
      <c r="H51" s="44">
        <v>619363581.1410675</v>
      </c>
      <c r="I51" s="45">
        <v>11.513592239590972</v>
      </c>
      <c r="J51" s="44">
        <v>-627658720.59823382</v>
      </c>
      <c r="K51" s="44">
        <v>-8295139.4571663141</v>
      </c>
      <c r="L51" s="45">
        <v>10.830755202735205</v>
      </c>
      <c r="M51" s="44">
        <v>-134782731.41181755</v>
      </c>
      <c r="N51" s="44">
        <v>138142666.66666666</v>
      </c>
      <c r="O51" s="44">
        <v>3359935.2548491061</v>
      </c>
      <c r="P51" s="70">
        <f t="shared" si="12"/>
        <v>-4935204.2023172081</v>
      </c>
    </row>
    <row r="52" spans="1:16" x14ac:dyDescent="0.25">
      <c r="B52" s="88">
        <v>560</v>
      </c>
      <c r="C52" s="101">
        <v>250527</v>
      </c>
      <c r="D52" s="51">
        <v>45804</v>
      </c>
      <c r="E52" s="50">
        <v>11.127857142857142</v>
      </c>
      <c r="F52" s="43">
        <v>8.5244224703776315</v>
      </c>
      <c r="G52" s="44">
        <v>4262211235.1888161</v>
      </c>
      <c r="H52" s="44">
        <v>737788764.81118393</v>
      </c>
      <c r="I52" s="45">
        <v>11.163499743275915</v>
      </c>
      <c r="J52" s="44">
        <v>-740151907.1305033</v>
      </c>
      <c r="K52" s="44">
        <v>-2363142.3193193674</v>
      </c>
      <c r="L52" s="45">
        <v>10.509584192118549</v>
      </c>
      <c r="M52" s="44">
        <v>-163482420.76628768</v>
      </c>
      <c r="N52" s="44">
        <v>165775555.55555555</v>
      </c>
      <c r="O52" s="44">
        <v>2293134.7892678678</v>
      </c>
      <c r="P52" s="70">
        <f t="shared" si="12"/>
        <v>-70007.530051499605</v>
      </c>
    </row>
    <row r="53" spans="1:16" x14ac:dyDescent="0.25">
      <c r="B53" s="88">
        <v>644</v>
      </c>
      <c r="C53" s="257">
        <v>250819</v>
      </c>
      <c r="D53" s="258">
        <v>45888</v>
      </c>
      <c r="E53" s="259">
        <v>11.208571428571428</v>
      </c>
      <c r="F53" s="260">
        <v>8.3298008807376132</v>
      </c>
      <c r="G53" s="44">
        <v>4164900440.3688064</v>
      </c>
      <c r="H53" s="44">
        <v>835099559.63119364</v>
      </c>
      <c r="I53" s="261">
        <v>10.843137988640445</v>
      </c>
      <c r="J53" s="44">
        <v>-807872779.95586669</v>
      </c>
      <c r="K53" s="44">
        <v>27226779.675326943</v>
      </c>
      <c r="L53" s="261">
        <v>10.29094633302441</v>
      </c>
      <c r="M53" s="44">
        <v>-184093595.51299459</v>
      </c>
      <c r="N53" s="44">
        <v>183680777.77777779</v>
      </c>
      <c r="O53" s="44">
        <v>-412817.7352167964</v>
      </c>
      <c r="P53" s="70">
        <f t="shared" si="12"/>
        <v>26813961.940110147</v>
      </c>
    </row>
    <row r="54" spans="1:16" x14ac:dyDescent="0.25">
      <c r="B54" s="89">
        <v>728</v>
      </c>
      <c r="C54" s="106">
        <v>251111</v>
      </c>
      <c r="D54" s="72">
        <v>45972</v>
      </c>
      <c r="E54" s="71">
        <v>11.2</v>
      </c>
      <c r="F54" s="73">
        <v>8.1533555587766333</v>
      </c>
      <c r="G54" s="74">
        <v>4076677779.3883162</v>
      </c>
      <c r="H54" s="74">
        <v>923322220.61168385</v>
      </c>
      <c r="I54" s="75">
        <v>10.543179677822277</v>
      </c>
      <c r="J54" s="74">
        <v>-869174292.18168116</v>
      </c>
      <c r="K54" s="74">
        <v>54147928.430002689</v>
      </c>
      <c r="L54" s="75">
        <v>10.100020855157119</v>
      </c>
      <c r="M54" s="74">
        <v>-204244866.18206835</v>
      </c>
      <c r="N54" s="74">
        <v>200419333.33333331</v>
      </c>
      <c r="O54" s="74">
        <v>-3825532.8487350345</v>
      </c>
      <c r="P54" s="76">
        <f t="shared" si="12"/>
        <v>50322395.581267655</v>
      </c>
    </row>
    <row r="55" spans="1:16" x14ac:dyDescent="0.25">
      <c r="B55" s="134"/>
    </row>
    <row r="56" spans="1:16" x14ac:dyDescent="0.25">
      <c r="A56" s="215"/>
      <c r="B56" s="214" t="s">
        <v>132</v>
      </c>
      <c r="C56" s="80" t="s">
        <v>141</v>
      </c>
      <c r="D56" s="80" t="s">
        <v>97</v>
      </c>
      <c r="E56" s="80" t="s">
        <v>131</v>
      </c>
      <c r="F56" s="80" t="s">
        <v>98</v>
      </c>
      <c r="G56" s="80" t="s">
        <v>99</v>
      </c>
      <c r="H56" s="80" t="s">
        <v>100</v>
      </c>
      <c r="I56" s="80" t="s">
        <v>122</v>
      </c>
      <c r="J56" s="80" t="s">
        <v>157</v>
      </c>
      <c r="K56" s="80" t="s">
        <v>134</v>
      </c>
      <c r="L56" s="80" t="s">
        <v>158</v>
      </c>
      <c r="M56" s="80" t="s">
        <v>116</v>
      </c>
      <c r="N56" s="80" t="s">
        <v>117</v>
      </c>
      <c r="O56" s="80" t="s">
        <v>118</v>
      </c>
      <c r="P56" s="69" t="s">
        <v>125</v>
      </c>
    </row>
    <row r="57" spans="1:16" x14ac:dyDescent="0.25">
      <c r="B57" s="49">
        <v>2</v>
      </c>
      <c r="C57" s="101">
        <v>231116</v>
      </c>
      <c r="D57" s="51">
        <v>45246</v>
      </c>
      <c r="E57" s="50">
        <v>11.19</v>
      </c>
      <c r="F57" s="43">
        <v>9.9937871956267177</v>
      </c>
      <c r="G57" s="44">
        <v>4996893597.8133593</v>
      </c>
      <c r="H57" s="44">
        <v>3106402.1866411553</v>
      </c>
      <c r="I57" s="45">
        <v>11.253515991207941</v>
      </c>
      <c r="J57" s="44">
        <v>-3124034.5560754007</v>
      </c>
      <c r="K57" s="44">
        <v>-17632.369434245396</v>
      </c>
      <c r="L57" s="45">
        <v>11.450350147034627</v>
      </c>
      <c r="M57" s="44">
        <v>-3180652.8186207297</v>
      </c>
      <c r="N57" s="44">
        <v>3196388.888888889</v>
      </c>
      <c r="O57" s="44">
        <v>15736.070268159267</v>
      </c>
      <c r="P57" s="70">
        <f t="shared" ref="P57:P93" si="13">IF(K57&lt;&gt;"", O57+K57, "")</f>
        <v>-1896.2991660861298</v>
      </c>
    </row>
    <row r="58" spans="1:16" x14ac:dyDescent="0.25">
      <c r="B58" s="49">
        <v>9</v>
      </c>
      <c r="C58" s="101">
        <v>231123</v>
      </c>
      <c r="D58" s="51">
        <v>45253</v>
      </c>
      <c r="E58" s="50">
        <v>11.1</v>
      </c>
      <c r="F58" s="43">
        <v>9.972326793149012</v>
      </c>
      <c r="G58" s="44">
        <v>4986163396.5745058</v>
      </c>
      <c r="H58" s="44">
        <v>13836603.425493976</v>
      </c>
      <c r="I58" s="45">
        <v>11.265833503304634</v>
      </c>
      <c r="J58" s="44">
        <v>-14043321.661520075</v>
      </c>
      <c r="K58" s="44">
        <v>-206718.23602609895</v>
      </c>
      <c r="L58" s="45">
        <v>11.463883728747248</v>
      </c>
      <c r="M58" s="44">
        <v>-14329854.660934061</v>
      </c>
      <c r="N58" s="44">
        <v>14383750</v>
      </c>
      <c r="O58" s="44">
        <v>53895.339065939188</v>
      </c>
      <c r="P58" s="70">
        <f t="shared" si="13"/>
        <v>-152822.89696015976</v>
      </c>
    </row>
    <row r="59" spans="1:16" x14ac:dyDescent="0.25">
      <c r="B59" s="49">
        <v>16</v>
      </c>
      <c r="C59" s="101">
        <v>231130</v>
      </c>
      <c r="D59" s="51">
        <v>45260</v>
      </c>
      <c r="E59" s="50">
        <v>11.01</v>
      </c>
      <c r="F59" s="43">
        <v>9.9513049477888185</v>
      </c>
      <c r="G59" s="44">
        <v>4975652473.8944092</v>
      </c>
      <c r="H59" s="44">
        <v>24347526.105590768</v>
      </c>
      <c r="I59" s="45">
        <v>11.278168993414665</v>
      </c>
      <c r="J59" s="44">
        <v>-24940555.312481288</v>
      </c>
      <c r="K59" s="44">
        <v>-593029.20689051971</v>
      </c>
      <c r="L59" s="45">
        <v>11.478221434990187</v>
      </c>
      <c r="M59" s="44">
        <v>-25507158.744422637</v>
      </c>
      <c r="N59" s="44">
        <v>25571111.111111112</v>
      </c>
      <c r="O59" s="44">
        <v>63952.366688475013</v>
      </c>
      <c r="P59" s="70">
        <f t="shared" si="13"/>
        <v>-529076.8402020447</v>
      </c>
    </row>
    <row r="60" spans="1:16" x14ac:dyDescent="0.25">
      <c r="B60" s="49">
        <v>23</v>
      </c>
      <c r="C60" s="101">
        <v>231207</v>
      </c>
      <c r="D60" s="51">
        <v>45267</v>
      </c>
      <c r="E60" s="50">
        <v>10.9</v>
      </c>
      <c r="F60" s="43">
        <v>9.9308427147613685</v>
      </c>
      <c r="G60" s="44">
        <v>4965421357.3806839</v>
      </c>
      <c r="H60" s="44">
        <v>34578642.619315758</v>
      </c>
      <c r="I60" s="45">
        <v>11.290522491061106</v>
      </c>
      <c r="J60" s="44">
        <v>-35817517.633370578</v>
      </c>
      <c r="K60" s="44">
        <v>-1238875.0140548199</v>
      </c>
      <c r="L60" s="45">
        <v>11.493368538073028</v>
      </c>
      <c r="M60" s="44">
        <v>-36714927.274399951</v>
      </c>
      <c r="N60" s="44">
        <v>36758472.222222224</v>
      </c>
      <c r="O60" s="44">
        <v>43544.947822272778</v>
      </c>
      <c r="P60" s="70">
        <f t="shared" si="13"/>
        <v>-1195330.0662325472</v>
      </c>
    </row>
    <row r="61" spans="1:16" x14ac:dyDescent="0.25">
      <c r="B61" s="49">
        <v>30</v>
      </c>
      <c r="C61" s="101">
        <v>231214</v>
      </c>
      <c r="D61" s="51">
        <v>45274</v>
      </c>
      <c r="E61" s="50">
        <v>11.2</v>
      </c>
      <c r="F61" s="43">
        <v>9.9075297225891674</v>
      </c>
      <c r="G61" s="44">
        <v>4953764861.2945833</v>
      </c>
      <c r="H61" s="44">
        <v>46235138.705416292</v>
      </c>
      <c r="I61" s="45">
        <v>11.302894025816951</v>
      </c>
      <c r="J61" s="44">
        <v>-46659899.380023733</v>
      </c>
      <c r="K61" s="44">
        <v>-424760.67460744083</v>
      </c>
      <c r="L61" s="45">
        <v>11.50246699334796</v>
      </c>
      <c r="M61" s="44">
        <v>-47926945.805616498</v>
      </c>
      <c r="N61" s="44">
        <v>47945833.333333328</v>
      </c>
      <c r="O61" s="44">
        <v>18887.527716830373</v>
      </c>
      <c r="P61" s="70">
        <f t="shared" si="13"/>
        <v>-405873.14689061046</v>
      </c>
    </row>
    <row r="62" spans="1:16" x14ac:dyDescent="0.25">
      <c r="B62" s="49">
        <v>37</v>
      </c>
      <c r="C62" s="101">
        <v>231221</v>
      </c>
      <c r="D62" s="51">
        <v>45281</v>
      </c>
      <c r="E62" s="50">
        <v>11.26</v>
      </c>
      <c r="F62" s="43">
        <v>9.8855961920683466</v>
      </c>
      <c r="G62" s="44">
        <v>4942798096.034173</v>
      </c>
      <c r="H62" s="44">
        <v>57201903.965826698</v>
      </c>
      <c r="I62" s="45">
        <v>11.315283627306249</v>
      </c>
      <c r="J62" s="44">
        <v>-57482750.212723091</v>
      </c>
      <c r="K62" s="44">
        <v>-280846.2468963936</v>
      </c>
      <c r="L62" s="45">
        <v>11.500772144201113</v>
      </c>
      <c r="M62" s="44">
        <v>-59101190.185477942</v>
      </c>
      <c r="N62" s="44">
        <v>59133194.44444444</v>
      </c>
      <c r="O62" s="44">
        <v>32004.258966498077</v>
      </c>
      <c r="P62" s="70">
        <f t="shared" si="13"/>
        <v>-248841.98792989552</v>
      </c>
    </row>
    <row r="63" spans="1:16" x14ac:dyDescent="0.25">
      <c r="B63" s="49">
        <v>44</v>
      </c>
      <c r="C63" s="101">
        <v>231228</v>
      </c>
      <c r="D63" s="51">
        <v>45288</v>
      </c>
      <c r="E63" s="50">
        <v>11.27</v>
      </c>
      <c r="F63" s="43">
        <v>9.864127128870436</v>
      </c>
      <c r="G63" s="44">
        <v>4932063564.4352179</v>
      </c>
      <c r="H63" s="44">
        <v>67936435.564782023</v>
      </c>
      <c r="I63" s="45">
        <v>11.327691325205258</v>
      </c>
      <c r="J63" s="44">
        <v>-68284203.355150133</v>
      </c>
      <c r="K63" s="44">
        <v>-347767.79036810994</v>
      </c>
      <c r="L63" s="45">
        <v>11.504626419113615</v>
      </c>
      <c r="M63" s="44">
        <v>-70306050.339027658</v>
      </c>
      <c r="N63" s="44">
        <v>70320555.555555552</v>
      </c>
      <c r="O63" s="44">
        <v>14505.216527894139</v>
      </c>
      <c r="P63" s="70">
        <f t="shared" si="13"/>
        <v>-333262.5738402158</v>
      </c>
    </row>
    <row r="64" spans="1:16" x14ac:dyDescent="0.25">
      <c r="B64" s="49">
        <v>51</v>
      </c>
      <c r="C64" s="101">
        <v>240104</v>
      </c>
      <c r="D64" s="51">
        <v>45295</v>
      </c>
      <c r="E64" s="50">
        <v>11.32</v>
      </c>
      <c r="F64" s="43">
        <v>9.8421644888143796</v>
      </c>
      <c r="G64" s="44">
        <v>4921082244.4071894</v>
      </c>
      <c r="H64" s="44">
        <v>78917755.592810228</v>
      </c>
      <c r="I64" s="45">
        <v>11.340117149242502</v>
      </c>
      <c r="J64" s="44">
        <v>-79058002.966232553</v>
      </c>
      <c r="K64" s="44">
        <v>-140247.37342232466</v>
      </c>
      <c r="L64" s="45">
        <v>11.511231976351342</v>
      </c>
      <c r="M64" s="44">
        <v>-81537893.165821999</v>
      </c>
      <c r="N64" s="44">
        <v>81507916.666666657</v>
      </c>
      <c r="O64" s="44">
        <v>-29976.499155342579</v>
      </c>
      <c r="P64" s="70">
        <f t="shared" si="13"/>
        <v>-170223.87257766724</v>
      </c>
    </row>
    <row r="65" spans="2:16" x14ac:dyDescent="0.25">
      <c r="B65" s="88">
        <v>58</v>
      </c>
      <c r="C65" s="101">
        <v>240111</v>
      </c>
      <c r="D65" s="51">
        <v>45302</v>
      </c>
      <c r="E65" s="50">
        <v>11.33</v>
      </c>
      <c r="F65" s="43">
        <v>9.8207334232839774</v>
      </c>
      <c r="G65" s="44">
        <v>4910366711.6419888</v>
      </c>
      <c r="H65" s="44">
        <v>89633288.35801132</v>
      </c>
      <c r="I65" s="45">
        <v>11.352561129198525</v>
      </c>
      <c r="J65" s="44">
        <v>-89811772.753345534</v>
      </c>
      <c r="K65" s="44">
        <v>-178484.39533421397</v>
      </c>
      <c r="L65" s="45">
        <v>11.515580260643977</v>
      </c>
      <c r="M65" s="44">
        <v>-92764396.544076487</v>
      </c>
      <c r="N65" s="44">
        <v>92695277.777777761</v>
      </c>
      <c r="O65" s="44">
        <v>-69118.766298726201</v>
      </c>
      <c r="P65" s="70">
        <f t="shared" si="13"/>
        <v>-247603.16163294017</v>
      </c>
    </row>
    <row r="66" spans="2:16" x14ac:dyDescent="0.25">
      <c r="B66" s="49">
        <v>65</v>
      </c>
      <c r="C66" s="101">
        <v>240118</v>
      </c>
      <c r="D66" s="51">
        <v>45309</v>
      </c>
      <c r="E66" s="50">
        <v>11.33</v>
      </c>
      <c r="F66" s="43">
        <v>9.7995315279511228</v>
      </c>
      <c r="G66" s="44">
        <v>4899765763.9755611</v>
      </c>
      <c r="H66" s="44">
        <v>100234236.02443859</v>
      </c>
      <c r="I66" s="45">
        <v>11.365023294906033</v>
      </c>
      <c r="J66" s="44">
        <v>-100544080.08515958</v>
      </c>
      <c r="K66" s="44">
        <v>-309844.06072099507</v>
      </c>
      <c r="L66" s="45">
        <v>11.513230754934547</v>
      </c>
      <c r="M66" s="44">
        <v>-103938888.75982578</v>
      </c>
      <c r="N66" s="44">
        <v>103882638.88888888</v>
      </c>
      <c r="O66" s="44">
        <v>-56249.870936900377</v>
      </c>
      <c r="P66" s="70">
        <f t="shared" si="13"/>
        <v>-366093.93165789545</v>
      </c>
    </row>
    <row r="67" spans="2:16" x14ac:dyDescent="0.25">
      <c r="B67" s="49">
        <v>72</v>
      </c>
      <c r="C67" s="101">
        <v>240125</v>
      </c>
      <c r="D67" s="51">
        <v>45316</v>
      </c>
      <c r="E67" s="50">
        <v>11.32</v>
      </c>
      <c r="F67" s="43">
        <v>9.7786122193538301</v>
      </c>
      <c r="G67" s="44">
        <v>4889306109.6769152</v>
      </c>
      <c r="H67" s="44">
        <v>110693890.32308497</v>
      </c>
      <c r="I67" s="45">
        <v>11.377503676250077</v>
      </c>
      <c r="J67" s="44">
        <v>-111256196.47432213</v>
      </c>
      <c r="K67" s="44">
        <v>-562306.15123715997</v>
      </c>
      <c r="L67" s="45">
        <v>11.512961854526253</v>
      </c>
      <c r="M67" s="44">
        <v>-115129618.54526252</v>
      </c>
      <c r="N67" s="44">
        <v>115070000</v>
      </c>
      <c r="O67" s="44">
        <v>-59618.545262515545</v>
      </c>
      <c r="P67" s="70">
        <f t="shared" si="13"/>
        <v>-621924.69649967551</v>
      </c>
    </row>
    <row r="68" spans="2:16" x14ac:dyDescent="0.25">
      <c r="B68" s="49">
        <v>79</v>
      </c>
      <c r="C68" s="101">
        <v>240201</v>
      </c>
      <c r="D68" s="51">
        <v>45323</v>
      </c>
      <c r="E68" s="50">
        <v>11.33</v>
      </c>
      <c r="F68" s="43">
        <v>9.7574011920833872</v>
      </c>
      <c r="G68" s="44">
        <v>4878700596.0416937</v>
      </c>
      <c r="H68" s="44">
        <v>121299403.9583064</v>
      </c>
      <c r="I68" s="45">
        <v>11.390002303167634</v>
      </c>
      <c r="J68" s="44">
        <v>-121941790.861251</v>
      </c>
      <c r="K68" s="44">
        <v>-642386.90294459462</v>
      </c>
      <c r="L68" s="45">
        <v>11.5138903402165</v>
      </c>
      <c r="M68" s="44">
        <v>-126332963.45515329</v>
      </c>
      <c r="N68" s="44">
        <v>126257361.1111111</v>
      </c>
      <c r="O68" s="44">
        <v>-75602.344042181969</v>
      </c>
      <c r="P68" s="70">
        <f t="shared" si="13"/>
        <v>-717989.24698677659</v>
      </c>
    </row>
    <row r="69" spans="2:16" x14ac:dyDescent="0.25">
      <c r="B69" s="49">
        <v>86</v>
      </c>
      <c r="C69" s="101">
        <v>240208</v>
      </c>
      <c r="D69" s="51">
        <v>45330</v>
      </c>
      <c r="E69" s="50">
        <v>11.38</v>
      </c>
      <c r="F69" s="43">
        <v>9.7353393901567067</v>
      </c>
      <c r="G69" s="44">
        <v>4867669695.0783529</v>
      </c>
      <c r="H69" s="44">
        <v>132330304.92164665</v>
      </c>
      <c r="I69" s="45">
        <v>11.402519205648854</v>
      </c>
      <c r="J69" s="44">
        <v>-132592165.49722724</v>
      </c>
      <c r="K69" s="44">
        <v>-261860.57558058202</v>
      </c>
      <c r="L69" s="45">
        <v>11.513007555894671</v>
      </c>
      <c r="M69" s="44">
        <v>-137516479.13985303</v>
      </c>
      <c r="N69" s="44">
        <v>137444722.22222221</v>
      </c>
      <c r="O69" s="44">
        <v>-71756.917630821466</v>
      </c>
      <c r="P69" s="70">
        <f t="shared" si="13"/>
        <v>-333617.49321140349</v>
      </c>
    </row>
    <row r="70" spans="2:16" x14ac:dyDescent="0.25">
      <c r="B70" s="49">
        <v>93</v>
      </c>
      <c r="C70" s="101">
        <v>240215</v>
      </c>
      <c r="D70" s="51">
        <v>45337</v>
      </c>
      <c r="E70" s="50">
        <v>11.38</v>
      </c>
      <c r="F70" s="43">
        <v>9.7144124642388192</v>
      </c>
      <c r="G70" s="44">
        <v>4857206232.1194096</v>
      </c>
      <c r="H70" s="44">
        <v>142793767.88059041</v>
      </c>
      <c r="I70" s="45">
        <v>11.415054413735636</v>
      </c>
      <c r="J70" s="44">
        <v>-143233623.04914549</v>
      </c>
      <c r="K70" s="44">
        <v>-439855.16855508089</v>
      </c>
      <c r="L70" s="45">
        <v>11.507202833038926</v>
      </c>
      <c r="M70" s="44">
        <v>-148634703.26008612</v>
      </c>
      <c r="N70" s="44">
        <v>148632083.33333331</v>
      </c>
      <c r="O70" s="44">
        <v>-2619.9267528057098</v>
      </c>
      <c r="P70" s="70">
        <f t="shared" si="13"/>
        <v>-442475.0953078866</v>
      </c>
    </row>
    <row r="71" spans="2:16" x14ac:dyDescent="0.25">
      <c r="B71" s="49">
        <v>100</v>
      </c>
      <c r="C71" s="101">
        <v>240222</v>
      </c>
      <c r="D71" s="51">
        <v>45344</v>
      </c>
      <c r="E71" s="50">
        <v>11.38</v>
      </c>
      <c r="F71" s="43">
        <v>9.6935753136948684</v>
      </c>
      <c r="G71" s="44">
        <v>4846787656.847434</v>
      </c>
      <c r="H71" s="44">
        <v>153212343.15256581</v>
      </c>
      <c r="I71" s="45">
        <v>11.427607957523557</v>
      </c>
      <c r="J71" s="44">
        <v>-153853303.32171306</v>
      </c>
      <c r="K71" s="44">
        <v>-640960.16914725304</v>
      </c>
      <c r="L71" s="45">
        <v>11.502716081939566</v>
      </c>
      <c r="M71" s="44">
        <v>-159759945.58249399</v>
      </c>
      <c r="N71" s="44">
        <v>159819444.44444445</v>
      </c>
      <c r="O71" s="44">
        <v>59498.861950457096</v>
      </c>
      <c r="P71" s="70">
        <f t="shared" si="13"/>
        <v>-581461.30719679594</v>
      </c>
    </row>
    <row r="72" spans="2:16" x14ac:dyDescent="0.25">
      <c r="B72" s="49">
        <v>114</v>
      </c>
      <c r="C72" s="101">
        <v>240307</v>
      </c>
      <c r="D72" s="51">
        <v>45358</v>
      </c>
      <c r="E72" s="50">
        <v>11.46</v>
      </c>
      <c r="F72" s="43">
        <v>9.649808451302242</v>
      </c>
      <c r="G72" s="44">
        <v>4824904225.6511211</v>
      </c>
      <c r="H72" s="44">
        <v>175095774.34887901</v>
      </c>
      <c r="I72" s="45">
        <v>11.452770172845524</v>
      </c>
      <c r="J72" s="44">
        <v>-174985310.80751607</v>
      </c>
      <c r="K72" s="44">
        <v>110463.54136294127</v>
      </c>
      <c r="L72" s="45">
        <v>11.494972804826959</v>
      </c>
      <c r="M72" s="44">
        <v>-182003736.07642689</v>
      </c>
      <c r="N72" s="44">
        <v>182194166.66666666</v>
      </c>
      <c r="O72" s="44">
        <v>190430.59023976326</v>
      </c>
      <c r="P72" s="70">
        <f t="shared" si="13"/>
        <v>300894.13160270452</v>
      </c>
    </row>
    <row r="73" spans="2:16" x14ac:dyDescent="0.25">
      <c r="B73" s="88">
        <v>128</v>
      </c>
      <c r="C73" s="101">
        <v>240321</v>
      </c>
      <c r="D73" s="51">
        <v>45372</v>
      </c>
      <c r="E73" s="50">
        <v>11.48</v>
      </c>
      <c r="F73" s="43">
        <v>9.607829740716701</v>
      </c>
      <c r="G73" s="44">
        <v>4803914870.3583508</v>
      </c>
      <c r="H73" s="44">
        <v>196085129.64164948</v>
      </c>
      <c r="I73" s="45">
        <v>11.478006093431755</v>
      </c>
      <c r="J73" s="44">
        <v>-196051072.54862425</v>
      </c>
      <c r="K73" s="44">
        <v>34057.093025237322</v>
      </c>
      <c r="L73" s="45">
        <v>11.480960864648692</v>
      </c>
      <c r="M73" s="44">
        <v>-204105970.92708784</v>
      </c>
      <c r="N73" s="44">
        <v>204568888.8888889</v>
      </c>
      <c r="O73" s="44">
        <v>462917.96180105209</v>
      </c>
      <c r="P73" s="70">
        <f t="shared" si="13"/>
        <v>496975.05482628942</v>
      </c>
    </row>
    <row r="74" spans="2:16" x14ac:dyDescent="0.25">
      <c r="B74" s="49">
        <v>142</v>
      </c>
      <c r="C74" s="101">
        <v>240404</v>
      </c>
      <c r="D74" s="51">
        <v>45386</v>
      </c>
      <c r="E74" s="50">
        <v>11.5</v>
      </c>
      <c r="F74" s="43">
        <v>9.5660723301357837</v>
      </c>
      <c r="G74" s="44">
        <v>4783036165.0678921</v>
      </c>
      <c r="H74" s="44">
        <v>216963834.93210813</v>
      </c>
      <c r="I74" s="45">
        <v>11.503315961947921</v>
      </c>
      <c r="J74" s="44">
        <v>-217026395.26434308</v>
      </c>
      <c r="K74" s="44">
        <v>-62560.332234948874</v>
      </c>
      <c r="L74" s="45">
        <v>11.470009972377104</v>
      </c>
      <c r="M74" s="44">
        <v>-226214085.56632623</v>
      </c>
      <c r="N74" s="44">
        <v>226943611.1111111</v>
      </c>
      <c r="O74" s="44">
        <v>729525.54478487372</v>
      </c>
      <c r="P74" s="70">
        <f t="shared" si="13"/>
        <v>666965.21254992485</v>
      </c>
    </row>
    <row r="75" spans="2:16" x14ac:dyDescent="0.25">
      <c r="B75" s="49">
        <v>156</v>
      </c>
      <c r="C75" s="101">
        <v>240418</v>
      </c>
      <c r="D75" s="51">
        <v>45400</v>
      </c>
      <c r="E75" s="50">
        <v>11.56</v>
      </c>
      <c r="F75" s="43">
        <v>9.522963038206127</v>
      </c>
      <c r="G75" s="44">
        <v>4761481519.1030636</v>
      </c>
      <c r="H75" s="44">
        <v>238518480.89693651</v>
      </c>
      <c r="I75" s="45">
        <v>11.528700021911312</v>
      </c>
      <c r="J75" s="44">
        <v>-237872665.73899314</v>
      </c>
      <c r="K75" s="44">
        <v>645815.15794336796</v>
      </c>
      <c r="L75" s="45">
        <v>11.454729427111708</v>
      </c>
      <c r="M75" s="44">
        <v>-248185804.25408703</v>
      </c>
      <c r="N75" s="44">
        <v>249318333.33333334</v>
      </c>
      <c r="O75" s="44">
        <v>1132529.0792463124</v>
      </c>
      <c r="P75" s="70">
        <f t="shared" si="13"/>
        <v>1778344.2371896803</v>
      </c>
    </row>
    <row r="76" spans="2:16" x14ac:dyDescent="0.25">
      <c r="B76" s="49">
        <v>170</v>
      </c>
      <c r="C76" s="101">
        <v>240502</v>
      </c>
      <c r="D76" s="51">
        <v>45414</v>
      </c>
      <c r="E76" s="50">
        <v>11.57</v>
      </c>
      <c r="F76" s="43">
        <v>9.4819434823490987</v>
      </c>
      <c r="G76" s="44">
        <v>4740971741.1745491</v>
      </c>
      <c r="H76" s="44">
        <v>259028258.82545066</v>
      </c>
      <c r="I76" s="45">
        <v>11.554158517694649</v>
      </c>
      <c r="J76" s="44">
        <v>-258673600.95347401</v>
      </c>
      <c r="K76" s="44">
        <v>354657.8719766438</v>
      </c>
      <c r="L76" s="45">
        <v>11.44244749183235</v>
      </c>
      <c r="M76" s="44">
        <v>-270168899.11270827</v>
      </c>
      <c r="N76" s="44">
        <v>271693055.55555552</v>
      </c>
      <c r="O76" s="44">
        <v>1524156.4428472519</v>
      </c>
      <c r="P76" s="70">
        <f t="shared" si="13"/>
        <v>1878814.3148238957</v>
      </c>
    </row>
    <row r="77" spans="2:16" x14ac:dyDescent="0.25">
      <c r="B77" s="49">
        <v>184</v>
      </c>
      <c r="C77" s="101">
        <v>240516</v>
      </c>
      <c r="D77" s="51">
        <v>45428</v>
      </c>
      <c r="E77" s="50">
        <v>11.57</v>
      </c>
      <c r="F77" s="43">
        <v>9.4416620682275489</v>
      </c>
      <c r="G77" s="44">
        <v>4720831034.1137743</v>
      </c>
      <c r="H77" s="44">
        <v>279168965.88622552</v>
      </c>
      <c r="I77" s="45">
        <v>11.579691694528154</v>
      </c>
      <c r="J77" s="44">
        <v>-279402813.79798996</v>
      </c>
      <c r="K77" s="44">
        <v>-233847.91176444292</v>
      </c>
      <c r="L77" s="45">
        <v>11.426653902922283</v>
      </c>
      <c r="M77" s="44">
        <v>-292014488.63023615</v>
      </c>
      <c r="N77" s="44">
        <v>294067777.77777779</v>
      </c>
      <c r="O77" s="44">
        <v>2053289.1475416422</v>
      </c>
      <c r="P77" s="70">
        <f t="shared" si="13"/>
        <v>1819441.2357771993</v>
      </c>
    </row>
    <row r="78" spans="2:16" x14ac:dyDescent="0.25">
      <c r="B78" s="49">
        <v>198</v>
      </c>
      <c r="C78" s="101">
        <v>240530</v>
      </c>
      <c r="D78" s="51">
        <v>45442</v>
      </c>
      <c r="E78" s="50">
        <v>11.56</v>
      </c>
      <c r="F78" s="43">
        <v>9.4022076383534863</v>
      </c>
      <c r="G78" s="44">
        <v>4701103819.1767435</v>
      </c>
      <c r="H78" s="44">
        <v>298896180.82325685</v>
      </c>
      <c r="I78" s="45">
        <v>11.605299798503607</v>
      </c>
      <c r="J78" s="44">
        <v>-300067455.62990022</v>
      </c>
      <c r="K78" s="44">
        <v>-1171274.8066433668</v>
      </c>
      <c r="L78" s="45">
        <v>11.412656948071557</v>
      </c>
      <c r="M78" s="44">
        <v>-313848066.07196784</v>
      </c>
      <c r="N78" s="44">
        <v>316442500</v>
      </c>
      <c r="O78" s="44">
        <v>2594433.9280321598</v>
      </c>
      <c r="P78" s="70">
        <f t="shared" si="13"/>
        <v>1423159.121388793</v>
      </c>
    </row>
    <row r="79" spans="2:16" x14ac:dyDescent="0.25">
      <c r="B79" s="49">
        <v>226</v>
      </c>
      <c r="C79" s="101">
        <v>240627</v>
      </c>
      <c r="D79" s="51">
        <v>45470</v>
      </c>
      <c r="E79" s="50">
        <v>11.55</v>
      </c>
      <c r="F79" s="43">
        <v>9.323936876947343</v>
      </c>
      <c r="G79" s="44">
        <v>4661968438.4736719</v>
      </c>
      <c r="H79" s="44">
        <v>338031561.5263285</v>
      </c>
      <c r="I79" s="45">
        <v>11.656741776571996</v>
      </c>
      <c r="J79" s="44">
        <v>-341155551.95184594</v>
      </c>
      <c r="K79" s="44">
        <v>-3123990.4255174398</v>
      </c>
      <c r="L79" s="45">
        <v>11.376585011766972</v>
      </c>
      <c r="M79" s="44">
        <v>-357098362.86935222</v>
      </c>
      <c r="N79" s="44">
        <v>361191944.44444442</v>
      </c>
      <c r="O79" s="44">
        <v>4093581.5750921965</v>
      </c>
      <c r="P79" s="70">
        <f t="shared" si="13"/>
        <v>969591.14957475662</v>
      </c>
    </row>
    <row r="80" spans="2:16" x14ac:dyDescent="0.25">
      <c r="B80" s="49">
        <v>254</v>
      </c>
      <c r="C80" s="101">
        <v>240725</v>
      </c>
      <c r="D80" s="51">
        <v>45498</v>
      </c>
      <c r="E80" s="50">
        <v>11.55</v>
      </c>
      <c r="F80" s="43">
        <v>9.2464882608126118</v>
      </c>
      <c r="G80" s="44">
        <v>4623244130.4063063</v>
      </c>
      <c r="H80" s="44">
        <v>376755869.59369409</v>
      </c>
      <c r="I80" s="45">
        <v>11.708486437977266</v>
      </c>
      <c r="J80" s="44">
        <v>-381925626.80225945</v>
      </c>
      <c r="K80" s="44">
        <v>-5169757.2085653543</v>
      </c>
      <c r="L80" s="45">
        <v>11.331233388170334</v>
      </c>
      <c r="M80" s="44">
        <v>-399740733.41600895</v>
      </c>
      <c r="N80" s="44">
        <v>405941388.88888884</v>
      </c>
      <c r="O80" s="44">
        <v>6200655.4728798866</v>
      </c>
      <c r="P80" s="70">
        <f t="shared" si="13"/>
        <v>1030898.2643145323</v>
      </c>
    </row>
    <row r="81" spans="2:16" x14ac:dyDescent="0.25">
      <c r="B81" s="49">
        <v>282</v>
      </c>
      <c r="C81" s="101">
        <v>240822</v>
      </c>
      <c r="D81" s="51">
        <v>45526</v>
      </c>
      <c r="E81" s="50">
        <v>11.55</v>
      </c>
      <c r="F81" s="43">
        <v>9.1703156881175634</v>
      </c>
      <c r="G81" s="44">
        <v>4585157844.0587816</v>
      </c>
      <c r="H81" s="44">
        <v>414842155.94121832</v>
      </c>
      <c r="I81" s="45">
        <v>11.733524909064876</v>
      </c>
      <c r="J81" s="44">
        <v>-421433832.906187</v>
      </c>
      <c r="K81" s="44">
        <v>-6591676.9649686813</v>
      </c>
      <c r="L81" s="45">
        <v>11.27569383219941</v>
      </c>
      <c r="M81" s="44">
        <v>-441631341.76114351</v>
      </c>
      <c r="N81" s="44">
        <v>450690833.33333325</v>
      </c>
      <c r="O81" s="44">
        <v>9059491.5721897483</v>
      </c>
      <c r="P81" s="70">
        <f t="shared" si="13"/>
        <v>2467814.607221067</v>
      </c>
    </row>
    <row r="82" spans="2:16" x14ac:dyDescent="0.25">
      <c r="B82" s="49">
        <v>310</v>
      </c>
      <c r="C82" s="101">
        <v>240919</v>
      </c>
      <c r="D82" s="51">
        <v>45554</v>
      </c>
      <c r="E82" s="50">
        <v>11.55</v>
      </c>
      <c r="F82" s="43">
        <v>9.0953878803956485</v>
      </c>
      <c r="G82" s="44">
        <v>4547693940.1978245</v>
      </c>
      <c r="H82" s="44">
        <v>452306059.80217576</v>
      </c>
      <c r="I82" s="45">
        <v>11.738521273654829</v>
      </c>
      <c r="J82" s="44">
        <v>-459688684.43210626</v>
      </c>
      <c r="K82" s="44">
        <v>-7382624.6299304962</v>
      </c>
      <c r="L82" s="45">
        <v>11.211991794717612</v>
      </c>
      <c r="M82" s="44">
        <v>-482738535.60589713</v>
      </c>
      <c r="N82" s="44">
        <v>493495833.33333325</v>
      </c>
      <c r="O82" s="44">
        <v>10757297.727436125</v>
      </c>
      <c r="P82" s="70">
        <f t="shared" si="13"/>
        <v>3374673.0975056291</v>
      </c>
    </row>
    <row r="83" spans="2:16" x14ac:dyDescent="0.25">
      <c r="B83" s="49">
        <v>324</v>
      </c>
      <c r="C83" s="101">
        <v>241003</v>
      </c>
      <c r="D83" s="51">
        <v>45568</v>
      </c>
      <c r="E83" s="50">
        <v>11.55</v>
      </c>
      <c r="F83" s="43">
        <v>9.0583812672675386</v>
      </c>
      <c r="G83" s="44">
        <v>4529190633.633769</v>
      </c>
      <c r="H83" s="44">
        <v>470809366.36623073</v>
      </c>
      <c r="I83" s="45">
        <v>11.731982626021729</v>
      </c>
      <c r="J83" s="44">
        <v>-478227472.41358554</v>
      </c>
      <c r="K83" s="44">
        <v>-7418106.0473548174</v>
      </c>
      <c r="L83" s="45">
        <v>11.176870232298963</v>
      </c>
      <c r="M83" s="44">
        <v>-502959160.45345342</v>
      </c>
      <c r="N83" s="44">
        <v>515870555.55555546</v>
      </c>
      <c r="O83" s="44">
        <v>12911395.102102041</v>
      </c>
      <c r="P83" s="70">
        <f t="shared" si="13"/>
        <v>5493289.0547472239</v>
      </c>
    </row>
    <row r="84" spans="2:16" x14ac:dyDescent="0.25">
      <c r="B84" s="49">
        <v>338</v>
      </c>
      <c r="C84" s="101">
        <v>241017</v>
      </c>
      <c r="D84" s="51">
        <v>45582</v>
      </c>
      <c r="E84" s="50">
        <v>11.54</v>
      </c>
      <c r="F84" s="43">
        <v>9.0224388053088038</v>
      </c>
      <c r="G84" s="44">
        <v>4511219402.6544018</v>
      </c>
      <c r="H84" s="44">
        <v>488780597.3455981</v>
      </c>
      <c r="I84" s="45">
        <v>11.716480859637098</v>
      </c>
      <c r="J84" s="44">
        <v>-496255503.75751239</v>
      </c>
      <c r="K84" s="44">
        <v>-7474906.411914289</v>
      </c>
      <c r="L84" s="45">
        <v>11.141965592707072</v>
      </c>
      <c r="M84" s="44">
        <v>-523053384.7687487</v>
      </c>
      <c r="N84" s="44">
        <v>536300833.33333325</v>
      </c>
      <c r="O84" s="44">
        <v>13247448.564584553</v>
      </c>
      <c r="P84" s="70">
        <f t="shared" si="13"/>
        <v>5772542.1526702642</v>
      </c>
    </row>
    <row r="85" spans="2:16" x14ac:dyDescent="0.25">
      <c r="B85" s="49">
        <v>366</v>
      </c>
      <c r="C85" s="101">
        <v>241114</v>
      </c>
      <c r="D85" s="51">
        <v>45610</v>
      </c>
      <c r="E85" s="50">
        <v>11.54</v>
      </c>
      <c r="F85" s="43">
        <v>8.9499607693386292</v>
      </c>
      <c r="G85" s="44">
        <v>4474980384.6693144</v>
      </c>
      <c r="H85" s="44">
        <v>525019615.33068544</v>
      </c>
      <c r="I85" s="45">
        <v>11.694222541874009</v>
      </c>
      <c r="J85" s="44">
        <v>-532036067.63657987</v>
      </c>
      <c r="K85" s="44">
        <v>-7016452.3058944345</v>
      </c>
      <c r="L85" s="45">
        <v>11.066902165384215</v>
      </c>
      <c r="M85" s="44">
        <v>-562567526.74036419</v>
      </c>
      <c r="N85" s="44">
        <v>577161388.88888884</v>
      </c>
      <c r="O85" s="44">
        <v>14593862.148524642</v>
      </c>
      <c r="P85" s="70">
        <f t="shared" si="13"/>
        <v>7577409.8426302075</v>
      </c>
    </row>
    <row r="86" spans="2:16" x14ac:dyDescent="0.25">
      <c r="B86" s="49">
        <v>380</v>
      </c>
      <c r="C86" s="101">
        <v>241128</v>
      </c>
      <c r="D86" s="51">
        <v>45624</v>
      </c>
      <c r="E86" s="50">
        <v>11.55</v>
      </c>
      <c r="F86" s="43">
        <v>8.9133179826190307</v>
      </c>
      <c r="G86" s="44">
        <v>4456658991.309515</v>
      </c>
      <c r="H86" s="44">
        <v>543341008.69048464</v>
      </c>
      <c r="I86" s="45">
        <v>11.666199229656495</v>
      </c>
      <c r="J86" s="44">
        <v>-548807312.29659915</v>
      </c>
      <c r="K86" s="44">
        <v>-5466303.6061145067</v>
      </c>
      <c r="L86" s="45">
        <v>11.027136413286518</v>
      </c>
      <c r="M86" s="44">
        <v>-581987755.14567733</v>
      </c>
      <c r="N86" s="44">
        <v>597591666.66666663</v>
      </c>
      <c r="O86" s="44">
        <v>15603911.520989299</v>
      </c>
      <c r="P86" s="70">
        <f t="shared" si="13"/>
        <v>10137607.914874792</v>
      </c>
    </row>
    <row r="87" spans="2:16" x14ac:dyDescent="0.25">
      <c r="B87" s="49">
        <v>436</v>
      </c>
      <c r="C87" s="101">
        <v>250123</v>
      </c>
      <c r="D87" s="51">
        <v>45680</v>
      </c>
      <c r="E87" s="50">
        <v>11.55</v>
      </c>
      <c r="F87" s="43">
        <v>8.7728276285584776</v>
      </c>
      <c r="G87" s="44">
        <v>4386413814.2792387</v>
      </c>
      <c r="H87" s="44">
        <v>613586185.72076118</v>
      </c>
      <c r="I87" s="45">
        <v>11.539759861320514</v>
      </c>
      <c r="J87" s="44">
        <v>-613042185.05984318</v>
      </c>
      <c r="K87" s="44">
        <v>544000.66091799736</v>
      </c>
      <c r="L87" s="45">
        <v>10.865175194522136</v>
      </c>
      <c r="M87" s="44">
        <v>-657946720.11272931</v>
      </c>
      <c r="N87" s="44">
        <v>673479444.44444442</v>
      </c>
      <c r="O87" s="44">
        <v>15532724.331715107</v>
      </c>
      <c r="P87" s="70">
        <f t="shared" si="13"/>
        <v>16076724.992633104</v>
      </c>
    </row>
    <row r="88" spans="2:16" x14ac:dyDescent="0.25">
      <c r="B88" s="49">
        <v>450</v>
      </c>
      <c r="C88" s="101">
        <v>250206</v>
      </c>
      <c r="D88" s="51">
        <v>45694</v>
      </c>
      <c r="E88" s="50">
        <v>11.33</v>
      </c>
      <c r="F88" s="43">
        <v>8.7594437753202676</v>
      </c>
      <c r="G88" s="44">
        <v>4379721887.6601334</v>
      </c>
      <c r="H88" s="44">
        <v>620278112.33986616</v>
      </c>
      <c r="I88" s="45">
        <v>11.509450632173484</v>
      </c>
      <c r="J88" s="44">
        <v>-630102410.60842454</v>
      </c>
      <c r="K88" s="44">
        <v>-9824298.268558383</v>
      </c>
      <c r="L88" s="45">
        <v>10.824664667411719</v>
      </c>
      <c r="M88" s="44">
        <v>-676541541.71323252</v>
      </c>
      <c r="N88" s="44">
        <v>693979166.66666663</v>
      </c>
      <c r="O88" s="44">
        <v>17437624.95343411</v>
      </c>
      <c r="P88" s="70">
        <f t="shared" si="13"/>
        <v>7613326.6848757267</v>
      </c>
    </row>
    <row r="89" spans="2:16" x14ac:dyDescent="0.25">
      <c r="B89" s="49">
        <v>492</v>
      </c>
      <c r="C89" s="101">
        <v>250320</v>
      </c>
      <c r="D89" s="51">
        <v>45736</v>
      </c>
      <c r="E89" s="50">
        <v>11.23</v>
      </c>
      <c r="F89" s="43">
        <v>8.6694428149102851</v>
      </c>
      <c r="G89" s="44">
        <v>4334721407.455143</v>
      </c>
      <c r="H89" s="44">
        <v>665278592.54485738</v>
      </c>
      <c r="I89" s="45">
        <v>11.386112002436384</v>
      </c>
      <c r="J89" s="44">
        <v>-674526853.7434535</v>
      </c>
      <c r="K89" s="44">
        <v>-9248261.1985961199</v>
      </c>
      <c r="L89" s="45">
        <v>10.701335063099794</v>
      </c>
      <c r="M89" s="44">
        <v>-731257895.97848594</v>
      </c>
      <c r="N89" s="44">
        <v>745478333.33333325</v>
      </c>
      <c r="O89" s="44">
        <v>14220437.354847312</v>
      </c>
      <c r="P89" s="70">
        <f t="shared" si="13"/>
        <v>4972176.1562511921</v>
      </c>
    </row>
    <row r="90" spans="2:16" x14ac:dyDescent="0.25">
      <c r="B90" s="88">
        <v>548</v>
      </c>
      <c r="C90" s="257">
        <v>250515</v>
      </c>
      <c r="D90" s="258">
        <v>45792</v>
      </c>
      <c r="E90" s="259">
        <v>11.1</v>
      </c>
      <c r="F90" s="260">
        <v>8.5545638598192131</v>
      </c>
      <c r="G90" s="44">
        <v>4277281929.9096065</v>
      </c>
      <c r="H90" s="44">
        <v>722718070.09039342</v>
      </c>
      <c r="I90" s="261">
        <v>11.208920355157172</v>
      </c>
      <c r="J90" s="44">
        <v>-729809845.66451502</v>
      </c>
      <c r="K90" s="44">
        <v>-7091775.5741215944</v>
      </c>
      <c r="L90" s="261">
        <v>10.54214777463238</v>
      </c>
      <c r="M90" s="44">
        <v>-802374580.62479794</v>
      </c>
      <c r="N90" s="44">
        <v>813866111.11111104</v>
      </c>
      <c r="O90" s="44">
        <v>11491530.486313105</v>
      </c>
      <c r="P90" s="70">
        <f t="shared" si="13"/>
        <v>4399754.9121915102</v>
      </c>
    </row>
    <row r="91" spans="2:16" x14ac:dyDescent="0.25">
      <c r="B91" s="88">
        <v>604</v>
      </c>
      <c r="C91" s="257">
        <v>250710</v>
      </c>
      <c r="D91" s="258">
        <v>45848</v>
      </c>
      <c r="E91" s="259">
        <v>11.23</v>
      </c>
      <c r="F91" s="260">
        <v>8.4145729183515297</v>
      </c>
      <c r="G91" s="44">
        <v>4207286459.175765</v>
      </c>
      <c r="H91" s="44">
        <v>792713540.8242352</v>
      </c>
      <c r="I91" s="261">
        <v>10.99580861877749</v>
      </c>
      <c r="J91" s="44">
        <v>-776182224.79223073</v>
      </c>
      <c r="K91" s="44">
        <v>16531316.032004476</v>
      </c>
      <c r="L91" s="261">
        <v>10.391432019295852</v>
      </c>
      <c r="M91" s="44">
        <v>-871725686.06315207</v>
      </c>
      <c r="N91" s="44">
        <v>878087222.22222221</v>
      </c>
      <c r="O91" s="44">
        <v>6361536.1590701342</v>
      </c>
      <c r="P91" s="70">
        <f t="shared" si="13"/>
        <v>22892852.19107461</v>
      </c>
    </row>
    <row r="92" spans="2:16" x14ac:dyDescent="0.25">
      <c r="B92" s="88">
        <v>660</v>
      </c>
      <c r="C92" s="257">
        <v>250904</v>
      </c>
      <c r="D92" s="258">
        <v>45904</v>
      </c>
      <c r="E92" s="259">
        <v>11.2</v>
      </c>
      <c r="F92" s="260">
        <v>8.2964601769911503</v>
      </c>
      <c r="G92" s="44">
        <v>4148230088.495575</v>
      </c>
      <c r="H92" s="44">
        <v>851769911.50442481</v>
      </c>
      <c r="I92" s="261">
        <v>10.78332497416601</v>
      </c>
      <c r="J92" s="44">
        <v>-820081407.050789</v>
      </c>
      <c r="K92" s="44">
        <v>31688504.453635812</v>
      </c>
      <c r="L92" s="261">
        <v>10.251821703073109</v>
      </c>
      <c r="M92" s="44">
        <v>-939750322.7817018</v>
      </c>
      <c r="N92" s="44">
        <v>936475000</v>
      </c>
      <c r="O92" s="44">
        <v>-3275322.7817018032</v>
      </c>
      <c r="P92" s="70">
        <f t="shared" si="13"/>
        <v>28413181.671934009</v>
      </c>
    </row>
    <row r="93" spans="2:16" x14ac:dyDescent="0.25">
      <c r="B93" s="89">
        <v>716</v>
      </c>
      <c r="C93" s="106">
        <v>251030</v>
      </c>
      <c r="D93" s="72">
        <v>45960</v>
      </c>
      <c r="E93" s="71">
        <v>11.2</v>
      </c>
      <c r="F93" s="73">
        <v>8.1782494911311421</v>
      </c>
      <c r="G93" s="74">
        <v>4089124745.5655708</v>
      </c>
      <c r="H93" s="74">
        <v>910875254.43442893</v>
      </c>
      <c r="I93" s="75">
        <v>10.584822089656436</v>
      </c>
      <c r="J93" s="74">
        <v>-860843974.46955049</v>
      </c>
      <c r="K93" s="74">
        <v>50031279.96487844</v>
      </c>
      <c r="L93" s="75">
        <v>10.124994603788872</v>
      </c>
      <c r="M93" s="74">
        <v>-1006874463.3767824</v>
      </c>
      <c r="N93" s="74">
        <v>991946111.11111104</v>
      </c>
      <c r="O93" s="74">
        <v>-14928352.265671372</v>
      </c>
      <c r="P93" s="76">
        <f t="shared" si="13"/>
        <v>35102927.699207067</v>
      </c>
    </row>
    <row r="94" spans="2:16" x14ac:dyDescent="0.25">
      <c r="B94" s="137"/>
      <c r="C94" s="51"/>
      <c r="E94" s="50"/>
      <c r="F94" s="43"/>
      <c r="G94" s="44"/>
      <c r="H94" s="44"/>
      <c r="I94" s="45"/>
      <c r="J94" s="44"/>
      <c r="K94" s="44"/>
      <c r="L94" s="45"/>
      <c r="M94" s="44"/>
      <c r="N94" s="44"/>
      <c r="O94" s="44"/>
      <c r="P94" s="96"/>
    </row>
    <row r="95" spans="2:16" x14ac:dyDescent="0.25">
      <c r="B95" s="80" t="s">
        <v>132</v>
      </c>
      <c r="C95" s="80" t="s">
        <v>141</v>
      </c>
      <c r="D95" s="80" t="s">
        <v>97</v>
      </c>
      <c r="E95" s="80" t="s">
        <v>131</v>
      </c>
      <c r="F95" s="80" t="s">
        <v>98</v>
      </c>
      <c r="G95" s="80" t="s">
        <v>99</v>
      </c>
      <c r="H95" s="80" t="s">
        <v>100</v>
      </c>
      <c r="I95" s="80" t="s">
        <v>122</v>
      </c>
      <c r="J95" s="80" t="s">
        <v>157</v>
      </c>
      <c r="K95" s="80" t="s">
        <v>134</v>
      </c>
      <c r="L95" s="80" t="s">
        <v>158</v>
      </c>
      <c r="M95" s="80" t="s">
        <v>116</v>
      </c>
      <c r="N95" s="80" t="s">
        <v>117</v>
      </c>
      <c r="O95" s="80" t="s">
        <v>118</v>
      </c>
      <c r="P95" s="69" t="s">
        <v>125</v>
      </c>
    </row>
    <row r="96" spans="2:16" x14ac:dyDescent="0.25">
      <c r="B96" s="101">
        <v>9</v>
      </c>
      <c r="C96" s="67">
        <v>231123</v>
      </c>
      <c r="D96" s="51">
        <v>45253</v>
      </c>
      <c r="E96" s="67">
        <v>11.35</v>
      </c>
      <c r="F96" s="43">
        <v>9.9717052862502644</v>
      </c>
      <c r="G96" s="44">
        <v>4985852643.1251326</v>
      </c>
      <c r="H96" s="44">
        <v>14147356.874867789</v>
      </c>
      <c r="I96" s="45">
        <v>11.265833503304634</v>
      </c>
      <c r="J96" s="44">
        <v>-14042446.437364772</v>
      </c>
      <c r="K96" s="44">
        <v>104910.43750301749</v>
      </c>
      <c r="L96" s="45">
        <v>11.465113299836643</v>
      </c>
      <c r="M96" s="44">
        <v>-14331391.624795804</v>
      </c>
      <c r="N96" s="44">
        <v>14383750</v>
      </c>
      <c r="O96" s="44">
        <v>52358.3752041962</v>
      </c>
      <c r="P96" s="44">
        <f>IF(K96&lt;&gt;"", O96+K96, "")</f>
        <v>157268.81270721368</v>
      </c>
    </row>
    <row r="97" spans="2:16" x14ac:dyDescent="0.25">
      <c r="B97" s="101">
        <v>30</v>
      </c>
      <c r="C97" s="67">
        <v>231214</v>
      </c>
      <c r="D97" s="51">
        <v>45274</v>
      </c>
      <c r="E97" s="67">
        <v>11.36</v>
      </c>
      <c r="F97" s="43">
        <v>9.9062211068551047</v>
      </c>
      <c r="G97" s="44">
        <v>4953110553.4275522</v>
      </c>
      <c r="H97" s="44">
        <v>46889446.572447643</v>
      </c>
      <c r="I97" s="45">
        <v>11.302894025816951</v>
      </c>
      <c r="J97" s="44">
        <v>-46653736.402955979</v>
      </c>
      <c r="K97" s="44">
        <v>235710.16949166358</v>
      </c>
      <c r="L97" s="45">
        <v>11.502373654820234</v>
      </c>
      <c r="M97" s="44">
        <v>-47926556.895084314</v>
      </c>
      <c r="N97" s="44">
        <v>47945833.333333328</v>
      </c>
      <c r="O97" s="44">
        <v>19276.438249014318</v>
      </c>
      <c r="P97" s="44">
        <f>IF(K97&lt;&gt;"", O97+K97, "")</f>
        <v>254986.60774067789</v>
      </c>
    </row>
    <row r="98" spans="2:16" x14ac:dyDescent="0.25">
      <c r="B98" s="101">
        <v>254</v>
      </c>
      <c r="C98" s="67">
        <v>240725</v>
      </c>
      <c r="D98" s="51">
        <v>45498</v>
      </c>
      <c r="E98" s="67">
        <v>11.69</v>
      </c>
      <c r="F98" s="43">
        <v>9.238050709713244</v>
      </c>
      <c r="G98" s="44">
        <v>4619025354.8566217</v>
      </c>
      <c r="H98" s="44">
        <v>380974645.14337796</v>
      </c>
      <c r="I98" s="45">
        <v>11.708486437977266</v>
      </c>
      <c r="J98" s="44">
        <v>-381577114.27497274</v>
      </c>
      <c r="K98" s="44">
        <v>-602469.13159477711</v>
      </c>
      <c r="L98" s="45">
        <v>11.326418878607807</v>
      </c>
      <c r="M98" s="44">
        <v>-399570888.21755314</v>
      </c>
      <c r="N98" s="44">
        <v>405941388.88888884</v>
      </c>
      <c r="O98" s="44">
        <v>6370500.6713356972</v>
      </c>
      <c r="P98" s="44">
        <f t="shared" ref="P98:P112" si="14">IF(K98&lt;&gt;"", O98+K98, "")</f>
        <v>5768031.5397409201</v>
      </c>
    </row>
    <row r="99" spans="2:16" x14ac:dyDescent="0.25">
      <c r="B99" s="101"/>
      <c r="C99" s="67"/>
      <c r="D99" s="51"/>
      <c r="E99" s="67"/>
      <c r="F99" s="43"/>
      <c r="G99" s="44"/>
      <c r="H99" s="44"/>
      <c r="I99" s="45"/>
      <c r="J99" s="44"/>
      <c r="K99" s="44"/>
      <c r="L99" s="45"/>
      <c r="M99" s="44"/>
      <c r="N99" s="44"/>
      <c r="O99" s="44"/>
      <c r="P99" s="44" t="str">
        <f t="shared" si="14"/>
        <v/>
      </c>
    </row>
    <row r="100" spans="2:16" x14ac:dyDescent="0.25">
      <c r="B100" s="101"/>
      <c r="C100" s="67"/>
      <c r="D100" s="51"/>
      <c r="E100" s="67"/>
      <c r="F100" s="43"/>
      <c r="G100" s="44"/>
      <c r="H100" s="44"/>
      <c r="I100" s="45"/>
      <c r="J100" s="44"/>
      <c r="K100" s="44"/>
      <c r="L100" s="45"/>
      <c r="M100" s="44"/>
      <c r="N100" s="44"/>
      <c r="O100" s="44"/>
      <c r="P100" s="44" t="str">
        <f t="shared" si="14"/>
        <v/>
      </c>
    </row>
    <row r="101" spans="2:16" x14ac:dyDescent="0.25">
      <c r="B101" s="101"/>
      <c r="C101" s="67"/>
      <c r="D101" s="51"/>
      <c r="E101" s="67"/>
      <c r="F101" s="43"/>
      <c r="G101" s="44"/>
      <c r="H101" s="44"/>
      <c r="I101" s="45"/>
      <c r="J101" s="44"/>
      <c r="K101" s="44"/>
      <c r="L101" s="45"/>
      <c r="M101" s="44"/>
      <c r="N101" s="44"/>
      <c r="O101" s="44"/>
      <c r="P101" s="44" t="str">
        <f t="shared" si="14"/>
        <v/>
      </c>
    </row>
    <row r="102" spans="2:16" x14ac:dyDescent="0.25">
      <c r="B102" s="101"/>
      <c r="C102" s="67"/>
      <c r="D102" s="51"/>
      <c r="E102" s="67"/>
      <c r="F102" s="43"/>
      <c r="G102" s="44"/>
      <c r="H102" s="44"/>
      <c r="I102" s="45"/>
      <c r="J102" s="44"/>
      <c r="K102" s="44"/>
      <c r="L102" s="45"/>
      <c r="M102" s="44"/>
      <c r="N102" s="44"/>
      <c r="O102" s="44"/>
      <c r="P102" s="44" t="str">
        <f t="shared" si="14"/>
        <v/>
      </c>
    </row>
    <row r="103" spans="2:16" x14ac:dyDescent="0.25">
      <c r="B103" s="101"/>
      <c r="C103" s="67"/>
      <c r="D103" s="51"/>
      <c r="E103" s="67"/>
      <c r="F103" s="43"/>
      <c r="G103" s="44"/>
      <c r="H103" s="44"/>
      <c r="I103" s="45"/>
      <c r="J103" s="44"/>
      <c r="K103" s="44"/>
      <c r="L103" s="45"/>
      <c r="M103" s="44"/>
      <c r="N103" s="44"/>
      <c r="O103" s="44"/>
      <c r="P103" s="44" t="str">
        <f t="shared" si="14"/>
        <v/>
      </c>
    </row>
    <row r="104" spans="2:16" x14ac:dyDescent="0.25">
      <c r="B104" s="101"/>
      <c r="C104" s="67"/>
      <c r="D104" s="51"/>
      <c r="E104" s="67"/>
      <c r="F104" s="43"/>
      <c r="G104" s="44"/>
      <c r="H104" s="44"/>
      <c r="I104" s="45"/>
      <c r="J104" s="44"/>
      <c r="K104" s="44"/>
      <c r="L104" s="45"/>
      <c r="M104" s="44"/>
      <c r="N104" s="44"/>
      <c r="O104" s="44"/>
      <c r="P104" s="44" t="str">
        <f t="shared" si="14"/>
        <v/>
      </c>
    </row>
    <row r="105" spans="2:16" x14ac:dyDescent="0.25">
      <c r="B105" s="101"/>
      <c r="C105" s="67"/>
      <c r="D105" s="51"/>
      <c r="E105" s="67"/>
      <c r="F105" s="43"/>
      <c r="G105" s="44"/>
      <c r="H105" s="44"/>
      <c r="I105" s="45"/>
      <c r="J105" s="44"/>
      <c r="K105" s="44"/>
      <c r="L105" s="45"/>
      <c r="M105" s="44"/>
      <c r="N105" s="44"/>
      <c r="O105" s="44"/>
      <c r="P105" s="44" t="str">
        <f t="shared" si="14"/>
        <v/>
      </c>
    </row>
    <row r="106" spans="2:16" x14ac:dyDescent="0.25">
      <c r="B106" s="101"/>
      <c r="C106" s="67"/>
      <c r="D106" s="51"/>
      <c r="E106" s="67"/>
      <c r="F106" s="43"/>
      <c r="G106" s="44"/>
      <c r="H106" s="44"/>
      <c r="I106" s="45"/>
      <c r="J106" s="44"/>
      <c r="K106" s="44"/>
      <c r="L106" s="45"/>
      <c r="M106" s="44"/>
      <c r="N106" s="44"/>
      <c r="O106" s="44"/>
      <c r="P106" s="44" t="str">
        <f t="shared" si="14"/>
        <v/>
      </c>
    </row>
    <row r="107" spans="2:16" x14ac:dyDescent="0.25">
      <c r="B107" s="101"/>
      <c r="C107" s="67"/>
      <c r="D107" s="51"/>
      <c r="E107" s="67"/>
      <c r="F107" s="43"/>
      <c r="G107" s="44"/>
      <c r="H107" s="44"/>
      <c r="I107" s="45"/>
      <c r="J107" s="44"/>
      <c r="K107" s="44"/>
      <c r="L107" s="45"/>
      <c r="M107" s="44"/>
      <c r="N107" s="44"/>
      <c r="O107" s="44"/>
      <c r="P107" s="44" t="str">
        <f t="shared" si="14"/>
        <v/>
      </c>
    </row>
    <row r="108" spans="2:16" x14ac:dyDescent="0.25">
      <c r="B108" s="101"/>
      <c r="C108" s="67"/>
      <c r="D108" s="51"/>
      <c r="E108" s="67"/>
      <c r="F108" s="43"/>
      <c r="G108" s="44"/>
      <c r="H108" s="44"/>
      <c r="I108" s="45"/>
      <c r="J108" s="44"/>
      <c r="K108" s="44"/>
      <c r="L108" s="45"/>
      <c r="M108" s="44"/>
      <c r="N108" s="44"/>
      <c r="O108" s="44"/>
      <c r="P108" s="44" t="str">
        <f t="shared" si="14"/>
        <v/>
      </c>
    </row>
    <row r="109" spans="2:16" x14ac:dyDescent="0.25">
      <c r="B109" s="101"/>
      <c r="C109" s="67"/>
      <c r="D109" s="51"/>
      <c r="E109" s="67"/>
      <c r="F109" s="43"/>
      <c r="G109" s="44"/>
      <c r="H109" s="44"/>
      <c r="I109" s="45"/>
      <c r="J109" s="44"/>
      <c r="K109" s="44"/>
      <c r="L109" s="45"/>
      <c r="M109" s="44"/>
      <c r="N109" s="44"/>
      <c r="O109" s="44"/>
      <c r="P109" s="44" t="str">
        <f t="shared" si="14"/>
        <v/>
      </c>
    </row>
    <row r="110" spans="2:16" x14ac:dyDescent="0.25">
      <c r="B110" s="101"/>
      <c r="C110" s="67"/>
      <c r="D110" s="51"/>
      <c r="E110" s="67"/>
      <c r="F110" s="43"/>
      <c r="G110" s="44"/>
      <c r="H110" s="44"/>
      <c r="I110" s="45"/>
      <c r="J110" s="44"/>
      <c r="K110" s="44"/>
      <c r="L110" s="45"/>
      <c r="M110" s="44"/>
      <c r="N110" s="44"/>
      <c r="O110" s="44"/>
      <c r="P110" s="44" t="str">
        <f t="shared" si="14"/>
        <v/>
      </c>
    </row>
    <row r="111" spans="2:16" x14ac:dyDescent="0.25">
      <c r="B111" s="101"/>
      <c r="C111" s="67"/>
      <c r="D111" s="51"/>
      <c r="E111" s="67"/>
      <c r="F111" s="43"/>
      <c r="G111" s="44"/>
      <c r="H111" s="44"/>
      <c r="I111" s="45"/>
      <c r="J111" s="44"/>
      <c r="K111" s="44"/>
      <c r="L111" s="45"/>
      <c r="M111" s="44"/>
      <c r="N111" s="44"/>
      <c r="O111" s="44"/>
      <c r="P111" s="44" t="str">
        <f t="shared" si="14"/>
        <v/>
      </c>
    </row>
    <row r="112" spans="2:16" x14ac:dyDescent="0.25">
      <c r="B112" s="101"/>
      <c r="C112" s="67"/>
      <c r="D112" s="51"/>
      <c r="E112" s="67"/>
      <c r="F112" s="43"/>
      <c r="G112" s="44"/>
      <c r="H112" s="44"/>
      <c r="I112" s="45"/>
      <c r="J112" s="44"/>
      <c r="K112" s="44"/>
      <c r="L112" s="45"/>
      <c r="M112" s="44"/>
      <c r="N112" s="44"/>
      <c r="O112" s="44"/>
      <c r="P112" s="44" t="str">
        <f t="shared" si="14"/>
        <v/>
      </c>
    </row>
  </sheetData>
  <conditionalFormatting sqref="B2:C2">
    <cfRule type="expression" dxfId="2" priority="11">
      <formula>$C$1="Cross Sectional"</formula>
    </cfRule>
  </conditionalFormatting>
  <conditionalFormatting sqref="B3">
    <cfRule type="expression" dxfId="1" priority="10">
      <formula>$C$1="Cross Sectional"</formula>
    </cfRule>
  </conditionalFormatting>
  <conditionalFormatting sqref="C3">
    <cfRule type="expression" dxfId="0" priority="9">
      <formula>$C$1="Cross Sectional"</formula>
    </cfRule>
  </conditionalFormatting>
  <conditionalFormatting sqref="F24:G3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21">
    <cfRule type="colorScale" priority="2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21">
    <cfRule type="colorScale" priority="2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21">
    <cfRule type="colorScale" priority="2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21">
    <cfRule type="colorScale" priority="2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7:P93">
    <cfRule type="colorScale" priority="2">
      <colorScale>
        <cfvo type="min"/>
        <cfvo type="percentile" val="50"/>
        <cfvo type="max"/>
        <color theme="5" tint="0.39997558519241921"/>
        <color rgb="FFFFEB84"/>
        <color rgb="FF63BE7B"/>
      </colorScale>
    </cfRule>
  </conditionalFormatting>
  <conditionalFormatting sqref="P42:P54">
    <cfRule type="colorScale" priority="1">
      <colorScale>
        <cfvo type="min"/>
        <cfvo type="percentile" val="50"/>
        <cfvo type="max"/>
        <color theme="5" tint="0.59999389629810485"/>
        <color rgb="FFFFEB84"/>
        <color rgb="FF63BE7B"/>
      </colorScale>
    </cfRule>
  </conditionalFormatting>
  <conditionalFormatting sqref="P94">
    <cfRule type="colorScale" priority="240">
      <colorScale>
        <cfvo type="min"/>
        <cfvo type="percentile" val="50"/>
        <cfvo type="max"/>
        <color theme="5" tint="0.39997558519241921"/>
        <color rgb="FFFFEB84"/>
        <color rgb="FF63BE7B"/>
      </colorScale>
    </cfRule>
  </conditionalFormatting>
  <dataValidations disablePrompts="1" count="1">
    <dataValidation type="custom" allowBlank="1" showInputMessage="1" showErrorMessage="1" sqref="I37" xr:uid="{46844A1D-E2F7-4338-83AE-9C3E42B94B2B}">
      <formula1>ISTEXT(B30:B66)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1ADCC-5D68-4D4B-9348-EB3FA4702CA0}">
  <sheetPr codeName="Hoja10"/>
  <dimension ref="A1:AB68"/>
  <sheetViews>
    <sheetView showGridLines="0" topLeftCell="A13" zoomScale="80" zoomScaleNormal="80" workbookViewId="0">
      <selection activeCell="Q18" sqref="Q18"/>
    </sheetView>
  </sheetViews>
  <sheetFormatPr baseColWidth="10" defaultRowHeight="15" x14ac:dyDescent="0.25"/>
  <cols>
    <col min="1" max="1" width="7.42578125" bestFit="1" customWidth="1"/>
    <col min="2" max="4" width="8.5703125" customWidth="1"/>
    <col min="5" max="5" width="9.28515625" customWidth="1"/>
    <col min="6" max="6" width="10.7109375" customWidth="1"/>
    <col min="7" max="7" width="11.42578125" customWidth="1"/>
    <col min="8" max="8" width="15.7109375" customWidth="1"/>
    <col min="16" max="18" width="8.5703125" customWidth="1"/>
    <col min="19" max="19" width="9.28515625" customWidth="1"/>
    <col min="20" max="20" width="10.7109375" customWidth="1"/>
  </cols>
  <sheetData>
    <row r="1" spans="1:28" x14ac:dyDescent="0.25">
      <c r="D1" s="173"/>
      <c r="I1" s="173"/>
      <c r="R1" s="173"/>
    </row>
    <row r="2" spans="1:28" x14ac:dyDescent="0.25">
      <c r="A2" s="34"/>
      <c r="B2" s="174" t="s">
        <v>197</v>
      </c>
      <c r="F2" s="173"/>
      <c r="G2" s="173"/>
      <c r="H2" s="162"/>
      <c r="I2" s="234" t="s">
        <v>126</v>
      </c>
      <c r="J2" s="145" t="s">
        <v>177</v>
      </c>
      <c r="K2" s="39" t="s">
        <v>176</v>
      </c>
      <c r="L2" s="39" t="s">
        <v>175</v>
      </c>
      <c r="M2" s="39" t="s">
        <v>174</v>
      </c>
      <c r="N2" s="172"/>
      <c r="O2" s="171"/>
      <c r="P2" s="194" t="s">
        <v>196</v>
      </c>
      <c r="Q2" s="107"/>
      <c r="R2" s="195"/>
      <c r="S2" s="107"/>
      <c r="T2" s="107"/>
      <c r="U2" s="107"/>
      <c r="V2" s="162"/>
      <c r="W2" s="232" t="s">
        <v>126</v>
      </c>
      <c r="X2" s="145" t="s">
        <v>177</v>
      </c>
      <c r="Y2" s="39" t="s">
        <v>176</v>
      </c>
      <c r="Z2" s="39" t="s">
        <v>175</v>
      </c>
      <c r="AA2" s="39" t="s">
        <v>174</v>
      </c>
    </row>
    <row r="3" spans="1:28" x14ac:dyDescent="0.25">
      <c r="B3" s="47" t="s">
        <v>64</v>
      </c>
      <c r="C3" s="180" t="s">
        <v>126</v>
      </c>
      <c r="D3" s="180" t="s">
        <v>163</v>
      </c>
      <c r="E3" s="180" t="s">
        <v>162</v>
      </c>
      <c r="F3" s="47" t="s">
        <v>161</v>
      </c>
      <c r="G3" s="47" t="s">
        <v>160</v>
      </c>
      <c r="H3" s="181"/>
      <c r="I3" s="233"/>
      <c r="J3" s="169">
        <v>45236</v>
      </c>
      <c r="K3" s="161">
        <v>45233</v>
      </c>
      <c r="L3" s="160">
        <v>45230</v>
      </c>
      <c r="M3" s="161">
        <v>44925</v>
      </c>
      <c r="N3" s="170"/>
      <c r="O3" s="193"/>
      <c r="P3" s="47" t="s">
        <v>64</v>
      </c>
      <c r="Q3" s="180" t="s">
        <v>126</v>
      </c>
      <c r="R3" s="180" t="s">
        <v>163</v>
      </c>
      <c r="S3" s="180" t="s">
        <v>162</v>
      </c>
      <c r="T3" s="47" t="s">
        <v>161</v>
      </c>
      <c r="U3" s="47" t="s">
        <v>160</v>
      </c>
      <c r="V3" s="162"/>
      <c r="W3" s="233"/>
      <c r="X3" s="160">
        <v>45236</v>
      </c>
      <c r="Y3" s="160">
        <v>45233</v>
      </c>
      <c r="Z3" s="161">
        <v>45230</v>
      </c>
      <c r="AA3" s="161">
        <v>44925</v>
      </c>
    </row>
    <row r="4" spans="1:28" x14ac:dyDescent="0.25">
      <c r="A4" s="168"/>
      <c r="B4" s="191" t="str" cm="1">
        <f t="array" ref="B4:B22">+ASW_Bonos!B7:B25</f>
        <v>dic23</v>
      </c>
      <c r="C4" s="209">
        <f t="shared" ref="C4:C22" si="0">+I4</f>
        <v>11.591200000000001</v>
      </c>
      <c r="D4" s="176">
        <f t="shared" ref="D4:D22" si="1">+(C4-J4)*100</f>
        <v>1.1200000000000543</v>
      </c>
      <c r="E4" s="177">
        <f t="shared" ref="E4:E22" si="2">+(C4-K4)*100</f>
        <v>1.1200000000000543</v>
      </c>
      <c r="F4" s="177">
        <f t="shared" ref="F4:F22" si="3">+(C4-L4)*100</f>
        <v>-1.8799999999998818</v>
      </c>
      <c r="G4" s="177">
        <f t="shared" ref="G4:G22" si="4">+IF(M4="","",(C4-M4)*100)</f>
        <v>81.920000000000044</v>
      </c>
      <c r="H4" s="159"/>
      <c r="I4" s="179">
        <f>+J4+0.0112</f>
        <v>11.591200000000001</v>
      </c>
      <c r="J4" s="191">
        <v>11.58</v>
      </c>
      <c r="K4" s="191">
        <v>11.58</v>
      </c>
      <c r="L4" s="101">
        <v>11.61</v>
      </c>
      <c r="M4" s="187">
        <v>10.772</v>
      </c>
      <c r="P4" s="167" t="s">
        <v>195</v>
      </c>
      <c r="Q4" s="93">
        <f t="shared" ref="Q4:Q13" si="5">+W4</f>
        <v>6.56</v>
      </c>
      <c r="R4" s="176">
        <f t="shared" ref="R4:R13" si="6">+(Q4-X4)*100</f>
        <v>50</v>
      </c>
      <c r="S4" s="192">
        <f t="shared" ref="S4:S13" si="7">+(Q4-Y4)*100</f>
        <v>51.999999999999957</v>
      </c>
      <c r="T4" s="192">
        <f t="shared" ref="T4:T13" si="8">+(Q4-Z4)*100</f>
        <v>46</v>
      </c>
      <c r="U4" s="177">
        <f t="shared" ref="U4:U13" si="9">+IF(AA4="","",(Q4-AA4)*100)</f>
        <v>46.899999999999942</v>
      </c>
      <c r="V4" s="159"/>
      <c r="W4" s="157">
        <v>6.56</v>
      </c>
      <c r="X4" s="101">
        <v>6.06</v>
      </c>
      <c r="Y4" s="101">
        <v>6.04</v>
      </c>
      <c r="Z4" s="191">
        <v>6.1</v>
      </c>
      <c r="AA4" s="187">
        <v>6.0910000000000002</v>
      </c>
    </row>
    <row r="5" spans="1:28" x14ac:dyDescent="0.25">
      <c r="A5" s="165"/>
      <c r="B5" s="101" t="str">
        <v>sep24</v>
      </c>
      <c r="C5" s="92">
        <f t="shared" si="0"/>
        <v>11.438000000000001</v>
      </c>
      <c r="D5" s="176">
        <f t="shared" si="1"/>
        <v>9.8000000000000753</v>
      </c>
      <c r="E5" s="177">
        <f t="shared" si="2"/>
        <v>12.800000000000011</v>
      </c>
      <c r="F5" s="177">
        <f t="shared" si="3"/>
        <v>-11.20000000000001</v>
      </c>
      <c r="G5" s="177">
        <f t="shared" si="4"/>
        <v>133.69999999999999</v>
      </c>
      <c r="H5" s="159"/>
      <c r="I5" s="179">
        <f>+J5+0.098</f>
        <v>11.438000000000001</v>
      </c>
      <c r="J5" s="101">
        <v>11.34</v>
      </c>
      <c r="K5" s="101">
        <v>11.31</v>
      </c>
      <c r="L5" s="101">
        <v>11.55</v>
      </c>
      <c r="M5" s="93">
        <v>10.101000000000001</v>
      </c>
      <c r="P5" s="167" t="s">
        <v>188</v>
      </c>
      <c r="Q5" s="93">
        <f t="shared" si="5"/>
        <v>6.39</v>
      </c>
      <c r="R5" s="176">
        <f t="shared" si="6"/>
        <v>1.9999999999999574</v>
      </c>
      <c r="S5" s="177">
        <f t="shared" si="7"/>
        <v>0</v>
      </c>
      <c r="T5" s="177">
        <f t="shared" si="8"/>
        <v>-6.0000000000000497</v>
      </c>
      <c r="U5" s="177">
        <f t="shared" si="9"/>
        <v>167.79999999999998</v>
      </c>
      <c r="V5" s="159"/>
      <c r="W5" s="157">
        <v>6.39</v>
      </c>
      <c r="X5" s="101">
        <v>6.37</v>
      </c>
      <c r="Y5" s="101">
        <v>6.39</v>
      </c>
      <c r="Z5" s="101">
        <v>6.45</v>
      </c>
      <c r="AA5" s="93">
        <v>4.7119999999999997</v>
      </c>
    </row>
    <row r="6" spans="1:28" x14ac:dyDescent="0.25">
      <c r="A6" s="165"/>
      <c r="B6" s="101" t="str">
        <v>dic24</v>
      </c>
      <c r="C6" s="92">
        <f t="shared" si="0"/>
        <v>11.17</v>
      </c>
      <c r="D6" s="176">
        <f t="shared" si="1"/>
        <v>11.999999999999922</v>
      </c>
      <c r="E6" s="177">
        <f t="shared" si="2"/>
        <v>13.000000000000078</v>
      </c>
      <c r="F6" s="177">
        <f t="shared" si="3"/>
        <v>-8.9999999999999858</v>
      </c>
      <c r="G6" s="177">
        <f t="shared" si="4"/>
        <v>130.40000000000003</v>
      </c>
      <c r="H6" s="159"/>
      <c r="I6" s="179">
        <f>+J6+0.12</f>
        <v>11.17</v>
      </c>
      <c r="J6" s="101">
        <v>11.05</v>
      </c>
      <c r="K6" s="101">
        <v>11.04</v>
      </c>
      <c r="L6" s="101">
        <v>11.26</v>
      </c>
      <c r="M6" s="93">
        <v>9.8659999999999997</v>
      </c>
      <c r="P6" s="167" t="s">
        <v>194</v>
      </c>
      <c r="Q6" s="93">
        <f t="shared" si="5"/>
        <v>6.38</v>
      </c>
      <c r="R6" s="176">
        <f t="shared" si="6"/>
        <v>20.000000000000018</v>
      </c>
      <c r="S6" s="177">
        <f t="shared" si="7"/>
        <v>20.999999999999996</v>
      </c>
      <c r="T6" s="177">
        <f t="shared" si="8"/>
        <v>0</v>
      </c>
      <c r="U6" s="177">
        <f t="shared" si="9"/>
        <v>178.09999999999997</v>
      </c>
      <c r="V6" s="159"/>
      <c r="W6" s="157">
        <v>6.38</v>
      </c>
      <c r="X6" s="101">
        <v>6.18</v>
      </c>
      <c r="Y6" s="101">
        <v>6.17</v>
      </c>
      <c r="Z6" s="101">
        <v>6.38</v>
      </c>
      <c r="AA6" s="93">
        <v>4.5990000000000002</v>
      </c>
    </row>
    <row r="7" spans="1:28" x14ac:dyDescent="0.25">
      <c r="A7" s="165"/>
      <c r="B7" s="101" t="str">
        <v>mar25</v>
      </c>
      <c r="C7" s="92">
        <f t="shared" si="0"/>
        <v>10.74</v>
      </c>
      <c r="D7" s="176">
        <f t="shared" si="1"/>
        <v>2.9999999999999361</v>
      </c>
      <c r="E7" s="177">
        <f t="shared" si="2"/>
        <v>6.0000000000000497</v>
      </c>
      <c r="F7" s="177">
        <f t="shared" si="3"/>
        <v>-22.000000000000064</v>
      </c>
      <c r="G7" s="177">
        <f t="shared" si="4"/>
        <v>84.600000000000009</v>
      </c>
      <c r="H7" s="159"/>
      <c r="I7" s="179">
        <f>+J7+0.03</f>
        <v>10.74</v>
      </c>
      <c r="J7" s="101">
        <v>10.71</v>
      </c>
      <c r="K7" s="101">
        <v>10.68</v>
      </c>
      <c r="L7" s="101">
        <v>10.96</v>
      </c>
      <c r="M7" s="93">
        <v>9.8940000000000001</v>
      </c>
      <c r="P7" s="167" t="s">
        <v>187</v>
      </c>
      <c r="Q7" s="93">
        <f t="shared" si="5"/>
        <v>5.55</v>
      </c>
      <c r="R7" s="176">
        <f t="shared" si="6"/>
        <v>25</v>
      </c>
      <c r="S7" s="177">
        <f t="shared" si="7"/>
        <v>25.999999999999979</v>
      </c>
      <c r="T7" s="177">
        <f t="shared" si="8"/>
        <v>0</v>
      </c>
      <c r="U7" s="177">
        <f t="shared" si="9"/>
        <v>126.6</v>
      </c>
      <c r="V7" s="159"/>
      <c r="W7" s="157">
        <v>5.55</v>
      </c>
      <c r="X7" s="101">
        <v>5.3</v>
      </c>
      <c r="Y7" s="101">
        <v>5.29</v>
      </c>
      <c r="Z7" s="101">
        <v>5.55</v>
      </c>
      <c r="AA7" s="93">
        <v>4.2839999999999998</v>
      </c>
    </row>
    <row r="8" spans="1:28" x14ac:dyDescent="0.25">
      <c r="A8" s="165"/>
      <c r="B8" s="101" t="str">
        <v>mar26</v>
      </c>
      <c r="C8" s="92">
        <f t="shared" si="0"/>
        <v>10.49</v>
      </c>
      <c r="D8" s="176">
        <f t="shared" si="1"/>
        <v>5.0000000000000711</v>
      </c>
      <c r="E8" s="177">
        <f t="shared" si="2"/>
        <v>8.9999999999999858</v>
      </c>
      <c r="F8" s="177">
        <f t="shared" si="3"/>
        <v>-24.000000000000021</v>
      </c>
      <c r="G8" s="177">
        <f t="shared" si="4"/>
        <v>123.70000000000002</v>
      </c>
      <c r="H8" s="159"/>
      <c r="I8" s="179">
        <f>+J8+0.05</f>
        <v>10.49</v>
      </c>
      <c r="J8" s="101">
        <v>10.44</v>
      </c>
      <c r="K8" s="101">
        <v>10.4</v>
      </c>
      <c r="L8" s="101">
        <v>10.73</v>
      </c>
      <c r="M8" s="93">
        <v>9.2530000000000001</v>
      </c>
      <c r="P8" s="167" t="s">
        <v>186</v>
      </c>
      <c r="Q8" s="93">
        <f t="shared" si="5"/>
        <v>5.32</v>
      </c>
      <c r="R8" s="176">
        <f t="shared" si="6"/>
        <v>16.000000000000014</v>
      </c>
      <c r="S8" s="177">
        <f t="shared" si="7"/>
        <v>18.00000000000006</v>
      </c>
      <c r="T8" s="177">
        <f t="shared" si="8"/>
        <v>-0.99999999999997868</v>
      </c>
      <c r="U8" s="177">
        <f t="shared" si="9"/>
        <v>114.4</v>
      </c>
      <c r="V8" s="159"/>
      <c r="W8" s="157">
        <v>5.32</v>
      </c>
      <c r="X8" s="101">
        <v>5.16</v>
      </c>
      <c r="Y8" s="101">
        <v>5.14</v>
      </c>
      <c r="Z8" s="101">
        <v>5.33</v>
      </c>
      <c r="AA8" s="93">
        <v>4.1760000000000002</v>
      </c>
    </row>
    <row r="9" spans="1:28" x14ac:dyDescent="0.25">
      <c r="A9" s="165"/>
      <c r="B9" s="101" t="str">
        <v>sep26</v>
      </c>
      <c r="C9" s="92">
        <f t="shared" si="0"/>
        <v>10.48</v>
      </c>
      <c r="D9" s="176">
        <f t="shared" si="1"/>
        <v>15.000000000000036</v>
      </c>
      <c r="E9" s="177">
        <f t="shared" si="2"/>
        <v>19.000000000000128</v>
      </c>
      <c r="F9" s="177">
        <f t="shared" si="3"/>
        <v>-16.000000000000014</v>
      </c>
      <c r="G9" s="177">
        <f t="shared" si="4"/>
        <v>125.54999999999995</v>
      </c>
      <c r="H9" s="159"/>
      <c r="I9" s="179">
        <f>+J9+0.15</f>
        <v>10.48</v>
      </c>
      <c r="J9" s="101">
        <v>10.33</v>
      </c>
      <c r="K9" s="101">
        <v>10.29</v>
      </c>
      <c r="L9" s="101">
        <v>10.64</v>
      </c>
      <c r="M9" s="93">
        <v>9.2245000000000008</v>
      </c>
      <c r="P9" s="167" t="s">
        <v>193</v>
      </c>
      <c r="Q9" s="93">
        <f t="shared" si="5"/>
        <v>4.99</v>
      </c>
      <c r="R9" s="176">
        <f t="shared" si="6"/>
        <v>15.000000000000036</v>
      </c>
      <c r="S9" s="177">
        <f t="shared" si="7"/>
        <v>18.00000000000006</v>
      </c>
      <c r="T9" s="177">
        <f t="shared" si="8"/>
        <v>-2.9999999999999361</v>
      </c>
      <c r="U9" s="177">
        <f t="shared" si="9"/>
        <v>76.900000000000006</v>
      </c>
      <c r="V9" s="159"/>
      <c r="W9" s="157">
        <v>4.99</v>
      </c>
      <c r="X9" s="101">
        <v>4.84</v>
      </c>
      <c r="Y9" s="101">
        <v>4.8099999999999996</v>
      </c>
      <c r="Z9" s="101">
        <v>5.0199999999999996</v>
      </c>
      <c r="AA9" s="93">
        <v>4.2210000000000001</v>
      </c>
    </row>
    <row r="10" spans="1:28" x14ac:dyDescent="0.25">
      <c r="A10" s="165"/>
      <c r="B10" s="101" t="str">
        <v>mar27</v>
      </c>
      <c r="C10" s="92">
        <f t="shared" si="0"/>
        <v>10.26</v>
      </c>
      <c r="D10" s="176">
        <f t="shared" si="1"/>
        <v>23.000000000000043</v>
      </c>
      <c r="E10" s="177">
        <f t="shared" si="2"/>
        <v>26.999999999999957</v>
      </c>
      <c r="F10" s="177">
        <f t="shared" si="3"/>
        <v>-10.999999999999943</v>
      </c>
      <c r="G10" s="177">
        <f t="shared" si="4"/>
        <v>106.4</v>
      </c>
      <c r="H10" s="159"/>
      <c r="I10" s="179">
        <f>+J10+0.23</f>
        <v>10.26</v>
      </c>
      <c r="J10" s="101">
        <v>10.029999999999999</v>
      </c>
      <c r="K10" s="101">
        <v>9.99</v>
      </c>
      <c r="L10" s="101">
        <v>10.37</v>
      </c>
      <c r="M10" s="93">
        <v>9.1959999999999997</v>
      </c>
      <c r="P10" s="167" t="s">
        <v>192</v>
      </c>
      <c r="Q10" s="93">
        <f t="shared" si="5"/>
        <v>5.03</v>
      </c>
      <c r="R10" s="176">
        <f t="shared" si="6"/>
        <v>14.000000000000057</v>
      </c>
      <c r="S10" s="177">
        <f t="shared" si="7"/>
        <v>16.999999999999993</v>
      </c>
      <c r="T10" s="177">
        <f t="shared" si="8"/>
        <v>-0.99999999999997868</v>
      </c>
      <c r="U10" s="177">
        <f t="shared" si="9"/>
        <v>83.5</v>
      </c>
      <c r="V10" s="159"/>
      <c r="W10" s="157">
        <v>5.03</v>
      </c>
      <c r="X10" s="101">
        <v>4.8899999999999997</v>
      </c>
      <c r="Y10" s="101">
        <v>4.8600000000000003</v>
      </c>
      <c r="Z10" s="101">
        <v>5.04</v>
      </c>
      <c r="AA10" s="93">
        <v>4.1950000000000003</v>
      </c>
    </row>
    <row r="11" spans="1:28" x14ac:dyDescent="0.25">
      <c r="A11" s="165"/>
      <c r="B11" s="101" t="str">
        <v>jun27</v>
      </c>
      <c r="C11" s="92">
        <f t="shared" si="0"/>
        <v>10.01</v>
      </c>
      <c r="D11" s="176">
        <f t="shared" si="1"/>
        <v>0.99999999999997868</v>
      </c>
      <c r="E11" s="177">
        <f t="shared" si="2"/>
        <v>6.0000000000000497</v>
      </c>
      <c r="F11" s="177">
        <f t="shared" si="3"/>
        <v>-33.999999999999986</v>
      </c>
      <c r="G11" s="177">
        <f t="shared" si="4"/>
        <v>90.199999999999932</v>
      </c>
      <c r="H11" s="159"/>
      <c r="I11" s="179">
        <f>+J11+0.01</f>
        <v>10.01</v>
      </c>
      <c r="J11" s="101">
        <v>10</v>
      </c>
      <c r="K11" s="101">
        <v>9.9499999999999993</v>
      </c>
      <c r="L11" s="101">
        <v>10.35</v>
      </c>
      <c r="M11" s="93">
        <v>9.1080000000000005</v>
      </c>
      <c r="P11" s="167" t="s">
        <v>191</v>
      </c>
      <c r="Q11" s="93">
        <f t="shared" si="5"/>
        <v>5.04</v>
      </c>
      <c r="R11" s="176">
        <f t="shared" si="6"/>
        <v>12.000000000000011</v>
      </c>
      <c r="S11" s="177">
        <f t="shared" si="7"/>
        <v>16.999999999999993</v>
      </c>
      <c r="T11" s="177">
        <f t="shared" si="8"/>
        <v>-0.99999999999997868</v>
      </c>
      <c r="U11" s="177">
        <f t="shared" si="9"/>
        <v>84.949999999999989</v>
      </c>
      <c r="V11" s="159"/>
      <c r="W11" s="157">
        <v>5.04</v>
      </c>
      <c r="X11" s="101">
        <v>4.92</v>
      </c>
      <c r="Y11" s="101">
        <v>4.87</v>
      </c>
      <c r="Z11" s="101">
        <v>5.05</v>
      </c>
      <c r="AA11" s="93">
        <v>4.1905000000000001</v>
      </c>
    </row>
    <row r="12" spans="1:28" x14ac:dyDescent="0.25">
      <c r="A12" s="165"/>
      <c r="B12" s="101" t="str">
        <v>mar29</v>
      </c>
      <c r="C12" s="92">
        <f t="shared" si="0"/>
        <v>9.8829999999999991</v>
      </c>
      <c r="D12" s="176">
        <f t="shared" si="1"/>
        <v>2.2999999999999687</v>
      </c>
      <c r="E12" s="177">
        <f t="shared" si="2"/>
        <v>8.2999999999998408</v>
      </c>
      <c r="F12" s="177">
        <f t="shared" si="3"/>
        <v>-35.700000000000109</v>
      </c>
      <c r="G12" s="177">
        <f t="shared" si="4"/>
        <v>80.037499999999895</v>
      </c>
      <c r="H12" s="159"/>
      <c r="I12" s="179">
        <f>+J12+0.023</f>
        <v>9.8829999999999991</v>
      </c>
      <c r="J12" s="101">
        <v>9.86</v>
      </c>
      <c r="K12" s="101">
        <v>9.8000000000000007</v>
      </c>
      <c r="L12" s="101">
        <v>10.24</v>
      </c>
      <c r="M12" s="93">
        <v>9.0826250000000002</v>
      </c>
      <c r="P12" s="167" t="s">
        <v>190</v>
      </c>
      <c r="Q12" s="93">
        <f t="shared" si="5"/>
        <v>5.0199999999999996</v>
      </c>
      <c r="R12" s="176">
        <f t="shared" si="6"/>
        <v>15.999999999999925</v>
      </c>
      <c r="S12" s="177">
        <f t="shared" si="7"/>
        <v>18.99999999999995</v>
      </c>
      <c r="T12" s="177">
        <f t="shared" si="8"/>
        <v>0</v>
      </c>
      <c r="U12" s="177">
        <f t="shared" si="9"/>
        <v>83.399999999999963</v>
      </c>
      <c r="V12" s="159"/>
      <c r="W12" s="157">
        <v>5.0199999999999996</v>
      </c>
      <c r="X12" s="101">
        <v>4.8600000000000003</v>
      </c>
      <c r="Y12" s="101">
        <v>4.83</v>
      </c>
      <c r="Z12" s="101">
        <v>5.0199999999999996</v>
      </c>
      <c r="AA12" s="93">
        <v>4.1859999999999999</v>
      </c>
    </row>
    <row r="13" spans="1:28" x14ac:dyDescent="0.25">
      <c r="A13" s="165"/>
      <c r="B13" s="101" t="str">
        <v>may29</v>
      </c>
      <c r="C13" s="92">
        <f t="shared" si="0"/>
        <v>9.94</v>
      </c>
      <c r="D13" s="176">
        <f t="shared" si="1"/>
        <v>16.000000000000014</v>
      </c>
      <c r="E13" s="177">
        <f t="shared" si="2"/>
        <v>17.999999999999972</v>
      </c>
      <c r="F13" s="177">
        <f t="shared" si="3"/>
        <v>-22.000000000000064</v>
      </c>
      <c r="G13" s="177">
        <f t="shared" si="4"/>
        <v>86.099999999999881</v>
      </c>
      <c r="H13" s="159"/>
      <c r="I13" s="179">
        <f>+J13+0.16</f>
        <v>9.94</v>
      </c>
      <c r="J13" s="101">
        <v>9.7799999999999994</v>
      </c>
      <c r="K13" s="101">
        <v>9.76</v>
      </c>
      <c r="L13" s="101">
        <v>10.16</v>
      </c>
      <c r="M13" s="93">
        <v>9.0790000000000006</v>
      </c>
      <c r="P13" s="167" t="s">
        <v>185</v>
      </c>
      <c r="Q13" s="93">
        <f t="shared" si="5"/>
        <v>5</v>
      </c>
      <c r="R13" s="176">
        <f t="shared" si="6"/>
        <v>12.000000000000011</v>
      </c>
      <c r="S13" s="177">
        <f t="shared" si="7"/>
        <v>13.999999999999968</v>
      </c>
      <c r="T13" s="177">
        <f t="shared" si="8"/>
        <v>-3.0000000000000249</v>
      </c>
      <c r="U13" s="177">
        <f t="shared" si="9"/>
        <v>76.100000000000009</v>
      </c>
      <c r="V13" s="159"/>
      <c r="W13" s="157">
        <v>5</v>
      </c>
      <c r="X13" s="101">
        <v>4.88</v>
      </c>
      <c r="Y13" s="101">
        <v>4.8600000000000003</v>
      </c>
      <c r="Z13" s="101">
        <v>5.03</v>
      </c>
      <c r="AA13" s="93">
        <v>4.2389999999999999</v>
      </c>
    </row>
    <row r="14" spans="1:28" x14ac:dyDescent="0.25">
      <c r="A14" s="165"/>
      <c r="B14" s="101" t="str">
        <v>may31</v>
      </c>
      <c r="C14" s="92">
        <f t="shared" si="0"/>
        <v>9.93</v>
      </c>
      <c r="D14" s="176">
        <f t="shared" si="1"/>
        <v>9.9999999999999645</v>
      </c>
      <c r="E14" s="177">
        <f t="shared" si="2"/>
        <v>14.000000000000057</v>
      </c>
      <c r="F14" s="177">
        <f t="shared" si="3"/>
        <v>-28.000000000000114</v>
      </c>
      <c r="G14" s="177">
        <f t="shared" si="4"/>
        <v>87.899999999999949</v>
      </c>
      <c r="H14" s="159"/>
      <c r="I14" s="179">
        <f>+J14+0.1</f>
        <v>9.93</v>
      </c>
      <c r="J14" s="101">
        <v>9.83</v>
      </c>
      <c r="K14" s="101">
        <v>9.7899999999999991</v>
      </c>
      <c r="L14" s="101">
        <v>10.210000000000001</v>
      </c>
      <c r="M14" s="93">
        <v>9.0510000000000002</v>
      </c>
      <c r="V14" s="159"/>
    </row>
    <row r="15" spans="1:28" x14ac:dyDescent="0.25">
      <c r="A15" s="165"/>
      <c r="B15" s="101" t="str">
        <v>may33</v>
      </c>
      <c r="C15" s="92">
        <f t="shared" si="0"/>
        <v>9.9</v>
      </c>
      <c r="D15" s="176">
        <f t="shared" si="1"/>
        <v>8.9999999999999858</v>
      </c>
      <c r="E15" s="177">
        <f t="shared" si="2"/>
        <v>15.000000000000036</v>
      </c>
      <c r="F15" s="177">
        <f t="shared" si="3"/>
        <v>-27.999999999999936</v>
      </c>
      <c r="G15" s="177">
        <f t="shared" si="4"/>
        <v>81.200000000000117</v>
      </c>
      <c r="H15" s="159"/>
      <c r="I15" s="179">
        <f>+J15+0.09</f>
        <v>9.9</v>
      </c>
      <c r="J15" s="101">
        <v>9.81</v>
      </c>
      <c r="K15" s="101">
        <v>9.75</v>
      </c>
      <c r="L15" s="101">
        <v>10.18</v>
      </c>
      <c r="M15" s="93">
        <v>9.0879999999999992</v>
      </c>
      <c r="P15" s="134" t="s">
        <v>189</v>
      </c>
    </row>
    <row r="16" spans="1:28" x14ac:dyDescent="0.25">
      <c r="A16" s="165"/>
      <c r="B16" s="101" t="str">
        <v>nov34</v>
      </c>
      <c r="C16" s="92">
        <f t="shared" si="0"/>
        <v>9.7999999999999989</v>
      </c>
      <c r="D16" s="176">
        <f t="shared" si="1"/>
        <v>3.9999999999999147</v>
      </c>
      <c r="E16" s="177">
        <f t="shared" si="2"/>
        <v>5.9999999999998721</v>
      </c>
      <c r="F16" s="177">
        <f t="shared" si="3"/>
        <v>-33.000000000000185</v>
      </c>
      <c r="G16" s="177">
        <f t="shared" si="4"/>
        <v>72.799999999999983</v>
      </c>
      <c r="H16" s="159"/>
      <c r="I16" s="179">
        <f>+J16+0.04</f>
        <v>9.7999999999999989</v>
      </c>
      <c r="J16" s="101">
        <v>9.76</v>
      </c>
      <c r="K16" s="101">
        <v>9.74</v>
      </c>
      <c r="L16" s="101">
        <v>10.130000000000001</v>
      </c>
      <c r="M16" s="93">
        <v>9.0719999999999992</v>
      </c>
      <c r="P16" s="47" t="s">
        <v>164</v>
      </c>
      <c r="Q16" s="47" t="s">
        <v>126</v>
      </c>
      <c r="R16" s="47" t="s">
        <v>163</v>
      </c>
      <c r="S16" s="175" t="s">
        <v>162</v>
      </c>
      <c r="T16" s="175" t="s">
        <v>161</v>
      </c>
      <c r="U16" s="175" t="s">
        <v>160</v>
      </c>
      <c r="W16" s="155">
        <f>+X3</f>
        <v>45236</v>
      </c>
      <c r="X16" s="155">
        <f>+Y3</f>
        <v>45233</v>
      </c>
      <c r="Y16" s="155">
        <f>+Z3</f>
        <v>45230</v>
      </c>
      <c r="Z16" s="155">
        <f>+AA3</f>
        <v>44925</v>
      </c>
      <c r="AA16" s="155" t="s">
        <v>198</v>
      </c>
      <c r="AB16" s="155" t="s">
        <v>199</v>
      </c>
    </row>
    <row r="17" spans="1:28" x14ac:dyDescent="0.25">
      <c r="A17" s="166"/>
      <c r="B17" s="101" t="str">
        <v>may35</v>
      </c>
      <c r="C17" s="92">
        <f t="shared" si="0"/>
        <v>10.06</v>
      </c>
      <c r="D17" s="176">
        <f t="shared" si="1"/>
        <v>21.000000000000085</v>
      </c>
      <c r="E17" s="177">
        <f t="shared" si="2"/>
        <v>21.000000000000085</v>
      </c>
      <c r="F17" s="177">
        <f t="shared" si="3"/>
        <v>-11.999999999999922</v>
      </c>
      <c r="G17" s="177">
        <f t="shared" si="4"/>
        <v>98.125000000000114</v>
      </c>
      <c r="H17" s="159"/>
      <c r="I17" s="179">
        <f>+J17+0.21</f>
        <v>10.06</v>
      </c>
      <c r="J17" s="101">
        <v>9.85</v>
      </c>
      <c r="K17" s="101">
        <v>9.85</v>
      </c>
      <c r="L17" s="101">
        <v>10.18</v>
      </c>
      <c r="M17" s="93">
        <v>9.0787499999999994</v>
      </c>
      <c r="P17" s="184" t="s">
        <v>169</v>
      </c>
      <c r="Q17" s="183">
        <f t="shared" ref="Q17:Q22" si="10">+(VLOOKUP($AB17,$P$2:$AA$13,2,0)-VLOOKUP($AA17,$P$2:$AA$13,2,0))*100</f>
        <v>-83.999999999999986</v>
      </c>
      <c r="R17" s="182">
        <f t="shared" ref="R17:U22" si="11">+$Q17-W17</f>
        <v>23.000000000000043</v>
      </c>
      <c r="S17" s="183">
        <f t="shared" si="11"/>
        <v>25.999999999999986</v>
      </c>
      <c r="T17" s="183">
        <f t="shared" si="11"/>
        <v>6.0000000000000426</v>
      </c>
      <c r="U17" s="183">
        <f t="shared" si="11"/>
        <v>-41.199999999999989</v>
      </c>
      <c r="W17" s="151">
        <f t="shared" ref="W17:Z22" si="12">+(VLOOKUP($AB17,$P$2:$AA$13,MATCH(W$16,$P$3:$AA$3,0),0)-VLOOKUP($AA17,$P$2:$AA$13,MATCH(W$16,$P$3:$AA$3,0),0))*100</f>
        <v>-107.00000000000003</v>
      </c>
      <c r="X17" s="151">
        <f t="shared" si="12"/>
        <v>-109.99999999999997</v>
      </c>
      <c r="Y17" s="151">
        <f t="shared" si="12"/>
        <v>-90.000000000000028</v>
      </c>
      <c r="Z17" s="151">
        <f t="shared" si="12"/>
        <v>-42.8</v>
      </c>
      <c r="AA17" s="36" t="s">
        <v>188</v>
      </c>
      <c r="AB17" s="35" t="s">
        <v>187</v>
      </c>
    </row>
    <row r="18" spans="1:28" x14ac:dyDescent="0.25">
      <c r="A18" s="165"/>
      <c r="B18" s="101" t="str">
        <v>nov36</v>
      </c>
      <c r="C18" s="92">
        <f t="shared" si="0"/>
        <v>9.77</v>
      </c>
      <c r="D18" s="176">
        <f t="shared" si="1"/>
        <v>0.99999999999997868</v>
      </c>
      <c r="E18" s="177">
        <f t="shared" si="2"/>
        <v>3.9999999999999147</v>
      </c>
      <c r="F18" s="177">
        <f t="shared" si="3"/>
        <v>-34.999999999999964</v>
      </c>
      <c r="G18" s="177">
        <f t="shared" si="4"/>
        <v>67.099999999999937</v>
      </c>
      <c r="H18" s="159"/>
      <c r="I18" s="179">
        <f>+J18+0.01</f>
        <v>9.77</v>
      </c>
      <c r="J18" s="101">
        <v>9.76</v>
      </c>
      <c r="K18" s="101">
        <v>9.73</v>
      </c>
      <c r="L18" s="101">
        <v>10.119999999999999</v>
      </c>
      <c r="M18" s="93">
        <v>9.0990000000000002</v>
      </c>
      <c r="O18" s="162"/>
      <c r="P18" s="151" t="s">
        <v>168</v>
      </c>
      <c r="Q18" s="178">
        <f t="shared" si="10"/>
        <v>-106.99999999999994</v>
      </c>
      <c r="R18" s="176">
        <f t="shared" si="11"/>
        <v>14.000000000000057</v>
      </c>
      <c r="S18" s="178">
        <f t="shared" si="11"/>
        <v>18.000000000000057</v>
      </c>
      <c r="T18" s="178">
        <f t="shared" si="11"/>
        <v>5.0000000000000711</v>
      </c>
      <c r="U18" s="178">
        <f t="shared" si="11"/>
        <v>-53.399999999999984</v>
      </c>
      <c r="W18" s="151">
        <f t="shared" si="12"/>
        <v>-121</v>
      </c>
      <c r="X18" s="151">
        <f t="shared" si="12"/>
        <v>-125</v>
      </c>
      <c r="Y18" s="151">
        <f t="shared" si="12"/>
        <v>-112.00000000000001</v>
      </c>
      <c r="Z18" s="151">
        <f t="shared" si="12"/>
        <v>-53.599999999999959</v>
      </c>
      <c r="AA18" s="35" t="s">
        <v>188</v>
      </c>
      <c r="AB18" s="35" t="s">
        <v>186</v>
      </c>
    </row>
    <row r="19" spans="1:28" x14ac:dyDescent="0.25">
      <c r="A19" s="165"/>
      <c r="B19" s="101" t="str">
        <v>nov38</v>
      </c>
      <c r="C19" s="92">
        <f t="shared" si="0"/>
        <v>9.92</v>
      </c>
      <c r="D19" s="176">
        <f t="shared" si="1"/>
        <v>11.999999999999922</v>
      </c>
      <c r="E19" s="177">
        <f t="shared" si="2"/>
        <v>13.000000000000078</v>
      </c>
      <c r="F19" s="177">
        <f t="shared" si="3"/>
        <v>-23.000000000000043</v>
      </c>
      <c r="G19" s="177">
        <f t="shared" si="4"/>
        <v>78.999999999999915</v>
      </c>
      <c r="H19" s="159"/>
      <c r="I19" s="179">
        <f>+J19+0.12</f>
        <v>9.92</v>
      </c>
      <c r="J19" s="101">
        <v>9.8000000000000007</v>
      </c>
      <c r="K19" s="101">
        <v>9.7899999999999991</v>
      </c>
      <c r="L19" s="101">
        <v>10.15</v>
      </c>
      <c r="M19" s="93">
        <v>9.1300000000000008</v>
      </c>
      <c r="P19" s="151" t="s">
        <v>181</v>
      </c>
      <c r="Q19" s="178">
        <f t="shared" si="10"/>
        <v>-138.99999999999997</v>
      </c>
      <c r="R19" s="176">
        <f t="shared" si="11"/>
        <v>10.000000000000057</v>
      </c>
      <c r="S19" s="178">
        <f t="shared" si="11"/>
        <v>13.999999999999972</v>
      </c>
      <c r="T19" s="178">
        <f t="shared" si="11"/>
        <v>3.0000000000000284</v>
      </c>
      <c r="U19" s="178">
        <f t="shared" si="11"/>
        <v>-91.699999999999989</v>
      </c>
      <c r="W19" s="151">
        <f t="shared" si="12"/>
        <v>-149.00000000000003</v>
      </c>
      <c r="X19" s="151">
        <f t="shared" si="12"/>
        <v>-152.99999999999994</v>
      </c>
      <c r="Y19" s="151">
        <f t="shared" si="12"/>
        <v>-142</v>
      </c>
      <c r="Z19" s="151">
        <f t="shared" si="12"/>
        <v>-47.299999999999983</v>
      </c>
      <c r="AA19" s="35" t="s">
        <v>188</v>
      </c>
      <c r="AB19" s="35" t="s">
        <v>185</v>
      </c>
    </row>
    <row r="20" spans="1:28" x14ac:dyDescent="0.25">
      <c r="A20" s="165"/>
      <c r="B20" s="101" t="str">
        <v>nov42</v>
      </c>
      <c r="C20" s="92">
        <f t="shared" si="0"/>
        <v>9.98</v>
      </c>
      <c r="D20" s="176">
        <f t="shared" si="1"/>
        <v>17.999999999999972</v>
      </c>
      <c r="E20" s="177">
        <f t="shared" si="2"/>
        <v>19.000000000000128</v>
      </c>
      <c r="F20" s="177">
        <f t="shared" si="3"/>
        <v>-16.000000000000014</v>
      </c>
      <c r="G20" s="177">
        <f t="shared" si="4"/>
        <v>84.90000000000002</v>
      </c>
      <c r="H20" s="159"/>
      <c r="I20" s="179">
        <f>+J20+0.18</f>
        <v>9.98</v>
      </c>
      <c r="J20" s="101">
        <v>9.8000000000000007</v>
      </c>
      <c r="K20" s="101">
        <v>9.7899999999999991</v>
      </c>
      <c r="L20" s="101">
        <v>10.14</v>
      </c>
      <c r="M20" s="93">
        <v>9.1310000000000002</v>
      </c>
      <c r="P20" s="151" t="s">
        <v>167</v>
      </c>
      <c r="Q20" s="178">
        <f t="shared" si="10"/>
        <v>-22.999999999999954</v>
      </c>
      <c r="R20" s="176">
        <f t="shared" si="11"/>
        <v>-8.9999999999999858</v>
      </c>
      <c r="S20" s="178">
        <f t="shared" si="11"/>
        <v>-7.9999999999999183</v>
      </c>
      <c r="T20" s="178">
        <f t="shared" si="11"/>
        <v>-0.99999999999997868</v>
      </c>
      <c r="U20" s="178">
        <f t="shared" si="11"/>
        <v>-12.199999999999989</v>
      </c>
      <c r="W20" s="151">
        <f t="shared" si="12"/>
        <v>-13.999999999999968</v>
      </c>
      <c r="X20" s="151">
        <f t="shared" si="12"/>
        <v>-15.000000000000036</v>
      </c>
      <c r="Y20" s="151">
        <f t="shared" si="12"/>
        <v>-21.999999999999975</v>
      </c>
      <c r="Z20" s="151">
        <f t="shared" si="12"/>
        <v>-10.799999999999965</v>
      </c>
      <c r="AA20" s="35" t="s">
        <v>187</v>
      </c>
      <c r="AB20" s="35" t="s">
        <v>186</v>
      </c>
    </row>
    <row r="21" spans="1:28" x14ac:dyDescent="0.25">
      <c r="A21" s="165"/>
      <c r="B21" s="101" t="str">
        <v>nov47</v>
      </c>
      <c r="C21" s="92">
        <f t="shared" si="0"/>
        <v>9.9700000000000006</v>
      </c>
      <c r="D21" s="176">
        <f t="shared" si="1"/>
        <v>22.000000000000064</v>
      </c>
      <c r="E21" s="177">
        <f t="shared" si="2"/>
        <v>23.000000000000043</v>
      </c>
      <c r="F21" s="177">
        <f t="shared" si="3"/>
        <v>-10.999999999999943</v>
      </c>
      <c r="G21" s="177">
        <f t="shared" si="4"/>
        <v>88.100000000000023</v>
      </c>
      <c r="I21" s="179">
        <f>+J21+0.22</f>
        <v>9.9700000000000006</v>
      </c>
      <c r="J21" s="101">
        <v>9.75</v>
      </c>
      <c r="K21" s="101">
        <v>9.74</v>
      </c>
      <c r="L21" s="101">
        <v>10.08</v>
      </c>
      <c r="M21" s="93">
        <v>9.0890000000000004</v>
      </c>
      <c r="P21" s="151" t="s">
        <v>180</v>
      </c>
      <c r="Q21" s="178">
        <f t="shared" si="10"/>
        <v>-54.999999999999986</v>
      </c>
      <c r="R21" s="176">
        <f t="shared" si="11"/>
        <v>-12.999999999999993</v>
      </c>
      <c r="S21" s="178">
        <f t="shared" si="11"/>
        <v>-12.000000000000014</v>
      </c>
      <c r="T21" s="178">
        <f t="shared" si="11"/>
        <v>-3.0000000000000284</v>
      </c>
      <c r="U21" s="178">
        <f t="shared" si="11"/>
        <v>-50.499999999999993</v>
      </c>
      <c r="W21" s="151">
        <f t="shared" si="12"/>
        <v>-41.999999999999993</v>
      </c>
      <c r="X21" s="151">
        <f t="shared" si="12"/>
        <v>-42.999999999999972</v>
      </c>
      <c r="Y21" s="151">
        <f t="shared" si="12"/>
        <v>-51.999999999999957</v>
      </c>
      <c r="Z21" s="151">
        <f t="shared" si="12"/>
        <v>-4.4999999999999929</v>
      </c>
      <c r="AA21" s="35" t="s">
        <v>187</v>
      </c>
      <c r="AB21" s="35" t="s">
        <v>185</v>
      </c>
    </row>
    <row r="22" spans="1:28" x14ac:dyDescent="0.25">
      <c r="A22" s="165"/>
      <c r="B22" s="101" t="str">
        <v>jul53</v>
      </c>
      <c r="C22" s="92">
        <f t="shared" si="0"/>
        <v>9.77</v>
      </c>
      <c r="D22" s="176">
        <f t="shared" si="1"/>
        <v>0.99999999999997868</v>
      </c>
      <c r="E22" s="177">
        <f t="shared" si="2"/>
        <v>1.9999999999999574</v>
      </c>
      <c r="F22" s="177">
        <f t="shared" si="3"/>
        <v>-32.000000000000028</v>
      </c>
      <c r="G22" s="177">
        <f t="shared" si="4"/>
        <v>67.499999999999886</v>
      </c>
      <c r="I22" s="179">
        <f>+J22+0.01</f>
        <v>9.77</v>
      </c>
      <c r="J22" s="101">
        <v>9.76</v>
      </c>
      <c r="K22" s="101">
        <v>9.75</v>
      </c>
      <c r="L22" s="101">
        <v>10.09</v>
      </c>
      <c r="M22" s="93">
        <v>9.0950000000000006</v>
      </c>
      <c r="P22" s="151" t="s">
        <v>166</v>
      </c>
      <c r="Q22" s="178">
        <f t="shared" si="10"/>
        <v>-32.000000000000028</v>
      </c>
      <c r="R22" s="176">
        <f t="shared" si="11"/>
        <v>-4.0000000000000036</v>
      </c>
      <c r="S22" s="178">
        <f t="shared" si="11"/>
        <v>-4.0000000000000924</v>
      </c>
      <c r="T22" s="178">
        <f t="shared" si="11"/>
        <v>-2.0000000000000462</v>
      </c>
      <c r="U22" s="178">
        <f t="shared" si="11"/>
        <v>-38.299999999999997</v>
      </c>
      <c r="W22" s="151">
        <f t="shared" si="12"/>
        <v>-28.000000000000025</v>
      </c>
      <c r="X22" s="151">
        <f t="shared" si="12"/>
        <v>-27.999999999999936</v>
      </c>
      <c r="Y22" s="151">
        <f t="shared" si="12"/>
        <v>-29.999999999999982</v>
      </c>
      <c r="Z22" s="151">
        <f t="shared" si="12"/>
        <v>6.2999999999999723</v>
      </c>
      <c r="AA22" s="35" t="s">
        <v>186</v>
      </c>
      <c r="AB22" s="35" t="s">
        <v>185</v>
      </c>
    </row>
    <row r="23" spans="1:28" x14ac:dyDescent="0.25">
      <c r="N23" s="164"/>
    </row>
    <row r="24" spans="1:28" x14ac:dyDescent="0.25">
      <c r="B24" s="134" t="s">
        <v>184</v>
      </c>
    </row>
    <row r="25" spans="1:28" x14ac:dyDescent="0.25">
      <c r="A25" s="151"/>
      <c r="B25" s="47" t="s">
        <v>164</v>
      </c>
      <c r="C25" s="47" t="s">
        <v>126</v>
      </c>
      <c r="D25" s="47" t="s">
        <v>163</v>
      </c>
      <c r="E25" s="47" t="s">
        <v>162</v>
      </c>
      <c r="F25" s="47" t="s">
        <v>161</v>
      </c>
      <c r="G25" s="47" t="s">
        <v>160</v>
      </c>
      <c r="I25" s="155">
        <f>+J3</f>
        <v>45236</v>
      </c>
      <c r="J25" s="155">
        <f>+K3</f>
        <v>45233</v>
      </c>
      <c r="K25" s="155">
        <f>+L3</f>
        <v>45230</v>
      </c>
      <c r="L25" s="155">
        <f>+M3</f>
        <v>44925</v>
      </c>
      <c r="M25" s="155" t="s">
        <v>183</v>
      </c>
      <c r="N25" s="155" t="s">
        <v>182</v>
      </c>
    </row>
    <row r="26" spans="1:28" x14ac:dyDescent="0.25">
      <c r="A26" s="151"/>
      <c r="B26" s="151" t="s">
        <v>169</v>
      </c>
      <c r="C26" s="153">
        <f t="shared" ref="C26:C31" si="13">+(VLOOKUP($N26,$B$3:$M$22,2,0)-VLOOKUP($M26,$B$3:$M$22,2,0))*100</f>
        <v>-117.80000000000008</v>
      </c>
      <c r="D26" s="190">
        <f t="shared" ref="D26:G31" si="14">+$C26-I26</f>
        <v>13.199999999999974</v>
      </c>
      <c r="E26" s="178">
        <f t="shared" si="14"/>
        <v>14.199999999999946</v>
      </c>
      <c r="F26" s="178">
        <f t="shared" si="14"/>
        <v>0.20000000000005969</v>
      </c>
      <c r="G26" s="178">
        <f t="shared" si="14"/>
        <v>-27.299999999999969</v>
      </c>
      <c r="I26" s="151">
        <f t="shared" ref="I26:L31" si="15">+(VLOOKUP($N26,$B$3:$M$22,MATCH(I$25,$B$3:$M$3,0),0)-VLOOKUP($M26,$B$3:$M$22,MATCH(I$25,$B$3:$M$3,0),0))*100</f>
        <v>-131.00000000000006</v>
      </c>
      <c r="J26" s="151">
        <f t="shared" si="15"/>
        <v>-132.00000000000003</v>
      </c>
      <c r="K26" s="151">
        <f t="shared" si="15"/>
        <v>-118.00000000000014</v>
      </c>
      <c r="L26" s="153">
        <f t="shared" si="15"/>
        <v>-90.500000000000114</v>
      </c>
      <c r="M26" s="36" t="s">
        <v>75</v>
      </c>
      <c r="N26" s="35" t="s">
        <v>79</v>
      </c>
    </row>
    <row r="27" spans="1:28" x14ac:dyDescent="0.25">
      <c r="A27" s="151"/>
      <c r="B27" s="151" t="s">
        <v>168</v>
      </c>
      <c r="C27" s="153">
        <f t="shared" si="13"/>
        <v>-153.80000000000001</v>
      </c>
      <c r="D27" s="154">
        <f t="shared" si="14"/>
        <v>-0.80000000000006821</v>
      </c>
      <c r="E27" s="178">
        <f t="shared" si="14"/>
        <v>2.2000000000000455</v>
      </c>
      <c r="F27" s="178">
        <f t="shared" si="14"/>
        <v>-16.799999999999898</v>
      </c>
      <c r="G27" s="178">
        <f t="shared" si="14"/>
        <v>-52.499999999999844</v>
      </c>
      <c r="I27" s="151">
        <f t="shared" si="15"/>
        <v>-152.99999999999994</v>
      </c>
      <c r="J27" s="151">
        <f t="shared" si="15"/>
        <v>-156.00000000000006</v>
      </c>
      <c r="K27" s="151">
        <f t="shared" si="15"/>
        <v>-137.00000000000011</v>
      </c>
      <c r="L27" s="153">
        <f t="shared" si="15"/>
        <v>-101.30000000000017</v>
      </c>
      <c r="M27" s="35" t="s">
        <v>75</v>
      </c>
      <c r="N27" s="35" t="s">
        <v>83</v>
      </c>
    </row>
    <row r="28" spans="1:28" x14ac:dyDescent="0.25">
      <c r="A28" s="151"/>
      <c r="B28" s="151" t="s">
        <v>181</v>
      </c>
      <c r="C28" s="153">
        <f t="shared" si="13"/>
        <v>-166.8000000000001</v>
      </c>
      <c r="D28" s="154">
        <f t="shared" si="14"/>
        <v>-8.8000000000000966</v>
      </c>
      <c r="E28" s="178">
        <f t="shared" si="14"/>
        <v>-10.80000000000004</v>
      </c>
      <c r="F28" s="178">
        <f t="shared" si="14"/>
        <v>-20.800000000000011</v>
      </c>
      <c r="G28" s="178">
        <f t="shared" si="14"/>
        <v>-66.200000000000074</v>
      </c>
      <c r="I28" s="151">
        <f t="shared" si="15"/>
        <v>-158</v>
      </c>
      <c r="J28" s="151">
        <f t="shared" si="15"/>
        <v>-156.00000000000006</v>
      </c>
      <c r="K28" s="151">
        <f t="shared" si="15"/>
        <v>-146.00000000000009</v>
      </c>
      <c r="L28" s="153">
        <f t="shared" si="15"/>
        <v>-100.60000000000002</v>
      </c>
      <c r="M28" s="35" t="s">
        <v>75</v>
      </c>
      <c r="N28" s="35" t="s">
        <v>104</v>
      </c>
    </row>
    <row r="29" spans="1:28" x14ac:dyDescent="0.25">
      <c r="A29" s="151"/>
      <c r="B29" s="151" t="s">
        <v>167</v>
      </c>
      <c r="C29" s="153">
        <f t="shared" si="13"/>
        <v>-35.999999999999943</v>
      </c>
      <c r="D29" s="154">
        <f t="shared" si="14"/>
        <v>-14.000000000000057</v>
      </c>
      <c r="E29" s="178">
        <f t="shared" si="14"/>
        <v>-11.999999999999922</v>
      </c>
      <c r="F29" s="178">
        <f t="shared" si="14"/>
        <v>-16.999999999999993</v>
      </c>
      <c r="G29" s="178">
        <f t="shared" si="14"/>
        <v>-25.199999999999889</v>
      </c>
      <c r="I29" s="151">
        <f t="shared" si="15"/>
        <v>-21.999999999999886</v>
      </c>
      <c r="J29" s="151">
        <f t="shared" si="15"/>
        <v>-24.000000000000021</v>
      </c>
      <c r="K29" s="151">
        <f t="shared" si="15"/>
        <v>-18.99999999999995</v>
      </c>
      <c r="L29" s="153">
        <f t="shared" si="15"/>
        <v>-10.800000000000054</v>
      </c>
      <c r="M29" s="35" t="s">
        <v>79</v>
      </c>
      <c r="N29" s="35" t="s">
        <v>83</v>
      </c>
    </row>
    <row r="30" spans="1:28" x14ac:dyDescent="0.25">
      <c r="A30" s="151"/>
      <c r="B30" s="151" t="s">
        <v>180</v>
      </c>
      <c r="C30" s="153">
        <f t="shared" si="13"/>
        <v>-49.000000000000021</v>
      </c>
      <c r="D30" s="154">
        <f t="shared" si="14"/>
        <v>-22.000000000000064</v>
      </c>
      <c r="E30" s="178">
        <f t="shared" si="14"/>
        <v>-25</v>
      </c>
      <c r="F30" s="178">
        <f t="shared" si="14"/>
        <v>-21.000000000000085</v>
      </c>
      <c r="G30" s="178">
        <f t="shared" si="14"/>
        <v>-38.900000000000112</v>
      </c>
      <c r="I30" s="151">
        <f t="shared" si="15"/>
        <v>-26.999999999999957</v>
      </c>
      <c r="J30" s="151">
        <f t="shared" si="15"/>
        <v>-24.000000000000021</v>
      </c>
      <c r="K30" s="151">
        <f t="shared" si="15"/>
        <v>-27.999999999999936</v>
      </c>
      <c r="L30" s="153">
        <f t="shared" si="15"/>
        <v>-10.099999999999909</v>
      </c>
      <c r="M30" s="35" t="s">
        <v>79</v>
      </c>
      <c r="N30" s="35" t="s">
        <v>104</v>
      </c>
    </row>
    <row r="31" spans="1:28" x14ac:dyDescent="0.25">
      <c r="A31" s="151"/>
      <c r="B31" s="151" t="s">
        <v>166</v>
      </c>
      <c r="C31" s="153">
        <f t="shared" si="13"/>
        <v>-13.000000000000078</v>
      </c>
      <c r="D31" s="154">
        <f t="shared" si="14"/>
        <v>-8.0000000000000071</v>
      </c>
      <c r="E31" s="178">
        <f t="shared" si="14"/>
        <v>-13.000000000000078</v>
      </c>
      <c r="F31" s="178">
        <f t="shared" si="14"/>
        <v>-4.0000000000000924</v>
      </c>
      <c r="G31" s="178">
        <f t="shared" si="14"/>
        <v>-13.700000000000223</v>
      </c>
      <c r="I31" s="151">
        <f t="shared" si="15"/>
        <v>-5.0000000000000711</v>
      </c>
      <c r="J31" s="151">
        <f t="shared" si="15"/>
        <v>0</v>
      </c>
      <c r="K31" s="151">
        <f t="shared" si="15"/>
        <v>-8.9999999999999858</v>
      </c>
      <c r="L31" s="153">
        <f t="shared" si="15"/>
        <v>0.70000000000014495</v>
      </c>
      <c r="M31" s="35" t="s">
        <v>83</v>
      </c>
      <c r="N31" s="35" t="s">
        <v>104</v>
      </c>
    </row>
    <row r="35" spans="2:14" x14ac:dyDescent="0.25">
      <c r="B35" s="163" t="s">
        <v>179</v>
      </c>
      <c r="I35" s="232" t="s">
        <v>126</v>
      </c>
      <c r="J35" s="39" t="s">
        <v>177</v>
      </c>
      <c r="K35" s="39" t="s">
        <v>176</v>
      </c>
      <c r="L35" s="39" t="s">
        <v>175</v>
      </c>
      <c r="M35" s="39" t="s">
        <v>174</v>
      </c>
    </row>
    <row r="36" spans="2:14" x14ac:dyDescent="0.25">
      <c r="B36" s="47" t="s">
        <v>178</v>
      </c>
      <c r="C36" s="47" t="s">
        <v>126</v>
      </c>
      <c r="D36" s="47" t="s">
        <v>163</v>
      </c>
      <c r="E36" s="47" t="s">
        <v>162</v>
      </c>
      <c r="F36" s="47" t="s">
        <v>161</v>
      </c>
      <c r="G36" s="47" t="s">
        <v>160</v>
      </c>
      <c r="I36" s="233"/>
      <c r="J36" s="161">
        <v>45236</v>
      </c>
      <c r="K36" s="160">
        <v>45233</v>
      </c>
      <c r="L36" s="160">
        <v>45230</v>
      </c>
      <c r="M36" s="160">
        <v>44925</v>
      </c>
      <c r="N36" s="159"/>
    </row>
    <row r="37" spans="2:14" x14ac:dyDescent="0.25">
      <c r="B37" s="184" t="s">
        <v>20</v>
      </c>
      <c r="C37" s="187">
        <f t="shared" ref="C37:C50" si="16">+I37</f>
        <v>11.530878571484291</v>
      </c>
      <c r="D37" s="176">
        <f t="shared" ref="D37:D50" si="17">+(C37-J37)*100</f>
        <v>1.1200000000000543</v>
      </c>
      <c r="E37" s="177">
        <f t="shared" ref="E37:E50" si="18">+(C37-K37)*100</f>
        <v>1.3981338356376938</v>
      </c>
      <c r="F37" s="177">
        <f t="shared" ref="F37:F50" si="19">+(C37-L37)*100</f>
        <v>-0.41257142210184838</v>
      </c>
      <c r="G37" s="177">
        <f t="shared" ref="G37:G50" si="20">+IF(M37="","",(C37-M37)*100)</f>
        <v>63.087857148429016</v>
      </c>
      <c r="I37" s="157">
        <f>+J37+0.0112</f>
        <v>11.530878571484291</v>
      </c>
      <c r="J37" s="158">
        <v>11.51967857148429</v>
      </c>
      <c r="K37" s="158">
        <v>11.516897233127914</v>
      </c>
      <c r="L37" s="156">
        <v>11.535004285705309</v>
      </c>
      <c r="M37" s="158">
        <v>10.9</v>
      </c>
    </row>
    <row r="38" spans="2:14" x14ac:dyDescent="0.25">
      <c r="B38" s="151" t="s">
        <v>21</v>
      </c>
      <c r="C38" s="93">
        <f t="shared" si="16"/>
        <v>11.602995714258276</v>
      </c>
      <c r="D38" s="176">
        <f t="shared" si="17"/>
        <v>9.8000000000000753</v>
      </c>
      <c r="E38" s="177">
        <f t="shared" si="18"/>
        <v>10.330540950634592</v>
      </c>
      <c r="F38" s="177">
        <f t="shared" si="19"/>
        <v>6.1498571405477875</v>
      </c>
      <c r="G38" s="177">
        <f t="shared" si="20"/>
        <v>56.299571425827644</v>
      </c>
      <c r="I38" s="157">
        <f>+J38+0.098</f>
        <v>11.602995714258276</v>
      </c>
      <c r="J38" s="156">
        <v>11.504995714258275</v>
      </c>
      <c r="K38" s="156">
        <v>11.49969030475193</v>
      </c>
      <c r="L38" s="156">
        <v>11.541497142852798</v>
      </c>
      <c r="M38" s="156">
        <v>11.04</v>
      </c>
    </row>
    <row r="39" spans="2:14" x14ac:dyDescent="0.25">
      <c r="B39" s="151" t="s">
        <v>24</v>
      </c>
      <c r="C39" s="93">
        <f t="shared" si="16"/>
        <v>11.558755714269557</v>
      </c>
      <c r="D39" s="176">
        <f t="shared" si="17"/>
        <v>11.999999999999922</v>
      </c>
      <c r="E39" s="177">
        <f t="shared" si="18"/>
        <v>14.396532338182766</v>
      </c>
      <c r="F39" s="177">
        <f t="shared" si="19"/>
        <v>5.3759999973815198</v>
      </c>
      <c r="G39" s="177">
        <f t="shared" si="20"/>
        <v>48.875571426955666</v>
      </c>
      <c r="I39" s="157">
        <f>+J39+0.12</f>
        <v>11.558755714269557</v>
      </c>
      <c r="J39" s="156">
        <v>11.438755714269558</v>
      </c>
      <c r="K39" s="156">
        <v>11.414790390887729</v>
      </c>
      <c r="L39" s="156">
        <v>11.504995714295742</v>
      </c>
      <c r="M39" s="156">
        <v>11.07</v>
      </c>
    </row>
    <row r="40" spans="2:14" x14ac:dyDescent="0.25">
      <c r="B40" s="151" t="s">
        <v>2</v>
      </c>
      <c r="C40" s="93">
        <f t="shared" si="16"/>
        <v>11.294001428593599</v>
      </c>
      <c r="D40" s="176">
        <f t="shared" si="17"/>
        <v>2.9999999999999361</v>
      </c>
      <c r="E40" s="177">
        <f t="shared" si="18"/>
        <v>6.4898470009122633</v>
      </c>
      <c r="F40" s="177">
        <f t="shared" si="19"/>
        <v>-8.9249999917479172</v>
      </c>
      <c r="G40" s="177">
        <f t="shared" si="20"/>
        <v>36.400142859359974</v>
      </c>
      <c r="I40" s="157">
        <f>+J40+0.03</f>
        <v>11.294001428593599</v>
      </c>
      <c r="J40" s="156">
        <v>11.2640014285936</v>
      </c>
      <c r="K40" s="156">
        <v>11.229102958584477</v>
      </c>
      <c r="L40" s="156">
        <v>11.383251428511079</v>
      </c>
      <c r="M40" s="156">
        <v>10.93</v>
      </c>
    </row>
    <row r="41" spans="2:14" x14ac:dyDescent="0.25">
      <c r="B41" s="151" t="s">
        <v>11</v>
      </c>
      <c r="C41" s="93">
        <f t="shared" si="16"/>
        <v>10.438751428607992</v>
      </c>
      <c r="D41" s="176">
        <f t="shared" si="17"/>
        <v>5.0000000000000711</v>
      </c>
      <c r="E41" s="177">
        <f t="shared" si="18"/>
        <v>11.357798001607122</v>
      </c>
      <c r="F41" s="177">
        <f t="shared" si="19"/>
        <v>-21.629848658875339</v>
      </c>
      <c r="G41" s="177">
        <f t="shared" si="20"/>
        <v>56.875142860799244</v>
      </c>
      <c r="I41" s="157">
        <f>+J41+0.05</f>
        <v>10.438751428607992</v>
      </c>
      <c r="J41" s="156">
        <v>10.388751428607991</v>
      </c>
      <c r="K41" s="156">
        <v>10.32517344859192</v>
      </c>
      <c r="L41" s="156">
        <v>10.655049915196745</v>
      </c>
      <c r="M41" s="156">
        <v>9.8699999999999992</v>
      </c>
    </row>
    <row r="42" spans="2:14" x14ac:dyDescent="0.25">
      <c r="B42" s="151" t="s">
        <v>10</v>
      </c>
      <c r="C42" s="93">
        <f t="shared" si="16"/>
        <v>9.9857528571772836</v>
      </c>
      <c r="D42" s="176">
        <f t="shared" si="17"/>
        <v>15.000000000000036</v>
      </c>
      <c r="E42" s="177">
        <f t="shared" si="18"/>
        <v>22.073339766984823</v>
      </c>
      <c r="F42" s="177">
        <f t="shared" si="19"/>
        <v>-16.753149897803077</v>
      </c>
      <c r="G42" s="177">
        <f t="shared" si="20"/>
        <v>79.575285717728406</v>
      </c>
      <c r="I42" s="157">
        <f>+J42+0.15</f>
        <v>9.9857528571772836</v>
      </c>
      <c r="J42" s="156">
        <v>9.8357528571772832</v>
      </c>
      <c r="K42" s="156">
        <v>9.7650194595074353</v>
      </c>
      <c r="L42" s="156">
        <v>10.153284356155314</v>
      </c>
      <c r="M42" s="156">
        <v>9.19</v>
      </c>
    </row>
    <row r="43" spans="2:14" x14ac:dyDescent="0.25">
      <c r="B43" s="151" t="s">
        <v>14</v>
      </c>
      <c r="C43" s="93">
        <f t="shared" si="16"/>
        <v>9.7602949510183947</v>
      </c>
      <c r="D43" s="176">
        <f t="shared" si="17"/>
        <v>23.000000000000043</v>
      </c>
      <c r="E43" s="177">
        <f t="shared" si="18"/>
        <v>29.352314461298334</v>
      </c>
      <c r="F43" s="177">
        <f t="shared" si="19"/>
        <v>-10.973796813869896</v>
      </c>
      <c r="G43" s="177">
        <f t="shared" si="20"/>
        <v>85.029495101839458</v>
      </c>
      <c r="I43" s="157">
        <f>+J43+0.23</f>
        <v>9.7602949510183947</v>
      </c>
      <c r="J43" s="156">
        <v>9.5302949510183943</v>
      </c>
      <c r="K43" s="156">
        <v>9.4667718064054114</v>
      </c>
      <c r="L43" s="156">
        <v>9.8700329191570937</v>
      </c>
      <c r="M43" s="156">
        <v>8.91</v>
      </c>
    </row>
    <row r="44" spans="2:14" x14ac:dyDescent="0.25">
      <c r="B44" s="151" t="s">
        <v>9</v>
      </c>
      <c r="C44" s="93">
        <f t="shared" si="16"/>
        <v>9.3746913922686268</v>
      </c>
      <c r="D44" s="176">
        <f t="shared" si="17"/>
        <v>0.99999999999997868</v>
      </c>
      <c r="E44" s="177">
        <f t="shared" si="18"/>
        <v>6.851081388801461</v>
      </c>
      <c r="F44" s="177">
        <f t="shared" si="19"/>
        <v>-34.695294740141769</v>
      </c>
      <c r="G44" s="177">
        <f t="shared" si="20"/>
        <v>55.469139226862652</v>
      </c>
      <c r="I44" s="157">
        <f>+J44+0.01</f>
        <v>9.3746913922686268</v>
      </c>
      <c r="J44" s="156">
        <v>9.364691392268627</v>
      </c>
      <c r="K44" s="156">
        <v>9.3061805783806122</v>
      </c>
      <c r="L44" s="156">
        <v>9.7216443396700445</v>
      </c>
      <c r="M44" s="156">
        <v>8.82</v>
      </c>
    </row>
    <row r="45" spans="2:14" x14ac:dyDescent="0.25">
      <c r="B45" s="151" t="s">
        <v>30</v>
      </c>
      <c r="C45" s="93">
        <f t="shared" si="16"/>
        <v>9.3049624884347875</v>
      </c>
      <c r="D45" s="176">
        <f t="shared" si="17"/>
        <v>2.2999999999999687</v>
      </c>
      <c r="E45" s="177">
        <f t="shared" si="18"/>
        <v>7.7055077065404376</v>
      </c>
      <c r="F45" s="177">
        <f t="shared" si="19"/>
        <v>-32.905478779349195</v>
      </c>
      <c r="G45" s="177">
        <f t="shared" si="20"/>
        <v>56.496248843478725</v>
      </c>
      <c r="I45" s="157">
        <f>+J45+0.023</f>
        <v>9.3049624884347875</v>
      </c>
      <c r="J45" s="156">
        <v>9.2819624884347878</v>
      </c>
      <c r="K45" s="156">
        <v>9.2279074113693831</v>
      </c>
      <c r="L45" s="156">
        <v>9.6340172762282794</v>
      </c>
      <c r="M45" s="156">
        <v>8.74</v>
      </c>
    </row>
    <row r="46" spans="2:14" x14ac:dyDescent="0.25">
      <c r="B46" s="151" t="s">
        <v>3</v>
      </c>
      <c r="C46" s="93">
        <f t="shared" si="16"/>
        <v>9.4494776214280165</v>
      </c>
      <c r="D46" s="176">
        <f t="shared" si="17"/>
        <v>16.000000000000014</v>
      </c>
      <c r="E46" s="177">
        <f t="shared" si="18"/>
        <v>20.955860778049562</v>
      </c>
      <c r="F46" s="177">
        <f t="shared" si="19"/>
        <v>-19.554129880561533</v>
      </c>
      <c r="G46" s="177">
        <f t="shared" si="20"/>
        <v>70.947762142801622</v>
      </c>
      <c r="I46" s="157">
        <f>+J46+0.16</f>
        <v>9.4494776214280165</v>
      </c>
      <c r="J46" s="156">
        <v>9.2894776214280164</v>
      </c>
      <c r="K46" s="156">
        <v>9.2399190136475209</v>
      </c>
      <c r="L46" s="156">
        <v>9.6450189202336318</v>
      </c>
      <c r="M46" s="156">
        <v>8.74</v>
      </c>
    </row>
    <row r="47" spans="2:14" x14ac:dyDescent="0.25">
      <c r="B47" s="151" t="s">
        <v>33</v>
      </c>
      <c r="C47" s="93">
        <f t="shared" si="16"/>
        <v>9.4103382658816468</v>
      </c>
      <c r="D47" s="176">
        <f t="shared" si="17"/>
        <v>9.9999999999999645</v>
      </c>
      <c r="E47" s="177">
        <f t="shared" si="18"/>
        <v>14.746323605124445</v>
      </c>
      <c r="F47" s="177">
        <f t="shared" si="19"/>
        <v>-25.719274638925782</v>
      </c>
      <c r="G47" s="177">
        <f t="shared" si="20"/>
        <v>63.033826588164565</v>
      </c>
      <c r="I47" s="157">
        <f>+J47+0.1</f>
        <v>9.4103382658816468</v>
      </c>
      <c r="J47" s="156">
        <v>9.3103382658816471</v>
      </c>
      <c r="K47" s="156">
        <v>9.2628750298304023</v>
      </c>
      <c r="L47" s="156">
        <v>9.6675310122709046</v>
      </c>
      <c r="M47" s="156">
        <v>8.7800000000000011</v>
      </c>
    </row>
    <row r="48" spans="2:14" x14ac:dyDescent="0.25">
      <c r="B48" s="151" t="s">
        <v>34</v>
      </c>
      <c r="C48" s="93">
        <f t="shared" si="16"/>
        <v>9.4224773749462951</v>
      </c>
      <c r="D48" s="176">
        <f t="shared" si="17"/>
        <v>8.9999999999999858</v>
      </c>
      <c r="E48" s="177">
        <f t="shared" si="18"/>
        <v>13.456455207646556</v>
      </c>
      <c r="F48" s="177">
        <f t="shared" si="19"/>
        <v>-26.753155939046991</v>
      </c>
      <c r="G48" s="177">
        <f t="shared" si="20"/>
        <v>59.247737494629504</v>
      </c>
      <c r="I48" s="157">
        <f>+J48+0.09</f>
        <v>9.4224773749462951</v>
      </c>
      <c r="J48" s="156">
        <v>9.3324773749462953</v>
      </c>
      <c r="K48" s="156">
        <v>9.2879128228698296</v>
      </c>
      <c r="L48" s="156">
        <v>9.690008934336765</v>
      </c>
      <c r="M48" s="156">
        <v>8.83</v>
      </c>
    </row>
    <row r="49" spans="2:14" x14ac:dyDescent="0.25">
      <c r="B49" s="151" t="s">
        <v>35</v>
      </c>
      <c r="C49" s="93">
        <f t="shared" si="16"/>
        <v>9.3734786710952509</v>
      </c>
      <c r="D49" s="176">
        <f t="shared" si="17"/>
        <v>3.9999999999999147</v>
      </c>
      <c r="E49" s="177">
        <f t="shared" si="18"/>
        <v>7.9568667442536878</v>
      </c>
      <c r="F49" s="177">
        <f t="shared" si="19"/>
        <v>-31.957529768317983</v>
      </c>
      <c r="G49" s="177">
        <f t="shared" si="20"/>
        <v>51.347867109525147</v>
      </c>
      <c r="I49" s="157">
        <f>+J49+0.04</f>
        <v>9.3734786710952509</v>
      </c>
      <c r="J49" s="156">
        <v>9.3334786710952518</v>
      </c>
      <c r="K49" s="156">
        <v>9.293910003652714</v>
      </c>
      <c r="L49" s="156">
        <v>9.6930539687784307</v>
      </c>
      <c r="M49" s="156">
        <v>8.86</v>
      </c>
    </row>
    <row r="50" spans="2:14" x14ac:dyDescent="0.25">
      <c r="B50" s="151" t="s">
        <v>36</v>
      </c>
      <c r="C50" s="93">
        <f t="shared" si="16"/>
        <v>9.5399779416944792</v>
      </c>
      <c r="D50" s="176">
        <f t="shared" si="17"/>
        <v>21.000000000000085</v>
      </c>
      <c r="E50" s="177">
        <f t="shared" si="18"/>
        <v>24.481855202896341</v>
      </c>
      <c r="F50" s="177">
        <f t="shared" si="19"/>
        <v>-15.13221501569646</v>
      </c>
      <c r="G50" s="177">
        <f t="shared" si="20"/>
        <v>58.997794169447992</v>
      </c>
      <c r="I50" s="157">
        <f>+J50+0.21</f>
        <v>9.5399779416944792</v>
      </c>
      <c r="J50" s="156">
        <v>9.3299779416944784</v>
      </c>
      <c r="K50" s="156">
        <v>9.2951593896655158</v>
      </c>
      <c r="L50" s="156">
        <v>9.6913000918514438</v>
      </c>
      <c r="M50" s="156">
        <v>8.9499999999999993</v>
      </c>
    </row>
    <row r="52" spans="2:14" x14ac:dyDescent="0.25">
      <c r="B52" s="134" t="s">
        <v>173</v>
      </c>
    </row>
    <row r="53" spans="2:14" x14ac:dyDescent="0.25">
      <c r="B53" s="47" t="s">
        <v>164</v>
      </c>
      <c r="C53" s="47" t="s">
        <v>126</v>
      </c>
      <c r="D53" s="47" t="s">
        <v>163</v>
      </c>
      <c r="E53" s="175" t="s">
        <v>162</v>
      </c>
      <c r="F53" s="175" t="s">
        <v>161</v>
      </c>
      <c r="G53" s="175" t="s">
        <v>160</v>
      </c>
      <c r="I53" s="155">
        <f>+J36</f>
        <v>45236</v>
      </c>
      <c r="J53" s="155">
        <f>+K36</f>
        <v>45233</v>
      </c>
      <c r="K53" s="155">
        <f>+L36</f>
        <v>45230</v>
      </c>
      <c r="L53" s="155">
        <f>+M36</f>
        <v>44925</v>
      </c>
      <c r="M53" s="155" t="s">
        <v>200</v>
      </c>
      <c r="N53" s="155" t="s">
        <v>172</v>
      </c>
    </row>
    <row r="54" spans="2:14" x14ac:dyDescent="0.25">
      <c r="B54" s="184" t="s">
        <v>171</v>
      </c>
      <c r="C54" s="188">
        <f t="shared" ref="C54:C59" si="21">+(VLOOKUP($N54,$B$35:$M$50,2,0)-VLOOKUP($M54,$B$35:$M$50,2,0))*100</f>
        <v>-191.93100363249727</v>
      </c>
      <c r="D54" s="154">
        <f t="shared" ref="D54:G59" si="22">+$C54-I54</f>
        <v>-1.9999999999999432</v>
      </c>
      <c r="E54" s="183">
        <f t="shared" si="22"/>
        <v>0.36123438788919771</v>
      </c>
      <c r="F54" s="183">
        <f t="shared" si="22"/>
        <v>-25.770294748393837</v>
      </c>
      <c r="G54" s="183">
        <f t="shared" si="22"/>
        <v>19.068996367502677</v>
      </c>
      <c r="I54" s="153">
        <f t="shared" ref="I54:L59" si="23">+(VLOOKUP($N54,$B$35:$M$50,MATCH(I$53,$B$36:$M$36,0),0)-VLOOKUP($M54,$B$35:$M$50,MATCH(I$53,$B$36:$M$36,0),0))*100</f>
        <v>-189.93100363249732</v>
      </c>
      <c r="J54" s="153">
        <f t="shared" si="23"/>
        <v>-192.29223802038646</v>
      </c>
      <c r="K54" s="153">
        <f t="shared" si="23"/>
        <v>-166.16070888410343</v>
      </c>
      <c r="L54" s="153">
        <f t="shared" si="23"/>
        <v>-210.99999999999994</v>
      </c>
      <c r="M54" s="185" t="str">
        <f t="shared" ref="M54:M59" si="24">+MID(B54,1,FIND("/",B54)-1)</f>
        <v>1y</v>
      </c>
      <c r="N54" s="186" t="str">
        <f t="shared" ref="N54:N59" si="25">+MID(B54,FIND("/",B54)+1,4)</f>
        <v>5y</v>
      </c>
    </row>
    <row r="55" spans="2:14" x14ac:dyDescent="0.25">
      <c r="B55" s="151" t="s">
        <v>170</v>
      </c>
      <c r="C55" s="153">
        <f t="shared" si="21"/>
        <v>-184.45238071655831</v>
      </c>
      <c r="D55" s="154">
        <f t="shared" si="22"/>
        <v>13.000000000000057</v>
      </c>
      <c r="E55" s="178">
        <f t="shared" si="22"/>
        <v>14.466013777137277</v>
      </c>
      <c r="F55" s="178">
        <f t="shared" si="22"/>
        <v>-10.629129888813623</v>
      </c>
      <c r="G55" s="178">
        <f t="shared" si="22"/>
        <v>34.547619283441634</v>
      </c>
      <c r="I55" s="153">
        <f t="shared" si="23"/>
        <v>-197.45238071655837</v>
      </c>
      <c r="J55" s="153">
        <f t="shared" si="23"/>
        <v>-198.91839449369559</v>
      </c>
      <c r="K55" s="153">
        <f t="shared" si="23"/>
        <v>-173.82325082774469</v>
      </c>
      <c r="L55" s="153">
        <f t="shared" si="23"/>
        <v>-218.99999999999994</v>
      </c>
      <c r="M55" s="185" t="str">
        <f t="shared" si="24"/>
        <v>1y</v>
      </c>
      <c r="N55" s="186" t="str">
        <f t="shared" si="25"/>
        <v>10y</v>
      </c>
    </row>
    <row r="56" spans="2:14" x14ac:dyDescent="0.25">
      <c r="B56" s="151" t="s">
        <v>169</v>
      </c>
      <c r="C56" s="153">
        <f t="shared" si="21"/>
        <v>-106.40600363393648</v>
      </c>
      <c r="D56" s="154">
        <f t="shared" si="22"/>
        <v>-4.0000000000000853</v>
      </c>
      <c r="E56" s="178">
        <f t="shared" si="22"/>
        <v>-4.5067166128056613</v>
      </c>
      <c r="F56" s="178">
        <f t="shared" si="22"/>
        <v>-13.06544608126643</v>
      </c>
      <c r="G56" s="178">
        <f t="shared" si="22"/>
        <v>-1.4060036339365922</v>
      </c>
      <c r="I56" s="153">
        <f t="shared" si="23"/>
        <v>-102.40600363393639</v>
      </c>
      <c r="J56" s="153">
        <f t="shared" si="23"/>
        <v>-101.89928702113082</v>
      </c>
      <c r="K56" s="153">
        <f t="shared" si="23"/>
        <v>-93.340557552670049</v>
      </c>
      <c r="L56" s="153">
        <f t="shared" si="23"/>
        <v>-104.99999999999989</v>
      </c>
      <c r="M56" s="185" t="str">
        <f t="shared" si="24"/>
        <v>2y</v>
      </c>
      <c r="N56" s="186" t="str">
        <f t="shared" si="25"/>
        <v>5y</v>
      </c>
    </row>
    <row r="57" spans="2:14" x14ac:dyDescent="0.25">
      <c r="B57" s="151" t="s">
        <v>168</v>
      </c>
      <c r="C57" s="153">
        <f t="shared" si="21"/>
        <v>-98.927380717997522</v>
      </c>
      <c r="D57" s="154">
        <f t="shared" si="22"/>
        <v>10.999999999999943</v>
      </c>
      <c r="E57" s="178">
        <f t="shared" si="22"/>
        <v>9.5980627764424327</v>
      </c>
      <c r="F57" s="178">
        <f t="shared" si="22"/>
        <v>2.0757187783137994</v>
      </c>
      <c r="G57" s="178">
        <f t="shared" si="22"/>
        <v>14.072619282002378</v>
      </c>
      <c r="I57" s="153">
        <f t="shared" si="23"/>
        <v>-109.92738071799747</v>
      </c>
      <c r="J57" s="153">
        <f t="shared" si="23"/>
        <v>-108.52544349443995</v>
      </c>
      <c r="K57" s="153">
        <f t="shared" si="23"/>
        <v>-101.00309949631132</v>
      </c>
      <c r="L57" s="153">
        <f t="shared" si="23"/>
        <v>-112.9999999999999</v>
      </c>
      <c r="M57" s="185" t="str">
        <f t="shared" si="24"/>
        <v>2y</v>
      </c>
      <c r="N57" s="186" t="str">
        <f t="shared" si="25"/>
        <v>10y</v>
      </c>
    </row>
    <row r="58" spans="2:14" x14ac:dyDescent="0.25">
      <c r="B58" s="151" t="s">
        <v>167</v>
      </c>
      <c r="C58" s="153">
        <f t="shared" si="21"/>
        <v>7.4786229159389706</v>
      </c>
      <c r="D58" s="154">
        <f t="shared" si="22"/>
        <v>15.000000000000036</v>
      </c>
      <c r="E58" s="178">
        <f t="shared" si="22"/>
        <v>14.104779389248101</v>
      </c>
      <c r="F58" s="178">
        <f t="shared" si="22"/>
        <v>15.141164859580236</v>
      </c>
      <c r="G58" s="178">
        <f t="shared" si="22"/>
        <v>15.478622915938978</v>
      </c>
      <c r="I58" s="153">
        <f t="shared" si="23"/>
        <v>-7.521377084061065</v>
      </c>
      <c r="J58" s="153">
        <f t="shared" si="23"/>
        <v>-6.6261564733091305</v>
      </c>
      <c r="K58" s="153">
        <f t="shared" si="23"/>
        <v>-7.6625419436412656</v>
      </c>
      <c r="L58" s="153">
        <f t="shared" si="23"/>
        <v>-8.0000000000000071</v>
      </c>
      <c r="M58" s="185" t="str">
        <f t="shared" si="24"/>
        <v>5y</v>
      </c>
      <c r="N58" s="186" t="str">
        <f t="shared" si="25"/>
        <v>10y</v>
      </c>
    </row>
    <row r="59" spans="2:14" x14ac:dyDescent="0.25">
      <c r="B59" s="151" t="s">
        <v>166</v>
      </c>
      <c r="C59" s="153">
        <f t="shared" si="21"/>
        <v>9.0500320266462708</v>
      </c>
      <c r="D59" s="154">
        <f t="shared" si="22"/>
        <v>5.0000000000000711</v>
      </c>
      <c r="E59" s="178">
        <f t="shared" si="22"/>
        <v>3.5259944248467789</v>
      </c>
      <c r="F59" s="178">
        <f t="shared" si="22"/>
        <v>4.421914864865073</v>
      </c>
      <c r="G59" s="178">
        <f t="shared" si="22"/>
        <v>-11.949967973353637</v>
      </c>
      <c r="I59" s="153">
        <f t="shared" si="23"/>
        <v>4.0500320266461998</v>
      </c>
      <c r="J59" s="153">
        <f t="shared" si="23"/>
        <v>5.5240376017994919</v>
      </c>
      <c r="K59" s="153">
        <f t="shared" si="23"/>
        <v>4.6281171617811978</v>
      </c>
      <c r="L59" s="153">
        <f t="shared" si="23"/>
        <v>20.999999999999908</v>
      </c>
      <c r="M59" s="185" t="str">
        <f t="shared" si="24"/>
        <v>10y</v>
      </c>
      <c r="N59" s="186" t="str">
        <f t="shared" si="25"/>
        <v>30y</v>
      </c>
    </row>
    <row r="61" spans="2:14" x14ac:dyDescent="0.25">
      <c r="B61" s="134" t="s">
        <v>165</v>
      </c>
    </row>
    <row r="62" spans="2:14" x14ac:dyDescent="0.25">
      <c r="B62" s="47" t="s">
        <v>164</v>
      </c>
      <c r="C62" s="47" t="s">
        <v>126</v>
      </c>
      <c r="D62" s="47" t="s">
        <v>163</v>
      </c>
      <c r="E62" s="175" t="s">
        <v>162</v>
      </c>
      <c r="F62" s="175" t="s">
        <v>161</v>
      </c>
      <c r="G62" s="175" t="s">
        <v>160</v>
      </c>
    </row>
    <row r="63" spans="2:14" x14ac:dyDescent="0.25">
      <c r="B63" s="184" t="s">
        <v>11</v>
      </c>
      <c r="C63" s="184" t="e">
        <f>+(VLOOKUP($N63,$B$35:$M$50,2,0)-VLOOKUP($M63,$B$35:$M$50,2,0))*100</f>
        <v>#N/A</v>
      </c>
      <c r="D63" s="176" t="e">
        <f t="shared" ref="D63:G65" si="26">+$C63-I63</f>
        <v>#N/A</v>
      </c>
      <c r="E63" s="189" t="e">
        <f t="shared" si="26"/>
        <v>#N/A</v>
      </c>
      <c r="F63" s="189" t="e">
        <f t="shared" si="26"/>
        <v>#N/A</v>
      </c>
      <c r="G63" s="189" t="e">
        <f t="shared" si="26"/>
        <v>#N/A</v>
      </c>
    </row>
    <row r="64" spans="2:14" x14ac:dyDescent="0.25">
      <c r="B64" s="151" t="s">
        <v>9</v>
      </c>
      <c r="C64" s="151" t="e">
        <f>+(VLOOKUP($N64,$B$35:$M$50,2,0)-VLOOKUP($M64,$B$35:$M$50,2,0))*100</f>
        <v>#N/A</v>
      </c>
      <c r="D64" s="176" t="e">
        <f t="shared" si="26"/>
        <v>#N/A</v>
      </c>
      <c r="E64" s="94" t="e">
        <f t="shared" si="26"/>
        <v>#N/A</v>
      </c>
      <c r="F64" s="94" t="e">
        <f t="shared" si="26"/>
        <v>#N/A</v>
      </c>
      <c r="G64" s="94" t="e">
        <f t="shared" si="26"/>
        <v>#N/A</v>
      </c>
    </row>
    <row r="65" spans="2:7" x14ac:dyDescent="0.25">
      <c r="B65" s="151" t="s">
        <v>3</v>
      </c>
      <c r="C65" s="151" t="e">
        <f>+(VLOOKUP($N65,$B$35:$M$50,2,0)-VLOOKUP($M65,$B$35:$M$50,2,0))*100</f>
        <v>#N/A</v>
      </c>
      <c r="D65" s="176" t="e">
        <f t="shared" si="26"/>
        <v>#N/A</v>
      </c>
      <c r="E65" s="94" t="e">
        <f t="shared" si="26"/>
        <v>#N/A</v>
      </c>
      <c r="F65" s="94" t="e">
        <f t="shared" si="26"/>
        <v>#N/A</v>
      </c>
      <c r="G65" s="94" t="e">
        <f t="shared" si="26"/>
        <v>#N/A</v>
      </c>
    </row>
    <row r="66" spans="2:7" x14ac:dyDescent="0.25">
      <c r="B66" s="151"/>
      <c r="C66" s="151"/>
      <c r="D66" s="176"/>
      <c r="E66" s="94"/>
      <c r="F66" s="94"/>
      <c r="G66" s="94"/>
    </row>
    <row r="67" spans="2:7" x14ac:dyDescent="0.25">
      <c r="B67" s="151"/>
      <c r="C67" s="151"/>
      <c r="D67" s="152"/>
      <c r="E67" s="151"/>
      <c r="F67" s="151"/>
      <c r="G67" s="151"/>
    </row>
    <row r="68" spans="2:7" x14ac:dyDescent="0.25">
      <c r="B68" s="151"/>
      <c r="C68" s="151"/>
      <c r="D68" s="152"/>
      <c r="E68" s="151"/>
      <c r="F68" s="151"/>
      <c r="G68" s="151"/>
    </row>
  </sheetData>
  <mergeCells count="3">
    <mergeCell ref="W2:W3"/>
    <mergeCell ref="I35:I36"/>
    <mergeCell ref="I2:I3"/>
  </mergeCells>
  <conditionalFormatting sqref="D51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51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51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51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4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4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14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4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:E22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:F22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4:G22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7:E50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7:F50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7:G50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4:S1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4:T13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4:U1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0AD11E-1DFE-4627-AA0B-99FD07DF50A3}">
  <dimension ref="B2:O25"/>
  <sheetViews>
    <sheetView showGridLines="0" workbookViewId="0">
      <selection activeCell="I26" sqref="I26"/>
    </sheetView>
  </sheetViews>
  <sheetFormatPr baseColWidth="10" defaultRowHeight="15" x14ac:dyDescent="0.25"/>
  <cols>
    <col min="1" max="1" width="5.7109375" customWidth="1"/>
    <col min="2" max="3" width="11.5703125" customWidth="1"/>
    <col min="4" max="4" width="9.28515625" customWidth="1"/>
    <col min="5" max="6" width="11.5703125" customWidth="1"/>
    <col min="7" max="7" width="5.85546875" customWidth="1"/>
    <col min="8" max="9" width="11.5703125" customWidth="1"/>
    <col min="11" max="11" width="17.28515625" bestFit="1" customWidth="1"/>
    <col min="12" max="12" width="12" customWidth="1"/>
    <col min="13" max="13" width="13.28515625" customWidth="1"/>
    <col min="14" max="15" width="11.42578125" customWidth="1"/>
  </cols>
  <sheetData>
    <row r="2" spans="2:15" ht="12" customHeight="1" x14ac:dyDescent="0.25">
      <c r="B2" s="224"/>
      <c r="C2" s="224"/>
      <c r="D2" s="224"/>
      <c r="E2" s="224"/>
      <c r="F2" s="224"/>
      <c r="G2" s="224"/>
      <c r="H2" s="225"/>
      <c r="I2" s="224"/>
      <c r="K2" s="226"/>
      <c r="L2" s="226"/>
    </row>
    <row r="3" spans="2:15" ht="12" customHeight="1" x14ac:dyDescent="0.25"/>
    <row r="4" spans="2:15" x14ac:dyDescent="0.25">
      <c r="B4" s="223" t="s">
        <v>203</v>
      </c>
      <c r="K4" s="223" t="s">
        <v>204</v>
      </c>
    </row>
    <row r="5" spans="2:15" ht="12" customHeight="1" x14ac:dyDescent="0.25"/>
    <row r="6" spans="2:15" x14ac:dyDescent="0.25">
      <c r="B6" s="216" t="s">
        <v>64</v>
      </c>
      <c r="C6" s="216"/>
      <c r="D6" s="217"/>
      <c r="E6" s="217" t="s">
        <v>43</v>
      </c>
      <c r="F6" s="217"/>
      <c r="G6" s="216"/>
      <c r="H6" s="216" t="s">
        <v>202</v>
      </c>
      <c r="I6" s="216"/>
      <c r="K6" s="227" t="s">
        <v>178</v>
      </c>
      <c r="L6" s="227" t="s">
        <v>205</v>
      </c>
      <c r="M6" s="227" t="s">
        <v>67</v>
      </c>
      <c r="N6" s="227" t="s">
        <v>65</v>
      </c>
      <c r="O6" s="228" t="s">
        <v>66</v>
      </c>
    </row>
    <row r="7" spans="2:15" x14ac:dyDescent="0.25">
      <c r="B7" s="218" t="str" cm="1">
        <f t="array" ref="B7:C25">Snapshot!B4:C22</f>
        <v>dic23</v>
      </c>
      <c r="C7" s="219">
        <v>11.591200000000001</v>
      </c>
      <c r="D7" s="220"/>
      <c r="E7" s="218" t="str" cm="1">
        <f t="array" ref="E7:F20">Snapshot!B37:C50</f>
        <v>3m</v>
      </c>
      <c r="F7" s="219">
        <v>11.530878571484291</v>
      </c>
      <c r="G7" s="221"/>
      <c r="H7" s="218" t="str" cm="1">
        <f t="array" ref="H7:I16">Snapshot!P4:Q13</f>
        <v>nov23</v>
      </c>
      <c r="I7" s="219">
        <v>6.56</v>
      </c>
      <c r="K7" s="218" t="str" cm="1">
        <f t="array" ref="K7:K25">B7:B25</f>
        <v>dic23</v>
      </c>
      <c r="L7" s="229" cm="1">
        <f t="array" ref="L7:L25">VLOOKUP(_xlfn.ANCHORARRAY(K7), ASW_Bonos!$I$32:$O$55, 5, 0)</f>
        <v>-3.6631461926971198</v>
      </c>
      <c r="M7" s="229" cm="1">
        <f t="array" ref="M7:M25">VLOOKUP(_xlfn.ANCHORARRAY(K7), ASW_Bonos!$I$32:$O$55, 4, 0)</f>
        <v>-0.22432335778200405</v>
      </c>
      <c r="N7" s="229" cm="1">
        <f t="array" ref="N7:N25">VLOOKUP(_xlfn.ANCHORARRAY(K7), ASW_Bonos!$I$32:$O$55, 2, 0)</f>
        <v>23.571428571428577</v>
      </c>
      <c r="O7" s="229" cm="1">
        <f t="array" ref="O7:O25">VLOOKUP(_xlfn.ANCHORARRAY(K7), ASW_Bonos!$I$32:$O$55, 3, 0)</f>
        <v>-13.08589242750724</v>
      </c>
    </row>
    <row r="8" spans="2:15" x14ac:dyDescent="0.25">
      <c r="B8" s="218" t="str">
        <v>sep24</v>
      </c>
      <c r="C8" s="219">
        <v>11.438000000000001</v>
      </c>
      <c r="D8" s="220"/>
      <c r="E8" s="218" t="str">
        <v>6m</v>
      </c>
      <c r="F8" s="219">
        <v>11.602995714258276</v>
      </c>
      <c r="G8" s="221"/>
      <c r="H8" s="218" t="str">
        <v>dic25</v>
      </c>
      <c r="I8" s="219">
        <v>6.39</v>
      </c>
      <c r="K8" s="218" t="str">
        <v>sep24</v>
      </c>
      <c r="L8" s="229">
        <v>14.384557049131708</v>
      </c>
      <c r="M8" s="229">
        <v>-4.0124558272312942</v>
      </c>
      <c r="N8" s="229">
        <v>14.027868272587618</v>
      </c>
      <c r="O8" s="229">
        <v>-23.0833333333333</v>
      </c>
    </row>
    <row r="9" spans="2:15" x14ac:dyDescent="0.25">
      <c r="B9" s="218" t="str">
        <v>dic24</v>
      </c>
      <c r="C9" s="219">
        <v>11.17</v>
      </c>
      <c r="D9" s="220"/>
      <c r="E9" s="218" t="str">
        <v>9m</v>
      </c>
      <c r="F9" s="219">
        <v>11.558755714269557</v>
      </c>
      <c r="G9" s="221"/>
      <c r="H9" s="218" t="str">
        <v>dic26</v>
      </c>
      <c r="I9" s="219">
        <v>6.38</v>
      </c>
      <c r="K9" s="218" t="str">
        <v>dic24</v>
      </c>
      <c r="L9" s="229">
        <v>19.783254656939775</v>
      </c>
      <c r="M9" s="229">
        <v>6.8551771792013119</v>
      </c>
      <c r="N9" s="229">
        <v>46.37945818420075</v>
      </c>
      <c r="O9" s="229">
        <v>-20.357142857142918</v>
      </c>
    </row>
    <row r="10" spans="2:15" x14ac:dyDescent="0.25">
      <c r="B10" s="218" t="str">
        <v>mar25</v>
      </c>
      <c r="C10" s="219">
        <v>10.74</v>
      </c>
      <c r="D10" s="220"/>
      <c r="E10" s="218" t="str">
        <v>1y</v>
      </c>
      <c r="F10" s="219">
        <v>11.294001428593599</v>
      </c>
      <c r="G10" s="222"/>
      <c r="H10" s="218" t="str">
        <v>nov28</v>
      </c>
      <c r="I10" s="219">
        <v>5.55</v>
      </c>
      <c r="K10" s="218" t="str">
        <v>mar25</v>
      </c>
      <c r="L10" s="229">
        <v>34.261085381459822</v>
      </c>
      <c r="M10" s="229">
        <v>24.643134945258328</v>
      </c>
      <c r="N10" s="229">
        <v>68.02890900842425</v>
      </c>
      <c r="O10" s="229">
        <v>-9.8673469387755119</v>
      </c>
    </row>
    <row r="11" spans="2:15" x14ac:dyDescent="0.25">
      <c r="B11" s="218" t="str">
        <v>mar26</v>
      </c>
      <c r="C11" s="219">
        <v>10.49</v>
      </c>
      <c r="D11" s="220"/>
      <c r="E11" s="218" t="str">
        <v>2y</v>
      </c>
      <c r="F11" s="219">
        <v>10.438751428607992</v>
      </c>
      <c r="G11" s="222"/>
      <c r="H11" s="218" t="str">
        <v>nov31</v>
      </c>
      <c r="I11" s="219">
        <v>5.32</v>
      </c>
      <c r="K11" s="218" t="str">
        <v>mar26</v>
      </c>
      <c r="L11" s="229">
        <v>-26.239078094762824</v>
      </c>
      <c r="M11" s="229">
        <v>-23.36693230581519</v>
      </c>
      <c r="N11" s="229">
        <v>3.8767919665806616</v>
      </c>
      <c r="O11" s="229">
        <v>-43.813186813186711</v>
      </c>
    </row>
    <row r="12" spans="2:15" x14ac:dyDescent="0.25">
      <c r="B12" s="218" t="str">
        <v>sep26</v>
      </c>
      <c r="C12" s="219">
        <v>10.48</v>
      </c>
      <c r="D12" s="220"/>
      <c r="E12" s="218" t="str">
        <v>3y</v>
      </c>
      <c r="F12" s="219">
        <v>9.9857528571772836</v>
      </c>
      <c r="G12" s="222"/>
      <c r="H12" s="218" t="str">
        <v>nov35</v>
      </c>
      <c r="I12" s="219">
        <v>4.99</v>
      </c>
      <c r="K12" s="218" t="str">
        <v>sep26</v>
      </c>
      <c r="L12" s="229">
        <v>-34.904654523477419</v>
      </c>
      <c r="M12" s="229">
        <v>-47.098452507836882</v>
      </c>
      <c r="N12" s="229">
        <v>-27.018189109559643</v>
      </c>
      <c r="O12" s="229">
        <v>-64.37087912087911</v>
      </c>
    </row>
    <row r="13" spans="2:15" x14ac:dyDescent="0.25">
      <c r="B13" s="218" t="str">
        <v>mar27</v>
      </c>
      <c r="C13" s="219">
        <v>10.26</v>
      </c>
      <c r="D13" s="220"/>
      <c r="E13" s="218" t="str">
        <v>4y</v>
      </c>
      <c r="F13" s="219">
        <v>9.7602949510183947</v>
      </c>
      <c r="G13" s="222"/>
      <c r="H13" s="218" t="str">
        <v>nov40</v>
      </c>
      <c r="I13" s="219">
        <v>5.03</v>
      </c>
      <c r="K13" s="218" t="str">
        <v>mar27</v>
      </c>
      <c r="L13" s="229">
        <v>-29.437693675705212</v>
      </c>
      <c r="M13" s="229">
        <v>-40.993515556849083</v>
      </c>
      <c r="N13" s="229">
        <v>-20.162983245350219</v>
      </c>
      <c r="O13" s="229">
        <v>-62.395604395604387</v>
      </c>
    </row>
    <row r="14" spans="2:15" x14ac:dyDescent="0.25">
      <c r="B14" s="218" t="str">
        <v>jun27</v>
      </c>
      <c r="C14" s="219">
        <v>10.01</v>
      </c>
      <c r="D14" s="220"/>
      <c r="E14" s="218" t="str">
        <v>5y</v>
      </c>
      <c r="F14" s="219">
        <v>9.3746913922686268</v>
      </c>
      <c r="G14" s="222"/>
      <c r="H14" s="218" t="str">
        <v>nov43</v>
      </c>
      <c r="I14" s="219">
        <v>5.04</v>
      </c>
      <c r="K14" s="218" t="str">
        <v>jun27</v>
      </c>
      <c r="L14" s="229">
        <v>-34.755817297774705</v>
      </c>
      <c r="M14" s="229">
        <v>-44.899979997275395</v>
      </c>
      <c r="N14" s="229">
        <v>-28.393444970603987</v>
      </c>
      <c r="O14" s="229">
        <v>-60.659340659340799</v>
      </c>
    </row>
    <row r="15" spans="2:15" x14ac:dyDescent="0.25">
      <c r="B15" s="218" t="str">
        <v>mar29</v>
      </c>
      <c r="C15" s="219">
        <v>9.8829999999999991</v>
      </c>
      <c r="D15" s="220"/>
      <c r="E15" s="218" t="str">
        <v>7y</v>
      </c>
      <c r="F15" s="219">
        <v>9.3049624884347875</v>
      </c>
      <c r="G15" s="222"/>
      <c r="H15" s="218" t="str">
        <v>nov46</v>
      </c>
      <c r="I15" s="219">
        <v>5.0199999999999996</v>
      </c>
      <c r="K15" s="218" t="str">
        <v>mar29</v>
      </c>
      <c r="L15" s="229">
        <v>-50.361373643374208</v>
      </c>
      <c r="M15" s="229">
        <v>-52.069103992666875</v>
      </c>
      <c r="N15" s="229">
        <v>-35.178056372776467</v>
      </c>
      <c r="O15" s="229">
        <v>-67.092572247898914</v>
      </c>
    </row>
    <row r="16" spans="2:15" x14ac:dyDescent="0.25">
      <c r="B16" s="218" t="str">
        <v>may29</v>
      </c>
      <c r="C16" s="219">
        <v>9.94</v>
      </c>
      <c r="D16" s="220"/>
      <c r="E16" s="218" t="str">
        <v>10y</v>
      </c>
      <c r="F16" s="219">
        <v>9.4494776214280165</v>
      </c>
      <c r="G16" s="222"/>
      <c r="H16" s="218" t="str">
        <v>nov50</v>
      </c>
      <c r="I16" s="219">
        <v>5</v>
      </c>
      <c r="K16" s="218" t="str">
        <v>may29</v>
      </c>
      <c r="L16" s="229">
        <v>-49.551549027203556</v>
      </c>
      <c r="M16" s="229">
        <v>-44.727477590031739</v>
      </c>
      <c r="N16" s="229">
        <v>-26.748232331928534</v>
      </c>
      <c r="O16" s="229">
        <v>-58.032967032967164</v>
      </c>
    </row>
    <row r="17" spans="2:15" x14ac:dyDescent="0.25">
      <c r="B17" s="218" t="str">
        <v>may31</v>
      </c>
      <c r="C17" s="219">
        <v>9.93</v>
      </c>
      <c r="D17" s="220"/>
      <c r="E17" s="218" t="str">
        <v>12y</v>
      </c>
      <c r="F17" s="219">
        <v>9.4103382658816468</v>
      </c>
      <c r="G17" s="222"/>
      <c r="H17" s="218"/>
      <c r="I17" s="222"/>
      <c r="K17" s="218" t="str">
        <v>may31</v>
      </c>
      <c r="L17" s="229">
        <v>-53.63969751709714</v>
      </c>
      <c r="M17" s="229">
        <v>-51.866114236486816</v>
      </c>
      <c r="N17" s="229">
        <v>-36.30784014495223</v>
      </c>
      <c r="O17" s="229">
        <v>-65.648351648351706</v>
      </c>
    </row>
    <row r="18" spans="2:15" x14ac:dyDescent="0.25">
      <c r="B18" s="218" t="str">
        <v>may33</v>
      </c>
      <c r="C18" s="219">
        <v>9.9</v>
      </c>
      <c r="D18" s="220"/>
      <c r="E18" s="218" t="str">
        <v>15y</v>
      </c>
      <c r="F18" s="219">
        <v>9.4224773749462951</v>
      </c>
      <c r="G18" s="222"/>
      <c r="H18" s="218"/>
      <c r="I18" s="222"/>
      <c r="K18" s="218" t="str">
        <v>may33</v>
      </c>
      <c r="L18" s="229">
        <v>-53.162273505351543</v>
      </c>
      <c r="M18" s="229">
        <v>-49.406364794718584</v>
      </c>
      <c r="N18" s="229">
        <v>-29.232819756529871</v>
      </c>
      <c r="O18" s="229">
        <v>-67</v>
      </c>
    </row>
    <row r="19" spans="2:15" x14ac:dyDescent="0.25">
      <c r="B19" s="218" t="str">
        <v>nov34</v>
      </c>
      <c r="C19" s="219">
        <v>9.7999999999999989</v>
      </c>
      <c r="D19" s="220"/>
      <c r="E19" s="218" t="str">
        <v>20y</v>
      </c>
      <c r="F19" s="219">
        <v>9.3734786710952509</v>
      </c>
      <c r="G19" s="222"/>
      <c r="H19" s="218"/>
      <c r="I19" s="222"/>
      <c r="K19" s="218" t="str">
        <v>nov34</v>
      </c>
      <c r="L19" s="229">
        <v>-51.934024693612812</v>
      </c>
      <c r="M19" s="229">
        <v>-45.608393335698182</v>
      </c>
      <c r="N19" s="229">
        <v>-24.402514660079255</v>
      </c>
      <c r="O19" s="229">
        <v>-64.923076923076906</v>
      </c>
    </row>
    <row r="20" spans="2:15" x14ac:dyDescent="0.25">
      <c r="B20" s="218" t="str">
        <v>may35</v>
      </c>
      <c r="C20" s="219">
        <v>10.06</v>
      </c>
      <c r="D20" s="220"/>
      <c r="E20" s="218" t="str">
        <v>30y</v>
      </c>
      <c r="F20" s="219">
        <v>9.5399779416944792</v>
      </c>
      <c r="G20" s="222"/>
      <c r="H20" s="218"/>
      <c r="I20" s="222"/>
      <c r="K20" s="218" t="str">
        <v>may35</v>
      </c>
      <c r="L20" s="229">
        <v>-46.236472427726305</v>
      </c>
      <c r="M20" s="229">
        <v>-43.738242396993705</v>
      </c>
      <c r="N20" s="229">
        <v>-14.470065289967238</v>
      </c>
      <c r="O20" s="229">
        <v>-63.673076923076977</v>
      </c>
    </row>
    <row r="21" spans="2:15" x14ac:dyDescent="0.25">
      <c r="B21" s="218" t="str">
        <v>nov36</v>
      </c>
      <c r="C21" s="219">
        <v>9.77</v>
      </c>
      <c r="D21" s="220"/>
      <c r="E21" s="222"/>
      <c r="F21" s="222"/>
      <c r="G21" s="222"/>
      <c r="H21" s="218"/>
      <c r="I21" s="222"/>
      <c r="K21" s="218" t="str">
        <v>nov36</v>
      </c>
      <c r="L21" s="229">
        <v>-50.417912109499952</v>
      </c>
      <c r="M21" s="229">
        <v>-42.518523974971302</v>
      </c>
      <c r="N21" s="229">
        <v>-21.004504609443764</v>
      </c>
      <c r="O21" s="229">
        <v>-59.692307692307622</v>
      </c>
    </row>
    <row r="22" spans="2:15" x14ac:dyDescent="0.25">
      <c r="B22" s="218" t="str">
        <v>nov38</v>
      </c>
      <c r="C22" s="219">
        <v>9.92</v>
      </c>
      <c r="D22" s="220"/>
      <c r="E22" s="222"/>
      <c r="F22" s="222"/>
      <c r="G22" s="222"/>
      <c r="H22" s="218"/>
      <c r="I22" s="222"/>
      <c r="K22" s="218" t="str">
        <v>nov38</v>
      </c>
      <c r="L22" s="229">
        <v>-56.96061281752467</v>
      </c>
      <c r="M22" s="229">
        <v>-48.476046705803221</v>
      </c>
      <c r="N22" s="229">
        <v>-22.857878785412744</v>
      </c>
      <c r="O22" s="229">
        <v>-67.999999999999972</v>
      </c>
    </row>
    <row r="23" spans="2:15" x14ac:dyDescent="0.25">
      <c r="B23" s="218" t="str">
        <v>nov42</v>
      </c>
      <c r="C23" s="219">
        <v>9.98</v>
      </c>
      <c r="D23" s="222"/>
      <c r="E23" s="222"/>
      <c r="F23" s="222"/>
      <c r="G23" s="222"/>
      <c r="H23" s="218"/>
      <c r="I23" s="222"/>
      <c r="K23" s="218" t="str">
        <v>nov42</v>
      </c>
      <c r="L23" s="229">
        <v>-60.606500357697435</v>
      </c>
      <c r="M23" s="229">
        <v>-50.09627823951115</v>
      </c>
      <c r="N23" s="229">
        <v>-22.527095767591376</v>
      </c>
      <c r="O23" s="229">
        <v>-73.114835164835057</v>
      </c>
    </row>
    <row r="24" spans="2:15" x14ac:dyDescent="0.25">
      <c r="B24" s="218" t="str">
        <v>nov47</v>
      </c>
      <c r="C24" s="219">
        <v>9.9700000000000006</v>
      </c>
      <c r="D24" s="222"/>
      <c r="E24" s="222"/>
      <c r="F24" s="222"/>
      <c r="G24" s="222"/>
      <c r="H24" s="218"/>
      <c r="I24" s="222"/>
      <c r="K24" s="218" t="str">
        <v>nov47</v>
      </c>
      <c r="L24" s="229">
        <v>-57.727114202350727</v>
      </c>
      <c r="M24" s="229">
        <v>-44.386330122219654</v>
      </c>
      <c r="N24" s="229">
        <v>-14.324431802177173</v>
      </c>
      <c r="O24" s="229">
        <v>-70.4425824175825</v>
      </c>
    </row>
    <row r="25" spans="2:15" x14ac:dyDescent="0.25">
      <c r="B25" s="218" t="str">
        <v>jul53</v>
      </c>
      <c r="C25" s="219">
        <v>9.77</v>
      </c>
      <c r="K25" s="218" t="str">
        <v>jul53</v>
      </c>
      <c r="L25" s="229">
        <v>-57.667153706077912</v>
      </c>
      <c r="M25" s="229">
        <v>-45.613263773677247</v>
      </c>
      <c r="N25" s="229">
        <v>-11.180650703526496</v>
      </c>
      <c r="O25" s="229">
        <v>-74.030219780219753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87B37-45E7-4BD5-BB08-DBC8B65DF81B}">
  <sheetPr codeName="Hoja9"/>
  <dimension ref="B2:X11402"/>
  <sheetViews>
    <sheetView showGridLines="0" topLeftCell="E58" zoomScale="80" zoomScaleNormal="80" workbookViewId="0">
      <selection activeCell="T75" sqref="T75"/>
    </sheetView>
  </sheetViews>
  <sheetFormatPr baseColWidth="10" defaultRowHeight="15" x14ac:dyDescent="0.25"/>
  <cols>
    <col min="1" max="1" width="3.7109375" customWidth="1"/>
    <col min="3" max="3" width="13.5703125" bestFit="1" customWidth="1"/>
    <col min="4" max="4" width="5.7109375" customWidth="1"/>
    <col min="9" max="9" width="13.5703125" bestFit="1" customWidth="1"/>
    <col min="10" max="11" width="7.7109375" customWidth="1"/>
    <col min="13" max="13" width="21.5703125" bestFit="1" customWidth="1"/>
    <col min="15" max="15" width="8.140625" hidden="1" customWidth="1"/>
    <col min="17" max="17" width="5.7109375" customWidth="1"/>
    <col min="18" max="18" width="14" customWidth="1"/>
    <col min="20" max="20" width="14.140625" bestFit="1" customWidth="1"/>
    <col min="21" max="21" width="13.5703125" bestFit="1" customWidth="1"/>
    <col min="22" max="22" width="12.28515625" bestFit="1" customWidth="1"/>
  </cols>
  <sheetData>
    <row r="2" spans="2:24" ht="15" customHeight="1" x14ac:dyDescent="0.25">
      <c r="B2" s="39" t="s">
        <v>126</v>
      </c>
      <c r="C2" s="68">
        <f ca="1">TODAY()</f>
        <v>45243</v>
      </c>
      <c r="E2" s="238" t="s">
        <v>90</v>
      </c>
      <c r="F2" s="238"/>
      <c r="G2" s="238"/>
      <c r="H2" s="238"/>
      <c r="I2" s="238"/>
      <c r="L2" s="240" t="str">
        <f>+"Funding "&amp;G27</f>
        <v>Funding Scenario D</v>
      </c>
      <c r="M2" s="241"/>
      <c r="N2" s="242"/>
    </row>
    <row r="3" spans="2:24" ht="15" customHeight="1" x14ac:dyDescent="0.25">
      <c r="B3" s="39" t="s">
        <v>146</v>
      </c>
      <c r="C3" s="68">
        <f ca="1">WORKDAY(C2, 1)</f>
        <v>45244</v>
      </c>
      <c r="E3" s="239"/>
      <c r="F3" s="239"/>
      <c r="G3" s="239"/>
      <c r="H3" s="239"/>
      <c r="I3" s="239"/>
      <c r="L3" s="243"/>
      <c r="M3" s="244"/>
      <c r="N3" s="245"/>
    </row>
    <row r="4" spans="2:24" x14ac:dyDescent="0.25">
      <c r="B4" s="39" t="s">
        <v>129</v>
      </c>
      <c r="C4" s="91">
        <v>11.507</v>
      </c>
      <c r="E4" s="232" t="s">
        <v>91</v>
      </c>
      <c r="F4" s="246" t="s">
        <v>92</v>
      </c>
      <c r="G4" s="247"/>
      <c r="H4" s="247"/>
      <c r="I4" s="248"/>
      <c r="L4" s="79" t="s">
        <v>127</v>
      </c>
      <c r="M4" s="46" t="s">
        <v>120</v>
      </c>
      <c r="N4" s="46" t="s">
        <v>128</v>
      </c>
      <c r="O4" s="148" t="s">
        <v>159</v>
      </c>
      <c r="R4" s="235" t="s">
        <v>91</v>
      </c>
      <c r="S4" s="237" t="s">
        <v>124</v>
      </c>
      <c r="T4" s="202">
        <f>C5</f>
        <v>11.25</v>
      </c>
      <c r="U4" s="251" t="s">
        <v>206</v>
      </c>
      <c r="V4" s="254" t="s">
        <v>207</v>
      </c>
      <c r="W4" s="202">
        <f>C4</f>
        <v>11.507</v>
      </c>
      <c r="X4" s="249"/>
    </row>
    <row r="5" spans="2:24" x14ac:dyDescent="0.25">
      <c r="B5" s="39" t="s">
        <v>119</v>
      </c>
      <c r="C5" s="67">
        <v>11.25</v>
      </c>
      <c r="E5" s="233"/>
      <c r="F5" s="38" t="s">
        <v>93</v>
      </c>
      <c r="G5" s="39" t="s">
        <v>94</v>
      </c>
      <c r="H5" s="39" t="s">
        <v>95</v>
      </c>
      <c r="I5" s="39" t="s">
        <v>96</v>
      </c>
      <c r="L5" s="146" cm="1">
        <f t="array" aca="1" ref="L5:L11402" ca="1">_xlfn.SEQUENCE(11398, 1, $C$3, 1)</f>
        <v>45244</v>
      </c>
      <c r="M5" s="92">
        <f t="shared" ref="M5:M68" ca="1" si="0">IFERROR(INDEX($E$27:$H$47, MATCH(L5, $F$27:$F$47, 0), 4), IF(ISNUMBER(M4), M4, $C$5))</f>
        <v>11.25</v>
      </c>
      <c r="N5" s="143">
        <f ca="1">(PRODUCT($O$5:$O5)-1)*36000/_xlfn.DAYS(L5, $C$2)</f>
        <v>11.249999999997762</v>
      </c>
      <c r="O5" s="149">
        <f ca="1">1+M5*IFERROR(_xlfn.DAYS(L5, L4), _xlfn.DAYS(L5, $C$2))/36000</f>
        <v>1.0003124999999999</v>
      </c>
      <c r="R5" s="236"/>
      <c r="S5" s="234"/>
      <c r="T5" s="250" t="s">
        <v>122</v>
      </c>
      <c r="U5" s="252"/>
      <c r="V5" s="255"/>
      <c r="W5" s="253" t="s">
        <v>208</v>
      </c>
      <c r="X5" s="249"/>
    </row>
    <row r="6" spans="2:24" x14ac:dyDescent="0.25">
      <c r="B6" s="39" t="s">
        <v>135</v>
      </c>
      <c r="C6" s="90">
        <v>5000000000</v>
      </c>
      <c r="E6" s="53">
        <v>45274</v>
      </c>
      <c r="F6" s="40">
        <v>0</v>
      </c>
      <c r="G6" s="54">
        <v>25</v>
      </c>
      <c r="H6" s="54">
        <v>0</v>
      </c>
      <c r="I6" s="54">
        <v>0</v>
      </c>
      <c r="L6" s="146">
        <f ca="1"/>
        <v>45245</v>
      </c>
      <c r="M6" s="92">
        <f t="shared" ca="1" si="0"/>
        <v>11.25</v>
      </c>
      <c r="N6" s="143">
        <f ca="1">(PRODUCT($O$5:$O6)-1)*36000/_xlfn.DAYS(L6, $C$2)</f>
        <v>11.251757812497321</v>
      </c>
      <c r="O6" s="149">
        <f t="shared" ref="O6:O69" ca="1" si="1">1+M6*IFERROR(_xlfn.DAYS(L6, L5), _xlfn.DAYS(L6, $C$2))/36000</f>
        <v>1.0003124999999999</v>
      </c>
      <c r="R6" s="198" cm="1">
        <f t="array" ref="R6:R24">+$E$6:$E$24</f>
        <v>45274</v>
      </c>
      <c r="S6" s="199">
        <f t="shared" ref="S6:S24" si="2">WORKDAY(R6, 1)</f>
        <v>45275</v>
      </c>
      <c r="T6" s="196">
        <v>0.11261858150643178</v>
      </c>
      <c r="U6" s="203">
        <f>(T6-T4/100)*10000</f>
        <v>1.1858150643177801</v>
      </c>
      <c r="V6" s="203">
        <f>(W6-W4/100)*10000</f>
        <v>1.6788295160241606</v>
      </c>
      <c r="W6" s="196">
        <v>0.11523788295160241</v>
      </c>
      <c r="X6" s="256"/>
    </row>
    <row r="7" spans="2:24" x14ac:dyDescent="0.25">
      <c r="E7" s="53">
        <v>45330</v>
      </c>
      <c r="F7" s="40">
        <v>0</v>
      </c>
      <c r="G7" s="54">
        <v>25</v>
      </c>
      <c r="H7" s="54">
        <v>1</v>
      </c>
      <c r="I7" s="54">
        <v>0</v>
      </c>
      <c r="L7" s="146">
        <f ca="1"/>
        <v>45246</v>
      </c>
      <c r="M7" s="92">
        <f t="shared" ca="1" si="0"/>
        <v>11.25</v>
      </c>
      <c r="N7" s="143">
        <f ca="1">(PRODUCT($O$5:$O7)-1)*36000/_xlfn.DAYS(L7, $C$2)</f>
        <v>11.253515991207941</v>
      </c>
      <c r="O7" s="149">
        <f t="shared" ca="1" si="1"/>
        <v>1.0003124999999999</v>
      </c>
      <c r="R7" s="198">
        <v>45330</v>
      </c>
      <c r="S7" s="199">
        <f t="shared" si="2"/>
        <v>45331</v>
      </c>
      <c r="T7" s="196">
        <v>0.11121761106533512</v>
      </c>
      <c r="U7" s="203">
        <f>(T7-T6)*10000</f>
        <v>-14.009704410966606</v>
      </c>
      <c r="V7" s="203">
        <f>(W7-W6)*10000</f>
        <v>-9.8219184964078163</v>
      </c>
      <c r="W7" s="196">
        <v>0.11425569110196163</v>
      </c>
      <c r="X7" s="256"/>
    </row>
    <row r="8" spans="2:24" x14ac:dyDescent="0.25">
      <c r="E8" s="53">
        <v>45372</v>
      </c>
      <c r="F8" s="40">
        <v>0</v>
      </c>
      <c r="G8" s="54">
        <v>0</v>
      </c>
      <c r="H8" s="54">
        <v>0</v>
      </c>
      <c r="I8" s="54">
        <v>0</v>
      </c>
      <c r="L8" s="146">
        <f ca="1"/>
        <v>45247</v>
      </c>
      <c r="M8" s="92">
        <f t="shared" ca="1" si="0"/>
        <v>11.25</v>
      </c>
      <c r="N8" s="143">
        <f ca="1">(PRODUCT($O$5:$O8)-1)*36000/_xlfn.DAYS(L8, $C$2)</f>
        <v>11.255274536215554</v>
      </c>
      <c r="O8" s="149">
        <f t="shared" ca="1" si="1"/>
        <v>1.0003124999999999</v>
      </c>
      <c r="R8" s="200">
        <v>45372</v>
      </c>
      <c r="S8" s="201">
        <f t="shared" si="2"/>
        <v>45373</v>
      </c>
      <c r="T8" s="197">
        <v>0.11381112452444775</v>
      </c>
      <c r="U8" s="204">
        <f t="shared" ref="U8:U24" si="3">(T8-T7)*10000</f>
        <v>25.935134591126285</v>
      </c>
      <c r="V8" s="204">
        <f t="shared" ref="V8:V24" si="4">(W8-W7)*10000</f>
        <v>-10.629695713380711</v>
      </c>
      <c r="W8" s="197">
        <v>0.11319272153062356</v>
      </c>
      <c r="X8" s="256"/>
    </row>
    <row r="9" spans="2:24" x14ac:dyDescent="0.25">
      <c r="E9" s="53">
        <v>45421</v>
      </c>
      <c r="F9" s="40">
        <v>0</v>
      </c>
      <c r="G9" s="54">
        <v>0</v>
      </c>
      <c r="H9" s="54">
        <v>0</v>
      </c>
      <c r="I9" s="54">
        <v>0</v>
      </c>
      <c r="L9" s="146">
        <f ca="1"/>
        <v>45248</v>
      </c>
      <c r="M9" s="92">
        <f t="shared" ca="1" si="0"/>
        <v>11.25</v>
      </c>
      <c r="N9" s="143">
        <f ca="1">(PRODUCT($O$5:$O9)-1)*36000/_xlfn.DAYS(L9, $C$2)</f>
        <v>11.257033447606091</v>
      </c>
      <c r="O9" s="149">
        <f t="shared" ca="1" si="1"/>
        <v>1.0003124999999999</v>
      </c>
      <c r="R9" s="200">
        <v>45421</v>
      </c>
      <c r="S9" s="201">
        <f t="shared" si="2"/>
        <v>45422</v>
      </c>
      <c r="T9" s="197">
        <v>0.11014618888435912</v>
      </c>
      <c r="U9" s="204">
        <f t="shared" si="3"/>
        <v>-36.64935640088629</v>
      </c>
      <c r="V9" s="204">
        <f t="shared" si="4"/>
        <v>-12.786105126900427</v>
      </c>
      <c r="W9" s="197">
        <v>0.11191411101793351</v>
      </c>
      <c r="X9" s="256"/>
    </row>
    <row r="10" spans="2:24" x14ac:dyDescent="0.25">
      <c r="E10" s="53">
        <v>45470</v>
      </c>
      <c r="F10" s="40">
        <v>0</v>
      </c>
      <c r="G10" s="54">
        <v>0</v>
      </c>
      <c r="H10" s="54">
        <v>-7</v>
      </c>
      <c r="I10" s="54">
        <v>0</v>
      </c>
      <c r="L10" s="146">
        <f ca="1"/>
        <v>45249</v>
      </c>
      <c r="M10" s="92">
        <f t="shared" ca="1" si="0"/>
        <v>11.25</v>
      </c>
      <c r="N10" s="143">
        <f ca="1">(PRODUCT($O$5:$O10)-1)*36000/_xlfn.DAYS(L10, $C$2)</f>
        <v>11.258792725465483</v>
      </c>
      <c r="O10" s="149">
        <f t="shared" ca="1" si="1"/>
        <v>1.0003124999999999</v>
      </c>
      <c r="R10" s="200">
        <v>45470</v>
      </c>
      <c r="S10" s="201">
        <f t="shared" si="2"/>
        <v>45471</v>
      </c>
      <c r="T10" s="197">
        <v>0.10714307488512098</v>
      </c>
      <c r="U10" s="204">
        <f t="shared" si="3"/>
        <v>-30.031139992381384</v>
      </c>
      <c r="V10" s="204">
        <f t="shared" si="4"/>
        <v>-23.60411138603774</v>
      </c>
      <c r="W10" s="197">
        <v>0.10955369987932974</v>
      </c>
      <c r="X10" s="256"/>
    </row>
    <row r="11" spans="2:24" x14ac:dyDescent="0.25">
      <c r="E11" s="53">
        <v>45512</v>
      </c>
      <c r="F11" s="40">
        <v>0</v>
      </c>
      <c r="G11" s="54">
        <v>-50</v>
      </c>
      <c r="H11" s="54">
        <v>-14</v>
      </c>
      <c r="I11" s="54">
        <v>-50</v>
      </c>
      <c r="L11" s="146">
        <f ca="1"/>
        <v>45250</v>
      </c>
      <c r="M11" s="92">
        <f t="shared" ca="1" si="0"/>
        <v>11.25</v>
      </c>
      <c r="N11" s="143">
        <f ca="1">(PRODUCT($O$5:$O11)-1)*36000/_xlfn.DAYS(L11, $C$2)</f>
        <v>11.260552369878521</v>
      </c>
      <c r="O11" s="149">
        <f t="shared" ca="1" si="1"/>
        <v>1.0003124999999999</v>
      </c>
      <c r="R11" s="200">
        <v>45512</v>
      </c>
      <c r="S11" s="201">
        <f t="shared" si="2"/>
        <v>45513</v>
      </c>
      <c r="T11" s="197">
        <v>0.10657627466963859</v>
      </c>
      <c r="U11" s="204">
        <f t="shared" si="3"/>
        <v>-5.6680021548238813</v>
      </c>
      <c r="V11" s="204">
        <f t="shared" si="4"/>
        <v>-28.39859623297497</v>
      </c>
      <c r="W11" s="197">
        <v>0.10671384025603224</v>
      </c>
      <c r="X11" s="256"/>
    </row>
    <row r="12" spans="2:24" x14ac:dyDescent="0.25">
      <c r="E12" s="62">
        <v>45561</v>
      </c>
      <c r="F12" s="41">
        <v>0</v>
      </c>
      <c r="G12" s="63">
        <v>-50</v>
      </c>
      <c r="H12" s="63">
        <v>-18</v>
      </c>
      <c r="I12" s="63">
        <v>-50</v>
      </c>
      <c r="L12" s="146">
        <f ca="1"/>
        <v>45251</v>
      </c>
      <c r="M12" s="92">
        <f t="shared" ca="1" si="0"/>
        <v>11.25</v>
      </c>
      <c r="N12" s="143">
        <f ca="1">(PRODUCT($O$5:$O12)-1)*36000/_xlfn.DAYS(L12, $C$2)</f>
        <v>11.26231238093256</v>
      </c>
      <c r="O12" s="149">
        <f t="shared" ca="1" si="1"/>
        <v>1.0003124999999999</v>
      </c>
      <c r="R12" s="200">
        <v>45561</v>
      </c>
      <c r="S12" s="201">
        <f t="shared" si="2"/>
        <v>45562</v>
      </c>
      <c r="T12" s="197">
        <v>0.10472419844573366</v>
      </c>
      <c r="U12" s="204">
        <f t="shared" si="3"/>
        <v>-18.520762239049304</v>
      </c>
      <c r="V12" s="204">
        <f t="shared" si="4"/>
        <v>-36.388415862966262</v>
      </c>
      <c r="W12" s="197">
        <v>0.10307499866973562</v>
      </c>
      <c r="X12" s="256"/>
    </row>
    <row r="13" spans="2:24" x14ac:dyDescent="0.25">
      <c r="E13" s="62">
        <v>45610</v>
      </c>
      <c r="F13" s="41">
        <v>0</v>
      </c>
      <c r="G13" s="63">
        <v>-50</v>
      </c>
      <c r="H13" s="63">
        <v>-27</v>
      </c>
      <c r="I13" s="63">
        <v>-50</v>
      </c>
      <c r="L13" s="146">
        <f ca="1"/>
        <v>45252</v>
      </c>
      <c r="M13" s="92">
        <f t="shared" ca="1" si="0"/>
        <v>11.25</v>
      </c>
      <c r="N13" s="143">
        <f ca="1">(PRODUCT($O$5:$O13)-1)*36000/_xlfn.DAYS(L13, $C$2)</f>
        <v>11.264072758712551</v>
      </c>
      <c r="O13" s="149">
        <f t="shared" ca="1" si="1"/>
        <v>1.0003124999999999</v>
      </c>
      <c r="R13" s="200">
        <v>45610</v>
      </c>
      <c r="S13" s="201">
        <f t="shared" si="2"/>
        <v>45611</v>
      </c>
      <c r="T13" s="197">
        <v>0.10116795123678024</v>
      </c>
      <c r="U13" s="204">
        <f t="shared" si="3"/>
        <v>-35.562472089534225</v>
      </c>
      <c r="V13" s="204">
        <f t="shared" si="4"/>
        <v>-38.843148092707473</v>
      </c>
      <c r="W13" s="197">
        <v>9.9190683860464868E-2</v>
      </c>
      <c r="X13" s="256"/>
    </row>
    <row r="14" spans="2:24" x14ac:dyDescent="0.25">
      <c r="E14" s="62">
        <v>45645</v>
      </c>
      <c r="F14" s="41">
        <v>0</v>
      </c>
      <c r="G14" s="63">
        <v>-50</v>
      </c>
      <c r="H14" s="63">
        <v>-27</v>
      </c>
      <c r="I14" s="63">
        <v>-50</v>
      </c>
      <c r="L14" s="146">
        <f ca="1"/>
        <v>45253</v>
      </c>
      <c r="M14" s="92">
        <f t="shared" ca="1" si="0"/>
        <v>11.25</v>
      </c>
      <c r="N14" s="143">
        <f ca="1">(PRODUCT($O$5:$O14)-1)*36000/_xlfn.DAYS(L14, $C$2)</f>
        <v>11.265833503304634</v>
      </c>
      <c r="O14" s="149">
        <f t="shared" ca="1" si="1"/>
        <v>1.0003124999999999</v>
      </c>
      <c r="R14" s="200">
        <v>45645</v>
      </c>
      <c r="S14" s="201">
        <f t="shared" si="2"/>
        <v>45646</v>
      </c>
      <c r="T14" s="197">
        <v>9.7054385781794039E-2</v>
      </c>
      <c r="U14" s="204">
        <f t="shared" si="3"/>
        <v>-41.135654549862011</v>
      </c>
      <c r="V14" s="204">
        <f t="shared" si="4"/>
        <v>-26.123617830799279</v>
      </c>
      <c r="W14" s="197">
        <v>9.657832207738494E-2</v>
      </c>
      <c r="X14" s="256"/>
    </row>
    <row r="15" spans="2:24" x14ac:dyDescent="0.25">
      <c r="E15" s="62">
        <v>45694</v>
      </c>
      <c r="F15" s="41">
        <v>0</v>
      </c>
      <c r="G15" s="63">
        <v>-50</v>
      </c>
      <c r="H15" s="63">
        <v>-18</v>
      </c>
      <c r="I15" s="63">
        <v>-50</v>
      </c>
      <c r="L15" s="146">
        <f ca="1"/>
        <v>45254</v>
      </c>
      <c r="M15" s="92">
        <f t="shared" ca="1" si="0"/>
        <v>11.25</v>
      </c>
      <c r="N15" s="143">
        <f ca="1">(PRODUCT($O$5:$O15)-1)*36000/_xlfn.DAYS(L15, $C$2)</f>
        <v>11.267594614794874</v>
      </c>
      <c r="O15" s="149">
        <f t="shared" ca="1" si="1"/>
        <v>1.0003124999999999</v>
      </c>
      <c r="R15" s="200">
        <v>45694</v>
      </c>
      <c r="S15" s="201">
        <f t="shared" si="2"/>
        <v>45695</v>
      </c>
      <c r="T15" s="197">
        <v>8.836885334052802E-2</v>
      </c>
      <c r="U15" s="204">
        <f t="shared" si="3"/>
        <v>-86.855324412660195</v>
      </c>
      <c r="V15" s="204">
        <f t="shared" si="4"/>
        <v>-32.55592959222772</v>
      </c>
      <c r="W15" s="197">
        <v>9.3322729118162168E-2</v>
      </c>
      <c r="X15" s="256"/>
    </row>
    <row r="16" spans="2:24" x14ac:dyDescent="0.25">
      <c r="E16" s="62">
        <v>45741</v>
      </c>
      <c r="F16" s="41">
        <v>0</v>
      </c>
      <c r="G16" s="63">
        <v>-50</v>
      </c>
      <c r="H16" s="63">
        <v>-24</v>
      </c>
      <c r="I16" s="63">
        <v>-50</v>
      </c>
      <c r="L16" s="146">
        <f ca="1"/>
        <v>45255</v>
      </c>
      <c r="M16" s="92">
        <f t="shared" ca="1" si="0"/>
        <v>11.25</v>
      </c>
      <c r="N16" s="143">
        <f ca="1">(PRODUCT($O$5:$O16)-1)*36000/_xlfn.DAYS(L16, $C$2)</f>
        <v>11.269356093269289</v>
      </c>
      <c r="O16" s="149">
        <f t="shared" ca="1" si="1"/>
        <v>1.0003124999999999</v>
      </c>
      <c r="R16" s="198">
        <v>45741</v>
      </c>
      <c r="S16" s="199">
        <f t="shared" si="2"/>
        <v>45742</v>
      </c>
      <c r="T16" s="196">
        <v>8.3750875304398065E-2</v>
      </c>
      <c r="U16" s="203">
        <f t="shared" si="3"/>
        <v>-46.179780361299549</v>
      </c>
      <c r="V16" s="203">
        <f t="shared" si="4"/>
        <v>-26.826421331709732</v>
      </c>
      <c r="W16" s="196">
        <v>9.0640086984991194E-2</v>
      </c>
      <c r="X16" s="256"/>
    </row>
    <row r="17" spans="5:24" x14ac:dyDescent="0.25">
      <c r="E17" s="62">
        <v>45792</v>
      </c>
      <c r="F17" s="42">
        <v>0</v>
      </c>
      <c r="G17" s="65">
        <v>-25</v>
      </c>
      <c r="H17" s="65">
        <v>-21</v>
      </c>
      <c r="I17" s="65">
        <v>-50</v>
      </c>
      <c r="L17" s="146">
        <f ca="1"/>
        <v>45256</v>
      </c>
      <c r="M17" s="92">
        <f t="shared" ca="1" si="0"/>
        <v>11.25</v>
      </c>
      <c r="N17" s="143">
        <f ca="1">(PRODUCT($O$5:$O17)-1)*36000/_xlfn.DAYS(L17, $C$2)</f>
        <v>11.271117938813875</v>
      </c>
      <c r="O17" s="149">
        <f t="shared" ca="1" si="1"/>
        <v>1.0003124999999999</v>
      </c>
      <c r="R17" s="198">
        <v>45792</v>
      </c>
      <c r="S17" s="199">
        <f t="shared" si="2"/>
        <v>45793</v>
      </c>
      <c r="T17" s="196">
        <v>8.9393659285113003E-2</v>
      </c>
      <c r="U17" s="203">
        <f t="shared" si="3"/>
        <v>56.427839807149383</v>
      </c>
      <c r="V17" s="203">
        <f t="shared" si="4"/>
        <v>-24.237964653653769</v>
      </c>
      <c r="W17" s="196">
        <v>8.8216290519625817E-2</v>
      </c>
      <c r="X17" s="256"/>
    </row>
    <row r="18" spans="5:24" x14ac:dyDescent="0.25">
      <c r="E18" s="62">
        <v>45827</v>
      </c>
      <c r="F18" s="41">
        <v>0</v>
      </c>
      <c r="G18" s="63">
        <v>-25</v>
      </c>
      <c r="H18" s="63">
        <v>-20</v>
      </c>
      <c r="I18" s="63">
        <v>-50</v>
      </c>
      <c r="L18" s="146">
        <f ca="1"/>
        <v>45257</v>
      </c>
      <c r="M18" s="92">
        <f t="shared" ca="1" si="0"/>
        <v>11.25</v>
      </c>
      <c r="N18" s="143">
        <f ca="1">(PRODUCT($O$5:$O18)-1)*36000/_xlfn.DAYS(L18, $C$2)</f>
        <v>11.272880151514602</v>
      </c>
      <c r="O18" s="149">
        <f t="shared" ca="1" si="1"/>
        <v>1.0003124999999999</v>
      </c>
      <c r="R18" s="198">
        <v>45827</v>
      </c>
      <c r="S18" s="199">
        <f t="shared" si="2"/>
        <v>45828</v>
      </c>
      <c r="T18" s="196">
        <v>9.7501742672525538E-2</v>
      </c>
      <c r="U18" s="203">
        <f t="shared" si="3"/>
        <v>81.080833874125346</v>
      </c>
      <c r="V18" s="203">
        <f t="shared" si="4"/>
        <v>-13.701495604518527</v>
      </c>
      <c r="W18" s="196">
        <v>8.6846140959173965E-2</v>
      </c>
      <c r="X18" s="256"/>
    </row>
    <row r="19" spans="5:24" x14ac:dyDescent="0.25">
      <c r="E19" s="62">
        <v>45876</v>
      </c>
      <c r="F19" s="41">
        <v>0</v>
      </c>
      <c r="G19" s="63">
        <v>0</v>
      </c>
      <c r="H19" s="63">
        <v>-13</v>
      </c>
      <c r="I19" s="63">
        <v>-25</v>
      </c>
      <c r="L19" s="146">
        <f ca="1"/>
        <v>45258</v>
      </c>
      <c r="M19" s="92">
        <f t="shared" ca="1" si="0"/>
        <v>11.25</v>
      </c>
      <c r="N19" s="143">
        <f ca="1">(PRODUCT($O$5:$O19)-1)*36000/_xlfn.DAYS(L19, $C$2)</f>
        <v>11.27464273145744</v>
      </c>
      <c r="O19" s="149">
        <f t="shared" ca="1" si="1"/>
        <v>1.0003124999999999</v>
      </c>
      <c r="R19" s="198">
        <v>45876</v>
      </c>
      <c r="S19" s="199">
        <f t="shared" si="2"/>
        <v>45877</v>
      </c>
      <c r="T19" s="196">
        <v>0.10323645743398835</v>
      </c>
      <c r="U19" s="203">
        <f t="shared" si="3"/>
        <v>57.347147614628113</v>
      </c>
      <c r="V19" s="203">
        <f t="shared" si="4"/>
        <v>-15.173845168987288</v>
      </c>
      <c r="W19" s="196">
        <v>8.5328756442275236E-2</v>
      </c>
      <c r="X19" s="256"/>
    </row>
    <row r="20" spans="5:24" x14ac:dyDescent="0.25">
      <c r="E20" s="53">
        <v>45925</v>
      </c>
      <c r="F20" s="40">
        <v>0</v>
      </c>
      <c r="G20" s="54">
        <v>0</v>
      </c>
      <c r="H20" s="54">
        <v>-16</v>
      </c>
      <c r="I20" s="54">
        <v>-25</v>
      </c>
      <c r="L20" s="146">
        <f ca="1"/>
        <v>45259</v>
      </c>
      <c r="M20" s="92">
        <f t="shared" ca="1" si="0"/>
        <v>11.25</v>
      </c>
      <c r="N20" s="143">
        <f ca="1">(PRODUCT($O$5:$O20)-1)*36000/_xlfn.DAYS(L20, $C$2)</f>
        <v>11.276405678728841</v>
      </c>
      <c r="O20" s="149">
        <f t="shared" ca="1" si="1"/>
        <v>1.0003124999999999</v>
      </c>
      <c r="R20" s="198">
        <v>45925</v>
      </c>
      <c r="S20" s="199">
        <f t="shared" si="2"/>
        <v>45926</v>
      </c>
      <c r="T20" s="196">
        <v>9.6195079594867394E-2</v>
      </c>
      <c r="U20" s="203">
        <f t="shared" si="3"/>
        <v>-70.413778391209547</v>
      </c>
      <c r="V20" s="203">
        <f t="shared" si="4"/>
        <v>-10.499009739909221</v>
      </c>
      <c r="W20" s="196">
        <v>8.4278855468284314E-2</v>
      </c>
      <c r="X20" s="256"/>
    </row>
    <row r="21" spans="5:24" x14ac:dyDescent="0.25">
      <c r="E21" s="53">
        <v>45967</v>
      </c>
      <c r="F21" s="40">
        <v>0</v>
      </c>
      <c r="G21" s="54">
        <v>0</v>
      </c>
      <c r="H21" s="54">
        <v>-14</v>
      </c>
      <c r="I21" s="54">
        <v>-25</v>
      </c>
      <c r="L21" s="146">
        <f ca="1"/>
        <v>45260</v>
      </c>
      <c r="M21" s="92">
        <f t="shared" ca="1" si="0"/>
        <v>11.25</v>
      </c>
      <c r="N21" s="143">
        <f ca="1">(PRODUCT($O$5:$O21)-1)*36000/_xlfn.DAYS(L21, $C$2)</f>
        <v>11.278168993414665</v>
      </c>
      <c r="O21" s="149">
        <f t="shared" ca="1" si="1"/>
        <v>1.0003124999999999</v>
      </c>
      <c r="R21" s="198">
        <v>45967</v>
      </c>
      <c r="S21" s="199">
        <f t="shared" si="2"/>
        <v>45968</v>
      </c>
      <c r="T21" s="196">
        <v>7.042177547564421E-2</v>
      </c>
      <c r="U21" s="203">
        <f t="shared" si="3"/>
        <v>-257.73304119223184</v>
      </c>
      <c r="V21" s="203">
        <f t="shared" si="4"/>
        <v>-5.417047709428136</v>
      </c>
      <c r="W21" s="196">
        <v>8.37371506973415E-2</v>
      </c>
      <c r="X21" s="256"/>
    </row>
    <row r="22" spans="5:24" x14ac:dyDescent="0.25">
      <c r="E22" s="53">
        <v>46002</v>
      </c>
      <c r="F22" s="40">
        <v>0</v>
      </c>
      <c r="G22" s="54">
        <v>0</v>
      </c>
      <c r="H22" s="54">
        <v>-10</v>
      </c>
      <c r="I22" s="54">
        <v>-25</v>
      </c>
      <c r="L22" s="146">
        <f ca="1"/>
        <v>45261</v>
      </c>
      <c r="M22" s="92">
        <f t="shared" ca="1" si="0"/>
        <v>11.25</v>
      </c>
      <c r="N22" s="143">
        <f ca="1">(PRODUCT($O$5:$O22)-1)*36000/_xlfn.DAYS(L22, $C$2)</f>
        <v>11.279932675601234</v>
      </c>
      <c r="O22" s="149">
        <f t="shared" ca="1" si="1"/>
        <v>1.0003124999999999</v>
      </c>
      <c r="R22" s="198">
        <v>46002</v>
      </c>
      <c r="S22" s="199">
        <f t="shared" si="2"/>
        <v>46003</v>
      </c>
      <c r="T22" s="196">
        <v>4.5838594404132849E-2</v>
      </c>
      <c r="U22" s="203">
        <f t="shared" si="3"/>
        <v>-245.83181071511362</v>
      </c>
      <c r="V22" s="203">
        <f t="shared" si="4"/>
        <v>-3.6642122987531889</v>
      </c>
      <c r="W22" s="196">
        <v>8.3370729467466181E-2</v>
      </c>
      <c r="X22" s="256"/>
    </row>
    <row r="23" spans="5:24" x14ac:dyDescent="0.25">
      <c r="E23" s="53">
        <v>46058</v>
      </c>
      <c r="F23" s="40">
        <v>0</v>
      </c>
      <c r="G23" s="54">
        <v>0</v>
      </c>
      <c r="H23" s="54">
        <v>-8</v>
      </c>
      <c r="I23" s="54">
        <v>0</v>
      </c>
      <c r="L23" s="146">
        <f ca="1"/>
        <v>45262</v>
      </c>
      <c r="M23" s="92">
        <f t="shared" ca="1" si="0"/>
        <v>11.25</v>
      </c>
      <c r="N23" s="143">
        <f ca="1">(PRODUCT($O$5:$O23)-1)*36000/_xlfn.DAYS(L23, $C$2)</f>
        <v>11.28169672537479</v>
      </c>
      <c r="O23" s="149">
        <f t="shared" ca="1" si="1"/>
        <v>1.0003124999999999</v>
      </c>
      <c r="R23" s="198">
        <v>46058</v>
      </c>
      <c r="S23" s="199">
        <f t="shared" si="2"/>
        <v>46059</v>
      </c>
      <c r="T23" s="196">
        <v>3.6296382175118325E-2</v>
      </c>
      <c r="U23" s="203">
        <f t="shared" si="3"/>
        <v>-95.422122290145239</v>
      </c>
      <c r="V23" s="203">
        <f t="shared" si="4"/>
        <v>-4.4548672284808184</v>
      </c>
      <c r="W23" s="196">
        <v>8.29252427446181E-2</v>
      </c>
      <c r="X23" s="256"/>
    </row>
    <row r="24" spans="5:24" x14ac:dyDescent="0.25">
      <c r="E24" s="53">
        <v>46105</v>
      </c>
      <c r="F24" s="40">
        <v>0</v>
      </c>
      <c r="G24" s="54">
        <v>0</v>
      </c>
      <c r="H24" s="54">
        <v>0</v>
      </c>
      <c r="I24" s="54">
        <v>0</v>
      </c>
      <c r="L24" s="146">
        <f ca="1"/>
        <v>45263</v>
      </c>
      <c r="M24" s="92">
        <f t="shared" ca="1" si="0"/>
        <v>11.25</v>
      </c>
      <c r="N24" s="143">
        <f ca="1">(PRODUCT($O$5:$O24)-1)*36000/_xlfn.DAYS(L24, $C$2)</f>
        <v>11.283461142821105</v>
      </c>
      <c r="O24" s="149">
        <f t="shared" ca="1" si="1"/>
        <v>1.0003124999999999</v>
      </c>
      <c r="R24" s="205">
        <v>46105</v>
      </c>
      <c r="S24" s="206">
        <f t="shared" si="2"/>
        <v>46106</v>
      </c>
      <c r="T24" s="207">
        <v>5.4143545796003778E-2</v>
      </c>
      <c r="U24" s="208">
        <f t="shared" si="3"/>
        <v>178.47163620885453</v>
      </c>
      <c r="V24" s="208">
        <f t="shared" si="4"/>
        <v>-3.3124452243127323</v>
      </c>
      <c r="W24" s="207">
        <v>8.2593998222186826E-2</v>
      </c>
      <c r="X24" s="256"/>
    </row>
    <row r="25" spans="5:24" x14ac:dyDescent="0.25">
      <c r="L25" s="146">
        <f ca="1"/>
        <v>45264</v>
      </c>
      <c r="M25" s="92">
        <f t="shared" ca="1" si="0"/>
        <v>11.25</v>
      </c>
      <c r="N25" s="143">
        <f ca="1">(PRODUCT($O$5:$O25)-1)*36000/_xlfn.DAYS(L25, $C$2)</f>
        <v>11.285225928026753</v>
      </c>
      <c r="O25" s="149">
        <f t="shared" ca="1" si="1"/>
        <v>1.0003124999999999</v>
      </c>
    </row>
    <row r="26" spans="5:24" x14ac:dyDescent="0.25">
      <c r="L26" s="146">
        <f ca="1"/>
        <v>45265</v>
      </c>
      <c r="M26" s="92">
        <f t="shared" ca="1" si="0"/>
        <v>11.25</v>
      </c>
      <c r="N26" s="143">
        <f ca="1">(PRODUCT($O$5:$O26)-1)*36000/_xlfn.DAYS(L26, $C$2)</f>
        <v>11.28699108107782</v>
      </c>
      <c r="O26" s="149">
        <f t="shared" ca="1" si="1"/>
        <v>1.0003124999999999</v>
      </c>
    </row>
    <row r="27" spans="5:24" x14ac:dyDescent="0.25">
      <c r="E27" s="232" t="s">
        <v>91</v>
      </c>
      <c r="F27" s="232" t="s">
        <v>124</v>
      </c>
      <c r="G27" s="52" t="s">
        <v>145</v>
      </c>
      <c r="H27" s="232" t="s">
        <v>122</v>
      </c>
      <c r="I27" s="232" t="s">
        <v>123</v>
      </c>
      <c r="L27" s="146">
        <f ca="1"/>
        <v>45266</v>
      </c>
      <c r="M27" s="92">
        <f t="shared" ca="1" si="0"/>
        <v>11.25</v>
      </c>
      <c r="N27" s="143">
        <f ca="1">(PRODUCT($O$5:$O27)-1)*36000/_xlfn.DAYS(L27, $C$2)</f>
        <v>11.288756602060369</v>
      </c>
      <c r="O27" s="149">
        <f t="shared" ca="1" si="1"/>
        <v>1.0003124999999999</v>
      </c>
      <c r="R27" s="134" t="s">
        <v>209</v>
      </c>
    </row>
    <row r="28" spans="5:24" x14ac:dyDescent="0.25">
      <c r="E28" s="233"/>
      <c r="F28" s="234"/>
      <c r="G28" s="37" t="s">
        <v>121</v>
      </c>
      <c r="H28" s="233"/>
      <c r="I28" s="233"/>
      <c r="L28" s="146">
        <f ca="1"/>
        <v>45267</v>
      </c>
      <c r="M28" s="92">
        <f t="shared" ca="1" si="0"/>
        <v>11.25</v>
      </c>
      <c r="N28" s="143">
        <f ca="1">(PRODUCT($O$5:$O28)-1)*36000/_xlfn.DAYS(L28, $C$2)</f>
        <v>11.290522491061106</v>
      </c>
      <c r="O28" s="149">
        <f t="shared" ca="1" si="1"/>
        <v>1.0003124999999999</v>
      </c>
      <c r="R28" s="230" t="s">
        <v>132</v>
      </c>
      <c r="S28" s="214" t="s">
        <v>97</v>
      </c>
      <c r="T28" s="214" t="s">
        <v>122</v>
      </c>
      <c r="U28" s="214" t="s">
        <v>211</v>
      </c>
      <c r="V28" s="214" t="s">
        <v>43</v>
      </c>
      <c r="W28" s="231" t="s">
        <v>212</v>
      </c>
    </row>
    <row r="29" spans="5:24" x14ac:dyDescent="0.25">
      <c r="E29" s="55" cm="1">
        <f t="array" ref="E29:E47">+$E$6:$E$24</f>
        <v>45274</v>
      </c>
      <c r="F29" s="55">
        <f>WORKDAY(E29, 1)</f>
        <v>45275</v>
      </c>
      <c r="G29" s="58" cm="1">
        <f t="array" ref="G29:G47">CHOOSE(MATCH($G$27,"Scenario "&amp;$F$5:$I$5,0),$F$6:$F$24,$G$6:$G$24,$H$6:$H$24,$I$6:$I$24)</f>
        <v>0</v>
      </c>
      <c r="H29" s="61">
        <f>+$C$5+$G$29/100</f>
        <v>11.25</v>
      </c>
      <c r="I29" s="61">
        <f>+$C$4+$G$29/100</f>
        <v>11.507</v>
      </c>
      <c r="L29" s="146">
        <f ca="1"/>
        <v>45268</v>
      </c>
      <c r="M29" s="92">
        <f t="shared" ca="1" si="0"/>
        <v>11.25</v>
      </c>
      <c r="N29" s="143">
        <f ca="1">(PRODUCT($O$5:$O29)-1)*36000/_xlfn.DAYS(L29, $C$2)</f>
        <v>11.292288748165973</v>
      </c>
      <c r="O29" s="149">
        <f t="shared" ca="1" si="1"/>
        <v>1.0003124999999999</v>
      </c>
      <c r="R29" s="264" cm="1">
        <f t="array" ref="R29:R65">ASW_Cetes!B57:B93</f>
        <v>2</v>
      </c>
      <c r="S29" s="265" cm="1">
        <f t="array" ref="S29:S65">ASW_Cetes!D57:D93</f>
        <v>45246</v>
      </c>
      <c r="T29" s="266">
        <v>0.11208308156220426</v>
      </c>
      <c r="U29" s="263">
        <f>(T29*100-$T$4)*100</f>
        <v>-4.1691843779574356</v>
      </c>
      <c r="V29" s="266">
        <v>0.11506223003918427</v>
      </c>
      <c r="W29" s="204">
        <f>(V29*100-$W$4)*100</f>
        <v>-7.7699608157288935E-2</v>
      </c>
      <c r="X29" s="256"/>
    </row>
    <row r="30" spans="5:24" x14ac:dyDescent="0.25">
      <c r="E30" s="55">
        <v>45330</v>
      </c>
      <c r="F30" s="55">
        <f t="shared" ref="F30:F47" si="5">WORKDAY(E30, 1)</f>
        <v>45331</v>
      </c>
      <c r="G30" s="58">
        <v>0</v>
      </c>
      <c r="H30" s="61">
        <f t="shared" ref="H30:H47" si="6">+$H29+$G30/100</f>
        <v>11.25</v>
      </c>
      <c r="I30" s="61">
        <f t="shared" ref="I30:I47" si="7">+$I29+$G30/100</f>
        <v>11.507</v>
      </c>
      <c r="L30" s="146">
        <f ca="1"/>
        <v>45269</v>
      </c>
      <c r="M30" s="92">
        <f t="shared" ca="1" si="0"/>
        <v>11.25</v>
      </c>
      <c r="N30" s="143">
        <f ca="1">(PRODUCT($O$5:$O30)-1)*36000/_xlfn.DAYS(L30, $C$2)</f>
        <v>11.294055373461219</v>
      </c>
      <c r="O30" s="149">
        <f t="shared" ca="1" si="1"/>
        <v>1.0003124999999999</v>
      </c>
      <c r="R30" s="264">
        <v>9</v>
      </c>
      <c r="S30" s="265">
        <v>45253</v>
      </c>
      <c r="T30" s="266">
        <v>0.10926456514258831</v>
      </c>
      <c r="U30" s="263">
        <f t="shared" ref="U30:U65" si="8">(T30*100-$T$4)*100</f>
        <v>-32.354348574116898</v>
      </c>
      <c r="V30" s="266">
        <v>0.11512736785954468</v>
      </c>
      <c r="W30" s="204">
        <f t="shared" ref="W30:W65" si="9">(V30*100-$W$4)*100</f>
        <v>0.57367859544683597</v>
      </c>
      <c r="X30" s="256"/>
    </row>
    <row r="31" spans="5:24" x14ac:dyDescent="0.25">
      <c r="E31" s="55">
        <v>45372</v>
      </c>
      <c r="F31" s="55">
        <f t="shared" si="5"/>
        <v>45373</v>
      </c>
      <c r="G31" s="58">
        <v>0</v>
      </c>
      <c r="H31" s="61">
        <f t="shared" si="6"/>
        <v>11.25</v>
      </c>
      <c r="I31" s="61">
        <f t="shared" si="7"/>
        <v>11.507</v>
      </c>
      <c r="L31" s="146">
        <f ca="1"/>
        <v>45270</v>
      </c>
      <c r="M31" s="92">
        <f t="shared" ca="1" si="0"/>
        <v>11.25</v>
      </c>
      <c r="N31" s="143">
        <f ca="1">(PRODUCT($O$5:$O31)-1)*36000/_xlfn.DAYS(L31, $C$2)</f>
        <v>11.29582236703334</v>
      </c>
      <c r="O31" s="149">
        <f t="shared" ca="1" si="1"/>
        <v>1.0003124999999999</v>
      </c>
      <c r="R31" s="264">
        <v>16</v>
      </c>
      <c r="S31" s="265">
        <v>45260</v>
      </c>
      <c r="T31" s="266">
        <v>0.10758022113943611</v>
      </c>
      <c r="U31" s="263">
        <f t="shared" si="8"/>
        <v>-49.197788605638948</v>
      </c>
      <c r="V31" s="266">
        <v>0.11519853963738447</v>
      </c>
      <c r="W31" s="204">
        <f t="shared" si="9"/>
        <v>1.285396373844705</v>
      </c>
      <c r="X31" s="256"/>
    </row>
    <row r="32" spans="5:24" x14ac:dyDescent="0.25">
      <c r="E32" s="55">
        <v>45421</v>
      </c>
      <c r="F32" s="55">
        <f t="shared" si="5"/>
        <v>45422</v>
      </c>
      <c r="G32" s="58">
        <v>0</v>
      </c>
      <c r="H32" s="61">
        <f t="shared" si="6"/>
        <v>11.25</v>
      </c>
      <c r="I32" s="61">
        <f t="shared" si="7"/>
        <v>11.507</v>
      </c>
      <c r="L32" s="146">
        <f ca="1"/>
        <v>45271</v>
      </c>
      <c r="M32" s="92">
        <f t="shared" ca="1" si="0"/>
        <v>11.25</v>
      </c>
      <c r="N32" s="143">
        <f ca="1">(PRODUCT($O$5:$O32)-1)*36000/_xlfn.DAYS(L32, $C$2)</f>
        <v>11.29758972896847</v>
      </c>
      <c r="O32" s="149">
        <f t="shared" ca="1" si="1"/>
        <v>1.0003124999999999</v>
      </c>
      <c r="R32" s="264">
        <v>23</v>
      </c>
      <c r="S32" s="265">
        <v>45267</v>
      </c>
      <c r="T32" s="266">
        <v>0.10854786798496718</v>
      </c>
      <c r="U32" s="263">
        <f t="shared" si="8"/>
        <v>-39.521320150328165</v>
      </c>
      <c r="V32" s="266">
        <v>0.11526042627314904</v>
      </c>
      <c r="W32" s="204">
        <f t="shared" si="9"/>
        <v>1.9042627314904692</v>
      </c>
      <c r="X32" s="256"/>
    </row>
    <row r="33" spans="5:24" x14ac:dyDescent="0.25">
      <c r="E33" s="55">
        <v>45470</v>
      </c>
      <c r="F33" s="55">
        <f t="shared" si="5"/>
        <v>45471</v>
      </c>
      <c r="G33" s="58">
        <v>0</v>
      </c>
      <c r="H33" s="61">
        <f t="shared" si="6"/>
        <v>11.25</v>
      </c>
      <c r="I33" s="61">
        <f t="shared" si="7"/>
        <v>11.507</v>
      </c>
      <c r="L33" s="146">
        <f ca="1"/>
        <v>45272</v>
      </c>
      <c r="M33" s="92">
        <f t="shared" ca="1" si="0"/>
        <v>11.25</v>
      </c>
      <c r="N33" s="143">
        <f ca="1">(PRODUCT($O$5:$O33)-1)*36000/_xlfn.DAYS(L33, $C$2)</f>
        <v>11.299357459353262</v>
      </c>
      <c r="O33" s="149">
        <f t="shared" ca="1" si="1"/>
        <v>1.0003124999999999</v>
      </c>
      <c r="R33" s="264">
        <v>30</v>
      </c>
      <c r="S33" s="265">
        <v>45274</v>
      </c>
      <c r="T33" s="266">
        <v>0.11206343561205756</v>
      </c>
      <c r="U33" s="263">
        <f t="shared" si="8"/>
        <v>-4.3656438794243968</v>
      </c>
      <c r="V33" s="266">
        <v>0.11529771583480183</v>
      </c>
      <c r="W33" s="204">
        <f t="shared" si="9"/>
        <v>2.2771583480183821</v>
      </c>
      <c r="X33" s="256"/>
    </row>
    <row r="34" spans="5:24" x14ac:dyDescent="0.25">
      <c r="E34" s="55">
        <v>45512</v>
      </c>
      <c r="F34" s="55">
        <f t="shared" si="5"/>
        <v>45513</v>
      </c>
      <c r="G34" s="58">
        <v>-50</v>
      </c>
      <c r="H34" s="61">
        <f t="shared" si="6"/>
        <v>10.75</v>
      </c>
      <c r="I34" s="61">
        <f t="shared" si="7"/>
        <v>11.007</v>
      </c>
      <c r="L34" s="146">
        <f ca="1"/>
        <v>45273</v>
      </c>
      <c r="M34" s="92">
        <f t="shared" ca="1" si="0"/>
        <v>11.25</v>
      </c>
      <c r="N34" s="143">
        <f ca="1">(PRODUCT($O$5:$O34)-1)*36000/_xlfn.DAYS(L34, $C$2)</f>
        <v>11.301125558274006</v>
      </c>
      <c r="O34" s="149">
        <f t="shared" ca="1" si="1"/>
        <v>1.0003124999999999</v>
      </c>
      <c r="R34" s="264">
        <v>37</v>
      </c>
      <c r="S34" s="265">
        <v>45281</v>
      </c>
      <c r="T34" s="266">
        <v>0.11521240130585753</v>
      </c>
      <c r="U34" s="263">
        <f t="shared" si="8"/>
        <v>27.124013058575258</v>
      </c>
      <c r="V34" s="266">
        <v>0.11529887773805829</v>
      </c>
      <c r="W34" s="204">
        <f t="shared" si="9"/>
        <v>2.288777380582907</v>
      </c>
      <c r="X34" s="256"/>
    </row>
    <row r="35" spans="5:24" x14ac:dyDescent="0.25">
      <c r="E35" s="56">
        <v>45561</v>
      </c>
      <c r="F35" s="56">
        <f t="shared" si="5"/>
        <v>45562</v>
      </c>
      <c r="G35" s="59">
        <v>-50</v>
      </c>
      <c r="H35" s="64">
        <f t="shared" si="6"/>
        <v>10.25</v>
      </c>
      <c r="I35" s="64">
        <f t="shared" si="7"/>
        <v>10.507</v>
      </c>
      <c r="L35" s="146">
        <f ca="1"/>
        <v>45274</v>
      </c>
      <c r="M35" s="92">
        <f t="shared" ca="1" si="0"/>
        <v>11.25</v>
      </c>
      <c r="N35" s="143">
        <f ca="1">(PRODUCT($O$5:$O35)-1)*36000/_xlfn.DAYS(L35, $C$2)</f>
        <v>11.302894025816951</v>
      </c>
      <c r="O35" s="149">
        <f t="shared" ca="1" si="1"/>
        <v>1.0003124999999999</v>
      </c>
      <c r="R35" s="264">
        <v>44</v>
      </c>
      <c r="S35" s="265">
        <v>45288</v>
      </c>
      <c r="T35" s="266">
        <v>0.11664154710540053</v>
      </c>
      <c r="U35" s="263">
        <f t="shared" si="8"/>
        <v>41.415471054005337</v>
      </c>
      <c r="V35" s="266">
        <v>0.11526230412788362</v>
      </c>
      <c r="W35" s="204">
        <f t="shared" si="9"/>
        <v>1.9230412788362017</v>
      </c>
      <c r="X35" s="256"/>
    </row>
    <row r="36" spans="5:24" x14ac:dyDescent="0.25">
      <c r="E36" s="56">
        <v>45610</v>
      </c>
      <c r="F36" s="56">
        <f t="shared" si="5"/>
        <v>45611</v>
      </c>
      <c r="G36" s="59">
        <v>-50</v>
      </c>
      <c r="H36" s="64">
        <f t="shared" si="6"/>
        <v>9.75</v>
      </c>
      <c r="I36" s="64">
        <f t="shared" si="7"/>
        <v>10.007</v>
      </c>
      <c r="L36" s="146">
        <f ca="1"/>
        <v>45275</v>
      </c>
      <c r="M36" s="92">
        <f t="shared" ca="1" si="0"/>
        <v>11.25</v>
      </c>
      <c r="N36" s="143">
        <f ca="1">(PRODUCT($O$5:$O36)-1)*36000/_xlfn.DAYS(L36, $C$2)</f>
        <v>11.304662862068799</v>
      </c>
      <c r="O36" s="149">
        <f t="shared" ca="1" si="1"/>
        <v>1.0003124999999999</v>
      </c>
      <c r="R36" s="264">
        <v>51</v>
      </c>
      <c r="S36" s="265">
        <v>45295</v>
      </c>
      <c r="T36" s="266">
        <v>0.11635085253490551</v>
      </c>
      <c r="U36" s="263">
        <f t="shared" si="8"/>
        <v>38.508525349055134</v>
      </c>
      <c r="V36" s="266">
        <v>0.11518799532344534</v>
      </c>
      <c r="W36" s="204">
        <f t="shared" si="9"/>
        <v>1.1799532344534569</v>
      </c>
      <c r="X36" s="256"/>
    </row>
    <row r="37" spans="5:24" x14ac:dyDescent="0.25">
      <c r="E37" s="56">
        <v>45645</v>
      </c>
      <c r="F37" s="56">
        <f t="shared" si="5"/>
        <v>45646</v>
      </c>
      <c r="G37" s="59">
        <v>-50</v>
      </c>
      <c r="H37" s="64">
        <f t="shared" si="6"/>
        <v>9.25</v>
      </c>
      <c r="I37" s="64">
        <f t="shared" si="7"/>
        <v>9.5069999999999997</v>
      </c>
      <c r="L37" s="146">
        <f ca="1"/>
        <v>45276</v>
      </c>
      <c r="M37" s="92">
        <f t="shared" ca="1" si="0"/>
        <v>11.25</v>
      </c>
      <c r="N37" s="143">
        <f ca="1">(PRODUCT($O$5:$O37)-1)*36000/_xlfn.DAYS(L37, $C$2)</f>
        <v>11.306432067115679</v>
      </c>
      <c r="O37" s="149">
        <f t="shared" ca="1" si="1"/>
        <v>1.0003124999999999</v>
      </c>
      <c r="R37" s="264">
        <v>58</v>
      </c>
      <c r="S37" s="265">
        <v>45302</v>
      </c>
      <c r="T37" s="266">
        <v>0.11449048416706908</v>
      </c>
      <c r="U37" s="263">
        <f t="shared" si="8"/>
        <v>19.904841670690843</v>
      </c>
      <c r="V37" s="266">
        <v>0.11507599185599325</v>
      </c>
      <c r="W37" s="204">
        <f t="shared" si="9"/>
        <v>5.9918559932548021E-2</v>
      </c>
      <c r="X37" s="256"/>
    </row>
    <row r="38" spans="5:24" x14ac:dyDescent="0.25">
      <c r="E38" s="56">
        <v>45694</v>
      </c>
      <c r="F38" s="56">
        <f t="shared" si="5"/>
        <v>45695</v>
      </c>
      <c r="G38" s="59">
        <v>-50</v>
      </c>
      <c r="H38" s="64">
        <f t="shared" si="6"/>
        <v>8.75</v>
      </c>
      <c r="I38" s="64">
        <f t="shared" si="7"/>
        <v>9.0069999999999997</v>
      </c>
      <c r="L38" s="146">
        <f ca="1"/>
        <v>45277</v>
      </c>
      <c r="M38" s="92">
        <f t="shared" ca="1" si="0"/>
        <v>11.25</v>
      </c>
      <c r="N38" s="143">
        <f ca="1">(PRODUCT($O$5:$O38)-1)*36000/_xlfn.DAYS(L38, $C$2)</f>
        <v>11.308201641044402</v>
      </c>
      <c r="O38" s="149">
        <f t="shared" ca="1" si="1"/>
        <v>1.0003124999999999</v>
      </c>
      <c r="R38" s="264">
        <v>65</v>
      </c>
      <c r="S38" s="265">
        <v>45309</v>
      </c>
      <c r="T38" s="266">
        <v>0.11275175745486088</v>
      </c>
      <c r="U38" s="263">
        <f t="shared" si="8"/>
        <v>2.5175745486087919</v>
      </c>
      <c r="V38" s="266">
        <v>0.1149298093323473</v>
      </c>
      <c r="W38" s="204">
        <f t="shared" si="9"/>
        <v>-1.4019066765269983</v>
      </c>
      <c r="X38" s="256"/>
    </row>
    <row r="39" spans="5:24" x14ac:dyDescent="0.25">
      <c r="E39" s="56">
        <v>45741</v>
      </c>
      <c r="F39" s="56">
        <f t="shared" si="5"/>
        <v>45742</v>
      </c>
      <c r="G39" s="59">
        <v>-50</v>
      </c>
      <c r="H39" s="64">
        <f t="shared" si="6"/>
        <v>8.25</v>
      </c>
      <c r="I39" s="64">
        <f t="shared" si="7"/>
        <v>8.5069999999999997</v>
      </c>
      <c r="L39" s="146">
        <f ca="1"/>
        <v>45278</v>
      </c>
      <c r="M39" s="92">
        <f t="shared" ca="1" si="0"/>
        <v>11.25</v>
      </c>
      <c r="N39" s="143">
        <f ca="1">(PRODUCT($O$5:$O39)-1)*36000/_xlfn.DAYS(L39, $C$2)</f>
        <v>11.309971583941218</v>
      </c>
      <c r="O39" s="149">
        <f t="shared" ca="1" si="1"/>
        <v>1.0003124999999999</v>
      </c>
      <c r="R39" s="264">
        <v>72</v>
      </c>
      <c r="S39" s="265">
        <v>45316</v>
      </c>
      <c r="T39" s="266">
        <v>0.11161676692953648</v>
      </c>
      <c r="U39" s="263">
        <f t="shared" si="8"/>
        <v>-8.8323307046351829</v>
      </c>
      <c r="V39" s="266">
        <v>0.11475908534718121</v>
      </c>
      <c r="W39" s="204">
        <f t="shared" si="9"/>
        <v>-3.1091465281878783</v>
      </c>
      <c r="X39" s="256"/>
    </row>
    <row r="40" spans="5:24" x14ac:dyDescent="0.25">
      <c r="E40" s="56">
        <v>45792</v>
      </c>
      <c r="F40" s="56">
        <f t="shared" si="5"/>
        <v>45793</v>
      </c>
      <c r="G40" s="59">
        <v>-50</v>
      </c>
      <c r="H40" s="64">
        <f t="shared" si="6"/>
        <v>7.75</v>
      </c>
      <c r="I40" s="64">
        <f t="shared" si="7"/>
        <v>8.0069999999999997</v>
      </c>
      <c r="L40" s="146">
        <f ca="1"/>
        <v>45279</v>
      </c>
      <c r="M40" s="92">
        <f t="shared" ca="1" si="0"/>
        <v>11.25</v>
      </c>
      <c r="N40" s="143">
        <f ca="1">(PRODUCT($O$5:$O40)-1)*36000/_xlfn.DAYS(L40, $C$2)</f>
        <v>11.311741895892791</v>
      </c>
      <c r="O40" s="149">
        <f t="shared" ca="1" si="1"/>
        <v>1.0003124999999999</v>
      </c>
      <c r="R40" s="264">
        <v>79</v>
      </c>
      <c r="S40" s="265">
        <v>45323</v>
      </c>
      <c r="T40" s="266">
        <v>0.11108550688270213</v>
      </c>
      <c r="U40" s="263">
        <f t="shared" si="8"/>
        <v>-14.144931172978659</v>
      </c>
      <c r="V40" s="266">
        <v>0.11457408031519289</v>
      </c>
      <c r="W40" s="204">
        <f t="shared" si="9"/>
        <v>-4.9591968480710236</v>
      </c>
      <c r="X40" s="256"/>
    </row>
    <row r="41" spans="5:24" x14ac:dyDescent="0.25">
      <c r="E41" s="57">
        <v>45827</v>
      </c>
      <c r="F41" s="57">
        <f t="shared" si="5"/>
        <v>45828</v>
      </c>
      <c r="G41" s="60">
        <v>-50</v>
      </c>
      <c r="H41" s="66">
        <f t="shared" si="6"/>
        <v>7.25</v>
      </c>
      <c r="I41" s="66">
        <f t="shared" si="7"/>
        <v>7.5069999999999997</v>
      </c>
      <c r="L41" s="146">
        <f ca="1"/>
        <v>45280</v>
      </c>
      <c r="M41" s="92">
        <f t="shared" ca="1" si="0"/>
        <v>11.25</v>
      </c>
      <c r="N41" s="143">
        <f ca="1">(PRODUCT($O$5:$O41)-1)*36000/_xlfn.DAYS(L41, $C$2)</f>
        <v>11.313512576985699</v>
      </c>
      <c r="O41" s="149">
        <f t="shared" ca="1" si="1"/>
        <v>1.0003124999999999</v>
      </c>
      <c r="R41" s="264">
        <v>86</v>
      </c>
      <c r="S41" s="265">
        <v>45330</v>
      </c>
      <c r="T41" s="266">
        <v>0.11115797464233523</v>
      </c>
      <c r="U41" s="263">
        <f t="shared" si="8"/>
        <v>-13.420253576647667</v>
      </c>
      <c r="V41" s="266">
        <v>0.11438501426299018</v>
      </c>
      <c r="W41" s="204">
        <f t="shared" si="9"/>
        <v>-6.849857370098178</v>
      </c>
      <c r="X41" s="256"/>
    </row>
    <row r="42" spans="5:24" x14ac:dyDescent="0.25">
      <c r="E42" s="57">
        <v>45876</v>
      </c>
      <c r="F42" s="57">
        <f t="shared" si="5"/>
        <v>45877</v>
      </c>
      <c r="G42" s="60">
        <v>-25</v>
      </c>
      <c r="H42" s="66">
        <f t="shared" si="6"/>
        <v>7</v>
      </c>
      <c r="I42" s="66">
        <f t="shared" si="7"/>
        <v>7.2569999999999997</v>
      </c>
      <c r="L42" s="146">
        <f ca="1"/>
        <v>45281</v>
      </c>
      <c r="M42" s="92">
        <f t="shared" ca="1" si="0"/>
        <v>11.25</v>
      </c>
      <c r="N42" s="143">
        <f ca="1">(PRODUCT($O$5:$O42)-1)*36000/_xlfn.DAYS(L42, $C$2)</f>
        <v>11.315283627306249</v>
      </c>
      <c r="O42" s="149">
        <f t="shared" ca="1" si="1"/>
        <v>1.0003124999999999</v>
      </c>
      <c r="R42" s="264">
        <v>93</v>
      </c>
      <c r="S42" s="265">
        <v>45337</v>
      </c>
      <c r="T42" s="266">
        <v>0.11178701416328707</v>
      </c>
      <c r="U42" s="263">
        <f t="shared" si="8"/>
        <v>-7.1298583671293159</v>
      </c>
      <c r="V42" s="266">
        <v>0.11419863208645488</v>
      </c>
      <c r="W42" s="204">
        <f t="shared" si="9"/>
        <v>-8.71367913545118</v>
      </c>
      <c r="X42" s="256"/>
    </row>
    <row r="43" spans="5:24" x14ac:dyDescent="0.25">
      <c r="E43" s="55">
        <v>45925</v>
      </c>
      <c r="F43" s="55">
        <f t="shared" si="5"/>
        <v>45926</v>
      </c>
      <c r="G43" s="58">
        <v>-25</v>
      </c>
      <c r="H43" s="61">
        <f t="shared" si="6"/>
        <v>6.75</v>
      </c>
      <c r="I43" s="61">
        <f t="shared" si="7"/>
        <v>7.0069999999999997</v>
      </c>
      <c r="L43" s="146">
        <f ca="1"/>
        <v>45282</v>
      </c>
      <c r="M43" s="92">
        <f t="shared" ca="1" si="0"/>
        <v>11.25</v>
      </c>
      <c r="N43" s="143">
        <f ca="1">(PRODUCT($O$5:$O43)-1)*36000/_xlfn.DAYS(L43, $C$2)</f>
        <v>11.317055046941316</v>
      </c>
      <c r="O43" s="149">
        <f t="shared" ca="1" si="1"/>
        <v>1.0003124999999999</v>
      </c>
      <c r="R43" s="264">
        <v>100</v>
      </c>
      <c r="S43" s="265">
        <v>45344</v>
      </c>
      <c r="T43" s="266">
        <v>0.11244149695325056</v>
      </c>
      <c r="U43" s="263">
        <f t="shared" si="8"/>
        <v>-0.58503046749436294</v>
      </c>
      <c r="V43" s="266">
        <v>0.11401555678755131</v>
      </c>
      <c r="W43" s="204">
        <f t="shared" si="9"/>
        <v>-10.544432124486924</v>
      </c>
      <c r="X43" s="256"/>
    </row>
    <row r="44" spans="5:24" x14ac:dyDescent="0.25">
      <c r="E44" s="55">
        <v>45967</v>
      </c>
      <c r="F44" s="55">
        <f t="shared" si="5"/>
        <v>45968</v>
      </c>
      <c r="G44" s="58">
        <v>-25</v>
      </c>
      <c r="H44" s="61">
        <f t="shared" si="6"/>
        <v>6.5</v>
      </c>
      <c r="I44" s="61">
        <f t="shared" si="7"/>
        <v>6.7569999999999997</v>
      </c>
      <c r="L44" s="146">
        <f ca="1"/>
        <v>45283</v>
      </c>
      <c r="M44" s="92">
        <f t="shared" ca="1" si="0"/>
        <v>11.25</v>
      </c>
      <c r="N44" s="143">
        <f ca="1">(PRODUCT($O$5:$O44)-1)*36000/_xlfn.DAYS(L44, $C$2)</f>
        <v>11.318826835977292</v>
      </c>
      <c r="O44" s="149">
        <f t="shared" ca="1" si="1"/>
        <v>1.0003124999999999</v>
      </c>
      <c r="R44" s="264">
        <v>114</v>
      </c>
      <c r="S44" s="265">
        <v>45358</v>
      </c>
      <c r="T44" s="266">
        <v>0.11337259996242466</v>
      </c>
      <c r="U44" s="263">
        <f t="shared" si="8"/>
        <v>8.7259996242465832</v>
      </c>
      <c r="V44" s="266">
        <v>0.11365932626539367</v>
      </c>
      <c r="W44" s="204">
        <f t="shared" si="9"/>
        <v>-14.106737346063269</v>
      </c>
      <c r="X44" s="256"/>
    </row>
    <row r="45" spans="5:24" x14ac:dyDescent="0.25">
      <c r="E45" s="55">
        <v>46002</v>
      </c>
      <c r="F45" s="55">
        <f t="shared" si="5"/>
        <v>46003</v>
      </c>
      <c r="G45" s="58">
        <v>-25</v>
      </c>
      <c r="H45" s="61">
        <f t="shared" si="6"/>
        <v>6.25</v>
      </c>
      <c r="I45" s="61">
        <f t="shared" si="7"/>
        <v>6.5069999999999997</v>
      </c>
      <c r="L45" s="146">
        <f ca="1"/>
        <v>45284</v>
      </c>
      <c r="M45" s="92">
        <f t="shared" ca="1" si="0"/>
        <v>11.25</v>
      </c>
      <c r="N45" s="143">
        <f ca="1">(PRODUCT($O$5:$O45)-1)*36000/_xlfn.DAYS(L45, $C$2)</f>
        <v>11.320598994500902</v>
      </c>
      <c r="O45" s="149">
        <f t="shared" ca="1" si="1"/>
        <v>1.0003124999999999</v>
      </c>
      <c r="R45" s="264">
        <v>128</v>
      </c>
      <c r="S45" s="265">
        <v>45372</v>
      </c>
      <c r="T45" s="266">
        <v>0.11379988317411716</v>
      </c>
      <c r="U45" s="263">
        <f t="shared" si="8"/>
        <v>12.998831741171557</v>
      </c>
      <c r="V45" s="266">
        <v>0.1133163216073228</v>
      </c>
      <c r="W45" s="204">
        <f t="shared" si="9"/>
        <v>-17.536783926771982</v>
      </c>
      <c r="X45" s="256"/>
    </row>
    <row r="46" spans="5:24" x14ac:dyDescent="0.25">
      <c r="E46" s="55">
        <v>46058</v>
      </c>
      <c r="F46" s="55">
        <f t="shared" si="5"/>
        <v>46059</v>
      </c>
      <c r="G46" s="58">
        <v>0</v>
      </c>
      <c r="H46" s="61">
        <f t="shared" si="6"/>
        <v>6.25</v>
      </c>
      <c r="I46" s="61">
        <f t="shared" si="7"/>
        <v>6.5069999999999997</v>
      </c>
      <c r="L46" s="146">
        <f ca="1"/>
        <v>45285</v>
      </c>
      <c r="M46" s="92">
        <f t="shared" ca="1" si="0"/>
        <v>11.25</v>
      </c>
      <c r="N46" s="143">
        <f ca="1">(PRODUCT($O$5:$O46)-1)*36000/_xlfn.DAYS(L46, $C$2)</f>
        <v>11.322371522598804</v>
      </c>
      <c r="O46" s="149">
        <f t="shared" ca="1" si="1"/>
        <v>1.0003124999999999</v>
      </c>
      <c r="R46" s="264">
        <v>142</v>
      </c>
      <c r="S46" s="265">
        <v>45386</v>
      </c>
      <c r="T46" s="266">
        <v>0.11367679381661056</v>
      </c>
      <c r="U46" s="263">
        <f t="shared" si="8"/>
        <v>11.767938166105552</v>
      </c>
      <c r="V46" s="266">
        <v>0.11298650927888065</v>
      </c>
      <c r="W46" s="204">
        <f t="shared" si="9"/>
        <v>-20.834907211193432</v>
      </c>
      <c r="X46" s="256"/>
    </row>
    <row r="47" spans="5:24" x14ac:dyDescent="0.25">
      <c r="E47" s="55">
        <v>46105</v>
      </c>
      <c r="F47" s="55">
        <f t="shared" si="5"/>
        <v>46106</v>
      </c>
      <c r="G47" s="58">
        <v>0</v>
      </c>
      <c r="H47" s="61">
        <f t="shared" si="6"/>
        <v>6.25</v>
      </c>
      <c r="I47" s="61">
        <f t="shared" si="7"/>
        <v>6.5069999999999997</v>
      </c>
      <c r="L47" s="146">
        <f ca="1"/>
        <v>45286</v>
      </c>
      <c r="M47" s="92">
        <f t="shared" ca="1" si="0"/>
        <v>11.25</v>
      </c>
      <c r="N47" s="143">
        <f ca="1">(PRODUCT($O$5:$O47)-1)*36000/_xlfn.DAYS(L47, $C$2)</f>
        <v>11.324144420357769</v>
      </c>
      <c r="O47" s="149">
        <f t="shared" ca="1" si="1"/>
        <v>1.0003124999999999</v>
      </c>
      <c r="R47" s="264">
        <v>156</v>
      </c>
      <c r="S47" s="265">
        <v>45400</v>
      </c>
      <c r="T47" s="266">
        <v>0.1128583548091644</v>
      </c>
      <c r="U47" s="263">
        <f t="shared" si="8"/>
        <v>3.5835480916439622</v>
      </c>
      <c r="V47" s="266">
        <v>0.11265335346277748</v>
      </c>
      <c r="W47" s="204">
        <f t="shared" si="9"/>
        <v>-24.166465372225154</v>
      </c>
      <c r="X47" s="256"/>
    </row>
    <row r="48" spans="5:24" x14ac:dyDescent="0.25">
      <c r="L48" s="146">
        <f ca="1"/>
        <v>45287</v>
      </c>
      <c r="M48" s="92">
        <f t="shared" ca="1" si="0"/>
        <v>11.25</v>
      </c>
      <c r="N48" s="143">
        <f ca="1">(PRODUCT($O$5:$O48)-1)*36000/_xlfn.DAYS(L48, $C$2)</f>
        <v>11.325917687864315</v>
      </c>
      <c r="O48" s="149">
        <f t="shared" ca="1" si="1"/>
        <v>1.0003124999999999</v>
      </c>
      <c r="R48" s="264">
        <v>170</v>
      </c>
      <c r="S48" s="265">
        <v>45414</v>
      </c>
      <c r="T48" s="266">
        <v>0.1113340926970352</v>
      </c>
      <c r="U48" s="263">
        <f t="shared" si="8"/>
        <v>-11.659073029647971</v>
      </c>
      <c r="V48" s="266">
        <v>0.1122570514536341</v>
      </c>
      <c r="W48" s="204">
        <f t="shared" si="9"/>
        <v>-28.129485463658987</v>
      </c>
      <c r="X48" s="256"/>
    </row>
    <row r="49" spans="12:24" x14ac:dyDescent="0.25">
      <c r="L49" s="146">
        <f ca="1"/>
        <v>45288</v>
      </c>
      <c r="M49" s="92">
        <f t="shared" ca="1" si="0"/>
        <v>11.25</v>
      </c>
      <c r="N49" s="143">
        <f ca="1">(PRODUCT($O$5:$O49)-1)*36000/_xlfn.DAYS(L49, $C$2)</f>
        <v>11.327691325205258</v>
      </c>
      <c r="O49" s="149">
        <f t="shared" ca="1" si="1"/>
        <v>1.0003124999999999</v>
      </c>
      <c r="R49" s="264">
        <v>184</v>
      </c>
      <c r="S49" s="265">
        <v>45428</v>
      </c>
      <c r="T49" s="266">
        <v>0.10913567676645641</v>
      </c>
      <c r="U49" s="263">
        <f t="shared" si="8"/>
        <v>-33.643232335435869</v>
      </c>
      <c r="V49" s="266">
        <v>0.11174729338833503</v>
      </c>
      <c r="W49" s="204">
        <f t="shared" si="9"/>
        <v>-33.227066116649695</v>
      </c>
      <c r="X49" s="256"/>
    </row>
    <row r="50" spans="12:24" x14ac:dyDescent="0.25">
      <c r="L50" s="146">
        <f ca="1"/>
        <v>45289</v>
      </c>
      <c r="M50" s="92">
        <f t="shared" ca="1" si="0"/>
        <v>11.25</v>
      </c>
      <c r="N50" s="143">
        <f ca="1">(PRODUCT($O$5:$O50)-1)*36000/_xlfn.DAYS(L50, $C$2)</f>
        <v>11.32946533246734</v>
      </c>
      <c r="O50" s="149">
        <f t="shared" ca="1" si="1"/>
        <v>1.0003124999999999</v>
      </c>
      <c r="R50" s="264">
        <v>198</v>
      </c>
      <c r="S50" s="265">
        <v>45442</v>
      </c>
      <c r="T50" s="266">
        <v>0.10752952449223585</v>
      </c>
      <c r="U50" s="263">
        <f t="shared" si="8"/>
        <v>-49.704755077641494</v>
      </c>
      <c r="V50" s="266">
        <v>0.11111707674245995</v>
      </c>
      <c r="W50" s="204">
        <f t="shared" si="9"/>
        <v>-39.529232575400464</v>
      </c>
      <c r="X50" s="256"/>
    </row>
    <row r="51" spans="12:24" x14ac:dyDescent="0.25">
      <c r="L51" s="146">
        <f ca="1"/>
        <v>45290</v>
      </c>
      <c r="M51" s="92">
        <f t="shared" ca="1" si="0"/>
        <v>11.25</v>
      </c>
      <c r="N51" s="143">
        <f ca="1">(PRODUCT($O$5:$O51)-1)*36000/_xlfn.DAYS(L51, $C$2)</f>
        <v>11.331239709737238</v>
      </c>
      <c r="O51" s="149">
        <f t="shared" ca="1" si="1"/>
        <v>1.0003124999999999</v>
      </c>
      <c r="R51" s="264">
        <v>226</v>
      </c>
      <c r="S51" s="265">
        <v>45470</v>
      </c>
      <c r="T51" s="266">
        <v>0.10714701408400806</v>
      </c>
      <c r="U51" s="263">
        <f t="shared" si="8"/>
        <v>-53.529859159919368</v>
      </c>
      <c r="V51" s="266">
        <v>0.10949536887710133</v>
      </c>
      <c r="W51" s="204">
        <f t="shared" si="9"/>
        <v>-55.746311228986656</v>
      </c>
      <c r="X51" s="256"/>
    </row>
    <row r="52" spans="12:24" x14ac:dyDescent="0.25">
      <c r="L52" s="146">
        <f ca="1"/>
        <v>45291</v>
      </c>
      <c r="M52" s="92">
        <f t="shared" ca="1" si="0"/>
        <v>11.25</v>
      </c>
      <c r="N52" s="143">
        <f ca="1">(PRODUCT($O$5:$O52)-1)*36000/_xlfn.DAYS(L52, $C$2)</f>
        <v>11.33301445710172</v>
      </c>
      <c r="O52" s="149">
        <f t="shared" ca="1" si="1"/>
        <v>1.0003124999999999</v>
      </c>
      <c r="R52" s="264">
        <v>254</v>
      </c>
      <c r="S52" s="265">
        <v>45498</v>
      </c>
      <c r="T52" s="266">
        <v>0.10686870783931823</v>
      </c>
      <c r="U52" s="263">
        <f t="shared" si="8"/>
        <v>-56.312921606817667</v>
      </c>
      <c r="V52" s="266">
        <v>0.10748500009062736</v>
      </c>
      <c r="W52" s="204">
        <f t="shared" si="9"/>
        <v>-75.849999093726339</v>
      </c>
      <c r="X52" s="256"/>
    </row>
    <row r="53" spans="12:24" x14ac:dyDescent="0.25">
      <c r="L53" s="146">
        <f ca="1"/>
        <v>45292</v>
      </c>
      <c r="M53" s="92">
        <f t="shared" ca="1" si="0"/>
        <v>11.25</v>
      </c>
      <c r="N53" s="143">
        <f ca="1">(PRODUCT($O$5:$O53)-1)*36000/_xlfn.DAYS(L53, $C$2)</f>
        <v>11.334789574647665</v>
      </c>
      <c r="O53" s="149">
        <f t="shared" ca="1" si="1"/>
        <v>1.0003124999999999</v>
      </c>
      <c r="R53" s="264">
        <v>282</v>
      </c>
      <c r="S53" s="265">
        <v>45526</v>
      </c>
      <c r="T53" s="266">
        <v>0.1062410858825924</v>
      </c>
      <c r="U53" s="263">
        <f t="shared" si="8"/>
        <v>-62.589141174075991</v>
      </c>
      <c r="V53" s="266">
        <v>0.10538632350658755</v>
      </c>
      <c r="W53" s="204">
        <f t="shared" si="9"/>
        <v>-96.83676493412446</v>
      </c>
      <c r="X53" s="256"/>
    </row>
    <row r="54" spans="12:24" x14ac:dyDescent="0.25">
      <c r="L54" s="146">
        <f ca="1"/>
        <v>45293</v>
      </c>
      <c r="M54" s="92">
        <f t="shared" ca="1" si="0"/>
        <v>11.25</v>
      </c>
      <c r="N54" s="143">
        <f ca="1">(PRODUCT($O$5:$O54)-1)*36000/_xlfn.DAYS(L54, $C$2)</f>
        <v>11.336565062461865</v>
      </c>
      <c r="O54" s="149">
        <f t="shared" ca="1" si="1"/>
        <v>1.0003124999999999</v>
      </c>
      <c r="R54" s="264">
        <v>310</v>
      </c>
      <c r="S54" s="265">
        <v>45554</v>
      </c>
      <c r="T54" s="266">
        <v>0.10514126776841159</v>
      </c>
      <c r="U54" s="263">
        <f t="shared" si="8"/>
        <v>-73.587322315884052</v>
      </c>
      <c r="V54" s="266">
        <v>0.10325990312350106</v>
      </c>
      <c r="W54" s="204">
        <f t="shared" si="9"/>
        <v>-118.10096876498939</v>
      </c>
      <c r="X54" s="256"/>
    </row>
    <row r="55" spans="12:24" x14ac:dyDescent="0.25">
      <c r="L55" s="146">
        <f ca="1"/>
        <v>45294</v>
      </c>
      <c r="M55" s="92">
        <f t="shared" ca="1" si="0"/>
        <v>11.25</v>
      </c>
      <c r="N55" s="143">
        <f ca="1">(PRODUCT($O$5:$O55)-1)*36000/_xlfn.DAYS(L55, $C$2)</f>
        <v>11.338340920631207</v>
      </c>
      <c r="O55" s="149">
        <f t="shared" ca="1" si="1"/>
        <v>1.0003124999999999</v>
      </c>
      <c r="R55" s="264">
        <v>324</v>
      </c>
      <c r="S55" s="265">
        <v>45568</v>
      </c>
      <c r="T55" s="266">
        <v>0.10438140291265441</v>
      </c>
      <c r="U55" s="263">
        <f t="shared" si="8"/>
        <v>-81.185970873455915</v>
      </c>
      <c r="V55" s="266">
        <v>0.10218629330217333</v>
      </c>
      <c r="W55" s="204">
        <f t="shared" si="9"/>
        <v>-128.83706697826671</v>
      </c>
      <c r="X55" s="256"/>
    </row>
    <row r="56" spans="12:24" x14ac:dyDescent="0.25">
      <c r="L56" s="146">
        <f ca="1"/>
        <v>45295</v>
      </c>
      <c r="M56" s="92">
        <f t="shared" ca="1" si="0"/>
        <v>11.25</v>
      </c>
      <c r="N56" s="143">
        <f ca="1">(PRODUCT($O$5:$O56)-1)*36000/_xlfn.DAYS(L56, $C$2)</f>
        <v>11.340117149242502</v>
      </c>
      <c r="O56" s="149">
        <f t="shared" ca="1" si="1"/>
        <v>1.0003124999999999</v>
      </c>
      <c r="R56" s="264">
        <v>338</v>
      </c>
      <c r="S56" s="265">
        <v>45582</v>
      </c>
      <c r="T56" s="266">
        <v>0.10348156865147118</v>
      </c>
      <c r="U56" s="263">
        <f t="shared" si="8"/>
        <v>-90.184313485288214</v>
      </c>
      <c r="V56" s="266">
        <v>0.10110576332359836</v>
      </c>
      <c r="W56" s="204">
        <f t="shared" si="9"/>
        <v>-139.6423667640164</v>
      </c>
      <c r="X56" s="256"/>
    </row>
    <row r="57" spans="12:24" x14ac:dyDescent="0.25">
      <c r="L57" s="146">
        <f ca="1"/>
        <v>45296</v>
      </c>
      <c r="M57" s="92">
        <f t="shared" ca="1" si="0"/>
        <v>11.25</v>
      </c>
      <c r="N57" s="143">
        <f ca="1">(PRODUCT($O$5:$O57)-1)*36000/_xlfn.DAYS(L57, $C$2)</f>
        <v>11.341893748382649</v>
      </c>
      <c r="O57" s="149">
        <f t="shared" ca="1" si="1"/>
        <v>1.0003124999999999</v>
      </c>
      <c r="R57" s="264">
        <v>366</v>
      </c>
      <c r="S57" s="265">
        <v>45610</v>
      </c>
      <c r="T57" s="266">
        <v>0.10125972658522109</v>
      </c>
      <c r="U57" s="263">
        <f t="shared" si="8"/>
        <v>-112.40273414778912</v>
      </c>
      <c r="V57" s="266">
        <v>9.893629953887971E-2</v>
      </c>
      <c r="W57" s="204">
        <f t="shared" si="9"/>
        <v>-161.33700461120296</v>
      </c>
      <c r="X57" s="256"/>
    </row>
    <row r="58" spans="12:24" x14ac:dyDescent="0.25">
      <c r="L58" s="146">
        <f ca="1"/>
        <v>45297</v>
      </c>
      <c r="M58" s="92">
        <f t="shared" ca="1" si="0"/>
        <v>11.25</v>
      </c>
      <c r="N58" s="143">
        <f ca="1">(PRODUCT($O$5:$O58)-1)*36000/_xlfn.DAYS(L58, $C$2)</f>
        <v>11.343670718138615</v>
      </c>
      <c r="O58" s="149">
        <f t="shared" ca="1" si="1"/>
        <v>1.0003124999999999</v>
      </c>
      <c r="R58" s="264">
        <v>380</v>
      </c>
      <c r="S58" s="265">
        <v>45624</v>
      </c>
      <c r="T58" s="266">
        <v>9.9844664533206284E-2</v>
      </c>
      <c r="U58" s="263">
        <f t="shared" si="8"/>
        <v>-126.55335466793716</v>
      </c>
      <c r="V58" s="266">
        <v>9.7930145233268623E-2</v>
      </c>
      <c r="W58" s="204">
        <f t="shared" si="9"/>
        <v>-171.39854766731375</v>
      </c>
      <c r="X58" s="256"/>
    </row>
    <row r="59" spans="12:24" x14ac:dyDescent="0.25">
      <c r="L59" s="146">
        <f ca="1"/>
        <v>45298</v>
      </c>
      <c r="M59" s="92">
        <f t="shared" ca="1" si="0"/>
        <v>11.25</v>
      </c>
      <c r="N59" s="143">
        <f ca="1">(PRODUCT($O$5:$O59)-1)*36000/_xlfn.DAYS(L59, $C$2)</f>
        <v>11.345448058597299</v>
      </c>
      <c r="O59" s="149">
        <f t="shared" ca="1" si="1"/>
        <v>1.0003124999999999</v>
      </c>
      <c r="R59" s="264">
        <v>436</v>
      </c>
      <c r="S59" s="265">
        <v>45680</v>
      </c>
      <c r="T59" s="266">
        <v>9.1380019397906409E-2</v>
      </c>
      <c r="U59" s="263">
        <f t="shared" si="8"/>
        <v>-211.19980602093591</v>
      </c>
      <c r="V59" s="266">
        <v>9.4179318229869705E-2</v>
      </c>
      <c r="W59" s="204">
        <f t="shared" si="9"/>
        <v>-208.90681770130294</v>
      </c>
      <c r="X59" s="256"/>
    </row>
    <row r="60" spans="12:24" x14ac:dyDescent="0.25">
      <c r="L60" s="146">
        <f ca="1"/>
        <v>45299</v>
      </c>
      <c r="M60" s="92">
        <f t="shared" ca="1" si="0"/>
        <v>11.25</v>
      </c>
      <c r="N60" s="143">
        <f ca="1">(PRODUCT($O$5:$O60)-1)*36000/_xlfn.DAYS(L60, $C$2)</f>
        <v>11.347225769845673</v>
      </c>
      <c r="O60" s="149">
        <f t="shared" ca="1" si="1"/>
        <v>1.0003124999999999</v>
      </c>
      <c r="R60" s="264">
        <v>450</v>
      </c>
      <c r="S60" s="265">
        <v>45694</v>
      </c>
      <c r="T60" s="266">
        <v>8.8569426685820574E-2</v>
      </c>
      <c r="U60" s="263">
        <f t="shared" si="8"/>
        <v>-239.30573314179426</v>
      </c>
      <c r="V60" s="266">
        <v>9.3333419744543455E-2</v>
      </c>
      <c r="W60" s="204">
        <f t="shared" si="9"/>
        <v>-217.36580255456542</v>
      </c>
      <c r="X60" s="256"/>
    </row>
    <row r="61" spans="12:24" x14ac:dyDescent="0.25">
      <c r="L61" s="146">
        <f ca="1"/>
        <v>45300</v>
      </c>
      <c r="M61" s="92">
        <f t="shared" ca="1" si="0"/>
        <v>11.25</v>
      </c>
      <c r="N61" s="143">
        <f ca="1">(PRODUCT($O$5:$O61)-1)*36000/_xlfn.DAYS(L61, $C$2)</f>
        <v>11.349003851970632</v>
      </c>
      <c r="O61" s="149">
        <f t="shared" ca="1" si="1"/>
        <v>1.0003124999999999</v>
      </c>
      <c r="R61" s="264">
        <v>492</v>
      </c>
      <c r="S61" s="265">
        <v>45736</v>
      </c>
      <c r="T61" s="266">
        <v>8.381602860235482E-2</v>
      </c>
      <c r="U61" s="263">
        <f t="shared" si="8"/>
        <v>-286.83971397645178</v>
      </c>
      <c r="V61" s="266">
        <v>9.0961527412685705E-2</v>
      </c>
      <c r="W61" s="204">
        <f t="shared" si="9"/>
        <v>-241.08472587314296</v>
      </c>
      <c r="X61" s="256"/>
    </row>
    <row r="62" spans="12:24" x14ac:dyDescent="0.25">
      <c r="L62" s="146">
        <f ca="1"/>
        <v>45301</v>
      </c>
      <c r="M62" s="92">
        <f t="shared" ca="1" si="0"/>
        <v>11.25</v>
      </c>
      <c r="N62" s="143">
        <f ca="1">(PRODUCT($O$5:$O62)-1)*36000/_xlfn.DAYS(L62, $C$2)</f>
        <v>11.350782305059285</v>
      </c>
      <c r="O62" s="149">
        <f t="shared" ca="1" si="1"/>
        <v>1.0003124999999999</v>
      </c>
      <c r="R62" s="264">
        <v>548</v>
      </c>
      <c r="S62" s="265">
        <v>45792</v>
      </c>
      <c r="T62" s="266">
        <v>8.9176434307667307E-2</v>
      </c>
      <c r="U62" s="263">
        <f t="shared" si="8"/>
        <v>-233.23565692332693</v>
      </c>
      <c r="V62" s="266">
        <v>8.8439604245439868E-2</v>
      </c>
      <c r="W62" s="204">
        <f t="shared" si="9"/>
        <v>-266.30395754560129</v>
      </c>
      <c r="X62" s="256"/>
    </row>
    <row r="63" spans="12:24" x14ac:dyDescent="0.25">
      <c r="L63" s="146">
        <f ca="1"/>
        <v>45302</v>
      </c>
      <c r="M63" s="92">
        <f t="shared" ca="1" si="0"/>
        <v>11.25</v>
      </c>
      <c r="N63" s="143">
        <f ca="1">(PRODUCT($O$5:$O63)-1)*36000/_xlfn.DAYS(L63, $C$2)</f>
        <v>11.352561129198525</v>
      </c>
      <c r="O63" s="149">
        <f t="shared" ca="1" si="1"/>
        <v>1.0003124999999999</v>
      </c>
      <c r="R63" s="264">
        <v>604</v>
      </c>
      <c r="S63" s="265">
        <v>45848</v>
      </c>
      <c r="T63" s="266">
        <v>0.10071298701904041</v>
      </c>
      <c r="U63" s="263">
        <f t="shared" si="8"/>
        <v>-117.87012980959588</v>
      </c>
      <c r="V63" s="266">
        <v>8.6449937151720224E-2</v>
      </c>
      <c r="W63" s="204">
        <f t="shared" si="9"/>
        <v>-286.2006284827977</v>
      </c>
      <c r="X63" s="256"/>
    </row>
    <row r="64" spans="12:24" x14ac:dyDescent="0.25">
      <c r="L64" s="146">
        <f ca="1"/>
        <v>45303</v>
      </c>
      <c r="M64" s="92">
        <f t="shared" ca="1" si="0"/>
        <v>11.25</v>
      </c>
      <c r="N64" s="143">
        <f ca="1">(PRODUCT($O$5:$O64)-1)*36000/_xlfn.DAYS(L64, $C$2)</f>
        <v>11.354340324475443</v>
      </c>
      <c r="O64" s="149">
        <f t="shared" ca="1" si="1"/>
        <v>1.0003124999999999</v>
      </c>
      <c r="R64" s="264">
        <v>660</v>
      </c>
      <c r="S64" s="265">
        <v>45904</v>
      </c>
      <c r="T64" s="266">
        <v>0.10229338790679776</v>
      </c>
      <c r="U64" s="263">
        <f t="shared" si="8"/>
        <v>-102.06612093202239</v>
      </c>
      <c r="V64" s="266">
        <v>8.5046676240367242E-2</v>
      </c>
      <c r="W64" s="204">
        <f t="shared" si="9"/>
        <v>-300.23323759632757</v>
      </c>
      <c r="X64" s="256"/>
    </row>
    <row r="65" spans="12:24" x14ac:dyDescent="0.25">
      <c r="L65" s="146">
        <f ca="1"/>
        <v>45304</v>
      </c>
      <c r="M65" s="92">
        <f t="shared" ca="1" si="0"/>
        <v>11.25</v>
      </c>
      <c r="N65" s="143">
        <f ca="1">(PRODUCT($O$5:$O65)-1)*36000/_xlfn.DAYS(L65, $C$2)</f>
        <v>11.356119890977189</v>
      </c>
      <c r="O65" s="149">
        <f t="shared" ca="1" si="1"/>
        <v>1.0003124999999999</v>
      </c>
      <c r="R65" s="267">
        <v>716</v>
      </c>
      <c r="S65" s="268">
        <v>45960</v>
      </c>
      <c r="T65" s="269">
        <v>7.676078795928909E-2</v>
      </c>
      <c r="U65" s="270">
        <f t="shared" si="8"/>
        <v>-357.39212040710913</v>
      </c>
      <c r="V65" s="269">
        <v>8.4225673368957088E-2</v>
      </c>
      <c r="W65" s="271">
        <f t="shared" si="9"/>
        <v>-308.44326631042912</v>
      </c>
      <c r="X65" s="256"/>
    </row>
    <row r="66" spans="12:24" x14ac:dyDescent="0.25">
      <c r="L66" s="146">
        <f ca="1"/>
        <v>45305</v>
      </c>
      <c r="M66" s="92">
        <f t="shared" ca="1" si="0"/>
        <v>11.25</v>
      </c>
      <c r="N66" s="143">
        <f ca="1">(PRODUCT($O$5:$O66)-1)*36000/_xlfn.DAYS(L66, $C$2)</f>
        <v>11.357899828790831</v>
      </c>
      <c r="O66" s="149">
        <f t="shared" ca="1" si="1"/>
        <v>1.0003124999999999</v>
      </c>
    </row>
    <row r="67" spans="12:24" x14ac:dyDescent="0.25">
      <c r="L67" s="146">
        <f ca="1"/>
        <v>45306</v>
      </c>
      <c r="M67" s="92">
        <f t="shared" ca="1" si="0"/>
        <v>11.25</v>
      </c>
      <c r="N67" s="143">
        <f ca="1">(PRODUCT($O$5:$O67)-1)*36000/_xlfn.DAYS(L67, $C$2)</f>
        <v>11.35968013800337</v>
      </c>
      <c r="O67" s="149">
        <f t="shared" ca="1" si="1"/>
        <v>1.0003124999999999</v>
      </c>
    </row>
    <row r="68" spans="12:24" x14ac:dyDescent="0.25">
      <c r="L68" s="146">
        <f ca="1"/>
        <v>45307</v>
      </c>
      <c r="M68" s="92">
        <f t="shared" ca="1" si="0"/>
        <v>11.25</v>
      </c>
      <c r="N68" s="143">
        <f ca="1">(PRODUCT($O$5:$O68)-1)*36000/_xlfn.DAYS(L68, $C$2)</f>
        <v>11.361460818701985</v>
      </c>
      <c r="O68" s="149">
        <f t="shared" ca="1" si="1"/>
        <v>1.0003124999999999</v>
      </c>
    </row>
    <row r="69" spans="12:24" x14ac:dyDescent="0.25">
      <c r="L69" s="146">
        <f ca="1"/>
        <v>45308</v>
      </c>
      <c r="M69" s="92">
        <f t="shared" ref="M69:M132" ca="1" si="10">IFERROR(INDEX($E$27:$H$47, MATCH(L69, $F$27:$F$47, 0), 4), IF(ISNUMBER(M68), M68, $C$5))</f>
        <v>11.25</v>
      </c>
      <c r="N69" s="143">
        <f ca="1">(PRODUCT($O$5:$O69)-1)*36000/_xlfn.DAYS(L69, $C$2)</f>
        <v>11.363241870973782</v>
      </c>
      <c r="O69" s="149">
        <f t="shared" ca="1" si="1"/>
        <v>1.0003124999999999</v>
      </c>
    </row>
    <row r="70" spans="12:24" x14ac:dyDescent="0.25">
      <c r="L70" s="146">
        <f ca="1"/>
        <v>45309</v>
      </c>
      <c r="M70" s="92">
        <f t="shared" ca="1" si="10"/>
        <v>11.25</v>
      </c>
      <c r="N70" s="143">
        <f ca="1">(PRODUCT($O$5:$O70)-1)*36000/_xlfn.DAYS(L70, $C$2)</f>
        <v>11.365023294906033</v>
      </c>
      <c r="O70" s="149">
        <f t="shared" ref="O70:O133" ca="1" si="11">1+M70*IFERROR(_xlfn.DAYS(L70, L69), _xlfn.DAYS(L70, $C$2))/36000</f>
        <v>1.0003124999999999</v>
      </c>
    </row>
    <row r="71" spans="12:24" x14ac:dyDescent="0.25">
      <c r="L71" s="146">
        <f ca="1"/>
        <v>45310</v>
      </c>
      <c r="M71" s="92">
        <f t="shared" ca="1" si="10"/>
        <v>11.25</v>
      </c>
      <c r="N71" s="143">
        <f ca="1">(PRODUCT($O$5:$O71)-1)*36000/_xlfn.DAYS(L71, $C$2)</f>
        <v>11.366805090585817</v>
      </c>
      <c r="O71" s="149">
        <f t="shared" ca="1" si="11"/>
        <v>1.0003124999999999</v>
      </c>
    </row>
    <row r="72" spans="12:24" x14ac:dyDescent="0.25">
      <c r="L72" s="146">
        <f ca="1"/>
        <v>45311</v>
      </c>
      <c r="M72" s="92">
        <f t="shared" ca="1" si="10"/>
        <v>11.25</v>
      </c>
      <c r="N72" s="143">
        <f ca="1">(PRODUCT($O$5:$O72)-1)*36000/_xlfn.DAYS(L72, $C$2)</f>
        <v>11.368587258100494</v>
      </c>
      <c r="O72" s="149">
        <f t="shared" ca="1" si="11"/>
        <v>1.0003124999999999</v>
      </c>
      <c r="R72" s="134" t="s">
        <v>210</v>
      </c>
    </row>
    <row r="73" spans="12:24" x14ac:dyDescent="0.25">
      <c r="L73" s="146">
        <f ca="1"/>
        <v>45312</v>
      </c>
      <c r="M73" s="92">
        <f t="shared" ca="1" si="10"/>
        <v>11.25</v>
      </c>
      <c r="N73" s="143">
        <f ca="1">(PRODUCT($O$5:$O73)-1)*36000/_xlfn.DAYS(L73, $C$2)</f>
        <v>11.370369797537226</v>
      </c>
      <c r="O73" s="149">
        <f t="shared" ca="1" si="11"/>
        <v>1.0003124999999999</v>
      </c>
      <c r="R73" s="230" t="s">
        <v>132</v>
      </c>
      <c r="S73" s="214" t="s">
        <v>97</v>
      </c>
      <c r="T73" s="214" t="s">
        <v>122</v>
      </c>
      <c r="U73" s="214" t="s">
        <v>211</v>
      </c>
      <c r="V73" s="214" t="s">
        <v>43</v>
      </c>
      <c r="W73" s="231" t="s">
        <v>212</v>
      </c>
    </row>
    <row r="74" spans="12:24" x14ac:dyDescent="0.25">
      <c r="L74" s="146">
        <f ca="1"/>
        <v>45313</v>
      </c>
      <c r="M74" s="92">
        <f t="shared" ca="1" si="10"/>
        <v>11.25</v>
      </c>
      <c r="N74" s="143">
        <f ca="1">(PRODUCT($O$5:$O74)-1)*36000/_xlfn.DAYS(L74, $C$2)</f>
        <v>11.372152708983219</v>
      </c>
      <c r="O74" s="149">
        <f t="shared" ca="1" si="11"/>
        <v>1.0003124999999999</v>
      </c>
      <c r="R74" s="264">
        <f ca="1">S74-$C$3</f>
        <v>23</v>
      </c>
      <c r="S74" s="265" cm="1">
        <f t="array" ref="S74:S78">ASW_Bonos!C60:C64</f>
        <v>45267</v>
      </c>
      <c r="T74" s="266">
        <v>0.10854786798496718</v>
      </c>
      <c r="U74" s="263">
        <f t="shared" ref="U74:U78" si="12">(T74*100-$T$4)*100</f>
        <v>-39.521320150328165</v>
      </c>
      <c r="V74" s="266">
        <v>0.11526042627314904</v>
      </c>
      <c r="W74" s="204">
        <f t="shared" ref="W74:W78" si="13">(V74*100-$W$4)*100</f>
        <v>1.9042627314904692</v>
      </c>
      <c r="X74" s="256"/>
    </row>
    <row r="75" spans="12:24" x14ac:dyDescent="0.25">
      <c r="L75" s="146">
        <f ca="1"/>
        <v>45314</v>
      </c>
      <c r="M75" s="92">
        <f t="shared" ca="1" si="10"/>
        <v>11.25</v>
      </c>
      <c r="N75" s="143">
        <f ca="1">(PRODUCT($O$5:$O75)-1)*36000/_xlfn.DAYS(L75, $C$2)</f>
        <v>11.373935992525833</v>
      </c>
      <c r="O75" s="149">
        <f t="shared" ca="1" si="11"/>
        <v>1.0003124999999999</v>
      </c>
      <c r="R75" s="264">
        <f t="shared" ref="R75:R78" ca="1" si="14">S75-$C$3</f>
        <v>296</v>
      </c>
      <c r="S75" s="265">
        <v>45540</v>
      </c>
      <c r="T75" s="266">
        <v>0.10576116233265154</v>
      </c>
      <c r="U75" s="263">
        <f t="shared" si="12"/>
        <v>-67.388376673484629</v>
      </c>
      <c r="V75" s="266">
        <v>0.10432658043373788</v>
      </c>
      <c r="W75" s="204">
        <f t="shared" si="13"/>
        <v>-107.43419566262116</v>
      </c>
      <c r="X75" s="256"/>
    </row>
    <row r="76" spans="12:24" x14ac:dyDescent="0.25">
      <c r="L76" s="146">
        <f ca="1"/>
        <v>45315</v>
      </c>
      <c r="M76" s="92">
        <f t="shared" ca="1" si="10"/>
        <v>11.25</v>
      </c>
      <c r="N76" s="143">
        <f ca="1">(PRODUCT($O$5:$O76)-1)*36000/_xlfn.DAYS(L76, $C$2)</f>
        <v>11.375719648252348</v>
      </c>
      <c r="O76" s="149">
        <f t="shared" ca="1" si="11"/>
        <v>1.0003124999999999</v>
      </c>
      <c r="R76" s="264">
        <f t="shared" ca="1" si="14"/>
        <v>387</v>
      </c>
      <c r="S76" s="265">
        <v>45631</v>
      </c>
      <c r="T76" s="266">
        <v>9.9031966781790715E-2</v>
      </c>
      <c r="U76" s="263">
        <f t="shared" si="12"/>
        <v>-134.68033218209285</v>
      </c>
      <c r="V76" s="266">
        <v>9.7429148661623E-2</v>
      </c>
      <c r="W76" s="204">
        <f t="shared" si="13"/>
        <v>-176.40851338376996</v>
      </c>
      <c r="X76" s="256"/>
    </row>
    <row r="77" spans="12:24" x14ac:dyDescent="0.25">
      <c r="L77" s="146">
        <f ca="1"/>
        <v>45316</v>
      </c>
      <c r="M77" s="92">
        <f t="shared" ca="1" si="10"/>
        <v>11.25</v>
      </c>
      <c r="N77" s="143">
        <f ca="1">(PRODUCT($O$5:$O77)-1)*36000/_xlfn.DAYS(L77, $C$2)</f>
        <v>11.377503676250077</v>
      </c>
      <c r="O77" s="149">
        <f t="shared" ca="1" si="11"/>
        <v>1.0003124999999999</v>
      </c>
      <c r="R77" s="264">
        <f t="shared" ca="1" si="14"/>
        <v>478</v>
      </c>
      <c r="S77" s="265">
        <v>45722</v>
      </c>
      <c r="T77" s="266">
        <v>8.456490008757811E-2</v>
      </c>
      <c r="U77" s="263">
        <f t="shared" si="12"/>
        <v>-279.3509991242189</v>
      </c>
      <c r="V77" s="266">
        <v>9.1751741294421638E-2</v>
      </c>
      <c r="W77" s="204">
        <f t="shared" si="13"/>
        <v>-233.18258705578359</v>
      </c>
      <c r="X77" s="256"/>
    </row>
    <row r="78" spans="12:24" x14ac:dyDescent="0.25">
      <c r="L78" s="146">
        <f ca="1"/>
        <v>45317</v>
      </c>
      <c r="M78" s="92">
        <f t="shared" ca="1" si="10"/>
        <v>11.25</v>
      </c>
      <c r="N78" s="143">
        <f ca="1">(PRODUCT($O$5:$O78)-1)*36000/_xlfn.DAYS(L78, $C$2)</f>
        <v>11.379288076606375</v>
      </c>
      <c r="O78" s="149">
        <f t="shared" ca="1" si="11"/>
        <v>1.0003124999999999</v>
      </c>
      <c r="R78" s="267">
        <f t="shared" ca="1" si="14"/>
        <v>842</v>
      </c>
      <c r="S78" s="268">
        <v>46086</v>
      </c>
      <c r="T78" s="269">
        <v>4.4890194243887294E-2</v>
      </c>
      <c r="U78" s="270">
        <f t="shared" si="12"/>
        <v>-676.09805756112701</v>
      </c>
      <c r="V78" s="269">
        <v>8.3224704597338328E-2</v>
      </c>
      <c r="W78" s="271">
        <f t="shared" si="13"/>
        <v>-318.45295402661674</v>
      </c>
      <c r="X78" s="256"/>
    </row>
    <row r="79" spans="12:24" x14ac:dyDescent="0.25">
      <c r="L79" s="146">
        <f ca="1"/>
        <v>45318</v>
      </c>
      <c r="M79" s="92">
        <f t="shared" ca="1" si="10"/>
        <v>11.25</v>
      </c>
      <c r="N79" s="143">
        <f ca="1">(PRODUCT($O$5:$O79)-1)*36000/_xlfn.DAYS(L79, $C$2)</f>
        <v>11.381072849408511</v>
      </c>
      <c r="O79" s="149">
        <f t="shared" ca="1" si="11"/>
        <v>1.0003124999999999</v>
      </c>
      <c r="S79" s="262"/>
    </row>
    <row r="80" spans="12:24" x14ac:dyDescent="0.25">
      <c r="L80" s="146">
        <f ca="1"/>
        <v>45319</v>
      </c>
      <c r="M80" s="92">
        <f t="shared" ca="1" si="10"/>
        <v>11.25</v>
      </c>
      <c r="N80" s="143">
        <f ca="1">(PRODUCT($O$5:$O80)-1)*36000/_xlfn.DAYS(L80, $C$2)</f>
        <v>11.382857994744004</v>
      </c>
      <c r="O80" s="149">
        <f t="shared" ca="1" si="11"/>
        <v>1.0003124999999999</v>
      </c>
      <c r="S80" s="262"/>
    </row>
    <row r="81" spans="12:19" x14ac:dyDescent="0.25">
      <c r="L81" s="146">
        <f ca="1"/>
        <v>45320</v>
      </c>
      <c r="M81" s="92">
        <f t="shared" ca="1" si="10"/>
        <v>11.25</v>
      </c>
      <c r="N81" s="143">
        <f ca="1">(PRODUCT($O$5:$O81)-1)*36000/_xlfn.DAYS(L81, $C$2)</f>
        <v>11.384643512700187</v>
      </c>
      <c r="O81" s="149">
        <f t="shared" ca="1" si="11"/>
        <v>1.0003124999999999</v>
      </c>
      <c r="S81" s="262"/>
    </row>
    <row r="82" spans="12:19" x14ac:dyDescent="0.25">
      <c r="L82" s="146">
        <f ca="1"/>
        <v>45321</v>
      </c>
      <c r="M82" s="92">
        <f t="shared" ca="1" si="10"/>
        <v>11.25</v>
      </c>
      <c r="N82" s="143">
        <f ca="1">(PRODUCT($O$5:$O82)-1)*36000/_xlfn.DAYS(L82, $C$2)</f>
        <v>11.386429403364522</v>
      </c>
      <c r="O82" s="149">
        <f t="shared" ca="1" si="11"/>
        <v>1.0003124999999999</v>
      </c>
      <c r="S82" s="262"/>
    </row>
    <row r="83" spans="12:19" x14ac:dyDescent="0.25">
      <c r="L83" s="146">
        <f ca="1"/>
        <v>45322</v>
      </c>
      <c r="M83" s="92">
        <f t="shared" ca="1" si="10"/>
        <v>11.25</v>
      </c>
      <c r="N83" s="143">
        <f ca="1">(PRODUCT($O$5:$O83)-1)*36000/_xlfn.DAYS(L83, $C$2)</f>
        <v>11.388215666824502</v>
      </c>
      <c r="O83" s="149">
        <f t="shared" ca="1" si="11"/>
        <v>1.0003124999999999</v>
      </c>
    </row>
    <row r="84" spans="12:19" x14ac:dyDescent="0.25">
      <c r="L84" s="146">
        <f ca="1"/>
        <v>45323</v>
      </c>
      <c r="M84" s="92">
        <f t="shared" ca="1" si="10"/>
        <v>11.25</v>
      </c>
      <c r="N84" s="143">
        <f ca="1">(PRODUCT($O$5:$O84)-1)*36000/_xlfn.DAYS(L84, $C$2)</f>
        <v>11.390002303167634</v>
      </c>
      <c r="O84" s="149">
        <f t="shared" ca="1" si="11"/>
        <v>1.0003124999999999</v>
      </c>
    </row>
    <row r="85" spans="12:19" x14ac:dyDescent="0.25">
      <c r="L85" s="146">
        <f ca="1"/>
        <v>45324</v>
      </c>
      <c r="M85" s="92">
        <f t="shared" ca="1" si="10"/>
        <v>11.25</v>
      </c>
      <c r="N85" s="143">
        <f ca="1">(PRODUCT($O$5:$O85)-1)*36000/_xlfn.DAYS(L85, $C$2)</f>
        <v>11.391789312481354</v>
      </c>
      <c r="O85" s="149">
        <f t="shared" ca="1" si="11"/>
        <v>1.0003124999999999</v>
      </c>
    </row>
    <row r="86" spans="12:19" x14ac:dyDescent="0.25">
      <c r="L86" s="146">
        <f ca="1"/>
        <v>45325</v>
      </c>
      <c r="M86" s="92">
        <f t="shared" ca="1" si="10"/>
        <v>11.25</v>
      </c>
      <c r="N86" s="143">
        <f ca="1">(PRODUCT($O$5:$O86)-1)*36000/_xlfn.DAYS(L86, $C$2)</f>
        <v>11.393576694853213</v>
      </c>
      <c r="O86" s="149">
        <f t="shared" ca="1" si="11"/>
        <v>1.0003124999999999</v>
      </c>
    </row>
    <row r="87" spans="12:19" x14ac:dyDescent="0.25">
      <c r="L87" s="146">
        <f ca="1"/>
        <v>45326</v>
      </c>
      <c r="M87" s="92">
        <f t="shared" ca="1" si="10"/>
        <v>11.25</v>
      </c>
      <c r="N87" s="143">
        <f ca="1">(PRODUCT($O$5:$O87)-1)*36000/_xlfn.DAYS(L87, $C$2)</f>
        <v>11.395364450370689</v>
      </c>
      <c r="O87" s="149">
        <f t="shared" ca="1" si="11"/>
        <v>1.0003124999999999</v>
      </c>
    </row>
    <row r="88" spans="12:19" x14ac:dyDescent="0.25">
      <c r="L88" s="146">
        <f ca="1"/>
        <v>45327</v>
      </c>
      <c r="M88" s="92">
        <f t="shared" ca="1" si="10"/>
        <v>11.25</v>
      </c>
      <c r="N88" s="143">
        <f ca="1">(PRODUCT($O$5:$O88)-1)*36000/_xlfn.DAYS(L88, $C$2)</f>
        <v>11.397152579121375</v>
      </c>
      <c r="O88" s="149">
        <f t="shared" ca="1" si="11"/>
        <v>1.0003124999999999</v>
      </c>
    </row>
    <row r="89" spans="12:19" x14ac:dyDescent="0.25">
      <c r="L89" s="146">
        <f ca="1"/>
        <v>45328</v>
      </c>
      <c r="M89" s="92">
        <f t="shared" ca="1" si="10"/>
        <v>11.25</v>
      </c>
      <c r="N89" s="143">
        <f ca="1">(PRODUCT($O$5:$O89)-1)*36000/_xlfn.DAYS(L89, $C$2)</f>
        <v>11.398941081192881</v>
      </c>
      <c r="O89" s="149">
        <f t="shared" ca="1" si="11"/>
        <v>1.0003124999999999</v>
      </c>
    </row>
    <row r="90" spans="12:19" x14ac:dyDescent="0.25">
      <c r="L90" s="146">
        <f ca="1"/>
        <v>45329</v>
      </c>
      <c r="M90" s="92">
        <f t="shared" ca="1" si="10"/>
        <v>11.25</v>
      </c>
      <c r="N90" s="143">
        <f ca="1">(PRODUCT($O$5:$O90)-1)*36000/_xlfn.DAYS(L90, $C$2)</f>
        <v>11.400729956672826</v>
      </c>
      <c r="O90" s="149">
        <f t="shared" ca="1" si="11"/>
        <v>1.0003124999999999</v>
      </c>
    </row>
    <row r="91" spans="12:19" x14ac:dyDescent="0.25">
      <c r="L91" s="146">
        <f ca="1"/>
        <v>45330</v>
      </c>
      <c r="M91" s="92">
        <f t="shared" ca="1" si="10"/>
        <v>11.25</v>
      </c>
      <c r="N91" s="143">
        <f ca="1">(PRODUCT($O$5:$O91)-1)*36000/_xlfn.DAYS(L91, $C$2)</f>
        <v>11.402519205648854</v>
      </c>
      <c r="O91" s="149">
        <f t="shared" ca="1" si="11"/>
        <v>1.0003124999999999</v>
      </c>
    </row>
    <row r="92" spans="12:19" x14ac:dyDescent="0.25">
      <c r="L92" s="146">
        <f ca="1"/>
        <v>45331</v>
      </c>
      <c r="M92" s="92">
        <f t="shared" ca="1" si="10"/>
        <v>11.25</v>
      </c>
      <c r="N92" s="143">
        <f ca="1">(PRODUCT($O$5:$O92)-1)*36000/_xlfn.DAYS(L92, $C$2)</f>
        <v>11.404308828208521</v>
      </c>
      <c r="O92" s="149">
        <f t="shared" ca="1" si="11"/>
        <v>1.0003124999999999</v>
      </c>
    </row>
    <row r="93" spans="12:19" x14ac:dyDescent="0.25">
      <c r="L93" s="146">
        <f ca="1"/>
        <v>45332</v>
      </c>
      <c r="M93" s="92">
        <f t="shared" ca="1" si="10"/>
        <v>11.25</v>
      </c>
      <c r="N93" s="143">
        <f ca="1">(PRODUCT($O$5:$O93)-1)*36000/_xlfn.DAYS(L93, $C$2)</f>
        <v>11.406098824439585</v>
      </c>
      <c r="O93" s="149">
        <f t="shared" ca="1" si="11"/>
        <v>1.0003124999999999</v>
      </c>
    </row>
    <row r="94" spans="12:19" x14ac:dyDescent="0.25">
      <c r="L94" s="146">
        <f ca="1"/>
        <v>45333</v>
      </c>
      <c r="M94" s="92">
        <f t="shared" ca="1" si="10"/>
        <v>11.25</v>
      </c>
      <c r="N94" s="143">
        <f ca="1">(PRODUCT($O$5:$O94)-1)*36000/_xlfn.DAYS(L94, $C$2)</f>
        <v>11.407889194429721</v>
      </c>
      <c r="O94" s="149">
        <f t="shared" ca="1" si="11"/>
        <v>1.0003124999999999</v>
      </c>
    </row>
    <row r="95" spans="12:19" x14ac:dyDescent="0.25">
      <c r="L95" s="146">
        <f ca="1"/>
        <v>45334</v>
      </c>
      <c r="M95" s="92">
        <f t="shared" ca="1" si="10"/>
        <v>11.25</v>
      </c>
      <c r="N95" s="143">
        <f ca="1">(PRODUCT($O$5:$O95)-1)*36000/_xlfn.DAYS(L95, $C$2)</f>
        <v>11.409679938266615</v>
      </c>
      <c r="O95" s="149">
        <f t="shared" ca="1" si="11"/>
        <v>1.0003124999999999</v>
      </c>
    </row>
    <row r="96" spans="12:19" x14ac:dyDescent="0.25">
      <c r="L96" s="146">
        <f ca="1"/>
        <v>45335</v>
      </c>
      <c r="M96" s="92">
        <f t="shared" ca="1" si="10"/>
        <v>11.25</v>
      </c>
      <c r="N96" s="143">
        <f ca="1">(PRODUCT($O$5:$O96)-1)*36000/_xlfn.DAYS(L96, $C$2)</f>
        <v>11.411471056038053</v>
      </c>
      <c r="O96" s="149">
        <f t="shared" ca="1" si="11"/>
        <v>1.0003124999999999</v>
      </c>
    </row>
    <row r="97" spans="12:15" x14ac:dyDescent="0.25">
      <c r="L97" s="146">
        <f ca="1"/>
        <v>45336</v>
      </c>
      <c r="M97" s="92">
        <f t="shared" ca="1" si="10"/>
        <v>11.25</v>
      </c>
      <c r="N97" s="143">
        <f ca="1">(PRODUCT($O$5:$O97)-1)*36000/_xlfn.DAYS(L97, $C$2)</f>
        <v>11.413262547831822</v>
      </c>
      <c r="O97" s="149">
        <f t="shared" ca="1" si="11"/>
        <v>1.0003124999999999</v>
      </c>
    </row>
    <row r="98" spans="12:15" x14ac:dyDescent="0.25">
      <c r="L98" s="146">
        <f ca="1"/>
        <v>45337</v>
      </c>
      <c r="M98" s="92">
        <f t="shared" ca="1" si="10"/>
        <v>11.25</v>
      </c>
      <c r="N98" s="143">
        <f ca="1">(PRODUCT($O$5:$O98)-1)*36000/_xlfn.DAYS(L98, $C$2)</f>
        <v>11.415054413735636</v>
      </c>
      <c r="O98" s="149">
        <f t="shared" ca="1" si="11"/>
        <v>1.0003124999999999</v>
      </c>
    </row>
    <row r="99" spans="12:15" x14ac:dyDescent="0.25">
      <c r="L99" s="146">
        <f ca="1"/>
        <v>45338</v>
      </c>
      <c r="M99" s="92">
        <f t="shared" ca="1" si="10"/>
        <v>11.25</v>
      </c>
      <c r="N99" s="143">
        <f ca="1">(PRODUCT($O$5:$O99)-1)*36000/_xlfn.DAYS(L99, $C$2)</f>
        <v>11.416846653837382</v>
      </c>
      <c r="O99" s="149">
        <f t="shared" ca="1" si="11"/>
        <v>1.0003124999999999</v>
      </c>
    </row>
    <row r="100" spans="12:15" x14ac:dyDescent="0.25">
      <c r="L100" s="146">
        <f ca="1"/>
        <v>45339</v>
      </c>
      <c r="M100" s="92">
        <f t="shared" ca="1" si="10"/>
        <v>11.25</v>
      </c>
      <c r="N100" s="143">
        <f ca="1">(PRODUCT($O$5:$O100)-1)*36000/_xlfn.DAYS(L100, $C$2)</f>
        <v>11.418639268224867</v>
      </c>
      <c r="O100" s="149">
        <f t="shared" ca="1" si="11"/>
        <v>1.0003124999999999</v>
      </c>
    </row>
    <row r="101" spans="12:15" x14ac:dyDescent="0.25">
      <c r="L101" s="146">
        <f ca="1"/>
        <v>45340</v>
      </c>
      <c r="M101" s="92">
        <f t="shared" ca="1" si="10"/>
        <v>11.25</v>
      </c>
      <c r="N101" s="143">
        <f ca="1">(PRODUCT($O$5:$O101)-1)*36000/_xlfn.DAYS(L101, $C$2)</f>
        <v>11.420432256985903</v>
      </c>
      <c r="O101" s="149">
        <f t="shared" ca="1" si="11"/>
        <v>1.0003124999999999</v>
      </c>
    </row>
    <row r="102" spans="12:15" x14ac:dyDescent="0.25">
      <c r="L102" s="146">
        <f ca="1"/>
        <v>45341</v>
      </c>
      <c r="M102" s="92">
        <f t="shared" ca="1" si="10"/>
        <v>11.25</v>
      </c>
      <c r="N102" s="143">
        <f ca="1">(PRODUCT($O$5:$O102)-1)*36000/_xlfn.DAYS(L102, $C$2)</f>
        <v>11.42222562020839</v>
      </c>
      <c r="O102" s="149">
        <f t="shared" ca="1" si="11"/>
        <v>1.0003124999999999</v>
      </c>
    </row>
    <row r="103" spans="12:15" x14ac:dyDescent="0.25">
      <c r="L103" s="146">
        <f ca="1"/>
        <v>45342</v>
      </c>
      <c r="M103" s="92">
        <f t="shared" ca="1" si="10"/>
        <v>11.25</v>
      </c>
      <c r="N103" s="143">
        <f ca="1">(PRODUCT($O$5:$O103)-1)*36000/_xlfn.DAYS(L103, $C$2)</f>
        <v>11.42401935798023</v>
      </c>
      <c r="O103" s="149">
        <f t="shared" ca="1" si="11"/>
        <v>1.0003124999999999</v>
      </c>
    </row>
    <row r="104" spans="12:15" x14ac:dyDescent="0.25">
      <c r="L104" s="146">
        <f ca="1"/>
        <v>45343</v>
      </c>
      <c r="M104" s="92">
        <f t="shared" ca="1" si="10"/>
        <v>11.25</v>
      </c>
      <c r="N104" s="143">
        <f ca="1">(PRODUCT($O$5:$O104)-1)*36000/_xlfn.DAYS(L104, $C$2)</f>
        <v>11.425813470389317</v>
      </c>
      <c r="O104" s="149">
        <f t="shared" ca="1" si="11"/>
        <v>1.0003124999999999</v>
      </c>
    </row>
    <row r="105" spans="12:15" x14ac:dyDescent="0.25">
      <c r="L105" s="146">
        <f ca="1"/>
        <v>45344</v>
      </c>
      <c r="M105" s="92">
        <f t="shared" ca="1" si="10"/>
        <v>11.25</v>
      </c>
      <c r="N105" s="143">
        <f ca="1">(PRODUCT($O$5:$O105)-1)*36000/_xlfn.DAYS(L105, $C$2)</f>
        <v>11.427607957523557</v>
      </c>
      <c r="O105" s="149">
        <f t="shared" ca="1" si="11"/>
        <v>1.0003124999999999</v>
      </c>
    </row>
    <row r="106" spans="12:15" x14ac:dyDescent="0.25">
      <c r="L106" s="146">
        <f ca="1"/>
        <v>45345</v>
      </c>
      <c r="M106" s="92">
        <f t="shared" ca="1" si="10"/>
        <v>11.25</v>
      </c>
      <c r="N106" s="143">
        <f ca="1">(PRODUCT($O$5:$O106)-1)*36000/_xlfn.DAYS(L106, $C$2)</f>
        <v>11.429402819470932</v>
      </c>
      <c r="O106" s="149">
        <f t="shared" ca="1" si="11"/>
        <v>1.0003124999999999</v>
      </c>
    </row>
    <row r="107" spans="12:15" x14ac:dyDescent="0.25">
      <c r="L107" s="146">
        <f ca="1"/>
        <v>45346</v>
      </c>
      <c r="M107" s="92">
        <f t="shared" ca="1" si="10"/>
        <v>11.25</v>
      </c>
      <c r="N107" s="143">
        <f ca="1">(PRODUCT($O$5:$O107)-1)*36000/_xlfn.DAYS(L107, $C$2)</f>
        <v>11.43119805631942</v>
      </c>
      <c r="O107" s="149">
        <f t="shared" ca="1" si="11"/>
        <v>1.0003124999999999</v>
      </c>
    </row>
    <row r="108" spans="12:15" x14ac:dyDescent="0.25">
      <c r="L108" s="146">
        <f ca="1"/>
        <v>45347</v>
      </c>
      <c r="M108" s="92">
        <f t="shared" ca="1" si="10"/>
        <v>11.25</v>
      </c>
      <c r="N108" s="143">
        <f ca="1">(PRODUCT($O$5:$O108)-1)*36000/_xlfn.DAYS(L108, $C$2)</f>
        <v>11.43299366815708</v>
      </c>
      <c r="O108" s="149">
        <f t="shared" ca="1" si="11"/>
        <v>1.0003124999999999</v>
      </c>
    </row>
    <row r="109" spans="12:15" x14ac:dyDescent="0.25">
      <c r="L109" s="146">
        <f ca="1"/>
        <v>45348</v>
      </c>
      <c r="M109" s="92">
        <f t="shared" ca="1" si="10"/>
        <v>11.25</v>
      </c>
      <c r="N109" s="143">
        <f ca="1">(PRODUCT($O$5:$O109)-1)*36000/_xlfn.DAYS(L109, $C$2)</f>
        <v>11.43478965507188</v>
      </c>
      <c r="O109" s="149">
        <f t="shared" ca="1" si="11"/>
        <v>1.0003124999999999</v>
      </c>
    </row>
    <row r="110" spans="12:15" x14ac:dyDescent="0.25">
      <c r="L110" s="146">
        <f ca="1"/>
        <v>45349</v>
      </c>
      <c r="M110" s="92">
        <f t="shared" ca="1" si="10"/>
        <v>11.25</v>
      </c>
      <c r="N110" s="143">
        <f ca="1">(PRODUCT($O$5:$O110)-1)*36000/_xlfn.DAYS(L110, $C$2)</f>
        <v>11.436586017151944</v>
      </c>
      <c r="O110" s="149">
        <f t="shared" ca="1" si="11"/>
        <v>1.0003124999999999</v>
      </c>
    </row>
    <row r="111" spans="12:15" x14ac:dyDescent="0.25">
      <c r="L111" s="146">
        <f ca="1"/>
        <v>45350</v>
      </c>
      <c r="M111" s="92">
        <f t="shared" ca="1" si="10"/>
        <v>11.25</v>
      </c>
      <c r="N111" s="143">
        <f ca="1">(PRODUCT($O$5:$O111)-1)*36000/_xlfn.DAYS(L111, $C$2)</f>
        <v>11.438382754485238</v>
      </c>
      <c r="O111" s="149">
        <f t="shared" ca="1" si="11"/>
        <v>1.0003124999999999</v>
      </c>
    </row>
    <row r="112" spans="12:15" x14ac:dyDescent="0.25">
      <c r="L112" s="146">
        <f ca="1"/>
        <v>45351</v>
      </c>
      <c r="M112" s="92">
        <f t="shared" ca="1" si="10"/>
        <v>11.25</v>
      </c>
      <c r="N112" s="143">
        <f ca="1">(PRODUCT($O$5:$O112)-1)*36000/_xlfn.DAYS(L112, $C$2)</f>
        <v>11.44017986715995</v>
      </c>
      <c r="O112" s="149">
        <f t="shared" ca="1" si="11"/>
        <v>1.0003124999999999</v>
      </c>
    </row>
    <row r="113" spans="12:15" x14ac:dyDescent="0.25">
      <c r="L113" s="146">
        <f ca="1"/>
        <v>45352</v>
      </c>
      <c r="M113" s="92">
        <f t="shared" ca="1" si="10"/>
        <v>11.25</v>
      </c>
      <c r="N113" s="143">
        <f ca="1">(PRODUCT($O$5:$O113)-1)*36000/_xlfn.DAYS(L113, $C$2)</f>
        <v>11.441977355264111</v>
      </c>
      <c r="O113" s="149">
        <f t="shared" ca="1" si="11"/>
        <v>1.0003124999999999</v>
      </c>
    </row>
    <row r="114" spans="12:15" x14ac:dyDescent="0.25">
      <c r="L114" s="146">
        <f ca="1"/>
        <v>45353</v>
      </c>
      <c r="M114" s="92">
        <f t="shared" ca="1" si="10"/>
        <v>11.25</v>
      </c>
      <c r="N114" s="143">
        <f ca="1">(PRODUCT($O$5:$O114)-1)*36000/_xlfn.DAYS(L114, $C$2)</f>
        <v>11.443775218885891</v>
      </c>
      <c r="O114" s="149">
        <f t="shared" ca="1" si="11"/>
        <v>1.0003124999999999</v>
      </c>
    </row>
    <row r="115" spans="12:15" x14ac:dyDescent="0.25">
      <c r="L115" s="146">
        <f ca="1"/>
        <v>45354</v>
      </c>
      <c r="M115" s="92">
        <f t="shared" ca="1" si="10"/>
        <v>11.25</v>
      </c>
      <c r="N115" s="143">
        <f ca="1">(PRODUCT($O$5:$O115)-1)*36000/_xlfn.DAYS(L115, $C$2)</f>
        <v>11.445573458113456</v>
      </c>
      <c r="O115" s="149">
        <f t="shared" ca="1" si="11"/>
        <v>1.0003124999999999</v>
      </c>
    </row>
    <row r="116" spans="12:15" x14ac:dyDescent="0.25">
      <c r="L116" s="146">
        <f ca="1"/>
        <v>45355</v>
      </c>
      <c r="M116" s="92">
        <f t="shared" ca="1" si="10"/>
        <v>11.25</v>
      </c>
      <c r="N116" s="143">
        <f ca="1">(PRODUCT($O$5:$O116)-1)*36000/_xlfn.DAYS(L116, $C$2)</f>
        <v>11.447372073034961</v>
      </c>
      <c r="O116" s="149">
        <f t="shared" ca="1" si="11"/>
        <v>1.0003124999999999</v>
      </c>
    </row>
    <row r="117" spans="12:15" x14ac:dyDescent="0.25">
      <c r="L117" s="146">
        <f ca="1"/>
        <v>45356</v>
      </c>
      <c r="M117" s="92">
        <f t="shared" ca="1" si="10"/>
        <v>11.25</v>
      </c>
      <c r="N117" s="143">
        <f ca="1">(PRODUCT($O$5:$O117)-1)*36000/_xlfn.DAYS(L117, $C$2)</f>
        <v>11.449171063738696</v>
      </c>
      <c r="O117" s="149">
        <f t="shared" ca="1" si="11"/>
        <v>1.0003124999999999</v>
      </c>
    </row>
    <row r="118" spans="12:15" x14ac:dyDescent="0.25">
      <c r="L118" s="146">
        <f ca="1"/>
        <v>45357</v>
      </c>
      <c r="M118" s="92">
        <f t="shared" ca="1" si="10"/>
        <v>11.25</v>
      </c>
      <c r="N118" s="143">
        <f ca="1">(PRODUCT($O$5:$O118)-1)*36000/_xlfn.DAYS(L118, $C$2)</f>
        <v>11.450970430312791</v>
      </c>
      <c r="O118" s="149">
        <f t="shared" ca="1" si="11"/>
        <v>1.0003124999999999</v>
      </c>
    </row>
    <row r="119" spans="12:15" x14ac:dyDescent="0.25">
      <c r="L119" s="146">
        <f ca="1"/>
        <v>45358</v>
      </c>
      <c r="M119" s="92">
        <f t="shared" ca="1" si="10"/>
        <v>11.25</v>
      </c>
      <c r="N119" s="143">
        <f ca="1">(PRODUCT($O$5:$O119)-1)*36000/_xlfn.DAYS(L119, $C$2)</f>
        <v>11.452770172845524</v>
      </c>
      <c r="O119" s="149">
        <f t="shared" ca="1" si="11"/>
        <v>1.0003124999999999</v>
      </c>
    </row>
    <row r="120" spans="12:15" x14ac:dyDescent="0.25">
      <c r="L120" s="146">
        <f ca="1"/>
        <v>45359</v>
      </c>
      <c r="M120" s="92">
        <f t="shared" ca="1" si="10"/>
        <v>11.25</v>
      </c>
      <c r="N120" s="143">
        <f ca="1">(PRODUCT($O$5:$O120)-1)*36000/_xlfn.DAYS(L120, $C$2)</f>
        <v>11.454570291425139</v>
      </c>
      <c r="O120" s="149">
        <f t="shared" ca="1" si="11"/>
        <v>1.0003124999999999</v>
      </c>
    </row>
    <row r="121" spans="12:15" x14ac:dyDescent="0.25">
      <c r="L121" s="146">
        <f ca="1"/>
        <v>45360</v>
      </c>
      <c r="M121" s="92">
        <f t="shared" ca="1" si="10"/>
        <v>11.25</v>
      </c>
      <c r="N121" s="143">
        <f ca="1">(PRODUCT($O$5:$O121)-1)*36000/_xlfn.DAYS(L121, $C$2)</f>
        <v>11.456370786139958</v>
      </c>
      <c r="O121" s="149">
        <f t="shared" ca="1" si="11"/>
        <v>1.0003124999999999</v>
      </c>
    </row>
    <row r="122" spans="12:15" x14ac:dyDescent="0.25">
      <c r="L122" s="146">
        <f ca="1"/>
        <v>45361</v>
      </c>
      <c r="M122" s="92">
        <f t="shared" ca="1" si="10"/>
        <v>11.25</v>
      </c>
      <c r="N122" s="143">
        <f ca="1">(PRODUCT($O$5:$O122)-1)*36000/_xlfn.DAYS(L122, $C$2)</f>
        <v>11.458171657078347</v>
      </c>
      <c r="O122" s="149">
        <f t="shared" ca="1" si="11"/>
        <v>1.0003124999999999</v>
      </c>
    </row>
    <row r="123" spans="12:15" x14ac:dyDescent="0.25">
      <c r="L123" s="146">
        <f ca="1"/>
        <v>45362</v>
      </c>
      <c r="M123" s="92">
        <f t="shared" ca="1" si="10"/>
        <v>11.25</v>
      </c>
      <c r="N123" s="143">
        <f ca="1">(PRODUCT($O$5:$O123)-1)*36000/_xlfn.DAYS(L123, $C$2)</f>
        <v>11.459972904328524</v>
      </c>
      <c r="O123" s="149">
        <f t="shared" ca="1" si="11"/>
        <v>1.0003124999999999</v>
      </c>
    </row>
    <row r="124" spans="12:15" x14ac:dyDescent="0.25">
      <c r="L124" s="146">
        <f ca="1"/>
        <v>45363</v>
      </c>
      <c r="M124" s="92">
        <f t="shared" ca="1" si="10"/>
        <v>11.25</v>
      </c>
      <c r="N124" s="143">
        <f ca="1">(PRODUCT($O$5:$O124)-1)*36000/_xlfn.DAYS(L124, $C$2)</f>
        <v>11.461774527978964</v>
      </c>
      <c r="O124" s="149">
        <f t="shared" ca="1" si="11"/>
        <v>1.0003124999999999</v>
      </c>
    </row>
    <row r="125" spans="12:15" x14ac:dyDescent="0.25">
      <c r="L125" s="146">
        <f ca="1"/>
        <v>45364</v>
      </c>
      <c r="M125" s="92">
        <f t="shared" ca="1" si="10"/>
        <v>11.25</v>
      </c>
      <c r="N125" s="143">
        <f ca="1">(PRODUCT($O$5:$O125)-1)*36000/_xlfn.DAYS(L125, $C$2)</f>
        <v>11.463576528117926</v>
      </c>
      <c r="O125" s="149">
        <f t="shared" ca="1" si="11"/>
        <v>1.0003124999999999</v>
      </c>
    </row>
    <row r="126" spans="12:15" x14ac:dyDescent="0.25">
      <c r="L126" s="146">
        <f ca="1"/>
        <v>45365</v>
      </c>
      <c r="M126" s="92">
        <f t="shared" ca="1" si="10"/>
        <v>11.25</v>
      </c>
      <c r="N126" s="143">
        <f ca="1">(PRODUCT($O$5:$O126)-1)*36000/_xlfn.DAYS(L126, $C$2)</f>
        <v>11.465378904833923</v>
      </c>
      <c r="O126" s="149">
        <f t="shared" ca="1" si="11"/>
        <v>1.0003124999999999</v>
      </c>
    </row>
    <row r="127" spans="12:15" x14ac:dyDescent="0.25">
      <c r="L127" s="146">
        <f ca="1"/>
        <v>45366</v>
      </c>
      <c r="M127" s="92">
        <f t="shared" ca="1" si="10"/>
        <v>11.25</v>
      </c>
      <c r="N127" s="143">
        <f ca="1">(PRODUCT($O$5:$O127)-1)*36000/_xlfn.DAYS(L127, $C$2)</f>
        <v>11.467181658215317</v>
      </c>
      <c r="O127" s="149">
        <f t="shared" ca="1" si="11"/>
        <v>1.0003124999999999</v>
      </c>
    </row>
    <row r="128" spans="12:15" x14ac:dyDescent="0.25">
      <c r="L128" s="146">
        <f ca="1"/>
        <v>45367</v>
      </c>
      <c r="M128" s="92">
        <f t="shared" ca="1" si="10"/>
        <v>11.25</v>
      </c>
      <c r="N128" s="143">
        <f ca="1">(PRODUCT($O$5:$O128)-1)*36000/_xlfn.DAYS(L128, $C$2)</f>
        <v>11.468984788350586</v>
      </c>
      <c r="O128" s="149">
        <f t="shared" ca="1" si="11"/>
        <v>1.0003124999999999</v>
      </c>
    </row>
    <row r="129" spans="12:15" x14ac:dyDescent="0.25">
      <c r="L129" s="146">
        <f ca="1"/>
        <v>45368</v>
      </c>
      <c r="M129" s="92">
        <f t="shared" ca="1" si="10"/>
        <v>11.25</v>
      </c>
      <c r="N129" s="143">
        <f ca="1">(PRODUCT($O$5:$O129)-1)*36000/_xlfn.DAYS(L129, $C$2)</f>
        <v>11.47078829532812</v>
      </c>
      <c r="O129" s="149">
        <f t="shared" ca="1" si="11"/>
        <v>1.0003124999999999</v>
      </c>
    </row>
    <row r="130" spans="12:15" x14ac:dyDescent="0.25">
      <c r="L130" s="146">
        <f ca="1"/>
        <v>45369</v>
      </c>
      <c r="M130" s="92">
        <f t="shared" ca="1" si="10"/>
        <v>11.25</v>
      </c>
      <c r="N130" s="143">
        <f ca="1">(PRODUCT($O$5:$O130)-1)*36000/_xlfn.DAYS(L130, $C$2)</f>
        <v>11.472592179236495</v>
      </c>
      <c r="O130" s="149">
        <f t="shared" ca="1" si="11"/>
        <v>1.0003124999999999</v>
      </c>
    </row>
    <row r="131" spans="12:15" x14ac:dyDescent="0.25">
      <c r="L131" s="146">
        <f ca="1"/>
        <v>45370</v>
      </c>
      <c r="M131" s="92">
        <f t="shared" ca="1" si="10"/>
        <v>11.25</v>
      </c>
      <c r="N131" s="143">
        <f ca="1">(PRODUCT($O$5:$O131)-1)*36000/_xlfn.DAYS(L131, $C$2)</f>
        <v>11.474396440164195</v>
      </c>
      <c r="O131" s="149">
        <f t="shared" ca="1" si="11"/>
        <v>1.0003124999999999</v>
      </c>
    </row>
    <row r="132" spans="12:15" x14ac:dyDescent="0.25">
      <c r="L132" s="146">
        <f ca="1"/>
        <v>45371</v>
      </c>
      <c r="M132" s="92">
        <f t="shared" ca="1" si="10"/>
        <v>11.25</v>
      </c>
      <c r="N132" s="143">
        <f ca="1">(PRODUCT($O$5:$O132)-1)*36000/_xlfn.DAYS(L132, $C$2)</f>
        <v>11.476201078199757</v>
      </c>
      <c r="O132" s="149">
        <f t="shared" ca="1" si="11"/>
        <v>1.0003124999999999</v>
      </c>
    </row>
    <row r="133" spans="12:15" x14ac:dyDescent="0.25">
      <c r="L133" s="146">
        <f ca="1"/>
        <v>45372</v>
      </c>
      <c r="M133" s="92">
        <f t="shared" ref="M133:M196" ca="1" si="15">IFERROR(INDEX($E$27:$H$47, MATCH(L133, $F$27:$F$47, 0), 4), IF(ISNUMBER(M132), M132, $C$5))</f>
        <v>11.25</v>
      </c>
      <c r="N133" s="143">
        <f ca="1">(PRODUCT($O$5:$O133)-1)*36000/_xlfn.DAYS(L133, $C$2)</f>
        <v>11.478006093431755</v>
      </c>
      <c r="O133" s="149">
        <f t="shared" ca="1" si="11"/>
        <v>1.0003124999999999</v>
      </c>
    </row>
    <row r="134" spans="12:15" x14ac:dyDescent="0.25">
      <c r="L134" s="146">
        <f ca="1"/>
        <v>45373</v>
      </c>
      <c r="M134" s="92">
        <f t="shared" ca="1" si="15"/>
        <v>11.25</v>
      </c>
      <c r="N134" s="143">
        <f ca="1">(PRODUCT($O$5:$O134)-1)*36000/_xlfn.DAYS(L134, $C$2)</f>
        <v>11.479811485948744</v>
      </c>
      <c r="O134" s="149">
        <f t="shared" ref="O134:O197" ca="1" si="16">1+M134*IFERROR(_xlfn.DAYS(L134, L133), _xlfn.DAYS(L134, $C$2))/36000</f>
        <v>1.0003124999999999</v>
      </c>
    </row>
    <row r="135" spans="12:15" x14ac:dyDescent="0.25">
      <c r="L135" s="146">
        <f ca="1"/>
        <v>45374</v>
      </c>
      <c r="M135" s="92">
        <f t="shared" ca="1" si="15"/>
        <v>11.25</v>
      </c>
      <c r="N135" s="143">
        <f ca="1">(PRODUCT($O$5:$O135)-1)*36000/_xlfn.DAYS(L135, $C$2)</f>
        <v>11.481617255839325</v>
      </c>
      <c r="O135" s="149">
        <f t="shared" ca="1" si="16"/>
        <v>1.0003124999999999</v>
      </c>
    </row>
    <row r="136" spans="12:15" x14ac:dyDescent="0.25">
      <c r="L136" s="146">
        <f ca="1"/>
        <v>45375</v>
      </c>
      <c r="M136" s="92">
        <f t="shared" ca="1" si="15"/>
        <v>11.25</v>
      </c>
      <c r="N136" s="143">
        <f ca="1">(PRODUCT($O$5:$O136)-1)*36000/_xlfn.DAYS(L136, $C$2)</f>
        <v>11.483423403192134</v>
      </c>
      <c r="O136" s="149">
        <f t="shared" ca="1" si="16"/>
        <v>1.0003124999999999</v>
      </c>
    </row>
    <row r="137" spans="12:15" x14ac:dyDescent="0.25">
      <c r="L137" s="146">
        <f ca="1"/>
        <v>45376</v>
      </c>
      <c r="M137" s="92">
        <f t="shared" ca="1" si="15"/>
        <v>11.25</v>
      </c>
      <c r="N137" s="143">
        <f ca="1">(PRODUCT($O$5:$O137)-1)*36000/_xlfn.DAYS(L137, $C$2)</f>
        <v>11.485229928095787</v>
      </c>
      <c r="O137" s="149">
        <f t="shared" ca="1" si="16"/>
        <v>1.0003124999999999</v>
      </c>
    </row>
    <row r="138" spans="12:15" x14ac:dyDescent="0.25">
      <c r="L138" s="146">
        <f ca="1"/>
        <v>45377</v>
      </c>
      <c r="M138" s="92">
        <f t="shared" ca="1" si="15"/>
        <v>11.25</v>
      </c>
      <c r="N138" s="143">
        <f ca="1">(PRODUCT($O$5:$O138)-1)*36000/_xlfn.DAYS(L138, $C$2)</f>
        <v>11.487036830639004</v>
      </c>
      <c r="O138" s="149">
        <f t="shared" ca="1" si="16"/>
        <v>1.0003124999999999</v>
      </c>
    </row>
    <row r="139" spans="12:15" x14ac:dyDescent="0.25">
      <c r="L139" s="146">
        <f ca="1"/>
        <v>45378</v>
      </c>
      <c r="M139" s="92">
        <f t="shared" ca="1" si="15"/>
        <v>11.25</v>
      </c>
      <c r="N139" s="143">
        <f ca="1">(PRODUCT($O$5:$O139)-1)*36000/_xlfn.DAYS(L139, $C$2)</f>
        <v>11.488844110910415</v>
      </c>
      <c r="O139" s="149">
        <f t="shared" ca="1" si="16"/>
        <v>1.0003124999999999</v>
      </c>
    </row>
    <row r="140" spans="12:15" x14ac:dyDescent="0.25">
      <c r="L140" s="146">
        <f ca="1"/>
        <v>45379</v>
      </c>
      <c r="M140" s="92">
        <f t="shared" ca="1" si="15"/>
        <v>11.25</v>
      </c>
      <c r="N140" s="143">
        <f ca="1">(PRODUCT($O$5:$O140)-1)*36000/_xlfn.DAYS(L140, $C$2)</f>
        <v>11.490651768998752</v>
      </c>
      <c r="O140" s="149">
        <f t="shared" ca="1" si="16"/>
        <v>1.0003124999999999</v>
      </c>
    </row>
    <row r="141" spans="12:15" x14ac:dyDescent="0.25">
      <c r="L141" s="146">
        <f ca="1"/>
        <v>45380</v>
      </c>
      <c r="M141" s="92">
        <f t="shared" ca="1" si="15"/>
        <v>11.25</v>
      </c>
      <c r="N141" s="143">
        <f ca="1">(PRODUCT($O$5:$O141)-1)*36000/_xlfn.DAYS(L141, $C$2)</f>
        <v>11.492459804992778</v>
      </c>
      <c r="O141" s="149">
        <f t="shared" ca="1" si="16"/>
        <v>1.0003124999999999</v>
      </c>
    </row>
    <row r="142" spans="12:15" x14ac:dyDescent="0.25">
      <c r="L142" s="146">
        <f ca="1"/>
        <v>45381</v>
      </c>
      <c r="M142" s="92">
        <f t="shared" ca="1" si="15"/>
        <v>11.25</v>
      </c>
      <c r="N142" s="143">
        <f ca="1">(PRODUCT($O$5:$O142)-1)*36000/_xlfn.DAYS(L142, $C$2)</f>
        <v>11.494268218981238</v>
      </c>
      <c r="O142" s="149">
        <f t="shared" ca="1" si="16"/>
        <v>1.0003124999999999</v>
      </c>
    </row>
    <row r="143" spans="12:15" x14ac:dyDescent="0.25">
      <c r="L143" s="146">
        <f ca="1"/>
        <v>45382</v>
      </c>
      <c r="M143" s="92">
        <f t="shared" ca="1" si="15"/>
        <v>11.25</v>
      </c>
      <c r="N143" s="143">
        <f ca="1">(PRODUCT($O$5:$O143)-1)*36000/_xlfn.DAYS(L143, $C$2)</f>
        <v>11.496077011052902</v>
      </c>
      <c r="O143" s="149">
        <f t="shared" ca="1" si="16"/>
        <v>1.0003124999999999</v>
      </c>
    </row>
    <row r="144" spans="12:15" x14ac:dyDescent="0.25">
      <c r="L144" s="146">
        <f ca="1"/>
        <v>45383</v>
      </c>
      <c r="M144" s="92">
        <f t="shared" ca="1" si="15"/>
        <v>11.25</v>
      </c>
      <c r="N144" s="143">
        <f ca="1">(PRODUCT($O$5:$O144)-1)*36000/_xlfn.DAYS(L144, $C$2)</f>
        <v>11.497886181296581</v>
      </c>
      <c r="O144" s="149">
        <f t="shared" ca="1" si="16"/>
        <v>1.0003124999999999</v>
      </c>
    </row>
    <row r="145" spans="12:15" x14ac:dyDescent="0.25">
      <c r="L145" s="146">
        <f ca="1"/>
        <v>45384</v>
      </c>
      <c r="M145" s="92">
        <f t="shared" ca="1" si="15"/>
        <v>11.25</v>
      </c>
      <c r="N145" s="143">
        <f ca="1">(PRODUCT($O$5:$O145)-1)*36000/_xlfn.DAYS(L145, $C$2)</f>
        <v>11.499695729801058</v>
      </c>
      <c r="O145" s="149">
        <f t="shared" ca="1" si="16"/>
        <v>1.0003124999999999</v>
      </c>
    </row>
    <row r="146" spans="12:15" x14ac:dyDescent="0.25">
      <c r="L146" s="146">
        <f ca="1"/>
        <v>45385</v>
      </c>
      <c r="M146" s="92">
        <f t="shared" ca="1" si="15"/>
        <v>11.25</v>
      </c>
      <c r="N146" s="143">
        <f ca="1">(PRODUCT($O$5:$O146)-1)*36000/_xlfn.DAYS(L146, $C$2)</f>
        <v>11.501505656655203</v>
      </c>
      <c r="O146" s="149">
        <f t="shared" ca="1" si="16"/>
        <v>1.0003124999999999</v>
      </c>
    </row>
    <row r="147" spans="12:15" x14ac:dyDescent="0.25">
      <c r="L147" s="146">
        <f ca="1"/>
        <v>45386</v>
      </c>
      <c r="M147" s="92">
        <f t="shared" ca="1" si="15"/>
        <v>11.25</v>
      </c>
      <c r="N147" s="143">
        <f ca="1">(PRODUCT($O$5:$O147)-1)*36000/_xlfn.DAYS(L147, $C$2)</f>
        <v>11.503315961947921</v>
      </c>
      <c r="O147" s="149">
        <f t="shared" ca="1" si="16"/>
        <v>1.0003124999999999</v>
      </c>
    </row>
    <row r="148" spans="12:15" x14ac:dyDescent="0.25">
      <c r="L148" s="146">
        <f ca="1"/>
        <v>45387</v>
      </c>
      <c r="M148" s="92">
        <f t="shared" ca="1" si="15"/>
        <v>11.25</v>
      </c>
      <c r="N148" s="143">
        <f ca="1">(PRODUCT($O$5:$O148)-1)*36000/_xlfn.DAYS(L148, $C$2)</f>
        <v>11.505126645768081</v>
      </c>
      <c r="O148" s="149">
        <f t="shared" ca="1" si="16"/>
        <v>1.0003124999999999</v>
      </c>
    </row>
    <row r="149" spans="12:15" x14ac:dyDescent="0.25">
      <c r="L149" s="146">
        <f ca="1"/>
        <v>45388</v>
      </c>
      <c r="M149" s="92">
        <f t="shared" ca="1" si="15"/>
        <v>11.25</v>
      </c>
      <c r="N149" s="143">
        <f ca="1">(PRODUCT($O$5:$O149)-1)*36000/_xlfn.DAYS(L149, $C$2)</f>
        <v>11.506937708204537</v>
      </c>
      <c r="O149" s="149">
        <f t="shared" ca="1" si="16"/>
        <v>1.0003124999999999</v>
      </c>
    </row>
    <row r="150" spans="12:15" x14ac:dyDescent="0.25">
      <c r="L150" s="146">
        <f ca="1"/>
        <v>45389</v>
      </c>
      <c r="M150" s="92">
        <f t="shared" ca="1" si="15"/>
        <v>11.25</v>
      </c>
      <c r="N150" s="143">
        <f ca="1">(PRODUCT($O$5:$O150)-1)*36000/_xlfn.DAYS(L150, $C$2)</f>
        <v>11.508749149346272</v>
      </c>
      <c r="O150" s="149">
        <f t="shared" ca="1" si="16"/>
        <v>1.0003124999999999</v>
      </c>
    </row>
    <row r="151" spans="12:15" x14ac:dyDescent="0.25">
      <c r="L151" s="146">
        <f ca="1"/>
        <v>45390</v>
      </c>
      <c r="M151" s="92">
        <f t="shared" ca="1" si="15"/>
        <v>11.25</v>
      </c>
      <c r="N151" s="143">
        <f ca="1">(PRODUCT($O$5:$O151)-1)*36000/_xlfn.DAYS(L151, $C$2)</f>
        <v>11.510560969282245</v>
      </c>
      <c r="O151" s="149">
        <f t="shared" ca="1" si="16"/>
        <v>1.0003124999999999</v>
      </c>
    </row>
    <row r="152" spans="12:15" x14ac:dyDescent="0.25">
      <c r="L152" s="146">
        <f ca="1"/>
        <v>45391</v>
      </c>
      <c r="M152" s="92">
        <f t="shared" ca="1" si="15"/>
        <v>11.25</v>
      </c>
      <c r="N152" s="143">
        <f ca="1">(PRODUCT($O$5:$O152)-1)*36000/_xlfn.DAYS(L152, $C$2)</f>
        <v>11.512373168101444</v>
      </c>
      <c r="O152" s="149">
        <f t="shared" ca="1" si="16"/>
        <v>1.0003124999999999</v>
      </c>
    </row>
    <row r="153" spans="12:15" x14ac:dyDescent="0.25">
      <c r="L153" s="146">
        <f ca="1"/>
        <v>45392</v>
      </c>
      <c r="M153" s="92">
        <f t="shared" ca="1" si="15"/>
        <v>11.25</v>
      </c>
      <c r="N153" s="143">
        <f ca="1">(PRODUCT($O$5:$O153)-1)*36000/_xlfn.DAYS(L153, $C$2)</f>
        <v>11.514185745892874</v>
      </c>
      <c r="O153" s="149">
        <f t="shared" ca="1" si="16"/>
        <v>1.0003124999999999</v>
      </c>
    </row>
    <row r="154" spans="12:15" x14ac:dyDescent="0.25">
      <c r="L154" s="146">
        <f ca="1"/>
        <v>45393</v>
      </c>
      <c r="M154" s="92">
        <f t="shared" ca="1" si="15"/>
        <v>11.25</v>
      </c>
      <c r="N154" s="143">
        <f ca="1">(PRODUCT($O$5:$O154)-1)*36000/_xlfn.DAYS(L154, $C$2)</f>
        <v>11.51599870274552</v>
      </c>
      <c r="O154" s="149">
        <f t="shared" ca="1" si="16"/>
        <v>1.0003124999999999</v>
      </c>
    </row>
    <row r="155" spans="12:15" x14ac:dyDescent="0.25">
      <c r="L155" s="146">
        <f ca="1"/>
        <v>45394</v>
      </c>
      <c r="M155" s="92">
        <f t="shared" ca="1" si="15"/>
        <v>11.25</v>
      </c>
      <c r="N155" s="143">
        <f ca="1">(PRODUCT($O$5:$O155)-1)*36000/_xlfn.DAYS(L155, $C$2)</f>
        <v>11.51781203874844</v>
      </c>
      <c r="O155" s="149">
        <f t="shared" ca="1" si="16"/>
        <v>1.0003124999999999</v>
      </c>
    </row>
    <row r="156" spans="12:15" x14ac:dyDescent="0.25">
      <c r="L156" s="146">
        <f ca="1"/>
        <v>45395</v>
      </c>
      <c r="M156" s="92">
        <f t="shared" ca="1" si="15"/>
        <v>11.25</v>
      </c>
      <c r="N156" s="143">
        <f ca="1">(PRODUCT($O$5:$O156)-1)*36000/_xlfn.DAYS(L156, $C$2)</f>
        <v>11.519625753990715</v>
      </c>
      <c r="O156" s="149">
        <f t="shared" ca="1" si="16"/>
        <v>1.0003124999999999</v>
      </c>
    </row>
    <row r="157" spans="12:15" x14ac:dyDescent="0.25">
      <c r="L157" s="146">
        <f ca="1"/>
        <v>45396</v>
      </c>
      <c r="M157" s="92">
        <f t="shared" ca="1" si="15"/>
        <v>11.25</v>
      </c>
      <c r="N157" s="143">
        <f ca="1">(PRODUCT($O$5:$O157)-1)*36000/_xlfn.DAYS(L157, $C$2)</f>
        <v>11.521439848561453</v>
      </c>
      <c r="O157" s="149">
        <f t="shared" ca="1" si="16"/>
        <v>1.0003124999999999</v>
      </c>
    </row>
    <row r="158" spans="12:15" x14ac:dyDescent="0.25">
      <c r="L158" s="146">
        <f ca="1"/>
        <v>45397</v>
      </c>
      <c r="M158" s="92">
        <f t="shared" ca="1" si="15"/>
        <v>11.25</v>
      </c>
      <c r="N158" s="143">
        <f ca="1">(PRODUCT($O$5:$O158)-1)*36000/_xlfn.DAYS(L158, $C$2)</f>
        <v>11.523254322549723</v>
      </c>
      <c r="O158" s="149">
        <f t="shared" ca="1" si="16"/>
        <v>1.0003124999999999</v>
      </c>
    </row>
    <row r="159" spans="12:15" x14ac:dyDescent="0.25">
      <c r="L159" s="146">
        <f ca="1"/>
        <v>45398</v>
      </c>
      <c r="M159" s="92">
        <f t="shared" ca="1" si="15"/>
        <v>11.25</v>
      </c>
      <c r="N159" s="143">
        <f ca="1">(PRODUCT($O$5:$O159)-1)*36000/_xlfn.DAYS(L159, $C$2)</f>
        <v>11.525069176044676</v>
      </c>
      <c r="O159" s="149">
        <f t="shared" ca="1" si="16"/>
        <v>1.0003124999999999</v>
      </c>
    </row>
    <row r="160" spans="12:15" x14ac:dyDescent="0.25">
      <c r="L160" s="146">
        <f ca="1"/>
        <v>45399</v>
      </c>
      <c r="M160" s="92">
        <f t="shared" ca="1" si="15"/>
        <v>11.25</v>
      </c>
      <c r="N160" s="143">
        <f ca="1">(PRODUCT($O$5:$O160)-1)*36000/_xlfn.DAYS(L160, $C$2)</f>
        <v>11.526884409135477</v>
      </c>
      <c r="O160" s="149">
        <f t="shared" ca="1" si="16"/>
        <v>1.0003124999999999</v>
      </c>
    </row>
    <row r="161" spans="12:15" x14ac:dyDescent="0.25">
      <c r="L161" s="146">
        <f ca="1"/>
        <v>45400</v>
      </c>
      <c r="M161" s="92">
        <f t="shared" ca="1" si="15"/>
        <v>11.25</v>
      </c>
      <c r="N161" s="143">
        <f ca="1">(PRODUCT($O$5:$O161)-1)*36000/_xlfn.DAYS(L161, $C$2)</f>
        <v>11.528700021911312</v>
      </c>
      <c r="O161" s="149">
        <f t="shared" ca="1" si="16"/>
        <v>1.0003124999999999</v>
      </c>
    </row>
    <row r="162" spans="12:15" x14ac:dyDescent="0.25">
      <c r="L162" s="146">
        <f ca="1"/>
        <v>45401</v>
      </c>
      <c r="M162" s="92">
        <f t="shared" ca="1" si="15"/>
        <v>11.25</v>
      </c>
      <c r="N162" s="143">
        <f ca="1">(PRODUCT($O$5:$O162)-1)*36000/_xlfn.DAYS(L162, $C$2)</f>
        <v>11.530516014461389</v>
      </c>
      <c r="O162" s="149">
        <f t="shared" ca="1" si="16"/>
        <v>1.0003124999999999</v>
      </c>
    </row>
    <row r="163" spans="12:15" x14ac:dyDescent="0.25">
      <c r="L163" s="146">
        <f ca="1"/>
        <v>45402</v>
      </c>
      <c r="M163" s="92">
        <f t="shared" ca="1" si="15"/>
        <v>11.25</v>
      </c>
      <c r="N163" s="143">
        <f ca="1">(PRODUCT($O$5:$O163)-1)*36000/_xlfn.DAYS(L163, $C$2)</f>
        <v>11.532332386874931</v>
      </c>
      <c r="O163" s="149">
        <f t="shared" ca="1" si="16"/>
        <v>1.0003124999999999</v>
      </c>
    </row>
    <row r="164" spans="12:15" x14ac:dyDescent="0.25">
      <c r="L164" s="146">
        <f ca="1"/>
        <v>45403</v>
      </c>
      <c r="M164" s="92">
        <f t="shared" ca="1" si="15"/>
        <v>11.25</v>
      </c>
      <c r="N164" s="143">
        <f ca="1">(PRODUCT($O$5:$O164)-1)*36000/_xlfn.DAYS(L164, $C$2)</f>
        <v>11.534149139241128</v>
      </c>
      <c r="O164" s="149">
        <f t="shared" ca="1" si="16"/>
        <v>1.0003124999999999</v>
      </c>
    </row>
    <row r="165" spans="12:15" x14ac:dyDescent="0.25">
      <c r="L165" s="146">
        <f ca="1"/>
        <v>45404</v>
      </c>
      <c r="M165" s="92">
        <f t="shared" ca="1" si="15"/>
        <v>11.25</v>
      </c>
      <c r="N165" s="143">
        <f ca="1">(PRODUCT($O$5:$O165)-1)*36000/_xlfn.DAYS(L165, $C$2)</f>
        <v>11.535966271649341</v>
      </c>
      <c r="O165" s="149">
        <f t="shared" ca="1" si="16"/>
        <v>1.0003124999999999</v>
      </c>
    </row>
    <row r="166" spans="12:15" x14ac:dyDescent="0.25">
      <c r="L166" s="146">
        <f ca="1"/>
        <v>45405</v>
      </c>
      <c r="M166" s="92">
        <f t="shared" ca="1" si="15"/>
        <v>11.25</v>
      </c>
      <c r="N166" s="143">
        <f ca="1">(PRODUCT($O$5:$O166)-1)*36000/_xlfn.DAYS(L166, $C$2)</f>
        <v>11.537783784188793</v>
      </c>
      <c r="O166" s="149">
        <f t="shared" ca="1" si="16"/>
        <v>1.0003124999999999</v>
      </c>
    </row>
    <row r="167" spans="12:15" x14ac:dyDescent="0.25">
      <c r="L167" s="146">
        <f ca="1"/>
        <v>45406</v>
      </c>
      <c r="M167" s="92">
        <f t="shared" ca="1" si="15"/>
        <v>11.25</v>
      </c>
      <c r="N167" s="143">
        <f ca="1">(PRODUCT($O$5:$O167)-1)*36000/_xlfn.DAYS(L167, $C$2)</f>
        <v>11.539601676948823</v>
      </c>
      <c r="O167" s="149">
        <f t="shared" ca="1" si="16"/>
        <v>1.0003124999999999</v>
      </c>
    </row>
    <row r="168" spans="12:15" x14ac:dyDescent="0.25">
      <c r="L168" s="146">
        <f ca="1"/>
        <v>45407</v>
      </c>
      <c r="M168" s="92">
        <f t="shared" ca="1" si="15"/>
        <v>11.25</v>
      </c>
      <c r="N168" s="143">
        <f ca="1">(PRODUCT($O$5:$O168)-1)*36000/_xlfn.DAYS(L168, $C$2)</f>
        <v>11.541419950018739</v>
      </c>
      <c r="O168" s="149">
        <f t="shared" ca="1" si="16"/>
        <v>1.0003124999999999</v>
      </c>
    </row>
    <row r="169" spans="12:15" x14ac:dyDescent="0.25">
      <c r="L169" s="146">
        <f ca="1"/>
        <v>45408</v>
      </c>
      <c r="M169" s="92">
        <f t="shared" ca="1" si="15"/>
        <v>11.25</v>
      </c>
      <c r="N169" s="143">
        <f ca="1">(PRODUCT($O$5:$O169)-1)*36000/_xlfn.DAYS(L169, $C$2)</f>
        <v>11.543238603487959</v>
      </c>
      <c r="O169" s="149">
        <f t="shared" ca="1" si="16"/>
        <v>1.0003124999999999</v>
      </c>
    </row>
    <row r="170" spans="12:15" x14ac:dyDescent="0.25">
      <c r="L170" s="146">
        <f ca="1"/>
        <v>45409</v>
      </c>
      <c r="M170" s="92">
        <f t="shared" ca="1" si="15"/>
        <v>11.25</v>
      </c>
      <c r="N170" s="143">
        <f ca="1">(PRODUCT($O$5:$O170)-1)*36000/_xlfn.DAYS(L170, $C$2)</f>
        <v>11.545057637445812</v>
      </c>
      <c r="O170" s="149">
        <f t="shared" ca="1" si="16"/>
        <v>1.0003124999999999</v>
      </c>
    </row>
    <row r="171" spans="12:15" x14ac:dyDescent="0.25">
      <c r="L171" s="146">
        <f ca="1"/>
        <v>45410</v>
      </c>
      <c r="M171" s="92">
        <f t="shared" ca="1" si="15"/>
        <v>11.25</v>
      </c>
      <c r="N171" s="143">
        <f ca="1">(PRODUCT($O$5:$O171)-1)*36000/_xlfn.DAYS(L171, $C$2)</f>
        <v>11.546877051981696</v>
      </c>
      <c r="O171" s="149">
        <f t="shared" ca="1" si="16"/>
        <v>1.0003124999999999</v>
      </c>
    </row>
    <row r="172" spans="12:15" x14ac:dyDescent="0.25">
      <c r="L172" s="146">
        <f ca="1"/>
        <v>45411</v>
      </c>
      <c r="M172" s="92">
        <f t="shared" ca="1" si="15"/>
        <v>11.25</v>
      </c>
      <c r="N172" s="143">
        <f ca="1">(PRODUCT($O$5:$O172)-1)*36000/_xlfn.DAYS(L172, $C$2)</f>
        <v>11.54869684718507</v>
      </c>
      <c r="O172" s="149">
        <f t="shared" ca="1" si="16"/>
        <v>1.0003124999999999</v>
      </c>
    </row>
    <row r="173" spans="12:15" x14ac:dyDescent="0.25">
      <c r="L173" s="146">
        <f ca="1"/>
        <v>45412</v>
      </c>
      <c r="M173" s="92">
        <f t="shared" ca="1" si="15"/>
        <v>11.25</v>
      </c>
      <c r="N173" s="143">
        <f ca="1">(PRODUCT($O$5:$O173)-1)*36000/_xlfn.DAYS(L173, $C$2)</f>
        <v>11.55051702314535</v>
      </c>
      <c r="O173" s="149">
        <f t="shared" ca="1" si="16"/>
        <v>1.0003124999999999</v>
      </c>
    </row>
    <row r="174" spans="12:15" x14ac:dyDescent="0.25">
      <c r="L174" s="146">
        <f ca="1"/>
        <v>45413</v>
      </c>
      <c r="M174" s="92">
        <f t="shared" ca="1" si="15"/>
        <v>11.25</v>
      </c>
      <c r="N174" s="143">
        <f ca="1">(PRODUCT($O$5:$O174)-1)*36000/_xlfn.DAYS(L174, $C$2)</f>
        <v>11.552337579952063</v>
      </c>
      <c r="O174" s="149">
        <f t="shared" ca="1" si="16"/>
        <v>1.0003124999999999</v>
      </c>
    </row>
    <row r="175" spans="12:15" x14ac:dyDescent="0.25">
      <c r="L175" s="146">
        <f ca="1"/>
        <v>45414</v>
      </c>
      <c r="M175" s="92">
        <f t="shared" ca="1" si="15"/>
        <v>11.25</v>
      </c>
      <c r="N175" s="143">
        <f ca="1">(PRODUCT($O$5:$O175)-1)*36000/_xlfn.DAYS(L175, $C$2)</f>
        <v>11.554158517694649</v>
      </c>
      <c r="O175" s="149">
        <f t="shared" ca="1" si="16"/>
        <v>1.0003124999999999</v>
      </c>
    </row>
    <row r="176" spans="12:15" x14ac:dyDescent="0.25">
      <c r="L176" s="146">
        <f ca="1"/>
        <v>45415</v>
      </c>
      <c r="M176" s="92">
        <f t="shared" ca="1" si="15"/>
        <v>11.25</v>
      </c>
      <c r="N176" s="143">
        <f ca="1">(PRODUCT($O$5:$O176)-1)*36000/_xlfn.DAYS(L176, $C$2)</f>
        <v>11.55597983646261</v>
      </c>
      <c r="O176" s="149">
        <f t="shared" ca="1" si="16"/>
        <v>1.0003124999999999</v>
      </c>
    </row>
    <row r="177" spans="12:15" x14ac:dyDescent="0.25">
      <c r="L177" s="146">
        <f ca="1"/>
        <v>45416</v>
      </c>
      <c r="M177" s="92">
        <f t="shared" ca="1" si="15"/>
        <v>11.25</v>
      </c>
      <c r="N177" s="143">
        <f ca="1">(PRODUCT($O$5:$O177)-1)*36000/_xlfn.DAYS(L177, $C$2)</f>
        <v>11.557801536345549</v>
      </c>
      <c r="O177" s="149">
        <f t="shared" ca="1" si="16"/>
        <v>1.0003124999999999</v>
      </c>
    </row>
    <row r="178" spans="12:15" x14ac:dyDescent="0.25">
      <c r="L178" s="146">
        <f ca="1"/>
        <v>45417</v>
      </c>
      <c r="M178" s="92">
        <f t="shared" ca="1" si="15"/>
        <v>11.25</v>
      </c>
      <c r="N178" s="143">
        <f ca="1">(PRODUCT($O$5:$O178)-1)*36000/_xlfn.DAYS(L178, $C$2)</f>
        <v>11.559623617432978</v>
      </c>
      <c r="O178" s="149">
        <f t="shared" ca="1" si="16"/>
        <v>1.0003124999999999</v>
      </c>
    </row>
    <row r="179" spans="12:15" x14ac:dyDescent="0.25">
      <c r="L179" s="146">
        <f ca="1"/>
        <v>45418</v>
      </c>
      <c r="M179" s="92">
        <f t="shared" ca="1" si="15"/>
        <v>11.25</v>
      </c>
      <c r="N179" s="143">
        <f ca="1">(PRODUCT($O$5:$O179)-1)*36000/_xlfn.DAYS(L179, $C$2)</f>
        <v>11.561446079814475</v>
      </c>
      <c r="O179" s="149">
        <f t="shared" ca="1" si="16"/>
        <v>1.0003124999999999</v>
      </c>
    </row>
    <row r="180" spans="12:15" x14ac:dyDescent="0.25">
      <c r="L180" s="146">
        <f ca="1"/>
        <v>45419</v>
      </c>
      <c r="M180" s="92">
        <f t="shared" ca="1" si="15"/>
        <v>11.25</v>
      </c>
      <c r="N180" s="143">
        <f ca="1">(PRODUCT($O$5:$O180)-1)*36000/_xlfn.DAYS(L180, $C$2)</f>
        <v>11.563268923579663</v>
      </c>
      <c r="O180" s="149">
        <f t="shared" ca="1" si="16"/>
        <v>1.0003124999999999</v>
      </c>
    </row>
    <row r="181" spans="12:15" x14ac:dyDescent="0.25">
      <c r="L181" s="146">
        <f ca="1"/>
        <v>45420</v>
      </c>
      <c r="M181" s="92">
        <f t="shared" ca="1" si="15"/>
        <v>11.25</v>
      </c>
      <c r="N181" s="143">
        <f ca="1">(PRODUCT($O$5:$O181)-1)*36000/_xlfn.DAYS(L181, $C$2)</f>
        <v>11.565092148818175</v>
      </c>
      <c r="O181" s="149">
        <f t="shared" ca="1" si="16"/>
        <v>1.0003124999999999</v>
      </c>
    </row>
    <row r="182" spans="12:15" x14ac:dyDescent="0.25">
      <c r="L182" s="146">
        <f ca="1"/>
        <v>45421</v>
      </c>
      <c r="M182" s="92">
        <f t="shared" ca="1" si="15"/>
        <v>11.25</v>
      </c>
      <c r="N182" s="143">
        <f ca="1">(PRODUCT($O$5:$O182)-1)*36000/_xlfn.DAYS(L182, $C$2)</f>
        <v>11.566915755619652</v>
      </c>
      <c r="O182" s="149">
        <f t="shared" ca="1" si="16"/>
        <v>1.0003124999999999</v>
      </c>
    </row>
    <row r="183" spans="12:15" x14ac:dyDescent="0.25">
      <c r="L183" s="146">
        <f ca="1"/>
        <v>45422</v>
      </c>
      <c r="M183" s="92">
        <f t="shared" ca="1" si="15"/>
        <v>11.25</v>
      </c>
      <c r="N183" s="143">
        <f ca="1">(PRODUCT($O$5:$O183)-1)*36000/_xlfn.DAYS(L183, $C$2)</f>
        <v>11.568739744073739</v>
      </c>
      <c r="O183" s="149">
        <f t="shared" ca="1" si="16"/>
        <v>1.0003124999999999</v>
      </c>
    </row>
    <row r="184" spans="12:15" x14ac:dyDescent="0.25">
      <c r="L184" s="146">
        <f ca="1"/>
        <v>45423</v>
      </c>
      <c r="M184" s="92">
        <f t="shared" ca="1" si="15"/>
        <v>11.25</v>
      </c>
      <c r="N184" s="143">
        <f ca="1">(PRODUCT($O$5:$O184)-1)*36000/_xlfn.DAYS(L184, $C$2)</f>
        <v>11.570564114270175</v>
      </c>
      <c r="O184" s="149">
        <f t="shared" ca="1" si="16"/>
        <v>1.0003124999999999</v>
      </c>
    </row>
    <row r="185" spans="12:15" x14ac:dyDescent="0.25">
      <c r="L185" s="146">
        <f ca="1"/>
        <v>45424</v>
      </c>
      <c r="M185" s="92">
        <f t="shared" ca="1" si="15"/>
        <v>11.25</v>
      </c>
      <c r="N185" s="143">
        <f ca="1">(PRODUCT($O$5:$O185)-1)*36000/_xlfn.DAYS(L185, $C$2)</f>
        <v>11.572388866298667</v>
      </c>
      <c r="O185" s="149">
        <f t="shared" ca="1" si="16"/>
        <v>1.0003124999999999</v>
      </c>
    </row>
    <row r="186" spans="12:15" x14ac:dyDescent="0.25">
      <c r="L186" s="146">
        <f ca="1"/>
        <v>45425</v>
      </c>
      <c r="M186" s="92">
        <f t="shared" ca="1" si="15"/>
        <v>11.25</v>
      </c>
      <c r="N186" s="143">
        <f ca="1">(PRODUCT($O$5:$O186)-1)*36000/_xlfn.DAYS(L186, $C$2)</f>
        <v>11.574214000248913</v>
      </c>
      <c r="O186" s="149">
        <f t="shared" ca="1" si="16"/>
        <v>1.0003124999999999</v>
      </c>
    </row>
    <row r="187" spans="12:15" x14ac:dyDescent="0.25">
      <c r="L187" s="146">
        <f ca="1"/>
        <v>45426</v>
      </c>
      <c r="M187" s="92">
        <f t="shared" ca="1" si="15"/>
        <v>11.25</v>
      </c>
      <c r="N187" s="143">
        <f ca="1">(PRODUCT($O$5:$O187)-1)*36000/_xlfn.DAYS(L187, $C$2)</f>
        <v>11.576039516210717</v>
      </c>
      <c r="O187" s="149">
        <f t="shared" ca="1" si="16"/>
        <v>1.0003124999999999</v>
      </c>
    </row>
    <row r="188" spans="12:15" x14ac:dyDescent="0.25">
      <c r="L188" s="146">
        <f ca="1"/>
        <v>45427</v>
      </c>
      <c r="M188" s="92">
        <f t="shared" ca="1" si="15"/>
        <v>11.25</v>
      </c>
      <c r="N188" s="143">
        <f ca="1">(PRODUCT($O$5:$O188)-1)*36000/_xlfn.DAYS(L188, $C$2)</f>
        <v>11.577865414273877</v>
      </c>
      <c r="O188" s="149">
        <f t="shared" ca="1" si="16"/>
        <v>1.0003124999999999</v>
      </c>
    </row>
    <row r="189" spans="12:15" x14ac:dyDescent="0.25">
      <c r="L189" s="146">
        <f ca="1"/>
        <v>45428</v>
      </c>
      <c r="M189" s="92">
        <f t="shared" ca="1" si="15"/>
        <v>11.25</v>
      </c>
      <c r="N189" s="143">
        <f ca="1">(PRODUCT($O$5:$O189)-1)*36000/_xlfn.DAYS(L189, $C$2)</f>
        <v>11.579691694528154</v>
      </c>
      <c r="O189" s="149">
        <f t="shared" ca="1" si="16"/>
        <v>1.0003124999999999</v>
      </c>
    </row>
    <row r="190" spans="12:15" x14ac:dyDescent="0.25">
      <c r="L190" s="146">
        <f ca="1"/>
        <v>45429</v>
      </c>
      <c r="M190" s="92">
        <f t="shared" ca="1" si="15"/>
        <v>11.25</v>
      </c>
      <c r="N190" s="143">
        <f ca="1">(PRODUCT($O$5:$O190)-1)*36000/_xlfn.DAYS(L190, $C$2)</f>
        <v>11.581518357063402</v>
      </c>
      <c r="O190" s="149">
        <f t="shared" ca="1" si="16"/>
        <v>1.0003124999999999</v>
      </c>
    </row>
    <row r="191" spans="12:15" x14ac:dyDescent="0.25">
      <c r="L191" s="146">
        <f ca="1"/>
        <v>45430</v>
      </c>
      <c r="M191" s="92">
        <f t="shared" ca="1" si="15"/>
        <v>11.25</v>
      </c>
      <c r="N191" s="143">
        <f ca="1">(PRODUCT($O$5:$O191)-1)*36000/_xlfn.DAYS(L191, $C$2)</f>
        <v>11.583345401969508</v>
      </c>
      <c r="O191" s="149">
        <f t="shared" ca="1" si="16"/>
        <v>1.0003124999999999</v>
      </c>
    </row>
    <row r="192" spans="12:15" x14ac:dyDescent="0.25">
      <c r="L192" s="146">
        <f ca="1"/>
        <v>45431</v>
      </c>
      <c r="M192" s="92">
        <f t="shared" ca="1" si="15"/>
        <v>11.25</v>
      </c>
      <c r="N192" s="143">
        <f ca="1">(PRODUCT($O$5:$O192)-1)*36000/_xlfn.DAYS(L192, $C$2)</f>
        <v>11.585172829336289</v>
      </c>
      <c r="O192" s="149">
        <f t="shared" ca="1" si="16"/>
        <v>1.0003124999999999</v>
      </c>
    </row>
    <row r="193" spans="12:15" x14ac:dyDescent="0.25">
      <c r="L193" s="146">
        <f ca="1"/>
        <v>45432</v>
      </c>
      <c r="M193" s="92">
        <f t="shared" ca="1" si="15"/>
        <v>11.25</v>
      </c>
      <c r="N193" s="143">
        <f ca="1">(PRODUCT($O$5:$O193)-1)*36000/_xlfn.DAYS(L193, $C$2)</f>
        <v>11.587000639253679</v>
      </c>
      <c r="O193" s="149">
        <f t="shared" ca="1" si="16"/>
        <v>1.0003124999999999</v>
      </c>
    </row>
    <row r="194" spans="12:15" x14ac:dyDescent="0.25">
      <c r="L194" s="146">
        <f ca="1"/>
        <v>45433</v>
      </c>
      <c r="M194" s="92">
        <f t="shared" ca="1" si="15"/>
        <v>11.25</v>
      </c>
      <c r="N194" s="143">
        <f ca="1">(PRODUCT($O$5:$O194)-1)*36000/_xlfn.DAYS(L194, $C$2)</f>
        <v>11.588828831811581</v>
      </c>
      <c r="O194" s="149">
        <f t="shared" ca="1" si="16"/>
        <v>1.0003124999999999</v>
      </c>
    </row>
    <row r="195" spans="12:15" x14ac:dyDescent="0.25">
      <c r="L195" s="146">
        <f ca="1"/>
        <v>45434</v>
      </c>
      <c r="M195" s="92">
        <f t="shared" ca="1" si="15"/>
        <v>11.25</v>
      </c>
      <c r="N195" s="143">
        <f ca="1">(PRODUCT($O$5:$O195)-1)*36000/_xlfn.DAYS(L195, $C$2)</f>
        <v>11.590657407099929</v>
      </c>
      <c r="O195" s="149">
        <f t="shared" ca="1" si="16"/>
        <v>1.0003124999999999</v>
      </c>
    </row>
    <row r="196" spans="12:15" x14ac:dyDescent="0.25">
      <c r="L196" s="146">
        <f ca="1"/>
        <v>45435</v>
      </c>
      <c r="M196" s="92">
        <f t="shared" ca="1" si="15"/>
        <v>11.25</v>
      </c>
      <c r="N196" s="143">
        <f ca="1">(PRODUCT($O$5:$O196)-1)*36000/_xlfn.DAYS(L196, $C$2)</f>
        <v>11.592486365208709</v>
      </c>
      <c r="O196" s="149">
        <f t="shared" ca="1" si="16"/>
        <v>1.0003124999999999</v>
      </c>
    </row>
    <row r="197" spans="12:15" x14ac:dyDescent="0.25">
      <c r="L197" s="146">
        <f ca="1"/>
        <v>45436</v>
      </c>
      <c r="M197" s="92">
        <f t="shared" ref="M197:M260" ca="1" si="17">IFERROR(INDEX($E$27:$H$47, MATCH(L197, $F$27:$F$47, 0), 4), IF(ISNUMBER(M196), M196, $C$5))</f>
        <v>11.25</v>
      </c>
      <c r="N197" s="143">
        <f ca="1">(PRODUCT($O$5:$O197)-1)*36000/_xlfn.DAYS(L197, $C$2)</f>
        <v>11.594315706227897</v>
      </c>
      <c r="O197" s="149">
        <f t="shared" ca="1" si="16"/>
        <v>1.0003124999999999</v>
      </c>
    </row>
    <row r="198" spans="12:15" x14ac:dyDescent="0.25">
      <c r="L198" s="146">
        <f ca="1"/>
        <v>45437</v>
      </c>
      <c r="M198" s="92">
        <f t="shared" ca="1" si="17"/>
        <v>11.25</v>
      </c>
      <c r="N198" s="143">
        <f ca="1">(PRODUCT($O$5:$O198)-1)*36000/_xlfn.DAYS(L198, $C$2)</f>
        <v>11.596145430247478</v>
      </c>
      <c r="O198" s="149">
        <f t="shared" ref="O198:O261" ca="1" si="18">1+M198*IFERROR(_xlfn.DAYS(L198, L197), _xlfn.DAYS(L198, $C$2))/36000</f>
        <v>1.0003124999999999</v>
      </c>
    </row>
    <row r="199" spans="12:15" x14ac:dyDescent="0.25">
      <c r="L199" s="146">
        <f ca="1"/>
        <v>45438</v>
      </c>
      <c r="M199" s="92">
        <f t="shared" ca="1" si="17"/>
        <v>11.25</v>
      </c>
      <c r="N199" s="143">
        <f ca="1">(PRODUCT($O$5:$O199)-1)*36000/_xlfn.DAYS(L199, $C$2)</f>
        <v>11.597975537357504</v>
      </c>
      <c r="O199" s="149">
        <f t="shared" ca="1" si="18"/>
        <v>1.0003124999999999</v>
      </c>
    </row>
    <row r="200" spans="12:15" x14ac:dyDescent="0.25">
      <c r="L200" s="146">
        <f ca="1"/>
        <v>45439</v>
      </c>
      <c r="M200" s="92">
        <f t="shared" ca="1" si="17"/>
        <v>11.25</v>
      </c>
      <c r="N200" s="143">
        <f ca="1">(PRODUCT($O$5:$O200)-1)*36000/_xlfn.DAYS(L200, $C$2)</f>
        <v>11.599806027648038</v>
      </c>
      <c r="O200" s="149">
        <f t="shared" ca="1" si="18"/>
        <v>1.0003124999999999</v>
      </c>
    </row>
    <row r="201" spans="12:15" x14ac:dyDescent="0.25">
      <c r="L201" s="146">
        <f ca="1"/>
        <v>45440</v>
      </c>
      <c r="M201" s="92">
        <f t="shared" ca="1" si="17"/>
        <v>11.25</v>
      </c>
      <c r="N201" s="143">
        <f ca="1">(PRODUCT($O$5:$O201)-1)*36000/_xlfn.DAYS(L201, $C$2)</f>
        <v>11.60163690120917</v>
      </c>
      <c r="O201" s="149">
        <f t="shared" ca="1" si="18"/>
        <v>1.0003124999999999</v>
      </c>
    </row>
    <row r="202" spans="12:15" x14ac:dyDescent="0.25">
      <c r="L202" s="146">
        <f ca="1"/>
        <v>45441</v>
      </c>
      <c r="M202" s="92">
        <f t="shared" ca="1" si="17"/>
        <v>11.25</v>
      </c>
      <c r="N202" s="143">
        <f ca="1">(PRODUCT($O$5:$O202)-1)*36000/_xlfn.DAYS(L202, $C$2)</f>
        <v>11.603468158130998</v>
      </c>
      <c r="O202" s="149">
        <f t="shared" ca="1" si="18"/>
        <v>1.0003124999999999</v>
      </c>
    </row>
    <row r="203" spans="12:15" x14ac:dyDescent="0.25">
      <c r="L203" s="146">
        <f ca="1"/>
        <v>45442</v>
      </c>
      <c r="M203" s="92">
        <f t="shared" ca="1" si="17"/>
        <v>11.25</v>
      </c>
      <c r="N203" s="143">
        <f ca="1">(PRODUCT($O$5:$O203)-1)*36000/_xlfn.DAYS(L203, $C$2)</f>
        <v>11.605299798503607</v>
      </c>
      <c r="O203" s="149">
        <f t="shared" ca="1" si="18"/>
        <v>1.0003124999999999</v>
      </c>
    </row>
    <row r="204" spans="12:15" x14ac:dyDescent="0.25">
      <c r="L204" s="146">
        <f ca="1"/>
        <v>45443</v>
      </c>
      <c r="M204" s="92">
        <f t="shared" ca="1" si="17"/>
        <v>11.25</v>
      </c>
      <c r="N204" s="143">
        <f ca="1">(PRODUCT($O$5:$O204)-1)*36000/_xlfn.DAYS(L204, $C$2)</f>
        <v>11.607131822417164</v>
      </c>
      <c r="O204" s="149">
        <f t="shared" ca="1" si="18"/>
        <v>1.0003124999999999</v>
      </c>
    </row>
    <row r="205" spans="12:15" x14ac:dyDescent="0.25">
      <c r="L205" s="146">
        <f ca="1"/>
        <v>45444</v>
      </c>
      <c r="M205" s="92">
        <f t="shared" ca="1" si="17"/>
        <v>11.25</v>
      </c>
      <c r="N205" s="143">
        <f ca="1">(PRODUCT($O$5:$O205)-1)*36000/_xlfn.DAYS(L205, $C$2)</f>
        <v>11.608964229961865</v>
      </c>
      <c r="O205" s="149">
        <f t="shared" ca="1" si="18"/>
        <v>1.0003124999999999</v>
      </c>
    </row>
    <row r="206" spans="12:15" x14ac:dyDescent="0.25">
      <c r="L206" s="146">
        <f ca="1"/>
        <v>45445</v>
      </c>
      <c r="M206" s="92">
        <f t="shared" ca="1" si="17"/>
        <v>11.25</v>
      </c>
      <c r="N206" s="143">
        <f ca="1">(PRODUCT($O$5:$O206)-1)*36000/_xlfn.DAYS(L206, $C$2)</f>
        <v>11.610797021227871</v>
      </c>
      <c r="O206" s="149">
        <f t="shared" ca="1" si="18"/>
        <v>1.0003124999999999</v>
      </c>
    </row>
    <row r="207" spans="12:15" x14ac:dyDescent="0.25">
      <c r="L207" s="146">
        <f ca="1"/>
        <v>45446</v>
      </c>
      <c r="M207" s="92">
        <f t="shared" ca="1" si="17"/>
        <v>11.25</v>
      </c>
      <c r="N207" s="143">
        <f ca="1">(PRODUCT($O$5:$O207)-1)*36000/_xlfn.DAYS(L207, $C$2)</f>
        <v>11.612630196305366</v>
      </c>
      <c r="O207" s="149">
        <f t="shared" ca="1" si="18"/>
        <v>1.0003124999999999</v>
      </c>
    </row>
    <row r="208" spans="12:15" x14ac:dyDescent="0.25">
      <c r="L208" s="146">
        <f ca="1"/>
        <v>45447</v>
      </c>
      <c r="M208" s="92">
        <f t="shared" ca="1" si="17"/>
        <v>11.25</v>
      </c>
      <c r="N208" s="143">
        <f ca="1">(PRODUCT($O$5:$O208)-1)*36000/_xlfn.DAYS(L208, $C$2)</f>
        <v>11.614463755284619</v>
      </c>
      <c r="O208" s="149">
        <f t="shared" ca="1" si="18"/>
        <v>1.0003124999999999</v>
      </c>
    </row>
    <row r="209" spans="12:15" x14ac:dyDescent="0.25">
      <c r="L209" s="146">
        <f ca="1"/>
        <v>45448</v>
      </c>
      <c r="M209" s="92">
        <f t="shared" ca="1" si="17"/>
        <v>11.25</v>
      </c>
      <c r="N209" s="143">
        <f ca="1">(PRODUCT($O$5:$O209)-1)*36000/_xlfn.DAYS(L209, $C$2)</f>
        <v>11.616297698255885</v>
      </c>
      <c r="O209" s="149">
        <f t="shared" ca="1" si="18"/>
        <v>1.0003124999999999</v>
      </c>
    </row>
    <row r="210" spans="12:15" x14ac:dyDescent="0.25">
      <c r="L210" s="146">
        <f ca="1"/>
        <v>45449</v>
      </c>
      <c r="M210" s="92">
        <f t="shared" ca="1" si="17"/>
        <v>11.25</v>
      </c>
      <c r="N210" s="143">
        <f ca="1">(PRODUCT($O$5:$O210)-1)*36000/_xlfn.DAYS(L210, $C$2)</f>
        <v>11.618132025309452</v>
      </c>
      <c r="O210" s="149">
        <f t="shared" ca="1" si="18"/>
        <v>1.0003124999999999</v>
      </c>
    </row>
    <row r="211" spans="12:15" x14ac:dyDescent="0.25">
      <c r="L211" s="146">
        <f ca="1"/>
        <v>45450</v>
      </c>
      <c r="M211" s="92">
        <f t="shared" ca="1" si="17"/>
        <v>11.25</v>
      </c>
      <c r="N211" s="143">
        <f ca="1">(PRODUCT($O$5:$O211)-1)*36000/_xlfn.DAYS(L211, $C$2)</f>
        <v>11.619966736535604</v>
      </c>
      <c r="O211" s="149">
        <f t="shared" ca="1" si="18"/>
        <v>1.0003124999999999</v>
      </c>
    </row>
    <row r="212" spans="12:15" x14ac:dyDescent="0.25">
      <c r="L212" s="146">
        <f ca="1"/>
        <v>45451</v>
      </c>
      <c r="M212" s="92">
        <f t="shared" ca="1" si="17"/>
        <v>11.25</v>
      </c>
      <c r="N212" s="143">
        <f ca="1">(PRODUCT($O$5:$O212)-1)*36000/_xlfn.DAYS(L212, $C$2)</f>
        <v>11.621801832024694</v>
      </c>
      <c r="O212" s="149">
        <f t="shared" ca="1" si="18"/>
        <v>1.0003124999999999</v>
      </c>
    </row>
    <row r="213" spans="12:15" x14ac:dyDescent="0.25">
      <c r="L213" s="146">
        <f ca="1"/>
        <v>45452</v>
      </c>
      <c r="M213" s="92">
        <f t="shared" ca="1" si="17"/>
        <v>11.25</v>
      </c>
      <c r="N213" s="143">
        <f ca="1">(PRODUCT($O$5:$O213)-1)*36000/_xlfn.DAYS(L213, $C$2)</f>
        <v>11.623637311867064</v>
      </c>
      <c r="O213" s="149">
        <f t="shared" ca="1" si="18"/>
        <v>1.0003124999999999</v>
      </c>
    </row>
    <row r="214" spans="12:15" x14ac:dyDescent="0.25">
      <c r="L214" s="146">
        <f ca="1"/>
        <v>45453</v>
      </c>
      <c r="M214" s="92">
        <f t="shared" ca="1" si="17"/>
        <v>11.25</v>
      </c>
      <c r="N214" s="143">
        <f ca="1">(PRODUCT($O$5:$O214)-1)*36000/_xlfn.DAYS(L214, $C$2)</f>
        <v>11.625473176153088</v>
      </c>
      <c r="O214" s="149">
        <f t="shared" ca="1" si="18"/>
        <v>1.0003124999999999</v>
      </c>
    </row>
    <row r="215" spans="12:15" x14ac:dyDescent="0.25">
      <c r="L215" s="146">
        <f ca="1"/>
        <v>45454</v>
      </c>
      <c r="M215" s="92">
        <f t="shared" ca="1" si="17"/>
        <v>11.25</v>
      </c>
      <c r="N215" s="143">
        <f ca="1">(PRODUCT($O$5:$O215)-1)*36000/_xlfn.DAYS(L215, $C$2)</f>
        <v>11.627309424973134</v>
      </c>
      <c r="O215" s="149">
        <f t="shared" ca="1" si="18"/>
        <v>1.0003124999999999</v>
      </c>
    </row>
    <row r="216" spans="12:15" x14ac:dyDescent="0.25">
      <c r="L216" s="146">
        <f ca="1"/>
        <v>45455</v>
      </c>
      <c r="M216" s="92">
        <f t="shared" ca="1" si="17"/>
        <v>11.25</v>
      </c>
      <c r="N216" s="143">
        <f ca="1">(PRODUCT($O$5:$O216)-1)*36000/_xlfn.DAYS(L216, $C$2)</f>
        <v>11.629146058417636</v>
      </c>
      <c r="O216" s="149">
        <f t="shared" ca="1" si="18"/>
        <v>1.0003124999999999</v>
      </c>
    </row>
    <row r="217" spans="12:15" x14ac:dyDescent="0.25">
      <c r="L217" s="146">
        <f ca="1"/>
        <v>45456</v>
      </c>
      <c r="M217" s="92">
        <f t="shared" ca="1" si="17"/>
        <v>11.25</v>
      </c>
      <c r="N217" s="143">
        <f ca="1">(PRODUCT($O$5:$O217)-1)*36000/_xlfn.DAYS(L217, $C$2)</f>
        <v>11.630983076577015</v>
      </c>
      <c r="O217" s="149">
        <f t="shared" ca="1" si="18"/>
        <v>1.0003124999999999</v>
      </c>
    </row>
    <row r="218" spans="12:15" x14ac:dyDescent="0.25">
      <c r="L218" s="146">
        <f ca="1"/>
        <v>45457</v>
      </c>
      <c r="M218" s="92">
        <f t="shared" ca="1" si="17"/>
        <v>11.25</v>
      </c>
      <c r="N218" s="143">
        <f ca="1">(PRODUCT($O$5:$O218)-1)*36000/_xlfn.DAYS(L218, $C$2)</f>
        <v>11.632820479541762</v>
      </c>
      <c r="O218" s="149">
        <f t="shared" ca="1" si="18"/>
        <v>1.0003124999999999</v>
      </c>
    </row>
    <row r="219" spans="12:15" x14ac:dyDescent="0.25">
      <c r="L219" s="146">
        <f ca="1"/>
        <v>45458</v>
      </c>
      <c r="M219" s="92">
        <f t="shared" ca="1" si="17"/>
        <v>11.25</v>
      </c>
      <c r="N219" s="143">
        <f ca="1">(PRODUCT($O$5:$O219)-1)*36000/_xlfn.DAYS(L219, $C$2)</f>
        <v>11.634658267402354</v>
      </c>
      <c r="O219" s="149">
        <f t="shared" ca="1" si="18"/>
        <v>1.0003124999999999</v>
      </c>
    </row>
    <row r="220" spans="12:15" x14ac:dyDescent="0.25">
      <c r="L220" s="146">
        <f ca="1"/>
        <v>45459</v>
      </c>
      <c r="M220" s="92">
        <f t="shared" ca="1" si="17"/>
        <v>11.25</v>
      </c>
      <c r="N220" s="143">
        <f ca="1">(PRODUCT($O$5:$O220)-1)*36000/_xlfn.DAYS(L220, $C$2)</f>
        <v>11.636496440249298</v>
      </c>
      <c r="O220" s="149">
        <f t="shared" ca="1" si="18"/>
        <v>1.0003124999999999</v>
      </c>
    </row>
    <row r="221" spans="12:15" x14ac:dyDescent="0.25">
      <c r="L221" s="146">
        <f ca="1"/>
        <v>45460</v>
      </c>
      <c r="M221" s="92">
        <f t="shared" ca="1" si="17"/>
        <v>11.25</v>
      </c>
      <c r="N221" s="143">
        <f ca="1">(PRODUCT($O$5:$O221)-1)*36000/_xlfn.DAYS(L221, $C$2)</f>
        <v>11.638334998173086</v>
      </c>
      <c r="O221" s="149">
        <f t="shared" ca="1" si="18"/>
        <v>1.0003124999999999</v>
      </c>
    </row>
    <row r="222" spans="12:15" x14ac:dyDescent="0.25">
      <c r="L222" s="146">
        <f ca="1"/>
        <v>45461</v>
      </c>
      <c r="M222" s="92">
        <f t="shared" ca="1" si="17"/>
        <v>11.25</v>
      </c>
      <c r="N222" s="143">
        <f ca="1">(PRODUCT($O$5:$O222)-1)*36000/_xlfn.DAYS(L222, $C$2)</f>
        <v>11.640173941264313</v>
      </c>
      <c r="O222" s="149">
        <f t="shared" ca="1" si="18"/>
        <v>1.0003124999999999</v>
      </c>
    </row>
    <row r="223" spans="12:15" x14ac:dyDescent="0.25">
      <c r="L223" s="146">
        <f ca="1"/>
        <v>45462</v>
      </c>
      <c r="M223" s="92">
        <f t="shared" ca="1" si="17"/>
        <v>11.25</v>
      </c>
      <c r="N223" s="143">
        <f ca="1">(PRODUCT($O$5:$O223)-1)*36000/_xlfn.DAYS(L223, $C$2)</f>
        <v>11.64201326961353</v>
      </c>
      <c r="O223" s="149">
        <f t="shared" ca="1" si="18"/>
        <v>1.0003124999999999</v>
      </c>
    </row>
    <row r="224" spans="12:15" x14ac:dyDescent="0.25">
      <c r="L224" s="146">
        <f ca="1"/>
        <v>45463</v>
      </c>
      <c r="M224" s="92">
        <f t="shared" ca="1" si="17"/>
        <v>11.25</v>
      </c>
      <c r="N224" s="143">
        <f ca="1">(PRODUCT($O$5:$O224)-1)*36000/_xlfn.DAYS(L224, $C$2)</f>
        <v>11.643852983311374</v>
      </c>
      <c r="O224" s="149">
        <f t="shared" ca="1" si="18"/>
        <v>1.0003124999999999</v>
      </c>
    </row>
    <row r="225" spans="12:15" x14ac:dyDescent="0.25">
      <c r="L225" s="146">
        <f ca="1"/>
        <v>45464</v>
      </c>
      <c r="M225" s="92">
        <f t="shared" ca="1" si="17"/>
        <v>11.25</v>
      </c>
      <c r="N225" s="143">
        <f ca="1">(PRODUCT($O$5:$O225)-1)*36000/_xlfn.DAYS(L225, $C$2)</f>
        <v>11.645693082448442</v>
      </c>
      <c r="O225" s="149">
        <f t="shared" ca="1" si="18"/>
        <v>1.0003124999999999</v>
      </c>
    </row>
    <row r="226" spans="12:15" x14ac:dyDescent="0.25">
      <c r="L226" s="146">
        <f ca="1"/>
        <v>45465</v>
      </c>
      <c r="M226" s="92">
        <f t="shared" ca="1" si="17"/>
        <v>11.25</v>
      </c>
      <c r="N226" s="143">
        <f ca="1">(PRODUCT($O$5:$O226)-1)*36000/_xlfn.DAYS(L226, $C$2)</f>
        <v>11.647533567115355</v>
      </c>
      <c r="O226" s="149">
        <f t="shared" ca="1" si="18"/>
        <v>1.0003124999999999</v>
      </c>
    </row>
    <row r="227" spans="12:15" x14ac:dyDescent="0.25">
      <c r="L227" s="146">
        <f ca="1"/>
        <v>45466</v>
      </c>
      <c r="M227" s="92">
        <f t="shared" ca="1" si="17"/>
        <v>11.25</v>
      </c>
      <c r="N227" s="143">
        <f ca="1">(PRODUCT($O$5:$O227)-1)*36000/_xlfn.DAYS(L227, $C$2)</f>
        <v>11.649374437402786</v>
      </c>
      <c r="O227" s="149">
        <f t="shared" ca="1" si="18"/>
        <v>1.0003124999999999</v>
      </c>
    </row>
    <row r="228" spans="12:15" x14ac:dyDescent="0.25">
      <c r="L228" s="146">
        <f ca="1"/>
        <v>45467</v>
      </c>
      <c r="M228" s="92">
        <f t="shared" ca="1" si="17"/>
        <v>11.25</v>
      </c>
      <c r="N228" s="143">
        <f ca="1">(PRODUCT($O$5:$O228)-1)*36000/_xlfn.DAYS(L228, $C$2)</f>
        <v>11.651215693401436</v>
      </c>
      <c r="O228" s="149">
        <f t="shared" ca="1" si="18"/>
        <v>1.0003124999999999</v>
      </c>
    </row>
    <row r="229" spans="12:15" x14ac:dyDescent="0.25">
      <c r="L229" s="146">
        <f ca="1"/>
        <v>45468</v>
      </c>
      <c r="M229" s="92">
        <f t="shared" ca="1" si="17"/>
        <v>11.25</v>
      </c>
      <c r="N229" s="143">
        <f ca="1">(PRODUCT($O$5:$O229)-1)*36000/_xlfn.DAYS(L229, $C$2)</f>
        <v>11.653057335202028</v>
      </c>
      <c r="O229" s="149">
        <f t="shared" ca="1" si="18"/>
        <v>1.0003124999999999</v>
      </c>
    </row>
    <row r="230" spans="12:15" x14ac:dyDescent="0.25">
      <c r="L230" s="146">
        <f ca="1"/>
        <v>45469</v>
      </c>
      <c r="M230" s="92">
        <f t="shared" ca="1" si="17"/>
        <v>11.25</v>
      </c>
      <c r="N230" s="143">
        <f ca="1">(PRODUCT($O$5:$O230)-1)*36000/_xlfn.DAYS(L230, $C$2)</f>
        <v>11.654899362895305</v>
      </c>
      <c r="O230" s="149">
        <f t="shared" ca="1" si="18"/>
        <v>1.0003124999999999</v>
      </c>
    </row>
    <row r="231" spans="12:15" x14ac:dyDescent="0.25">
      <c r="L231" s="146">
        <f ca="1"/>
        <v>45470</v>
      </c>
      <c r="M231" s="92">
        <f t="shared" ca="1" si="17"/>
        <v>11.25</v>
      </c>
      <c r="N231" s="143">
        <f ca="1">(PRODUCT($O$5:$O231)-1)*36000/_xlfn.DAYS(L231, $C$2)</f>
        <v>11.656741776571996</v>
      </c>
      <c r="O231" s="149">
        <f t="shared" ca="1" si="18"/>
        <v>1.0003124999999999</v>
      </c>
    </row>
    <row r="232" spans="12:15" x14ac:dyDescent="0.25">
      <c r="L232" s="146">
        <f ca="1"/>
        <v>45471</v>
      </c>
      <c r="M232" s="92">
        <f t="shared" ca="1" si="17"/>
        <v>11.25</v>
      </c>
      <c r="N232" s="143">
        <f ca="1">(PRODUCT($O$5:$O232)-1)*36000/_xlfn.DAYS(L232, $C$2)</f>
        <v>11.658584576322886</v>
      </c>
      <c r="O232" s="149">
        <f t="shared" ca="1" si="18"/>
        <v>1.0003124999999999</v>
      </c>
    </row>
    <row r="233" spans="12:15" x14ac:dyDescent="0.25">
      <c r="L233" s="146">
        <f ca="1"/>
        <v>45472</v>
      </c>
      <c r="M233" s="92">
        <f t="shared" ca="1" si="17"/>
        <v>11.25</v>
      </c>
      <c r="N233" s="143">
        <f ca="1">(PRODUCT($O$5:$O233)-1)*36000/_xlfn.DAYS(L233, $C$2)</f>
        <v>11.660427762238777</v>
      </c>
      <c r="O233" s="149">
        <f t="shared" ca="1" si="18"/>
        <v>1.0003124999999999</v>
      </c>
    </row>
    <row r="234" spans="12:15" x14ac:dyDescent="0.25">
      <c r="L234" s="146">
        <f ca="1"/>
        <v>45473</v>
      </c>
      <c r="M234" s="92">
        <f t="shared" ca="1" si="17"/>
        <v>11.25</v>
      </c>
      <c r="N234" s="143">
        <f ca="1">(PRODUCT($O$5:$O234)-1)*36000/_xlfn.DAYS(L234, $C$2)</f>
        <v>11.662271334410498</v>
      </c>
      <c r="O234" s="149">
        <f t="shared" ca="1" si="18"/>
        <v>1.0003124999999999</v>
      </c>
    </row>
    <row r="235" spans="12:15" x14ac:dyDescent="0.25">
      <c r="L235" s="146">
        <f ca="1"/>
        <v>45474</v>
      </c>
      <c r="M235" s="92">
        <f t="shared" ca="1" si="17"/>
        <v>11.25</v>
      </c>
      <c r="N235" s="143">
        <f ca="1">(PRODUCT($O$5:$O235)-1)*36000/_xlfn.DAYS(L235, $C$2)</f>
        <v>11.664115292928887</v>
      </c>
      <c r="O235" s="149">
        <f t="shared" ca="1" si="18"/>
        <v>1.0003124999999999</v>
      </c>
    </row>
    <row r="236" spans="12:15" x14ac:dyDescent="0.25">
      <c r="L236" s="146">
        <f ca="1"/>
        <v>45475</v>
      </c>
      <c r="M236" s="92">
        <f t="shared" ca="1" si="17"/>
        <v>11.25</v>
      </c>
      <c r="N236" s="143">
        <f ca="1">(PRODUCT($O$5:$O236)-1)*36000/_xlfn.DAYS(L236, $C$2)</f>
        <v>11.665959637884809</v>
      </c>
      <c r="O236" s="149">
        <f t="shared" ca="1" si="18"/>
        <v>1.0003124999999999</v>
      </c>
    </row>
    <row r="237" spans="12:15" x14ac:dyDescent="0.25">
      <c r="L237" s="146">
        <f ca="1"/>
        <v>45476</v>
      </c>
      <c r="M237" s="92">
        <f t="shared" ca="1" si="17"/>
        <v>11.25</v>
      </c>
      <c r="N237" s="143">
        <f ca="1">(PRODUCT($O$5:$O237)-1)*36000/_xlfn.DAYS(L237, $C$2)</f>
        <v>11.667804369369179</v>
      </c>
      <c r="O237" s="149">
        <f t="shared" ca="1" si="18"/>
        <v>1.0003124999999999</v>
      </c>
    </row>
    <row r="238" spans="12:15" x14ac:dyDescent="0.25">
      <c r="L238" s="146">
        <f ca="1"/>
        <v>45477</v>
      </c>
      <c r="M238" s="92">
        <f t="shared" ca="1" si="17"/>
        <v>11.25</v>
      </c>
      <c r="N238" s="143">
        <f ca="1">(PRODUCT($O$5:$O238)-1)*36000/_xlfn.DAYS(L238, $C$2)</f>
        <v>11.669649487472896</v>
      </c>
      <c r="O238" s="149">
        <f t="shared" ca="1" si="18"/>
        <v>1.0003124999999999</v>
      </c>
    </row>
    <row r="239" spans="12:15" x14ac:dyDescent="0.25">
      <c r="L239" s="146">
        <f ca="1"/>
        <v>45478</v>
      </c>
      <c r="M239" s="92">
        <f t="shared" ca="1" si="17"/>
        <v>11.25</v>
      </c>
      <c r="N239" s="143">
        <f ca="1">(PRODUCT($O$5:$O239)-1)*36000/_xlfn.DAYS(L239, $C$2)</f>
        <v>11.671494992286904</v>
      </c>
      <c r="O239" s="149">
        <f t="shared" ca="1" si="18"/>
        <v>1.0003124999999999</v>
      </c>
    </row>
    <row r="240" spans="12:15" x14ac:dyDescent="0.25">
      <c r="L240" s="146">
        <f ca="1"/>
        <v>45479</v>
      </c>
      <c r="M240" s="92">
        <f t="shared" ca="1" si="17"/>
        <v>11.25</v>
      </c>
      <c r="N240" s="143">
        <f ca="1">(PRODUCT($O$5:$O240)-1)*36000/_xlfn.DAYS(L240, $C$2)</f>
        <v>11.673340883902174</v>
      </c>
      <c r="O240" s="149">
        <f t="shared" ca="1" si="18"/>
        <v>1.0003124999999999</v>
      </c>
    </row>
    <row r="241" spans="12:15" x14ac:dyDescent="0.25">
      <c r="L241" s="146">
        <f ca="1"/>
        <v>45480</v>
      </c>
      <c r="M241" s="92">
        <f t="shared" ca="1" si="17"/>
        <v>11.25</v>
      </c>
      <c r="N241" s="143">
        <f ca="1">(PRODUCT($O$5:$O241)-1)*36000/_xlfn.DAYS(L241, $C$2)</f>
        <v>11.675187162409687</v>
      </c>
      <c r="O241" s="149">
        <f t="shared" ca="1" si="18"/>
        <v>1.0003124999999999</v>
      </c>
    </row>
    <row r="242" spans="12:15" x14ac:dyDescent="0.25">
      <c r="L242" s="146">
        <f ca="1"/>
        <v>45481</v>
      </c>
      <c r="M242" s="92">
        <f t="shared" ca="1" si="17"/>
        <v>11.25</v>
      </c>
      <c r="N242" s="143">
        <f ca="1">(PRODUCT($O$5:$O242)-1)*36000/_xlfn.DAYS(L242, $C$2)</f>
        <v>11.677033827900473</v>
      </c>
      <c r="O242" s="149">
        <f t="shared" ca="1" si="18"/>
        <v>1.0003124999999999</v>
      </c>
    </row>
    <row r="243" spans="12:15" x14ac:dyDescent="0.25">
      <c r="L243" s="146">
        <f ca="1"/>
        <v>45482</v>
      </c>
      <c r="M243" s="92">
        <f t="shared" ca="1" si="17"/>
        <v>11.25</v>
      </c>
      <c r="N243" s="143">
        <f ca="1">(PRODUCT($O$5:$O243)-1)*36000/_xlfn.DAYS(L243, $C$2)</f>
        <v>11.678880880465512</v>
      </c>
      <c r="O243" s="149">
        <f t="shared" ca="1" si="18"/>
        <v>1.0003124999999999</v>
      </c>
    </row>
    <row r="244" spans="12:15" x14ac:dyDescent="0.25">
      <c r="L244" s="146">
        <f ca="1"/>
        <v>45483</v>
      </c>
      <c r="M244" s="92">
        <f t="shared" ca="1" si="17"/>
        <v>11.25</v>
      </c>
      <c r="N244" s="143">
        <f ca="1">(PRODUCT($O$5:$O244)-1)*36000/_xlfn.DAYS(L244, $C$2)</f>
        <v>11.680728320195898</v>
      </c>
      <c r="O244" s="149">
        <f t="shared" ca="1" si="18"/>
        <v>1.0003124999999999</v>
      </c>
    </row>
    <row r="245" spans="12:15" x14ac:dyDescent="0.25">
      <c r="L245" s="146">
        <f ca="1"/>
        <v>45484</v>
      </c>
      <c r="M245" s="92">
        <f t="shared" ca="1" si="17"/>
        <v>11.25</v>
      </c>
      <c r="N245" s="143">
        <f ca="1">(PRODUCT($O$5:$O245)-1)*36000/_xlfn.DAYS(L245, $C$2)</f>
        <v>11.682576147182678</v>
      </c>
      <c r="O245" s="149">
        <f t="shared" ca="1" si="18"/>
        <v>1.0003124999999999</v>
      </c>
    </row>
    <row r="246" spans="12:15" x14ac:dyDescent="0.25">
      <c r="L246" s="146">
        <f ca="1"/>
        <v>45485</v>
      </c>
      <c r="M246" s="92">
        <f t="shared" ca="1" si="17"/>
        <v>11.25</v>
      </c>
      <c r="N246" s="143">
        <f ca="1">(PRODUCT($O$5:$O246)-1)*36000/_xlfn.DAYS(L246, $C$2)</f>
        <v>11.684424361516971</v>
      </c>
      <c r="O246" s="149">
        <f t="shared" ca="1" si="18"/>
        <v>1.0003124999999999</v>
      </c>
    </row>
    <row r="247" spans="12:15" x14ac:dyDescent="0.25">
      <c r="L247" s="146">
        <f ca="1"/>
        <v>45486</v>
      </c>
      <c r="M247" s="92">
        <f t="shared" ca="1" si="17"/>
        <v>11.25</v>
      </c>
      <c r="N247" s="143">
        <f ca="1">(PRODUCT($O$5:$O247)-1)*36000/_xlfn.DAYS(L247, $C$2)</f>
        <v>11.686272963289882</v>
      </c>
      <c r="O247" s="149">
        <f t="shared" ca="1" si="18"/>
        <v>1.0003124999999999</v>
      </c>
    </row>
    <row r="248" spans="12:15" x14ac:dyDescent="0.25">
      <c r="L248" s="146">
        <f ca="1"/>
        <v>45487</v>
      </c>
      <c r="M248" s="92">
        <f t="shared" ca="1" si="17"/>
        <v>11.25</v>
      </c>
      <c r="N248" s="143">
        <f ca="1">(PRODUCT($O$5:$O248)-1)*36000/_xlfn.DAYS(L248, $C$2)</f>
        <v>11.688121952592565</v>
      </c>
      <c r="O248" s="149">
        <f t="shared" ca="1" si="18"/>
        <v>1.0003124999999999</v>
      </c>
    </row>
    <row r="249" spans="12:15" x14ac:dyDescent="0.25">
      <c r="L249" s="146">
        <f ca="1"/>
        <v>45488</v>
      </c>
      <c r="M249" s="92">
        <f t="shared" ca="1" si="17"/>
        <v>11.25</v>
      </c>
      <c r="N249" s="143">
        <f ca="1">(PRODUCT($O$5:$O249)-1)*36000/_xlfn.DAYS(L249, $C$2)</f>
        <v>11.689971329516208</v>
      </c>
      <c r="O249" s="149">
        <f t="shared" ca="1" si="18"/>
        <v>1.0003124999999999</v>
      </c>
    </row>
    <row r="250" spans="12:15" x14ac:dyDescent="0.25">
      <c r="L250" s="146">
        <f ca="1"/>
        <v>45489</v>
      </c>
      <c r="M250" s="92">
        <f t="shared" ca="1" si="17"/>
        <v>11.25</v>
      </c>
      <c r="N250" s="143">
        <f ca="1">(PRODUCT($O$5:$O250)-1)*36000/_xlfn.DAYS(L250, $C$2)</f>
        <v>11.69182109415196</v>
      </c>
      <c r="O250" s="149">
        <f t="shared" ca="1" si="18"/>
        <v>1.0003124999999999</v>
      </c>
    </row>
    <row r="251" spans="12:15" x14ac:dyDescent="0.25">
      <c r="L251" s="146">
        <f ca="1"/>
        <v>45490</v>
      </c>
      <c r="M251" s="92">
        <f t="shared" ca="1" si="17"/>
        <v>11.25</v>
      </c>
      <c r="N251" s="143">
        <f ca="1">(PRODUCT($O$5:$O251)-1)*36000/_xlfn.DAYS(L251, $C$2)</f>
        <v>11.693671246591068</v>
      </c>
      <c r="O251" s="149">
        <f t="shared" ca="1" si="18"/>
        <v>1.0003124999999999</v>
      </c>
    </row>
    <row r="252" spans="12:15" x14ac:dyDescent="0.25">
      <c r="L252" s="146">
        <f ca="1"/>
        <v>45491</v>
      </c>
      <c r="M252" s="92">
        <f t="shared" ca="1" si="17"/>
        <v>11.25</v>
      </c>
      <c r="N252" s="143">
        <f ca="1">(PRODUCT($O$5:$O252)-1)*36000/_xlfn.DAYS(L252, $C$2)</f>
        <v>11.695521786924733</v>
      </c>
      <c r="O252" s="149">
        <f t="shared" ca="1" si="18"/>
        <v>1.0003124999999999</v>
      </c>
    </row>
    <row r="253" spans="12:15" x14ac:dyDescent="0.25">
      <c r="L253" s="146">
        <f ca="1"/>
        <v>45492</v>
      </c>
      <c r="M253" s="92">
        <f t="shared" ca="1" si="17"/>
        <v>11.25</v>
      </c>
      <c r="N253" s="143">
        <f ca="1">(PRODUCT($O$5:$O253)-1)*36000/_xlfn.DAYS(L253, $C$2)</f>
        <v>11.69737271524426</v>
      </c>
      <c r="O253" s="149">
        <f t="shared" ca="1" si="18"/>
        <v>1.0003124999999999</v>
      </c>
    </row>
    <row r="254" spans="12:15" x14ac:dyDescent="0.25">
      <c r="L254" s="146">
        <f ca="1"/>
        <v>45493</v>
      </c>
      <c r="M254" s="92">
        <f t="shared" ca="1" si="17"/>
        <v>11.25</v>
      </c>
      <c r="N254" s="143">
        <f ca="1">(PRODUCT($O$5:$O254)-1)*36000/_xlfn.DAYS(L254, $C$2)</f>
        <v>11.699224031640902</v>
      </c>
      <c r="O254" s="149">
        <f t="shared" ca="1" si="18"/>
        <v>1.0003124999999999</v>
      </c>
    </row>
    <row r="255" spans="12:15" x14ac:dyDescent="0.25">
      <c r="L255" s="146">
        <f ca="1"/>
        <v>45494</v>
      </c>
      <c r="M255" s="92">
        <f t="shared" ca="1" si="17"/>
        <v>11.25</v>
      </c>
      <c r="N255" s="143">
        <f ca="1">(PRODUCT($O$5:$O255)-1)*36000/_xlfn.DAYS(L255, $C$2)</f>
        <v>11.701075736205956</v>
      </c>
      <c r="O255" s="149">
        <f t="shared" ca="1" si="18"/>
        <v>1.0003124999999999</v>
      </c>
    </row>
    <row r="256" spans="12:15" x14ac:dyDescent="0.25">
      <c r="L256" s="146">
        <f ca="1"/>
        <v>45495</v>
      </c>
      <c r="M256" s="92">
        <f t="shared" ca="1" si="17"/>
        <v>11.25</v>
      </c>
      <c r="N256" s="143">
        <f ca="1">(PRODUCT($O$5:$O256)-1)*36000/_xlfn.DAYS(L256, $C$2)</f>
        <v>11.702927829030754</v>
      </c>
      <c r="O256" s="149">
        <f t="shared" ca="1" si="18"/>
        <v>1.0003124999999999</v>
      </c>
    </row>
    <row r="257" spans="12:15" x14ac:dyDescent="0.25">
      <c r="L257" s="146">
        <f ca="1"/>
        <v>45496</v>
      </c>
      <c r="M257" s="92">
        <f t="shared" ca="1" si="17"/>
        <v>11.25</v>
      </c>
      <c r="N257" s="143">
        <f ca="1">(PRODUCT($O$5:$O257)-1)*36000/_xlfn.DAYS(L257, $C$2)</f>
        <v>11.704780310206647</v>
      </c>
      <c r="O257" s="149">
        <f t="shared" ca="1" si="18"/>
        <v>1.0003124999999999</v>
      </c>
    </row>
    <row r="258" spans="12:15" x14ac:dyDescent="0.25">
      <c r="L258" s="146">
        <f ca="1"/>
        <v>45497</v>
      </c>
      <c r="M258" s="92">
        <f t="shared" ca="1" si="17"/>
        <v>11.25</v>
      </c>
      <c r="N258" s="143">
        <f ca="1">(PRODUCT($O$5:$O258)-1)*36000/_xlfn.DAYS(L258, $C$2)</f>
        <v>11.706633179825019</v>
      </c>
      <c r="O258" s="149">
        <f t="shared" ca="1" si="18"/>
        <v>1.0003124999999999</v>
      </c>
    </row>
    <row r="259" spans="12:15" x14ac:dyDescent="0.25">
      <c r="L259" s="146">
        <f ca="1"/>
        <v>45498</v>
      </c>
      <c r="M259" s="92">
        <f t="shared" ca="1" si="17"/>
        <v>11.25</v>
      </c>
      <c r="N259" s="143">
        <f ca="1">(PRODUCT($O$5:$O259)-1)*36000/_xlfn.DAYS(L259, $C$2)</f>
        <v>11.708486437977266</v>
      </c>
      <c r="O259" s="149">
        <f t="shared" ca="1" si="18"/>
        <v>1.0003124999999999</v>
      </c>
    </row>
    <row r="260" spans="12:15" x14ac:dyDescent="0.25">
      <c r="L260" s="146">
        <f ca="1"/>
        <v>45499</v>
      </c>
      <c r="M260" s="92">
        <f t="shared" ca="1" si="17"/>
        <v>11.25</v>
      </c>
      <c r="N260" s="143">
        <f ca="1">(PRODUCT($O$5:$O260)-1)*36000/_xlfn.DAYS(L260, $C$2)</f>
        <v>11.71034008475479</v>
      </c>
      <c r="O260" s="149">
        <f t="shared" ca="1" si="18"/>
        <v>1.0003124999999999</v>
      </c>
    </row>
    <row r="261" spans="12:15" x14ac:dyDescent="0.25">
      <c r="L261" s="146">
        <f ca="1"/>
        <v>45500</v>
      </c>
      <c r="M261" s="92">
        <f t="shared" ref="M261:M324" ca="1" si="19">IFERROR(INDEX($E$27:$H$47, MATCH(L261, $F$27:$F$47, 0), 4), IF(ISNUMBER(M260), M260, $C$5))</f>
        <v>11.25</v>
      </c>
      <c r="N261" s="143">
        <f ca="1">(PRODUCT($O$5:$O261)-1)*36000/_xlfn.DAYS(L261, $C$2)</f>
        <v>11.712194120249034</v>
      </c>
      <c r="O261" s="149">
        <f t="shared" ca="1" si="18"/>
        <v>1.0003124999999999</v>
      </c>
    </row>
    <row r="262" spans="12:15" x14ac:dyDescent="0.25">
      <c r="L262" s="146">
        <f ca="1"/>
        <v>45501</v>
      </c>
      <c r="M262" s="92">
        <f t="shared" ca="1" si="19"/>
        <v>11.25</v>
      </c>
      <c r="N262" s="143">
        <f ca="1">(PRODUCT($O$5:$O262)-1)*36000/_xlfn.DAYS(L262, $C$2)</f>
        <v>11.714048544551481</v>
      </c>
      <c r="O262" s="149">
        <f t="shared" ref="O262:O325" ca="1" si="20">1+M262*IFERROR(_xlfn.DAYS(L262, L261), _xlfn.DAYS(L262, $C$2))/36000</f>
        <v>1.0003124999999999</v>
      </c>
    </row>
    <row r="263" spans="12:15" x14ac:dyDescent="0.25">
      <c r="L263" s="146">
        <f ca="1"/>
        <v>45502</v>
      </c>
      <c r="M263" s="92">
        <f t="shared" ca="1" si="19"/>
        <v>11.25</v>
      </c>
      <c r="N263" s="143">
        <f ca="1">(PRODUCT($O$5:$O263)-1)*36000/_xlfn.DAYS(L263, $C$2)</f>
        <v>11.715903357753618</v>
      </c>
      <c r="O263" s="149">
        <f t="shared" ca="1" si="20"/>
        <v>1.0003124999999999</v>
      </c>
    </row>
    <row r="264" spans="12:15" x14ac:dyDescent="0.25">
      <c r="L264" s="146">
        <f ca="1"/>
        <v>45503</v>
      </c>
      <c r="M264" s="92">
        <f t="shared" ca="1" si="19"/>
        <v>11.25</v>
      </c>
      <c r="N264" s="143">
        <f ca="1">(PRODUCT($O$5:$O264)-1)*36000/_xlfn.DAYS(L264, $C$2)</f>
        <v>11.71775855994694</v>
      </c>
      <c r="O264" s="149">
        <f t="shared" ca="1" si="20"/>
        <v>1.0003124999999999</v>
      </c>
    </row>
    <row r="265" spans="12:15" x14ac:dyDescent="0.25">
      <c r="L265" s="146">
        <f ca="1"/>
        <v>45504</v>
      </c>
      <c r="M265" s="92">
        <f t="shared" ca="1" si="19"/>
        <v>11.25</v>
      </c>
      <c r="N265" s="143">
        <f ca="1">(PRODUCT($O$5:$O265)-1)*36000/_xlfn.DAYS(L265, $C$2)</f>
        <v>11.719614151222977</v>
      </c>
      <c r="O265" s="149">
        <f t="shared" ca="1" si="20"/>
        <v>1.0003124999999999</v>
      </c>
    </row>
    <row r="266" spans="12:15" x14ac:dyDescent="0.25">
      <c r="L266" s="146">
        <f ca="1"/>
        <v>45505</v>
      </c>
      <c r="M266" s="92">
        <f t="shared" ca="1" si="19"/>
        <v>11.25</v>
      </c>
      <c r="N266" s="143">
        <f ca="1">(PRODUCT($O$5:$O266)-1)*36000/_xlfn.DAYS(L266, $C$2)</f>
        <v>11.7214701316733</v>
      </c>
      <c r="O266" s="149">
        <f t="shared" ca="1" si="20"/>
        <v>1.0003124999999999</v>
      </c>
    </row>
    <row r="267" spans="12:15" x14ac:dyDescent="0.25">
      <c r="L267" s="146">
        <f ca="1"/>
        <v>45506</v>
      </c>
      <c r="M267" s="92">
        <f t="shared" ca="1" si="19"/>
        <v>11.25</v>
      </c>
      <c r="N267" s="143">
        <f ca="1">(PRODUCT($O$5:$O267)-1)*36000/_xlfn.DAYS(L267, $C$2)</f>
        <v>11.723326501389483</v>
      </c>
      <c r="O267" s="149">
        <f t="shared" ca="1" si="20"/>
        <v>1.0003124999999999</v>
      </c>
    </row>
    <row r="268" spans="12:15" x14ac:dyDescent="0.25">
      <c r="L268" s="146">
        <f ca="1"/>
        <v>45507</v>
      </c>
      <c r="M268" s="92">
        <f t="shared" ca="1" si="19"/>
        <v>11.25</v>
      </c>
      <c r="N268" s="143">
        <f ca="1">(PRODUCT($O$5:$O268)-1)*36000/_xlfn.DAYS(L268, $C$2)</f>
        <v>11.725183260463133</v>
      </c>
      <c r="O268" s="149">
        <f t="shared" ca="1" si="20"/>
        <v>1.0003124999999999</v>
      </c>
    </row>
    <row r="269" spans="12:15" x14ac:dyDescent="0.25">
      <c r="L269" s="146">
        <f ca="1"/>
        <v>45508</v>
      </c>
      <c r="M269" s="92">
        <f t="shared" ca="1" si="19"/>
        <v>11.25</v>
      </c>
      <c r="N269" s="143">
        <f ca="1">(PRODUCT($O$5:$O269)-1)*36000/_xlfn.DAYS(L269, $C$2)</f>
        <v>11.727040408985866</v>
      </c>
      <c r="O269" s="149">
        <f t="shared" ca="1" si="20"/>
        <v>1.0003124999999999</v>
      </c>
    </row>
    <row r="270" spans="12:15" x14ac:dyDescent="0.25">
      <c r="L270" s="146">
        <f ca="1"/>
        <v>45509</v>
      </c>
      <c r="M270" s="92">
        <f t="shared" ca="1" si="19"/>
        <v>11.25</v>
      </c>
      <c r="N270" s="143">
        <f ca="1">(PRODUCT($O$5:$O270)-1)*36000/_xlfn.DAYS(L270, $C$2)</f>
        <v>11.728897947049333</v>
      </c>
      <c r="O270" s="149">
        <f t="shared" ca="1" si="20"/>
        <v>1.0003124999999999</v>
      </c>
    </row>
    <row r="271" spans="12:15" x14ac:dyDescent="0.25">
      <c r="L271" s="146">
        <f ca="1"/>
        <v>45510</v>
      </c>
      <c r="M271" s="92">
        <f t="shared" ca="1" si="19"/>
        <v>11.25</v>
      </c>
      <c r="N271" s="143">
        <f ca="1">(PRODUCT($O$5:$O271)-1)*36000/_xlfn.DAYS(L271, $C$2)</f>
        <v>11.730755874745215</v>
      </c>
      <c r="O271" s="149">
        <f t="shared" ca="1" si="20"/>
        <v>1.0003124999999999</v>
      </c>
    </row>
    <row r="272" spans="12:15" x14ac:dyDescent="0.25">
      <c r="L272" s="146">
        <f ca="1"/>
        <v>45511</v>
      </c>
      <c r="M272" s="92">
        <f t="shared" ca="1" si="19"/>
        <v>11.25</v>
      </c>
      <c r="N272" s="143">
        <f ca="1">(PRODUCT($O$5:$O272)-1)*36000/_xlfn.DAYS(L272, $C$2)</f>
        <v>11.732614192165169</v>
      </c>
      <c r="O272" s="149">
        <f t="shared" ca="1" si="20"/>
        <v>1.0003124999999999</v>
      </c>
    </row>
    <row r="273" spans="12:15" x14ac:dyDescent="0.25">
      <c r="L273" s="146">
        <f ca="1"/>
        <v>45512</v>
      </c>
      <c r="M273" s="92">
        <f t="shared" ca="1" si="19"/>
        <v>11.25</v>
      </c>
      <c r="N273" s="143">
        <f ca="1">(PRODUCT($O$5:$O273)-1)*36000/_xlfn.DAYS(L273, $C$2)</f>
        <v>11.734472899400947</v>
      </c>
      <c r="O273" s="149">
        <f t="shared" ca="1" si="20"/>
        <v>1.0003124999999999</v>
      </c>
    </row>
    <row r="274" spans="12:15" x14ac:dyDescent="0.25">
      <c r="L274" s="146">
        <f ca="1"/>
        <v>45513</v>
      </c>
      <c r="M274" s="92">
        <f t="shared" ca="1" si="19"/>
        <v>10.75</v>
      </c>
      <c r="N274" s="143">
        <f ca="1">(PRODUCT($O$5:$O274)-1)*36000/_xlfn.DAYS(L274, $C$2)</f>
        <v>11.73431776952733</v>
      </c>
      <c r="O274" s="149">
        <f t="shared" ca="1" si="20"/>
        <v>1.0002986111111112</v>
      </c>
    </row>
    <row r="275" spans="12:15" x14ac:dyDescent="0.25">
      <c r="L275" s="146">
        <f ca="1"/>
        <v>45514</v>
      </c>
      <c r="M275" s="92">
        <f t="shared" ca="1" si="19"/>
        <v>10.75</v>
      </c>
      <c r="N275" s="143">
        <f ca="1">(PRODUCT($O$5:$O275)-1)*36000/_xlfn.DAYS(L275, $C$2)</f>
        <v>11.734176668422682</v>
      </c>
      <c r="O275" s="149">
        <f t="shared" ca="1" si="20"/>
        <v>1.0002986111111112</v>
      </c>
    </row>
    <row r="276" spans="12:15" x14ac:dyDescent="0.25">
      <c r="L276" s="146">
        <f ca="1"/>
        <v>45515</v>
      </c>
      <c r="M276" s="92">
        <f t="shared" ca="1" si="19"/>
        <v>10.75</v>
      </c>
      <c r="N276" s="143">
        <f ca="1">(PRODUCT($O$5:$O276)-1)*36000/_xlfn.DAYS(L276, $C$2)</f>
        <v>11.734049445191076</v>
      </c>
      <c r="O276" s="149">
        <f t="shared" ca="1" si="20"/>
        <v>1.0002986111111112</v>
      </c>
    </row>
    <row r="277" spans="12:15" x14ac:dyDescent="0.25">
      <c r="L277" s="146">
        <f ca="1"/>
        <v>45516</v>
      </c>
      <c r="M277" s="92">
        <f t="shared" ca="1" si="19"/>
        <v>10.75</v>
      </c>
      <c r="N277" s="143">
        <f ca="1">(PRODUCT($O$5:$O277)-1)*36000/_xlfn.DAYS(L277, $C$2)</f>
        <v>11.73393595114865</v>
      </c>
      <c r="O277" s="149">
        <f t="shared" ca="1" si="20"/>
        <v>1.0002986111111112</v>
      </c>
    </row>
    <row r="278" spans="12:15" x14ac:dyDescent="0.25">
      <c r="L278" s="146">
        <f ca="1"/>
        <v>45517</v>
      </c>
      <c r="M278" s="92">
        <f t="shared" ca="1" si="19"/>
        <v>10.75</v>
      </c>
      <c r="N278" s="143">
        <f ca="1">(PRODUCT($O$5:$O278)-1)*36000/_xlfn.DAYS(L278, $C$2)</f>
        <v>11.733836039783226</v>
      </c>
      <c r="O278" s="149">
        <f t="shared" ca="1" si="20"/>
        <v>1.0002986111111112</v>
      </c>
    </row>
    <row r="279" spans="12:15" x14ac:dyDescent="0.25">
      <c r="L279" s="146">
        <f ca="1"/>
        <v>45518</v>
      </c>
      <c r="M279" s="92">
        <f t="shared" ca="1" si="19"/>
        <v>10.75</v>
      </c>
      <c r="N279" s="143">
        <f ca="1">(PRODUCT($O$5:$O279)-1)*36000/_xlfn.DAYS(L279, $C$2)</f>
        <v>11.733749566714838</v>
      </c>
      <c r="O279" s="149">
        <f t="shared" ca="1" si="20"/>
        <v>1.0002986111111112</v>
      </c>
    </row>
    <row r="280" spans="12:15" x14ac:dyDescent="0.25">
      <c r="L280" s="146">
        <f ca="1"/>
        <v>45519</v>
      </c>
      <c r="M280" s="92">
        <f t="shared" ca="1" si="19"/>
        <v>10.75</v>
      </c>
      <c r="N280" s="143">
        <f ca="1">(PRODUCT($O$5:$O280)-1)*36000/_xlfn.DAYS(L280, $C$2)</f>
        <v>11.733676389657177</v>
      </c>
      <c r="O280" s="149">
        <f t="shared" ca="1" si="20"/>
        <v>1.0002986111111112</v>
      </c>
    </row>
    <row r="281" spans="12:15" x14ac:dyDescent="0.25">
      <c r="L281" s="146">
        <f ca="1"/>
        <v>45520</v>
      </c>
      <c r="M281" s="92">
        <f t="shared" ca="1" si="19"/>
        <v>10.75</v>
      </c>
      <c r="N281" s="143">
        <f ca="1">(PRODUCT($O$5:$O281)-1)*36000/_xlfn.DAYS(L281, $C$2)</f>
        <v>11.733616368379641</v>
      </c>
      <c r="O281" s="149">
        <f t="shared" ca="1" si="20"/>
        <v>1.0002986111111112</v>
      </c>
    </row>
    <row r="282" spans="12:15" x14ac:dyDescent="0.25">
      <c r="L282" s="146">
        <f ca="1"/>
        <v>45521</v>
      </c>
      <c r="M282" s="92">
        <f t="shared" ca="1" si="19"/>
        <v>10.75</v>
      </c>
      <c r="N282" s="143">
        <f ca="1">(PRODUCT($O$5:$O282)-1)*36000/_xlfn.DAYS(L282, $C$2)</f>
        <v>11.733569364670551</v>
      </c>
      <c r="O282" s="149">
        <f t="shared" ca="1" si="20"/>
        <v>1.0002986111111112</v>
      </c>
    </row>
    <row r="283" spans="12:15" x14ac:dyDescent="0.25">
      <c r="L283" s="146">
        <f ca="1"/>
        <v>45522</v>
      </c>
      <c r="M283" s="92">
        <f t="shared" ca="1" si="19"/>
        <v>10.75</v>
      </c>
      <c r="N283" s="143">
        <f ca="1">(PRODUCT($O$5:$O283)-1)*36000/_xlfn.DAYS(L283, $C$2)</f>
        <v>11.733535242300812</v>
      </c>
      <c r="O283" s="149">
        <f t="shared" ca="1" si="20"/>
        <v>1.0002986111111112</v>
      </c>
    </row>
    <row r="284" spans="12:15" x14ac:dyDescent="0.25">
      <c r="L284" s="146">
        <f ca="1"/>
        <v>45523</v>
      </c>
      <c r="M284" s="92">
        <f t="shared" ca="1" si="19"/>
        <v>10.75</v>
      </c>
      <c r="N284" s="143">
        <f ca="1">(PRODUCT($O$5:$O284)-1)*36000/_xlfn.DAYS(L284, $C$2)</f>
        <v>11.733513866988574</v>
      </c>
      <c r="O284" s="149">
        <f t="shared" ca="1" si="20"/>
        <v>1.0002986111111112</v>
      </c>
    </row>
    <row r="285" spans="12:15" x14ac:dyDescent="0.25">
      <c r="L285" s="146">
        <f ca="1"/>
        <v>45524</v>
      </c>
      <c r="M285" s="92">
        <f t="shared" ca="1" si="19"/>
        <v>10.75</v>
      </c>
      <c r="N285" s="143">
        <f ca="1">(PRODUCT($O$5:$O285)-1)*36000/_xlfn.DAYS(L285, $C$2)</f>
        <v>11.733505106364637</v>
      </c>
      <c r="O285" s="149">
        <f t="shared" ca="1" si="20"/>
        <v>1.0002986111111112</v>
      </c>
    </row>
    <row r="286" spans="12:15" x14ac:dyDescent="0.25">
      <c r="L286" s="146">
        <f ca="1"/>
        <v>45525</v>
      </c>
      <c r="M286" s="92">
        <f t="shared" ca="1" si="19"/>
        <v>10.75</v>
      </c>
      <c r="N286" s="143">
        <f ca="1">(PRODUCT($O$5:$O286)-1)*36000/_xlfn.DAYS(L286, $C$2)</f>
        <v>11.733508829938433</v>
      </c>
      <c r="O286" s="149">
        <f t="shared" ca="1" si="20"/>
        <v>1.0002986111111112</v>
      </c>
    </row>
    <row r="287" spans="12:15" x14ac:dyDescent="0.25">
      <c r="L287" s="146">
        <f ca="1"/>
        <v>45526</v>
      </c>
      <c r="M287" s="92">
        <f t="shared" ca="1" si="19"/>
        <v>10.75</v>
      </c>
      <c r="N287" s="143">
        <f ca="1">(PRODUCT($O$5:$O287)-1)*36000/_xlfn.DAYS(L287, $C$2)</f>
        <v>11.733524909064876</v>
      </c>
      <c r="O287" s="149">
        <f t="shared" ca="1" si="20"/>
        <v>1.0002986111111112</v>
      </c>
    </row>
    <row r="288" spans="12:15" x14ac:dyDescent="0.25">
      <c r="L288" s="146">
        <f ca="1"/>
        <v>45527</v>
      </c>
      <c r="M288" s="92">
        <f t="shared" ca="1" si="19"/>
        <v>10.75</v>
      </c>
      <c r="N288" s="143">
        <f ca="1">(PRODUCT($O$5:$O288)-1)*36000/_xlfn.DAYS(L288, $C$2)</f>
        <v>11.733553216911945</v>
      </c>
      <c r="O288" s="149">
        <f t="shared" ca="1" si="20"/>
        <v>1.0002986111111112</v>
      </c>
    </row>
    <row r="289" spans="12:15" x14ac:dyDescent="0.25">
      <c r="L289" s="146">
        <f ca="1"/>
        <v>45528</v>
      </c>
      <c r="M289" s="92">
        <f t="shared" ca="1" si="19"/>
        <v>10.75</v>
      </c>
      <c r="N289" s="143">
        <f ca="1">(PRODUCT($O$5:$O289)-1)*36000/_xlfn.DAYS(L289, $C$2)</f>
        <v>11.733593628428752</v>
      </c>
      <c r="O289" s="149">
        <f t="shared" ca="1" si="20"/>
        <v>1.0002986111111112</v>
      </c>
    </row>
    <row r="290" spans="12:15" x14ac:dyDescent="0.25">
      <c r="L290" s="146">
        <f ca="1"/>
        <v>45529</v>
      </c>
      <c r="M290" s="92">
        <f t="shared" ca="1" si="19"/>
        <v>10.75</v>
      </c>
      <c r="N290" s="143">
        <f ca="1">(PRODUCT($O$5:$O290)-1)*36000/_xlfn.DAYS(L290, $C$2)</f>
        <v>11.733646020314513</v>
      </c>
      <c r="O290" s="149">
        <f t="shared" ca="1" si="20"/>
        <v>1.0002986111111112</v>
      </c>
    </row>
    <row r="291" spans="12:15" x14ac:dyDescent="0.25">
      <c r="L291" s="146">
        <f ca="1"/>
        <v>45530</v>
      </c>
      <c r="M291" s="92">
        <f t="shared" ca="1" si="19"/>
        <v>10.75</v>
      </c>
      <c r="N291" s="143">
        <f ca="1">(PRODUCT($O$5:$O291)-1)*36000/_xlfn.DAYS(L291, $C$2)</f>
        <v>11.733710270987965</v>
      </c>
      <c r="O291" s="149">
        <f t="shared" ca="1" si="20"/>
        <v>1.0002986111111112</v>
      </c>
    </row>
    <row r="292" spans="12:15" x14ac:dyDescent="0.25">
      <c r="L292" s="146">
        <f ca="1"/>
        <v>45531</v>
      </c>
      <c r="M292" s="92">
        <f t="shared" ca="1" si="19"/>
        <v>10.75</v>
      </c>
      <c r="N292" s="143">
        <f ca="1">(PRODUCT($O$5:$O292)-1)*36000/_xlfn.DAYS(L292, $C$2)</f>
        <v>11.733786260557601</v>
      </c>
      <c r="O292" s="149">
        <f t="shared" ca="1" si="20"/>
        <v>1.0002986111111112</v>
      </c>
    </row>
    <row r="293" spans="12:15" x14ac:dyDescent="0.25">
      <c r="L293" s="146">
        <f ca="1"/>
        <v>45532</v>
      </c>
      <c r="M293" s="92">
        <f t="shared" ca="1" si="19"/>
        <v>10.75</v>
      </c>
      <c r="N293" s="143">
        <f ca="1">(PRODUCT($O$5:$O293)-1)*36000/_xlfn.DAYS(L293, $C$2)</f>
        <v>11.733873870792392</v>
      </c>
      <c r="O293" s="149">
        <f t="shared" ca="1" si="20"/>
        <v>1.0002986111111112</v>
      </c>
    </row>
    <row r="294" spans="12:15" x14ac:dyDescent="0.25">
      <c r="L294" s="146">
        <f ca="1"/>
        <v>45533</v>
      </c>
      <c r="M294" s="92">
        <f t="shared" ca="1" si="19"/>
        <v>10.75</v>
      </c>
      <c r="N294" s="143">
        <f ca="1">(PRODUCT($O$5:$O294)-1)*36000/_xlfn.DAYS(L294, $C$2)</f>
        <v>11.733972985093132</v>
      </c>
      <c r="O294" s="149">
        <f t="shared" ca="1" si="20"/>
        <v>1.0002986111111112</v>
      </c>
    </row>
    <row r="295" spans="12:15" x14ac:dyDescent="0.25">
      <c r="L295" s="146">
        <f ca="1"/>
        <v>45534</v>
      </c>
      <c r="M295" s="92">
        <f t="shared" ca="1" si="19"/>
        <v>10.75</v>
      </c>
      <c r="N295" s="143">
        <f ca="1">(PRODUCT($O$5:$O295)-1)*36000/_xlfn.DAYS(L295, $C$2)</f>
        <v>11.734083488464426</v>
      </c>
      <c r="O295" s="149">
        <f t="shared" ca="1" si="20"/>
        <v>1.0002986111111112</v>
      </c>
    </row>
    <row r="296" spans="12:15" x14ac:dyDescent="0.25">
      <c r="L296" s="146">
        <f ca="1"/>
        <v>45535</v>
      </c>
      <c r="M296" s="92">
        <f t="shared" ca="1" si="19"/>
        <v>10.75</v>
      </c>
      <c r="N296" s="143">
        <f ca="1">(PRODUCT($O$5:$O296)-1)*36000/_xlfn.DAYS(L296, $C$2)</f>
        <v>11.734205267487278</v>
      </c>
      <c r="O296" s="149">
        <f t="shared" ca="1" si="20"/>
        <v>1.0002986111111112</v>
      </c>
    </row>
    <row r="297" spans="12:15" x14ac:dyDescent="0.25">
      <c r="L297" s="146">
        <f ca="1"/>
        <v>45536</v>
      </c>
      <c r="M297" s="92">
        <f t="shared" ca="1" si="19"/>
        <v>10.75</v>
      </c>
      <c r="N297" s="143">
        <f ca="1">(PRODUCT($O$5:$O297)-1)*36000/_xlfn.DAYS(L297, $C$2)</f>
        <v>11.734338210292083</v>
      </c>
      <c r="O297" s="149">
        <f t="shared" ca="1" si="20"/>
        <v>1.0002986111111112</v>
      </c>
    </row>
    <row r="298" spans="12:15" x14ac:dyDescent="0.25">
      <c r="L298" s="146">
        <f ca="1"/>
        <v>45537</v>
      </c>
      <c r="M298" s="92">
        <f t="shared" ca="1" si="19"/>
        <v>10.75</v>
      </c>
      <c r="N298" s="143">
        <f ca="1">(PRODUCT($O$5:$O298)-1)*36000/_xlfn.DAYS(L298, $C$2)</f>
        <v>11.734482206532387</v>
      </c>
      <c r="O298" s="149">
        <f t="shared" ca="1" si="20"/>
        <v>1.0002986111111112</v>
      </c>
    </row>
    <row r="299" spans="12:15" x14ac:dyDescent="0.25">
      <c r="L299" s="146">
        <f ca="1"/>
        <v>45538</v>
      </c>
      <c r="M299" s="92">
        <f t="shared" ca="1" si="19"/>
        <v>10.75</v>
      </c>
      <c r="N299" s="143">
        <f ca="1">(PRODUCT($O$5:$O299)-1)*36000/_xlfn.DAYS(L299, $C$2)</f>
        <v>11.734637147358994</v>
      </c>
      <c r="O299" s="149">
        <f t="shared" ca="1" si="20"/>
        <v>1.0002986111111112</v>
      </c>
    </row>
    <row r="300" spans="12:15" x14ac:dyDescent="0.25">
      <c r="L300" s="146">
        <f ca="1"/>
        <v>45539</v>
      </c>
      <c r="M300" s="92">
        <f t="shared" ca="1" si="19"/>
        <v>10.75</v>
      </c>
      <c r="N300" s="143">
        <f ca="1">(PRODUCT($O$5:$O300)-1)*36000/_xlfn.DAYS(L300, $C$2)</f>
        <v>11.73480292539471</v>
      </c>
      <c r="O300" s="149">
        <f t="shared" ca="1" si="20"/>
        <v>1.0002986111111112</v>
      </c>
    </row>
    <row r="301" spans="12:15" x14ac:dyDescent="0.25">
      <c r="L301" s="146">
        <f ca="1"/>
        <v>45540</v>
      </c>
      <c r="M301" s="92">
        <f t="shared" ca="1" si="19"/>
        <v>10.75</v>
      </c>
      <c r="N301" s="143">
        <f ca="1">(PRODUCT($O$5:$O301)-1)*36000/_xlfn.DAYS(L301, $C$2)</f>
        <v>11.734979434709564</v>
      </c>
      <c r="O301" s="149">
        <f t="shared" ca="1" si="20"/>
        <v>1.0002986111111112</v>
      </c>
    </row>
    <row r="302" spans="12:15" x14ac:dyDescent="0.25">
      <c r="L302" s="146">
        <f ca="1"/>
        <v>45541</v>
      </c>
      <c r="M302" s="92">
        <f t="shared" ca="1" si="19"/>
        <v>10.75</v>
      </c>
      <c r="N302" s="143">
        <f ca="1">(PRODUCT($O$5:$O302)-1)*36000/_xlfn.DAYS(L302, $C$2)</f>
        <v>11.735166570796499</v>
      </c>
      <c r="O302" s="149">
        <f t="shared" ca="1" si="20"/>
        <v>1.0002986111111112</v>
      </c>
    </row>
    <row r="303" spans="12:15" x14ac:dyDescent="0.25">
      <c r="L303" s="146">
        <f ca="1"/>
        <v>45542</v>
      </c>
      <c r="M303" s="92">
        <f t="shared" ca="1" si="19"/>
        <v>10.75</v>
      </c>
      <c r="N303" s="143">
        <f ca="1">(PRODUCT($O$5:$O303)-1)*36000/_xlfn.DAYS(L303, $C$2)</f>
        <v>11.735364230547619</v>
      </c>
      <c r="O303" s="149">
        <f t="shared" ca="1" si="20"/>
        <v>1.0002986111111112</v>
      </c>
    </row>
    <row r="304" spans="12:15" x14ac:dyDescent="0.25">
      <c r="L304" s="146">
        <f ca="1"/>
        <v>45543</v>
      </c>
      <c r="M304" s="92">
        <f t="shared" ca="1" si="19"/>
        <v>10.75</v>
      </c>
      <c r="N304" s="143">
        <f ca="1">(PRODUCT($O$5:$O304)-1)*36000/_xlfn.DAYS(L304, $C$2)</f>
        <v>11.735572312230813</v>
      </c>
      <c r="O304" s="149">
        <f t="shared" ca="1" si="20"/>
        <v>1.0002986111111112</v>
      </c>
    </row>
    <row r="305" spans="12:15" x14ac:dyDescent="0.25">
      <c r="L305" s="146">
        <f ca="1"/>
        <v>45544</v>
      </c>
      <c r="M305" s="92">
        <f t="shared" ca="1" si="19"/>
        <v>10.75</v>
      </c>
      <c r="N305" s="143">
        <f ca="1">(PRODUCT($O$5:$O305)-1)*36000/_xlfn.DAYS(L305, $C$2)</f>
        <v>11.735790715466953</v>
      </c>
      <c r="O305" s="149">
        <f t="shared" ca="1" si="20"/>
        <v>1.0002986111111112</v>
      </c>
    </row>
    <row r="306" spans="12:15" x14ac:dyDescent="0.25">
      <c r="L306" s="146">
        <f ca="1"/>
        <v>45545</v>
      </c>
      <c r="M306" s="92">
        <f t="shared" ca="1" si="19"/>
        <v>10.75</v>
      </c>
      <c r="N306" s="143">
        <f ca="1">(PRODUCT($O$5:$O306)-1)*36000/_xlfn.DAYS(L306, $C$2)</f>
        <v>11.736019341207468</v>
      </c>
      <c r="O306" s="149">
        <f t="shared" ca="1" si="20"/>
        <v>1.0002986111111112</v>
      </c>
    </row>
    <row r="307" spans="12:15" x14ac:dyDescent="0.25">
      <c r="L307" s="146">
        <f ca="1"/>
        <v>45546</v>
      </c>
      <c r="M307" s="92">
        <f t="shared" ca="1" si="19"/>
        <v>10.75</v>
      </c>
      <c r="N307" s="143">
        <f ca="1">(PRODUCT($O$5:$O307)-1)*36000/_xlfn.DAYS(L307, $C$2)</f>
        <v>11.736258091712415</v>
      </c>
      <c r="O307" s="149">
        <f t="shared" ca="1" si="20"/>
        <v>1.0002986111111112</v>
      </c>
    </row>
    <row r="308" spans="12:15" x14ac:dyDescent="0.25">
      <c r="L308" s="146">
        <f ca="1"/>
        <v>45547</v>
      </c>
      <c r="M308" s="92">
        <f t="shared" ca="1" si="19"/>
        <v>10.75</v>
      </c>
      <c r="N308" s="143">
        <f ca="1">(PRODUCT($O$5:$O308)-1)*36000/_xlfn.DAYS(L308, $C$2)</f>
        <v>11.736506870528901</v>
      </c>
      <c r="O308" s="149">
        <f t="shared" ca="1" si="20"/>
        <v>1.0002986111111112</v>
      </c>
    </row>
    <row r="309" spans="12:15" x14ac:dyDescent="0.25">
      <c r="L309" s="146">
        <f ca="1"/>
        <v>45548</v>
      </c>
      <c r="M309" s="92">
        <f t="shared" ca="1" si="19"/>
        <v>10.75</v>
      </c>
      <c r="N309" s="143">
        <f ca="1">(PRODUCT($O$5:$O309)-1)*36000/_xlfn.DAYS(L309, $C$2)</f>
        <v>11.736765582470065</v>
      </c>
      <c r="O309" s="149">
        <f t="shared" ca="1" si="20"/>
        <v>1.0002986111111112</v>
      </c>
    </row>
    <row r="310" spans="12:15" x14ac:dyDescent="0.25">
      <c r="L310" s="146">
        <f ca="1"/>
        <v>45549</v>
      </c>
      <c r="M310" s="92">
        <f t="shared" ca="1" si="19"/>
        <v>10.75</v>
      </c>
      <c r="N310" s="143">
        <f ca="1">(PRODUCT($O$5:$O310)-1)*36000/_xlfn.DAYS(L310, $C$2)</f>
        <v>11.737034133594308</v>
      </c>
      <c r="O310" s="149">
        <f t="shared" ca="1" si="20"/>
        <v>1.0002986111111112</v>
      </c>
    </row>
    <row r="311" spans="12:15" x14ac:dyDescent="0.25">
      <c r="L311" s="146">
        <f ca="1"/>
        <v>45550</v>
      </c>
      <c r="M311" s="92">
        <f t="shared" ca="1" si="19"/>
        <v>10.75</v>
      </c>
      <c r="N311" s="143">
        <f ca="1">(PRODUCT($O$5:$O311)-1)*36000/_xlfn.DAYS(L311, $C$2)</f>
        <v>11.737312431185073</v>
      </c>
      <c r="O311" s="149">
        <f t="shared" ca="1" si="20"/>
        <v>1.0002986111111112</v>
      </c>
    </row>
    <row r="312" spans="12:15" x14ac:dyDescent="0.25">
      <c r="L312" s="146">
        <f ca="1"/>
        <v>45551</v>
      </c>
      <c r="M312" s="92">
        <f t="shared" ca="1" si="19"/>
        <v>10.75</v>
      </c>
      <c r="N312" s="143">
        <f ca="1">(PRODUCT($O$5:$O312)-1)*36000/_xlfn.DAYS(L312, $C$2)</f>
        <v>11.737600383730921</v>
      </c>
      <c r="O312" s="149">
        <f t="shared" ca="1" si="20"/>
        <v>1.0002986111111112</v>
      </c>
    </row>
    <row r="313" spans="12:15" x14ac:dyDescent="0.25">
      <c r="L313" s="146">
        <f ca="1"/>
        <v>45552</v>
      </c>
      <c r="M313" s="92">
        <f t="shared" ca="1" si="19"/>
        <v>10.75</v>
      </c>
      <c r="N313" s="143">
        <f ca="1">(PRODUCT($O$5:$O313)-1)*36000/_xlfn.DAYS(L313, $C$2)</f>
        <v>11.737897900906065</v>
      </c>
      <c r="O313" s="149">
        <f t="shared" ca="1" si="20"/>
        <v>1.0002986111111112</v>
      </c>
    </row>
    <row r="314" spans="12:15" x14ac:dyDescent="0.25">
      <c r="L314" s="146">
        <f ca="1"/>
        <v>45553</v>
      </c>
      <c r="M314" s="92">
        <f t="shared" ca="1" si="19"/>
        <v>10.75</v>
      </c>
      <c r="N314" s="143">
        <f ca="1">(PRODUCT($O$5:$O314)-1)*36000/_xlfn.DAYS(L314, $C$2)</f>
        <v>11.738204893551215</v>
      </c>
      <c r="O314" s="149">
        <f t="shared" ca="1" si="20"/>
        <v>1.0002986111111112</v>
      </c>
    </row>
    <row r="315" spans="12:15" x14ac:dyDescent="0.25">
      <c r="L315" s="146">
        <f ca="1"/>
        <v>45554</v>
      </c>
      <c r="M315" s="92">
        <f t="shared" ca="1" si="19"/>
        <v>10.75</v>
      </c>
      <c r="N315" s="143">
        <f ca="1">(PRODUCT($O$5:$O315)-1)*36000/_xlfn.DAYS(L315, $C$2)</f>
        <v>11.738521273654829</v>
      </c>
      <c r="O315" s="149">
        <f t="shared" ca="1" si="20"/>
        <v>1.0002986111111112</v>
      </c>
    </row>
    <row r="316" spans="12:15" x14ac:dyDescent="0.25">
      <c r="L316" s="146">
        <f ca="1"/>
        <v>45555</v>
      </c>
      <c r="M316" s="92">
        <f t="shared" ca="1" si="19"/>
        <v>10.75</v>
      </c>
      <c r="N316" s="143">
        <f ca="1">(PRODUCT($O$5:$O316)-1)*36000/_xlfn.DAYS(L316, $C$2)</f>
        <v>11.738846954334743</v>
      </c>
      <c r="O316" s="149">
        <f t="shared" ca="1" si="20"/>
        <v>1.0002986111111112</v>
      </c>
    </row>
    <row r="317" spans="12:15" x14ac:dyDescent="0.25">
      <c r="L317" s="146">
        <f ca="1"/>
        <v>45556</v>
      </c>
      <c r="M317" s="92">
        <f t="shared" ca="1" si="19"/>
        <v>10.75</v>
      </c>
      <c r="N317" s="143">
        <f ca="1">(PRODUCT($O$5:$O317)-1)*36000/_xlfn.DAYS(L317, $C$2)</f>
        <v>11.739181849820078</v>
      </c>
      <c r="O317" s="149">
        <f t="shared" ca="1" si="20"/>
        <v>1.0002986111111112</v>
      </c>
    </row>
    <row r="318" spans="12:15" x14ac:dyDescent="0.25">
      <c r="L318" s="146">
        <f ca="1"/>
        <v>45557</v>
      </c>
      <c r="M318" s="92">
        <f t="shared" ca="1" si="19"/>
        <v>10.75</v>
      </c>
      <c r="N318" s="143">
        <f ca="1">(PRODUCT($O$5:$O318)-1)*36000/_xlfn.DAYS(L318, $C$2)</f>
        <v>11.739525875433646</v>
      </c>
      <c r="O318" s="149">
        <f t="shared" ca="1" si="20"/>
        <v>1.0002986111111112</v>
      </c>
    </row>
    <row r="319" spans="12:15" x14ac:dyDescent="0.25">
      <c r="L319" s="146">
        <f ca="1"/>
        <v>45558</v>
      </c>
      <c r="M319" s="92">
        <f t="shared" ca="1" si="19"/>
        <v>10.75</v>
      </c>
      <c r="N319" s="143">
        <f ca="1">(PRODUCT($O$5:$O319)-1)*36000/_xlfn.DAYS(L319, $C$2)</f>
        <v>11.739878947574464</v>
      </c>
      <c r="O319" s="149">
        <f t="shared" ca="1" si="20"/>
        <v>1.0002986111111112</v>
      </c>
    </row>
    <row r="320" spans="12:15" x14ac:dyDescent="0.25">
      <c r="L320" s="146">
        <f ca="1"/>
        <v>45559</v>
      </c>
      <c r="M320" s="92">
        <f t="shared" ca="1" si="19"/>
        <v>10.75</v>
      </c>
      <c r="N320" s="143">
        <f ca="1">(PRODUCT($O$5:$O320)-1)*36000/_xlfn.DAYS(L320, $C$2)</f>
        <v>11.740240983700827</v>
      </c>
      <c r="O320" s="149">
        <f t="shared" ca="1" si="20"/>
        <v>1.0002986111111112</v>
      </c>
    </row>
    <row r="321" spans="12:15" x14ac:dyDescent="0.25">
      <c r="L321" s="146">
        <f ca="1"/>
        <v>45560</v>
      </c>
      <c r="M321" s="92">
        <f t="shared" ca="1" si="19"/>
        <v>10.75</v>
      </c>
      <c r="N321" s="143">
        <f ca="1">(PRODUCT($O$5:$O321)-1)*36000/_xlfn.DAYS(L321, $C$2)</f>
        <v>11.740611902313551</v>
      </c>
      <c r="O321" s="149">
        <f t="shared" ca="1" si="20"/>
        <v>1.0002986111111112</v>
      </c>
    </row>
    <row r="322" spans="12:15" x14ac:dyDescent="0.25">
      <c r="L322" s="146">
        <f ca="1"/>
        <v>45561</v>
      </c>
      <c r="M322" s="92">
        <f t="shared" ca="1" si="19"/>
        <v>10.75</v>
      </c>
      <c r="N322" s="143">
        <f ca="1">(PRODUCT($O$5:$O322)-1)*36000/_xlfn.DAYS(L322, $C$2)</f>
        <v>11.740991622939601</v>
      </c>
      <c r="O322" s="149">
        <f t="shared" ca="1" si="20"/>
        <v>1.0002986111111112</v>
      </c>
    </row>
    <row r="323" spans="12:15" x14ac:dyDescent="0.25">
      <c r="L323" s="146">
        <f ca="1"/>
        <v>45562</v>
      </c>
      <c r="M323" s="92">
        <f t="shared" ca="1" si="19"/>
        <v>10.25</v>
      </c>
      <c r="N323" s="143">
        <f ca="1">(PRODUCT($O$5:$O323)-1)*36000/_xlfn.DAYS(L323, $C$2)</f>
        <v>11.739650109857845</v>
      </c>
      <c r="O323" s="149">
        <f t="shared" ca="1" si="20"/>
        <v>1.0002847222222222</v>
      </c>
    </row>
    <row r="324" spans="12:15" x14ac:dyDescent="0.25">
      <c r="L324" s="146">
        <f ca="1"/>
        <v>45563</v>
      </c>
      <c r="M324" s="92">
        <f t="shared" ca="1" si="19"/>
        <v>10.25</v>
      </c>
      <c r="N324" s="143">
        <f ca="1">(PRODUCT($O$5:$O324)-1)*36000/_xlfn.DAYS(L324, $C$2)</f>
        <v>11.738327047096714</v>
      </c>
      <c r="O324" s="149">
        <f t="shared" ca="1" si="20"/>
        <v>1.0002847222222222</v>
      </c>
    </row>
    <row r="325" spans="12:15" x14ac:dyDescent="0.25">
      <c r="L325" s="146">
        <f ca="1"/>
        <v>45564</v>
      </c>
      <c r="M325" s="92">
        <f t="shared" ref="M325:M388" ca="1" si="21">IFERROR(INDEX($E$27:$H$47, MATCH(L325, $F$27:$F$47, 0), 4), IF(ISNUMBER(M324), M324, $C$5))</f>
        <v>10.25</v>
      </c>
      <c r="N325" s="143">
        <f ca="1">(PRODUCT($O$5:$O325)-1)*36000/_xlfn.DAYS(L325, $C$2)</f>
        <v>11.737022265080364</v>
      </c>
      <c r="O325" s="149">
        <f t="shared" ca="1" si="20"/>
        <v>1.0002847222222222</v>
      </c>
    </row>
    <row r="326" spans="12:15" x14ac:dyDescent="0.25">
      <c r="L326" s="146">
        <f ca="1"/>
        <v>45565</v>
      </c>
      <c r="M326" s="92">
        <f t="shared" ca="1" si="21"/>
        <v>10.25</v>
      </c>
      <c r="N326" s="143">
        <f ca="1">(PRODUCT($O$5:$O326)-1)*36000/_xlfn.DAYS(L326, $C$2)</f>
        <v>11.735735596340271</v>
      </c>
      <c r="O326" s="149">
        <f t="shared" ref="O326:O389" ca="1" si="22">1+M326*IFERROR(_xlfn.DAYS(L326, L325), _xlfn.DAYS(L326, $C$2))/36000</f>
        <v>1.0002847222222222</v>
      </c>
    </row>
    <row r="327" spans="12:15" x14ac:dyDescent="0.25">
      <c r="L327" s="146">
        <f ca="1"/>
        <v>45566</v>
      </c>
      <c r="M327" s="92">
        <f t="shared" ca="1" si="21"/>
        <v>10.25</v>
      </c>
      <c r="N327" s="143">
        <f ca="1">(PRODUCT($O$5:$O327)-1)*36000/_xlfn.DAYS(L327, $C$2)</f>
        <v>11.734466875482644</v>
      </c>
      <c r="O327" s="149">
        <f t="shared" ca="1" si="22"/>
        <v>1.0002847222222222</v>
      </c>
    </row>
    <row r="328" spans="12:15" x14ac:dyDescent="0.25">
      <c r="L328" s="146">
        <f ca="1"/>
        <v>45567</v>
      </c>
      <c r="M328" s="92">
        <f t="shared" ca="1" si="21"/>
        <v>10.25</v>
      </c>
      <c r="N328" s="143">
        <f ca="1">(PRODUCT($O$5:$O328)-1)*36000/_xlfn.DAYS(L328, $C$2)</f>
        <v>11.733215939156402</v>
      </c>
      <c r="O328" s="149">
        <f t="shared" ca="1" si="22"/>
        <v>1.0002847222222222</v>
      </c>
    </row>
    <row r="329" spans="12:15" x14ac:dyDescent="0.25">
      <c r="L329" s="146">
        <f ca="1"/>
        <v>45568</v>
      </c>
      <c r="M329" s="92">
        <f t="shared" ca="1" si="21"/>
        <v>10.25</v>
      </c>
      <c r="N329" s="143">
        <f ca="1">(PRODUCT($O$5:$O329)-1)*36000/_xlfn.DAYS(L329, $C$2)</f>
        <v>11.731982626021729</v>
      </c>
      <c r="O329" s="149">
        <f t="shared" ca="1" si="22"/>
        <v>1.0002847222222222</v>
      </c>
    </row>
    <row r="330" spans="12:15" x14ac:dyDescent="0.25">
      <c r="L330" s="146">
        <f ca="1"/>
        <v>45569</v>
      </c>
      <c r="M330" s="92">
        <f t="shared" ca="1" si="21"/>
        <v>10.25</v>
      </c>
      <c r="N330" s="143">
        <f ca="1">(PRODUCT($O$5:$O330)-1)*36000/_xlfn.DAYS(L330, $C$2)</f>
        <v>11.730766776719246</v>
      </c>
      <c r="O330" s="149">
        <f t="shared" ca="1" si="22"/>
        <v>1.0002847222222222</v>
      </c>
    </row>
    <row r="331" spans="12:15" x14ac:dyDescent="0.25">
      <c r="L331" s="146">
        <f ca="1"/>
        <v>45570</v>
      </c>
      <c r="M331" s="92">
        <f t="shared" ca="1" si="21"/>
        <v>10.25</v>
      </c>
      <c r="N331" s="143">
        <f ca="1">(PRODUCT($O$5:$O331)-1)*36000/_xlfn.DAYS(L331, $C$2)</f>
        <v>11.729568233839734</v>
      </c>
      <c r="O331" s="149">
        <f t="shared" ca="1" si="22"/>
        <v>1.0002847222222222</v>
      </c>
    </row>
    <row r="332" spans="12:15" x14ac:dyDescent="0.25">
      <c r="L332" s="146">
        <f ca="1"/>
        <v>45571</v>
      </c>
      <c r="M332" s="92">
        <f t="shared" ca="1" si="21"/>
        <v>10.25</v>
      </c>
      <c r="N332" s="143">
        <f ca="1">(PRODUCT($O$5:$O332)-1)*36000/_xlfn.DAYS(L332, $C$2)</f>
        <v>11.728386841894396</v>
      </c>
      <c r="O332" s="149">
        <f t="shared" ca="1" si="22"/>
        <v>1.0002847222222222</v>
      </c>
    </row>
    <row r="333" spans="12:15" x14ac:dyDescent="0.25">
      <c r="L333" s="146">
        <f ca="1"/>
        <v>45572</v>
      </c>
      <c r="M333" s="92">
        <f t="shared" ca="1" si="21"/>
        <v>10.25</v>
      </c>
      <c r="N333" s="143">
        <f ca="1">(PRODUCT($O$5:$O333)-1)*36000/_xlfn.DAYS(L333, $C$2)</f>
        <v>11.727222447285662</v>
      </c>
      <c r="O333" s="149">
        <f t="shared" ca="1" si="22"/>
        <v>1.0002847222222222</v>
      </c>
    </row>
    <row r="334" spans="12:15" x14ac:dyDescent="0.25">
      <c r="L334" s="146">
        <f ca="1"/>
        <v>45573</v>
      </c>
      <c r="M334" s="92">
        <f t="shared" ca="1" si="21"/>
        <v>10.25</v>
      </c>
      <c r="N334" s="143">
        <f ca="1">(PRODUCT($O$5:$O334)-1)*36000/_xlfn.DAYS(L334, $C$2)</f>
        <v>11.726074898278545</v>
      </c>
      <c r="O334" s="149">
        <f t="shared" ca="1" si="22"/>
        <v>1.0002847222222222</v>
      </c>
    </row>
    <row r="335" spans="12:15" x14ac:dyDescent="0.25">
      <c r="L335" s="146">
        <f ca="1"/>
        <v>45574</v>
      </c>
      <c r="M335" s="92">
        <f t="shared" ca="1" si="21"/>
        <v>10.25</v>
      </c>
      <c r="N335" s="143">
        <f ca="1">(PRODUCT($O$5:$O335)-1)*36000/_xlfn.DAYS(L335, $C$2)</f>
        <v>11.724944044972512</v>
      </c>
      <c r="O335" s="149">
        <f t="shared" ca="1" si="22"/>
        <v>1.0002847222222222</v>
      </c>
    </row>
    <row r="336" spans="12:15" x14ac:dyDescent="0.25">
      <c r="L336" s="146">
        <f ca="1"/>
        <v>45575</v>
      </c>
      <c r="M336" s="92">
        <f t="shared" ca="1" si="21"/>
        <v>10.25</v>
      </c>
      <c r="N336" s="143">
        <f ca="1">(PRODUCT($O$5:$O336)-1)*36000/_xlfn.DAYS(L336, $C$2)</f>
        <v>11.723829739273851</v>
      </c>
      <c r="O336" s="149">
        <f t="shared" ca="1" si="22"/>
        <v>1.0002847222222222</v>
      </c>
    </row>
    <row r="337" spans="12:15" x14ac:dyDescent="0.25">
      <c r="L337" s="146">
        <f ca="1"/>
        <v>45576</v>
      </c>
      <c r="M337" s="92">
        <f t="shared" ca="1" si="21"/>
        <v>10.25</v>
      </c>
      <c r="N337" s="143">
        <f ca="1">(PRODUCT($O$5:$O337)-1)*36000/_xlfn.DAYS(L337, $C$2)</f>
        <v>11.722731834868506</v>
      </c>
      <c r="O337" s="149">
        <f t="shared" ca="1" si="22"/>
        <v>1.0002847222222222</v>
      </c>
    </row>
    <row r="338" spans="12:15" x14ac:dyDescent="0.25">
      <c r="L338" s="146">
        <f ca="1"/>
        <v>45577</v>
      </c>
      <c r="M338" s="92">
        <f t="shared" ca="1" si="21"/>
        <v>10.25</v>
      </c>
      <c r="N338" s="143">
        <f ca="1">(PRODUCT($O$5:$O338)-1)*36000/_xlfn.DAYS(L338, $C$2)</f>
        <v>11.721650187195515</v>
      </c>
      <c r="O338" s="149">
        <f t="shared" ca="1" si="22"/>
        <v>1.0002847222222222</v>
      </c>
    </row>
    <row r="339" spans="12:15" x14ac:dyDescent="0.25">
      <c r="L339" s="146">
        <f ca="1"/>
        <v>45578</v>
      </c>
      <c r="M339" s="92">
        <f t="shared" ca="1" si="21"/>
        <v>10.25</v>
      </c>
      <c r="N339" s="143">
        <f ca="1">(PRODUCT($O$5:$O339)-1)*36000/_xlfn.DAYS(L339, $C$2)</f>
        <v>11.720584653420786</v>
      </c>
      <c r="O339" s="149">
        <f t="shared" ca="1" si="22"/>
        <v>1.0002847222222222</v>
      </c>
    </row>
    <row r="340" spans="12:15" x14ac:dyDescent="0.25">
      <c r="L340" s="146">
        <f ca="1"/>
        <v>45579</v>
      </c>
      <c r="M340" s="92">
        <f t="shared" ca="1" si="21"/>
        <v>10.25</v>
      </c>
      <c r="N340" s="143">
        <f ca="1">(PRODUCT($O$5:$O340)-1)*36000/_xlfn.DAYS(L340, $C$2)</f>
        <v>11.719535092411414</v>
      </c>
      <c r="O340" s="149">
        <f t="shared" ca="1" si="22"/>
        <v>1.0002847222222222</v>
      </c>
    </row>
    <row r="341" spans="12:15" x14ac:dyDescent="0.25">
      <c r="L341" s="146">
        <f ca="1"/>
        <v>45580</v>
      </c>
      <c r="M341" s="92">
        <f t="shared" ca="1" si="21"/>
        <v>10.25</v>
      </c>
      <c r="N341" s="143">
        <f ca="1">(PRODUCT($O$5:$O341)-1)*36000/_xlfn.DAYS(L341, $C$2)</f>
        <v>11.7185013647104</v>
      </c>
      <c r="O341" s="149">
        <f t="shared" ca="1" si="22"/>
        <v>1.0002847222222222</v>
      </c>
    </row>
    <row r="342" spans="12:15" x14ac:dyDescent="0.25">
      <c r="L342" s="146">
        <f ca="1"/>
        <v>45581</v>
      </c>
      <c r="M342" s="92">
        <f t="shared" ca="1" si="21"/>
        <v>10.25</v>
      </c>
      <c r="N342" s="143">
        <f ca="1">(PRODUCT($O$5:$O342)-1)*36000/_xlfn.DAYS(L342, $C$2)</f>
        <v>11.717483332511973</v>
      </c>
      <c r="O342" s="149">
        <f t="shared" ca="1" si="22"/>
        <v>1.0002847222222222</v>
      </c>
    </row>
    <row r="343" spans="12:15" x14ac:dyDescent="0.25">
      <c r="L343" s="146">
        <f ca="1"/>
        <v>45582</v>
      </c>
      <c r="M343" s="92">
        <f t="shared" ca="1" si="21"/>
        <v>10.25</v>
      </c>
      <c r="N343" s="143">
        <f ca="1">(PRODUCT($O$5:$O343)-1)*36000/_xlfn.DAYS(L343, $C$2)</f>
        <v>11.716480859637098</v>
      </c>
      <c r="O343" s="149">
        <f t="shared" ca="1" si="22"/>
        <v>1.0002847222222222</v>
      </c>
    </row>
    <row r="344" spans="12:15" x14ac:dyDescent="0.25">
      <c r="L344" s="146">
        <f ca="1"/>
        <v>45583</v>
      </c>
      <c r="M344" s="92">
        <f t="shared" ca="1" si="21"/>
        <v>10.25</v>
      </c>
      <c r="N344" s="143">
        <f ca="1">(PRODUCT($O$5:$O344)-1)*36000/_xlfn.DAYS(L344, $C$2)</f>
        <v>11.715493811509644</v>
      </c>
      <c r="O344" s="149">
        <f t="shared" ca="1" si="22"/>
        <v>1.0002847222222222</v>
      </c>
    </row>
    <row r="345" spans="12:15" x14ac:dyDescent="0.25">
      <c r="L345" s="146">
        <f ca="1"/>
        <v>45584</v>
      </c>
      <c r="M345" s="92">
        <f t="shared" ca="1" si="21"/>
        <v>10.25</v>
      </c>
      <c r="N345" s="143">
        <f ca="1">(PRODUCT($O$5:$O345)-1)*36000/_xlfn.DAYS(L345, $C$2)</f>
        <v>11.714522055132861</v>
      </c>
      <c r="O345" s="149">
        <f t="shared" ca="1" si="22"/>
        <v>1.0002847222222222</v>
      </c>
    </row>
    <row r="346" spans="12:15" x14ac:dyDescent="0.25">
      <c r="L346" s="146">
        <f ca="1"/>
        <v>45585</v>
      </c>
      <c r="M346" s="92">
        <f t="shared" ca="1" si="21"/>
        <v>10.25</v>
      </c>
      <c r="N346" s="143">
        <f ca="1">(PRODUCT($O$5:$O346)-1)*36000/_xlfn.DAYS(L346, $C$2)</f>
        <v>11.713565459066286</v>
      </c>
      <c r="O346" s="149">
        <f t="shared" ca="1" si="22"/>
        <v>1.0002847222222222</v>
      </c>
    </row>
    <row r="347" spans="12:15" x14ac:dyDescent="0.25">
      <c r="L347" s="146">
        <f ca="1"/>
        <v>45586</v>
      </c>
      <c r="M347" s="92">
        <f t="shared" ca="1" si="21"/>
        <v>10.25</v>
      </c>
      <c r="N347" s="143">
        <f ca="1">(PRODUCT($O$5:$O347)-1)*36000/_xlfn.DAYS(L347, $C$2)</f>
        <v>11.712623893403038</v>
      </c>
      <c r="O347" s="149">
        <f t="shared" ca="1" si="22"/>
        <v>1.0002847222222222</v>
      </c>
    </row>
    <row r="348" spans="12:15" x14ac:dyDescent="0.25">
      <c r="L348" s="146">
        <f ca="1"/>
        <v>45587</v>
      </c>
      <c r="M348" s="92">
        <f t="shared" ca="1" si="21"/>
        <v>10.25</v>
      </c>
      <c r="N348" s="143">
        <f ca="1">(PRODUCT($O$5:$O348)-1)*36000/_xlfn.DAYS(L348, $C$2)</f>
        <v>11.711697229747566</v>
      </c>
      <c r="O348" s="149">
        <f t="shared" ca="1" si="22"/>
        <v>1.0002847222222222</v>
      </c>
    </row>
    <row r="349" spans="12:15" x14ac:dyDescent="0.25">
      <c r="L349" s="146">
        <f ca="1"/>
        <v>45588</v>
      </c>
      <c r="M349" s="92">
        <f t="shared" ca="1" si="21"/>
        <v>10.25</v>
      </c>
      <c r="N349" s="143">
        <f ca="1">(PRODUCT($O$5:$O349)-1)*36000/_xlfn.DAYS(L349, $C$2)</f>
        <v>11.710785341193711</v>
      </c>
      <c r="O349" s="149">
        <f t="shared" ca="1" si="22"/>
        <v>1.0002847222222222</v>
      </c>
    </row>
    <row r="350" spans="12:15" x14ac:dyDescent="0.25">
      <c r="L350" s="146">
        <f ca="1"/>
        <v>45589</v>
      </c>
      <c r="M350" s="92">
        <f t="shared" ca="1" si="21"/>
        <v>10.25</v>
      </c>
      <c r="N350" s="143">
        <f ca="1">(PRODUCT($O$5:$O350)-1)*36000/_xlfn.DAYS(L350, $C$2)</f>
        <v>11.709888102303193</v>
      </c>
      <c r="O350" s="149">
        <f t="shared" ca="1" si="22"/>
        <v>1.0002847222222222</v>
      </c>
    </row>
    <row r="351" spans="12:15" x14ac:dyDescent="0.25">
      <c r="L351" s="146">
        <f ca="1"/>
        <v>45590</v>
      </c>
      <c r="M351" s="92">
        <f t="shared" ca="1" si="21"/>
        <v>10.25</v>
      </c>
      <c r="N351" s="143">
        <f ca="1">(PRODUCT($O$5:$O351)-1)*36000/_xlfn.DAYS(L351, $C$2)</f>
        <v>11.709005389084474</v>
      </c>
      <c r="O351" s="149">
        <f t="shared" ca="1" si="22"/>
        <v>1.0002847222222222</v>
      </c>
    </row>
    <row r="352" spans="12:15" x14ac:dyDescent="0.25">
      <c r="L352" s="146">
        <f ca="1"/>
        <v>45591</v>
      </c>
      <c r="M352" s="92">
        <f t="shared" ca="1" si="21"/>
        <v>10.25</v>
      </c>
      <c r="N352" s="143">
        <f ca="1">(PRODUCT($O$5:$O352)-1)*36000/_xlfn.DAYS(L352, $C$2)</f>
        <v>11.70813707897198</v>
      </c>
      <c r="O352" s="149">
        <f t="shared" ca="1" si="22"/>
        <v>1.0002847222222222</v>
      </c>
    </row>
    <row r="353" spans="12:15" x14ac:dyDescent="0.25">
      <c r="L353" s="146">
        <f ca="1"/>
        <v>45592</v>
      </c>
      <c r="M353" s="92">
        <f t="shared" ca="1" si="21"/>
        <v>10.25</v>
      </c>
      <c r="N353" s="143">
        <f ca="1">(PRODUCT($O$5:$O353)-1)*36000/_xlfn.DAYS(L353, $C$2)</f>
        <v>11.707283050805614</v>
      </c>
      <c r="O353" s="149">
        <f t="shared" ca="1" si="22"/>
        <v>1.0002847222222222</v>
      </c>
    </row>
    <row r="354" spans="12:15" x14ac:dyDescent="0.25">
      <c r="L354" s="146">
        <f ca="1"/>
        <v>45593</v>
      </c>
      <c r="M354" s="92">
        <f t="shared" ca="1" si="21"/>
        <v>10.25</v>
      </c>
      <c r="N354" s="143">
        <f ca="1">(PRODUCT($O$5:$O354)-1)*36000/_xlfn.DAYS(L354, $C$2)</f>
        <v>11.706443184810722</v>
      </c>
      <c r="O354" s="149">
        <f t="shared" ca="1" si="22"/>
        <v>1.0002847222222222</v>
      </c>
    </row>
    <row r="355" spans="12:15" x14ac:dyDescent="0.25">
      <c r="L355" s="146">
        <f ca="1"/>
        <v>45594</v>
      </c>
      <c r="M355" s="92">
        <f t="shared" ca="1" si="21"/>
        <v>10.25</v>
      </c>
      <c r="N355" s="143">
        <f ca="1">(PRODUCT($O$5:$O355)-1)*36000/_xlfn.DAYS(L355, $C$2)</f>
        <v>11.705617362578389</v>
      </c>
      <c r="O355" s="149">
        <f t="shared" ca="1" si="22"/>
        <v>1.0002847222222222</v>
      </c>
    </row>
    <row r="356" spans="12:15" x14ac:dyDescent="0.25">
      <c r="L356" s="146">
        <f ca="1"/>
        <v>45595</v>
      </c>
      <c r="M356" s="92">
        <f t="shared" ca="1" si="21"/>
        <v>10.25</v>
      </c>
      <c r="N356" s="143">
        <f ca="1">(PRODUCT($O$5:$O356)-1)*36000/_xlfn.DAYS(L356, $C$2)</f>
        <v>11.704805467045976</v>
      </c>
      <c r="O356" s="149">
        <f t="shared" ca="1" si="22"/>
        <v>1.0002847222222222</v>
      </c>
    </row>
    <row r="357" spans="12:15" x14ac:dyDescent="0.25">
      <c r="L357" s="146">
        <f ca="1"/>
        <v>45596</v>
      </c>
      <c r="M357" s="92">
        <f t="shared" ca="1" si="21"/>
        <v>10.25</v>
      </c>
      <c r="N357" s="143">
        <f ca="1">(PRODUCT($O$5:$O357)-1)*36000/_xlfn.DAYS(L357, $C$2)</f>
        <v>11.704007382478089</v>
      </c>
      <c r="O357" s="149">
        <f t="shared" ca="1" si="22"/>
        <v>1.0002847222222222</v>
      </c>
    </row>
    <row r="358" spans="12:15" x14ac:dyDescent="0.25">
      <c r="L358" s="146">
        <f ca="1"/>
        <v>45597</v>
      </c>
      <c r="M358" s="92">
        <f t="shared" ca="1" si="21"/>
        <v>10.25</v>
      </c>
      <c r="N358" s="143">
        <f ca="1">(PRODUCT($O$5:$O358)-1)*36000/_xlfn.DAYS(L358, $C$2)</f>
        <v>11.703222994447833</v>
      </c>
      <c r="O358" s="149">
        <f t="shared" ca="1" si="22"/>
        <v>1.0002847222222222</v>
      </c>
    </row>
    <row r="359" spans="12:15" x14ac:dyDescent="0.25">
      <c r="L359" s="146">
        <f ca="1"/>
        <v>45598</v>
      </c>
      <c r="M359" s="92">
        <f t="shared" ca="1" si="21"/>
        <v>10.25</v>
      </c>
      <c r="N359" s="143">
        <f ca="1">(PRODUCT($O$5:$O359)-1)*36000/_xlfn.DAYS(L359, $C$2)</f>
        <v>11.702452189818347</v>
      </c>
      <c r="O359" s="149">
        <f t="shared" ca="1" si="22"/>
        <v>1.0002847222222222</v>
      </c>
    </row>
    <row r="360" spans="12:15" x14ac:dyDescent="0.25">
      <c r="L360" s="146">
        <f ca="1"/>
        <v>45599</v>
      </c>
      <c r="M360" s="92">
        <f t="shared" ca="1" si="21"/>
        <v>10.25</v>
      </c>
      <c r="N360" s="143">
        <f ca="1">(PRODUCT($O$5:$O360)-1)*36000/_xlfn.DAYS(L360, $C$2)</f>
        <v>11.701694856724732</v>
      </c>
      <c r="O360" s="149">
        <f t="shared" ca="1" si="22"/>
        <v>1.0002847222222222</v>
      </c>
    </row>
    <row r="361" spans="12:15" x14ac:dyDescent="0.25">
      <c r="L361" s="146">
        <f ca="1"/>
        <v>45600</v>
      </c>
      <c r="M361" s="92">
        <f t="shared" ca="1" si="21"/>
        <v>10.25</v>
      </c>
      <c r="N361" s="143">
        <f ca="1">(PRODUCT($O$5:$O361)-1)*36000/_xlfn.DAYS(L361, $C$2)</f>
        <v>11.700950884556198</v>
      </c>
      <c r="O361" s="149">
        <f t="shared" ca="1" si="22"/>
        <v>1.0002847222222222</v>
      </c>
    </row>
    <row r="362" spans="12:15" x14ac:dyDescent="0.25">
      <c r="L362" s="146">
        <f ca="1"/>
        <v>45601</v>
      </c>
      <c r="M362" s="92">
        <f t="shared" ca="1" si="21"/>
        <v>10.25</v>
      </c>
      <c r="N362" s="143">
        <f ca="1">(PRODUCT($O$5:$O362)-1)*36000/_xlfn.DAYS(L362, $C$2)</f>
        <v>11.700220163938583</v>
      </c>
      <c r="O362" s="149">
        <f t="shared" ca="1" si="22"/>
        <v>1.0002847222222222</v>
      </c>
    </row>
    <row r="363" spans="12:15" x14ac:dyDescent="0.25">
      <c r="L363" s="146">
        <f ca="1"/>
        <v>45602</v>
      </c>
      <c r="M363" s="92">
        <f t="shared" ca="1" si="21"/>
        <v>10.25</v>
      </c>
      <c r="N363" s="143">
        <f ca="1">(PRODUCT($O$5:$O363)-1)*36000/_xlfn.DAYS(L363, $C$2)</f>
        <v>11.699502586717124</v>
      </c>
      <c r="O363" s="149">
        <f t="shared" ca="1" si="22"/>
        <v>1.0002847222222222</v>
      </c>
    </row>
    <row r="364" spans="12:15" x14ac:dyDescent="0.25">
      <c r="L364" s="146">
        <f ca="1"/>
        <v>45603</v>
      </c>
      <c r="M364" s="92">
        <f t="shared" ca="1" si="21"/>
        <v>10.25</v>
      </c>
      <c r="N364" s="143">
        <f ca="1">(PRODUCT($O$5:$O364)-1)*36000/_xlfn.DAYS(L364, $C$2)</f>
        <v>11.698798045939474</v>
      </c>
      <c r="O364" s="149">
        <f t="shared" ca="1" si="22"/>
        <v>1.0002847222222222</v>
      </c>
    </row>
    <row r="365" spans="12:15" x14ac:dyDescent="0.25">
      <c r="L365" s="146">
        <f ca="1"/>
        <v>45604</v>
      </c>
      <c r="M365" s="92">
        <f t="shared" ca="1" si="21"/>
        <v>10.25</v>
      </c>
      <c r="N365" s="143">
        <f ca="1">(PRODUCT($O$5:$O365)-1)*36000/_xlfn.DAYS(L365, $C$2)</f>
        <v>11.698106435839119</v>
      </c>
      <c r="O365" s="149">
        <f t="shared" ca="1" si="22"/>
        <v>1.0002847222222222</v>
      </c>
    </row>
    <row r="366" spans="12:15" x14ac:dyDescent="0.25">
      <c r="L366" s="146">
        <f ca="1"/>
        <v>45605</v>
      </c>
      <c r="M366" s="92">
        <f t="shared" ca="1" si="21"/>
        <v>10.25</v>
      </c>
      <c r="N366" s="143">
        <f ca="1">(PRODUCT($O$5:$O366)-1)*36000/_xlfn.DAYS(L366, $C$2)</f>
        <v>11.697427651818932</v>
      </c>
      <c r="O366" s="149">
        <f t="shared" ca="1" si="22"/>
        <v>1.0002847222222222</v>
      </c>
    </row>
    <row r="367" spans="12:15" x14ac:dyDescent="0.25">
      <c r="L367" s="146">
        <f ca="1"/>
        <v>45606</v>
      </c>
      <c r="M367" s="92">
        <f t="shared" ca="1" si="21"/>
        <v>10.25</v>
      </c>
      <c r="N367" s="143">
        <f ca="1">(PRODUCT($O$5:$O367)-1)*36000/_xlfn.DAYS(L367, $C$2)</f>
        <v>11.696761590435132</v>
      </c>
      <c r="O367" s="149">
        <f t="shared" ca="1" si="22"/>
        <v>1.0002847222222222</v>
      </c>
    </row>
    <row r="368" spans="12:15" x14ac:dyDescent="0.25">
      <c r="L368" s="146">
        <f ca="1"/>
        <v>45607</v>
      </c>
      <c r="M368" s="92">
        <f t="shared" ca="1" si="21"/>
        <v>10.25</v>
      </c>
      <c r="N368" s="143">
        <f ca="1">(PRODUCT($O$5:$O368)-1)*36000/_xlfn.DAYS(L368, $C$2)</f>
        <v>11.696108149381397</v>
      </c>
      <c r="O368" s="149">
        <f t="shared" ca="1" si="22"/>
        <v>1.0002847222222222</v>
      </c>
    </row>
    <row r="369" spans="12:15" x14ac:dyDescent="0.25">
      <c r="L369" s="146">
        <f ca="1"/>
        <v>45608</v>
      </c>
      <c r="M369" s="92">
        <f t="shared" ca="1" si="21"/>
        <v>10.25</v>
      </c>
      <c r="N369" s="143">
        <f ca="1">(PRODUCT($O$5:$O369)-1)*36000/_xlfn.DAYS(L369, $C$2)</f>
        <v>11.695467227473296</v>
      </c>
      <c r="O369" s="149">
        <f t="shared" ca="1" si="22"/>
        <v>1.0002847222222222</v>
      </c>
    </row>
    <row r="370" spans="12:15" x14ac:dyDescent="0.25">
      <c r="L370" s="146">
        <f ca="1"/>
        <v>45609</v>
      </c>
      <c r="M370" s="92">
        <f t="shared" ca="1" si="21"/>
        <v>10.25</v>
      </c>
      <c r="N370" s="143">
        <f ca="1">(PRODUCT($O$5:$O370)-1)*36000/_xlfn.DAYS(L370, $C$2)</f>
        <v>11.694838724632961</v>
      </c>
      <c r="O370" s="149">
        <f t="shared" ca="1" si="22"/>
        <v>1.0002847222222222</v>
      </c>
    </row>
    <row r="371" spans="12:15" x14ac:dyDescent="0.25">
      <c r="L371" s="146">
        <f ca="1"/>
        <v>45610</v>
      </c>
      <c r="M371" s="92">
        <f t="shared" ca="1" si="21"/>
        <v>10.25</v>
      </c>
      <c r="N371" s="143">
        <f ca="1">(PRODUCT($O$5:$O371)-1)*36000/_xlfn.DAYS(L371, $C$2)</f>
        <v>11.694222541874009</v>
      </c>
      <c r="O371" s="149">
        <f t="shared" ca="1" si="22"/>
        <v>1.0002847222222222</v>
      </c>
    </row>
    <row r="372" spans="12:15" x14ac:dyDescent="0.25">
      <c r="L372" s="146">
        <f ca="1"/>
        <v>45611</v>
      </c>
      <c r="M372" s="92">
        <f t="shared" ca="1" si="21"/>
        <v>9.75</v>
      </c>
      <c r="N372" s="143">
        <f ca="1">(PRODUCT($O$5:$O372)-1)*36000/_xlfn.DAYS(L372, $C$2)</f>
        <v>11.692097907235054</v>
      </c>
      <c r="O372" s="149">
        <f t="shared" ca="1" si="22"/>
        <v>1.0002708333333334</v>
      </c>
    </row>
    <row r="373" spans="12:15" x14ac:dyDescent="0.25">
      <c r="L373" s="146">
        <f ca="1"/>
        <v>45612</v>
      </c>
      <c r="M373" s="92">
        <f t="shared" ca="1" si="21"/>
        <v>9.75</v>
      </c>
      <c r="N373" s="143">
        <f ca="1">(PRODUCT($O$5:$O373)-1)*36000/_xlfn.DAYS(L373, $C$2)</f>
        <v>11.68999279752645</v>
      </c>
      <c r="O373" s="149">
        <f t="shared" ca="1" si="22"/>
        <v>1.0002708333333334</v>
      </c>
    </row>
    <row r="374" spans="12:15" x14ac:dyDescent="0.25">
      <c r="L374" s="146">
        <f ca="1"/>
        <v>45613</v>
      </c>
      <c r="M374" s="92">
        <f t="shared" ca="1" si="21"/>
        <v>9.75</v>
      </c>
      <c r="N374" s="143">
        <f ca="1">(PRODUCT($O$5:$O374)-1)*36000/_xlfn.DAYS(L374, $C$2)</f>
        <v>11.687907056601256</v>
      </c>
      <c r="O374" s="149">
        <f t="shared" ca="1" si="22"/>
        <v>1.0002708333333334</v>
      </c>
    </row>
    <row r="375" spans="12:15" x14ac:dyDescent="0.25">
      <c r="L375" s="146">
        <f ca="1"/>
        <v>45614</v>
      </c>
      <c r="M375" s="92">
        <f t="shared" ca="1" si="21"/>
        <v>9.75</v>
      </c>
      <c r="N375" s="143">
        <f ca="1">(PRODUCT($O$5:$O375)-1)*36000/_xlfn.DAYS(L375, $C$2)</f>
        <v>11.68584052999668</v>
      </c>
      <c r="O375" s="149">
        <f t="shared" ca="1" si="22"/>
        <v>1.0002708333333334</v>
      </c>
    </row>
    <row r="376" spans="12:15" x14ac:dyDescent="0.25">
      <c r="L376" s="146">
        <f ca="1"/>
        <v>45615</v>
      </c>
      <c r="M376" s="92">
        <f t="shared" ca="1" si="21"/>
        <v>9.75</v>
      </c>
      <c r="N376" s="143">
        <f ca="1">(PRODUCT($O$5:$O376)-1)*36000/_xlfn.DAYS(L376, $C$2)</f>
        <v>11.683793064911365</v>
      </c>
      <c r="O376" s="149">
        <f t="shared" ca="1" si="22"/>
        <v>1.0002708333333334</v>
      </c>
    </row>
    <row r="377" spans="12:15" x14ac:dyDescent="0.25">
      <c r="L377" s="146">
        <f ca="1"/>
        <v>45616</v>
      </c>
      <c r="M377" s="92">
        <f t="shared" ca="1" si="21"/>
        <v>9.75</v>
      </c>
      <c r="N377" s="143">
        <f ca="1">(PRODUCT($O$5:$O377)-1)*36000/_xlfn.DAYS(L377, $C$2)</f>
        <v>11.681764510183168</v>
      </c>
      <c r="O377" s="149">
        <f t="shared" ca="1" si="22"/>
        <v>1.0002708333333334</v>
      </c>
    </row>
    <row r="378" spans="12:15" x14ac:dyDescent="0.25">
      <c r="L378" s="146">
        <f ca="1"/>
        <v>45617</v>
      </c>
      <c r="M378" s="92">
        <f t="shared" ca="1" si="21"/>
        <v>9.75</v>
      </c>
      <c r="N378" s="143">
        <f ca="1">(PRODUCT($O$5:$O378)-1)*36000/_xlfn.DAYS(L378, $C$2)</f>
        <v>11.679754716267233</v>
      </c>
      <c r="O378" s="149">
        <f t="shared" ca="1" si="22"/>
        <v>1.0002708333333334</v>
      </c>
    </row>
    <row r="379" spans="12:15" x14ac:dyDescent="0.25">
      <c r="L379" s="146">
        <f ca="1"/>
        <v>45618</v>
      </c>
      <c r="M379" s="92">
        <f t="shared" ca="1" si="21"/>
        <v>9.75</v>
      </c>
      <c r="N379" s="143">
        <f ca="1">(PRODUCT($O$5:$O379)-1)*36000/_xlfn.DAYS(L379, $C$2)</f>
        <v>11.677763535214446</v>
      </c>
      <c r="O379" s="149">
        <f t="shared" ca="1" si="22"/>
        <v>1.0002708333333334</v>
      </c>
    </row>
    <row r="380" spans="12:15" x14ac:dyDescent="0.25">
      <c r="L380" s="146">
        <f ca="1"/>
        <v>45619</v>
      </c>
      <c r="M380" s="92">
        <f t="shared" ca="1" si="21"/>
        <v>9.75</v>
      </c>
      <c r="N380" s="143">
        <f ca="1">(PRODUCT($O$5:$O380)-1)*36000/_xlfn.DAYS(L380, $C$2)</f>
        <v>11.675790820650171</v>
      </c>
      <c r="O380" s="149">
        <f t="shared" ca="1" si="22"/>
        <v>1.0002708333333334</v>
      </c>
    </row>
    <row r="381" spans="12:15" x14ac:dyDescent="0.25">
      <c r="L381" s="146">
        <f ca="1"/>
        <v>45620</v>
      </c>
      <c r="M381" s="92">
        <f t="shared" ca="1" si="21"/>
        <v>9.75</v>
      </c>
      <c r="N381" s="143">
        <f ca="1">(PRODUCT($O$5:$O381)-1)*36000/_xlfn.DAYS(L381, $C$2)</f>
        <v>11.673836427753413</v>
      </c>
      <c r="O381" s="149">
        <f t="shared" ca="1" si="22"/>
        <v>1.0002708333333334</v>
      </c>
    </row>
    <row r="382" spans="12:15" x14ac:dyDescent="0.25">
      <c r="L382" s="146">
        <f ca="1"/>
        <v>45621</v>
      </c>
      <c r="M382" s="92">
        <f t="shared" ca="1" si="21"/>
        <v>9.75</v>
      </c>
      <c r="N382" s="143">
        <f ca="1">(PRODUCT($O$5:$O382)-1)*36000/_xlfn.DAYS(L382, $C$2)</f>
        <v>11.671900213236247</v>
      </c>
      <c r="O382" s="149">
        <f t="shared" ca="1" si="22"/>
        <v>1.0002708333333334</v>
      </c>
    </row>
    <row r="383" spans="12:15" x14ac:dyDescent="0.25">
      <c r="L383" s="146">
        <f ca="1"/>
        <v>45622</v>
      </c>
      <c r="M383" s="92">
        <f t="shared" ca="1" si="21"/>
        <v>9.75</v>
      </c>
      <c r="N383" s="143">
        <f ca="1">(PRODUCT($O$5:$O383)-1)*36000/_xlfn.DAYS(L383, $C$2)</f>
        <v>11.669982035323569</v>
      </c>
      <c r="O383" s="149">
        <f t="shared" ca="1" si="22"/>
        <v>1.0002708333333334</v>
      </c>
    </row>
    <row r="384" spans="12:15" x14ac:dyDescent="0.25">
      <c r="L384" s="146">
        <f ca="1"/>
        <v>45623</v>
      </c>
      <c r="M384" s="92">
        <f t="shared" ca="1" si="21"/>
        <v>9.75</v>
      </c>
      <c r="N384" s="143">
        <f ca="1">(PRODUCT($O$5:$O384)-1)*36000/_xlfn.DAYS(L384, $C$2)</f>
        <v>11.668081753733251</v>
      </c>
      <c r="O384" s="149">
        <f t="shared" ca="1" si="22"/>
        <v>1.0002708333333334</v>
      </c>
    </row>
    <row r="385" spans="12:15" x14ac:dyDescent="0.25">
      <c r="L385" s="146">
        <f ca="1"/>
        <v>45624</v>
      </c>
      <c r="M385" s="92">
        <f t="shared" ca="1" si="21"/>
        <v>9.75</v>
      </c>
      <c r="N385" s="143">
        <f ca="1">(PRODUCT($O$5:$O385)-1)*36000/_xlfn.DAYS(L385, $C$2)</f>
        <v>11.666199229656495</v>
      </c>
      <c r="O385" s="149">
        <f t="shared" ca="1" si="22"/>
        <v>1.0002708333333334</v>
      </c>
    </row>
    <row r="386" spans="12:15" x14ac:dyDescent="0.25">
      <c r="L386" s="146">
        <f ca="1"/>
        <v>45625</v>
      </c>
      <c r="M386" s="92">
        <f t="shared" ca="1" si="21"/>
        <v>9.75</v>
      </c>
      <c r="N386" s="143">
        <f ca="1">(PRODUCT($O$5:$O386)-1)*36000/_xlfn.DAYS(L386, $C$2)</f>
        <v>11.664334325738578</v>
      </c>
      <c r="O386" s="149">
        <f t="shared" ca="1" si="22"/>
        <v>1.0002708333333334</v>
      </c>
    </row>
    <row r="387" spans="12:15" x14ac:dyDescent="0.25">
      <c r="L387" s="146">
        <f ca="1"/>
        <v>45626</v>
      </c>
      <c r="M387" s="92">
        <f t="shared" ca="1" si="21"/>
        <v>9.75</v>
      </c>
      <c r="N387" s="143">
        <f ca="1">(PRODUCT($O$5:$O387)-1)*36000/_xlfn.DAYS(L387, $C$2)</f>
        <v>11.662486906059861</v>
      </c>
      <c r="O387" s="149">
        <f t="shared" ca="1" si="22"/>
        <v>1.0002708333333334</v>
      </c>
    </row>
    <row r="388" spans="12:15" x14ac:dyDescent="0.25">
      <c r="L388" s="146">
        <f ca="1"/>
        <v>45627</v>
      </c>
      <c r="M388" s="92">
        <f t="shared" ca="1" si="21"/>
        <v>9.75</v>
      </c>
      <c r="N388" s="143">
        <f ca="1">(PRODUCT($O$5:$O388)-1)*36000/_xlfn.DAYS(L388, $C$2)</f>
        <v>11.66065683611707</v>
      </c>
      <c r="O388" s="149">
        <f t="shared" ca="1" si="22"/>
        <v>1.0002708333333334</v>
      </c>
    </row>
    <row r="389" spans="12:15" x14ac:dyDescent="0.25">
      <c r="L389" s="146">
        <f ca="1"/>
        <v>45628</v>
      </c>
      <c r="M389" s="92">
        <f t="shared" ref="M389:M452" ca="1" si="23">IFERROR(INDEX($E$27:$H$47, MATCH(L389, $F$27:$F$47, 0), 4), IF(ISNUMBER(M388), M388, $C$5))</f>
        <v>9.75</v>
      </c>
      <c r="N389" s="143">
        <f ca="1">(PRODUCT($O$5:$O389)-1)*36000/_xlfn.DAYS(L389, $C$2)</f>
        <v>11.658843982804971</v>
      </c>
      <c r="O389" s="149">
        <f t="shared" ca="1" si="22"/>
        <v>1.0002708333333334</v>
      </c>
    </row>
    <row r="390" spans="12:15" x14ac:dyDescent="0.25">
      <c r="L390" s="146">
        <f ca="1"/>
        <v>45629</v>
      </c>
      <c r="M390" s="92">
        <f t="shared" ca="1" si="23"/>
        <v>9.75</v>
      </c>
      <c r="N390" s="143">
        <f ca="1">(PRODUCT($O$5:$O390)-1)*36000/_xlfn.DAYS(L390, $C$2)</f>
        <v>11.657048214398204</v>
      </c>
      <c r="O390" s="149">
        <f t="shared" ref="O390:O453" ca="1" si="24">1+M390*IFERROR(_xlfn.DAYS(L390, L389), _xlfn.DAYS(L390, $C$2))/36000</f>
        <v>1.0002708333333334</v>
      </c>
    </row>
    <row r="391" spans="12:15" x14ac:dyDescent="0.25">
      <c r="L391" s="146">
        <f ca="1"/>
        <v>45630</v>
      </c>
      <c r="M391" s="92">
        <f t="shared" ca="1" si="23"/>
        <v>9.75</v>
      </c>
      <c r="N391" s="143">
        <f ca="1">(PRODUCT($O$5:$O391)-1)*36000/_xlfn.DAYS(L391, $C$2)</f>
        <v>11.655269400533475</v>
      </c>
      <c r="O391" s="149">
        <f t="shared" ca="1" si="24"/>
        <v>1.0002708333333334</v>
      </c>
    </row>
    <row r="392" spans="12:15" x14ac:dyDescent="0.25">
      <c r="L392" s="146">
        <f ca="1"/>
        <v>45631</v>
      </c>
      <c r="M392" s="92">
        <f t="shared" ca="1" si="23"/>
        <v>9.75</v>
      </c>
      <c r="N392" s="143">
        <f ca="1">(PRODUCT($O$5:$O392)-1)*36000/_xlfn.DAYS(L392, $C$2)</f>
        <v>11.653507412192013</v>
      </c>
      <c r="O392" s="149">
        <f t="shared" ca="1" si="24"/>
        <v>1.0002708333333334</v>
      </c>
    </row>
    <row r="393" spans="12:15" x14ac:dyDescent="0.25">
      <c r="L393" s="146">
        <f ca="1"/>
        <v>45632</v>
      </c>
      <c r="M393" s="92">
        <f t="shared" ca="1" si="23"/>
        <v>9.75</v>
      </c>
      <c r="N393" s="143">
        <f ca="1">(PRODUCT($O$5:$O393)-1)*36000/_xlfn.DAYS(L393, $C$2)</f>
        <v>11.651762121682268</v>
      </c>
      <c r="O393" s="149">
        <f t="shared" ca="1" si="24"/>
        <v>1.0002708333333334</v>
      </c>
    </row>
    <row r="394" spans="12:15" x14ac:dyDescent="0.25">
      <c r="L394" s="146">
        <f ca="1"/>
        <v>45633</v>
      </c>
      <c r="M394" s="92">
        <f t="shared" ca="1" si="23"/>
        <v>9.75</v>
      </c>
      <c r="N394" s="143">
        <f ca="1">(PRODUCT($O$5:$O394)-1)*36000/_xlfn.DAYS(L394, $C$2)</f>
        <v>11.650033402622917</v>
      </c>
      <c r="O394" s="149">
        <f t="shared" ca="1" si="24"/>
        <v>1.0002708333333334</v>
      </c>
    </row>
    <row r="395" spans="12:15" x14ac:dyDescent="0.25">
      <c r="L395" s="146">
        <f ca="1"/>
        <v>45634</v>
      </c>
      <c r="M395" s="92">
        <f t="shared" ca="1" si="23"/>
        <v>9.75</v>
      </c>
      <c r="N395" s="143">
        <f ca="1">(PRODUCT($O$5:$O395)-1)*36000/_xlfn.DAYS(L395, $C$2)</f>
        <v>11.648321129926074</v>
      </c>
      <c r="O395" s="149">
        <f t="shared" ca="1" si="24"/>
        <v>1.0002708333333334</v>
      </c>
    </row>
    <row r="396" spans="12:15" x14ac:dyDescent="0.25">
      <c r="L396" s="146">
        <f ca="1"/>
        <v>45635</v>
      </c>
      <c r="M396" s="92">
        <f t="shared" ca="1" si="23"/>
        <v>9.75</v>
      </c>
      <c r="N396" s="143">
        <f ca="1">(PRODUCT($O$5:$O396)-1)*36000/_xlfn.DAYS(L396, $C$2)</f>
        <v>11.646625179780836</v>
      </c>
      <c r="O396" s="149">
        <f t="shared" ca="1" si="24"/>
        <v>1.0002708333333334</v>
      </c>
    </row>
    <row r="397" spans="12:15" x14ac:dyDescent="0.25">
      <c r="L397" s="146">
        <f ca="1"/>
        <v>45636</v>
      </c>
      <c r="M397" s="92">
        <f t="shared" ca="1" si="23"/>
        <v>9.75</v>
      </c>
      <c r="N397" s="143">
        <f ca="1">(PRODUCT($O$5:$O397)-1)*36000/_xlfn.DAYS(L397, $C$2)</f>
        <v>11.644945429637003</v>
      </c>
      <c r="O397" s="149">
        <f t="shared" ca="1" si="24"/>
        <v>1.0002708333333334</v>
      </c>
    </row>
    <row r="398" spans="12:15" x14ac:dyDescent="0.25">
      <c r="L398" s="146">
        <f ca="1"/>
        <v>45637</v>
      </c>
      <c r="M398" s="92">
        <f t="shared" ca="1" si="23"/>
        <v>9.75</v>
      </c>
      <c r="N398" s="143">
        <f ca="1">(PRODUCT($O$5:$O398)-1)*36000/_xlfn.DAYS(L398, $C$2)</f>
        <v>11.643281758189111</v>
      </c>
      <c r="O398" s="149">
        <f t="shared" ca="1" si="24"/>
        <v>1.0002708333333334</v>
      </c>
    </row>
    <row r="399" spans="12:15" x14ac:dyDescent="0.25">
      <c r="L399" s="146">
        <f ca="1"/>
        <v>45638</v>
      </c>
      <c r="M399" s="92">
        <f t="shared" ca="1" si="23"/>
        <v>9.75</v>
      </c>
      <c r="N399" s="143">
        <f ca="1">(PRODUCT($O$5:$O399)-1)*36000/_xlfn.DAYS(L399, $C$2)</f>
        <v>11.641634045360654</v>
      </c>
      <c r="O399" s="149">
        <f t="shared" ca="1" si="24"/>
        <v>1.0002708333333334</v>
      </c>
    </row>
    <row r="400" spans="12:15" x14ac:dyDescent="0.25">
      <c r="L400" s="146">
        <f ca="1"/>
        <v>45639</v>
      </c>
      <c r="M400" s="92">
        <f t="shared" ca="1" si="23"/>
        <v>9.75</v>
      </c>
      <c r="N400" s="143">
        <f ca="1">(PRODUCT($O$5:$O400)-1)*36000/_xlfn.DAYS(L400, $C$2)</f>
        <v>11.640002172288566</v>
      </c>
      <c r="O400" s="149">
        <f t="shared" ca="1" si="24"/>
        <v>1.0002708333333334</v>
      </c>
    </row>
    <row r="401" spans="12:15" x14ac:dyDescent="0.25">
      <c r="L401" s="146">
        <f ca="1"/>
        <v>45640</v>
      </c>
      <c r="M401" s="92">
        <f t="shared" ca="1" si="23"/>
        <v>9.75</v>
      </c>
      <c r="N401" s="143">
        <f ca="1">(PRODUCT($O$5:$O401)-1)*36000/_xlfn.DAYS(L401, $C$2)</f>
        <v>11.63838602130795</v>
      </c>
      <c r="O401" s="149">
        <f t="shared" ca="1" si="24"/>
        <v>1.0002708333333334</v>
      </c>
    </row>
    <row r="402" spans="12:15" x14ac:dyDescent="0.25">
      <c r="L402" s="146">
        <f ca="1"/>
        <v>45641</v>
      </c>
      <c r="M402" s="92">
        <f t="shared" ca="1" si="23"/>
        <v>9.75</v>
      </c>
      <c r="N402" s="143">
        <f ca="1">(PRODUCT($O$5:$O402)-1)*36000/_xlfn.DAYS(L402, $C$2)</f>
        <v>11.636785475937002</v>
      </c>
      <c r="O402" s="149">
        <f t="shared" ca="1" si="24"/>
        <v>1.0002708333333334</v>
      </c>
    </row>
    <row r="403" spans="12:15" x14ac:dyDescent="0.25">
      <c r="L403" s="146">
        <f ca="1"/>
        <v>45642</v>
      </c>
      <c r="M403" s="92">
        <f t="shared" ca="1" si="23"/>
        <v>9.75</v>
      </c>
      <c r="N403" s="143">
        <f ca="1">(PRODUCT($O$5:$O403)-1)*36000/_xlfn.DAYS(L403, $C$2)</f>
        <v>11.635200420862212</v>
      </c>
      <c r="O403" s="149">
        <f t="shared" ca="1" si="24"/>
        <v>1.0002708333333334</v>
      </c>
    </row>
    <row r="404" spans="12:15" x14ac:dyDescent="0.25">
      <c r="L404" s="146">
        <f ca="1"/>
        <v>45643</v>
      </c>
      <c r="M404" s="92">
        <f t="shared" ca="1" si="23"/>
        <v>9.75</v>
      </c>
      <c r="N404" s="143">
        <f ca="1">(PRODUCT($O$5:$O404)-1)*36000/_xlfn.DAYS(L404, $C$2)</f>
        <v>11.633630741923762</v>
      </c>
      <c r="O404" s="149">
        <f t="shared" ca="1" si="24"/>
        <v>1.0002708333333334</v>
      </c>
    </row>
    <row r="405" spans="12:15" x14ac:dyDescent="0.25">
      <c r="L405" s="146">
        <f ca="1"/>
        <v>45644</v>
      </c>
      <c r="M405" s="92">
        <f t="shared" ca="1" si="23"/>
        <v>9.75</v>
      </c>
      <c r="N405" s="143">
        <f ca="1">(PRODUCT($O$5:$O405)-1)*36000/_xlfn.DAYS(L405, $C$2)</f>
        <v>11.63207632610113</v>
      </c>
      <c r="O405" s="149">
        <f t="shared" ca="1" si="24"/>
        <v>1.0002708333333334</v>
      </c>
    </row>
    <row r="406" spans="12:15" x14ac:dyDescent="0.25">
      <c r="L406" s="146">
        <f ca="1"/>
        <v>45645</v>
      </c>
      <c r="M406" s="92">
        <f t="shared" ca="1" si="23"/>
        <v>9.75</v>
      </c>
      <c r="N406" s="143">
        <f ca="1">(PRODUCT($O$5:$O406)-1)*36000/_xlfn.DAYS(L406, $C$2)</f>
        <v>11.630537061498888</v>
      </c>
      <c r="O406" s="149">
        <f t="shared" ca="1" si="24"/>
        <v>1.0002708333333334</v>
      </c>
    </row>
    <row r="407" spans="12:15" x14ac:dyDescent="0.25">
      <c r="L407" s="146">
        <f ca="1"/>
        <v>45646</v>
      </c>
      <c r="M407" s="92">
        <f t="shared" ca="1" si="23"/>
        <v>9.25</v>
      </c>
      <c r="N407" s="143">
        <f ca="1">(PRODUCT($O$5:$O407)-1)*36000/_xlfn.DAYS(L407, $C$2)</f>
        <v>11.627611008138627</v>
      </c>
      <c r="O407" s="149">
        <f t="shared" ca="1" si="24"/>
        <v>1.0002569444444445</v>
      </c>
    </row>
    <row r="408" spans="12:15" x14ac:dyDescent="0.25">
      <c r="L408" s="146">
        <f ca="1"/>
        <v>45647</v>
      </c>
      <c r="M408" s="92">
        <f t="shared" ca="1" si="23"/>
        <v>9.25</v>
      </c>
      <c r="N408" s="143">
        <f ca="1">(PRODUCT($O$5:$O408)-1)*36000/_xlfn.DAYS(L408, $C$2)</f>
        <v>11.624706087253227</v>
      </c>
      <c r="O408" s="149">
        <f t="shared" ca="1" si="24"/>
        <v>1.0002569444444445</v>
      </c>
    </row>
    <row r="409" spans="12:15" x14ac:dyDescent="0.25">
      <c r="L409" s="146">
        <f ca="1"/>
        <v>45648</v>
      </c>
      <c r="M409" s="92">
        <f t="shared" ca="1" si="23"/>
        <v>9.25</v>
      </c>
      <c r="N409" s="143">
        <f ca="1">(PRODUCT($O$5:$O409)-1)*36000/_xlfn.DAYS(L409, $C$2)</f>
        <v>11.621822144009542</v>
      </c>
      <c r="O409" s="149">
        <f t="shared" ca="1" si="24"/>
        <v>1.0002569444444445</v>
      </c>
    </row>
    <row r="410" spans="12:15" x14ac:dyDescent="0.25">
      <c r="L410" s="146">
        <f ca="1"/>
        <v>45649</v>
      </c>
      <c r="M410" s="92">
        <f t="shared" ca="1" si="23"/>
        <v>9.25</v>
      </c>
      <c r="N410" s="143">
        <f ca="1">(PRODUCT($O$5:$O410)-1)*36000/_xlfn.DAYS(L410, $C$2)</f>
        <v>11.61895902510031</v>
      </c>
      <c r="O410" s="149">
        <f t="shared" ca="1" si="24"/>
        <v>1.0002569444444445</v>
      </c>
    </row>
    <row r="411" spans="12:15" x14ac:dyDescent="0.25">
      <c r="L411" s="146">
        <f ca="1"/>
        <v>45650</v>
      </c>
      <c r="M411" s="92">
        <f t="shared" ca="1" si="23"/>
        <v>9.25</v>
      </c>
      <c r="N411" s="143">
        <f ca="1">(PRODUCT($O$5:$O411)-1)*36000/_xlfn.DAYS(L411, $C$2)</f>
        <v>11.616116578725421</v>
      </c>
      <c r="O411" s="149">
        <f t="shared" ca="1" si="24"/>
        <v>1.0002569444444445</v>
      </c>
    </row>
    <row r="412" spans="12:15" x14ac:dyDescent="0.25">
      <c r="L412" s="146">
        <f ca="1"/>
        <v>45651</v>
      </c>
      <c r="M412" s="92">
        <f t="shared" ca="1" si="23"/>
        <v>9.25</v>
      </c>
      <c r="N412" s="143">
        <f ca="1">(PRODUCT($O$5:$O412)-1)*36000/_xlfn.DAYS(L412, $C$2)</f>
        <v>11.613294654573437</v>
      </c>
      <c r="O412" s="149">
        <f t="shared" ca="1" si="24"/>
        <v>1.0002569444444445</v>
      </c>
    </row>
    <row r="413" spans="12:15" x14ac:dyDescent="0.25">
      <c r="L413" s="146">
        <f ca="1"/>
        <v>45652</v>
      </c>
      <c r="M413" s="92">
        <f t="shared" ca="1" si="23"/>
        <v>9.25</v>
      </c>
      <c r="N413" s="143">
        <f ca="1">(PRODUCT($O$5:$O413)-1)*36000/_xlfn.DAYS(L413, $C$2)</f>
        <v>11.610493103803387</v>
      </c>
      <c r="O413" s="149">
        <f t="shared" ca="1" si="24"/>
        <v>1.0002569444444445</v>
      </c>
    </row>
    <row r="414" spans="12:15" x14ac:dyDescent="0.25">
      <c r="L414" s="146">
        <f ca="1"/>
        <v>45653</v>
      </c>
      <c r="M414" s="92">
        <f t="shared" ca="1" si="23"/>
        <v>9.25</v>
      </c>
      <c r="N414" s="143">
        <f ca="1">(PRODUCT($O$5:$O414)-1)*36000/_xlfn.DAYS(L414, $C$2)</f>
        <v>11.607711779026834</v>
      </c>
      <c r="O414" s="149">
        <f t="shared" ca="1" si="24"/>
        <v>1.0002569444444445</v>
      </c>
    </row>
    <row r="415" spans="12:15" x14ac:dyDescent="0.25">
      <c r="L415" s="146">
        <f ca="1"/>
        <v>45654</v>
      </c>
      <c r="M415" s="92">
        <f t="shared" ca="1" si="23"/>
        <v>9.25</v>
      </c>
      <c r="N415" s="143">
        <f ca="1">(PRODUCT($O$5:$O415)-1)*36000/_xlfn.DAYS(L415, $C$2)</f>
        <v>11.604950534290209</v>
      </c>
      <c r="O415" s="149">
        <f t="shared" ca="1" si="24"/>
        <v>1.0002569444444445</v>
      </c>
    </row>
    <row r="416" spans="12:15" x14ac:dyDescent="0.25">
      <c r="L416" s="146">
        <f ca="1"/>
        <v>45655</v>
      </c>
      <c r="M416" s="92">
        <f t="shared" ca="1" si="23"/>
        <v>9.25</v>
      </c>
      <c r="N416" s="143">
        <f ca="1">(PRODUCT($O$5:$O416)-1)*36000/_xlfn.DAYS(L416, $C$2)</f>
        <v>11.602209225057413</v>
      </c>
      <c r="O416" s="149">
        <f t="shared" ca="1" si="24"/>
        <v>1.0002569444444445</v>
      </c>
    </row>
    <row r="417" spans="12:15" x14ac:dyDescent="0.25">
      <c r="L417" s="146">
        <f ca="1"/>
        <v>45656</v>
      </c>
      <c r="M417" s="92">
        <f t="shared" ca="1" si="23"/>
        <v>9.25</v>
      </c>
      <c r="N417" s="143">
        <f ca="1">(PRODUCT($O$5:$O417)-1)*36000/_xlfn.DAYS(L417, $C$2)</f>
        <v>11.59948770819264</v>
      </c>
      <c r="O417" s="149">
        <f t="shared" ca="1" si="24"/>
        <v>1.0002569444444445</v>
      </c>
    </row>
    <row r="418" spans="12:15" x14ac:dyDescent="0.25">
      <c r="L418" s="146">
        <f ca="1"/>
        <v>45657</v>
      </c>
      <c r="M418" s="92">
        <f t="shared" ca="1" si="23"/>
        <v>9.25</v>
      </c>
      <c r="N418" s="143">
        <f ca="1">(PRODUCT($O$5:$O418)-1)*36000/_xlfn.DAYS(L418, $C$2)</f>
        <v>11.596785841943458</v>
      </c>
      <c r="O418" s="149">
        <f t="shared" ca="1" si="24"/>
        <v>1.0002569444444445</v>
      </c>
    </row>
    <row r="419" spans="12:15" x14ac:dyDescent="0.25">
      <c r="L419" s="146">
        <f ca="1"/>
        <v>45658</v>
      </c>
      <c r="M419" s="92">
        <f t="shared" ca="1" si="23"/>
        <v>9.25</v>
      </c>
      <c r="N419" s="143">
        <f ca="1">(PRODUCT($O$5:$O419)-1)*36000/_xlfn.DAYS(L419, $C$2)</f>
        <v>11.594103485924174</v>
      </c>
      <c r="O419" s="149">
        <f t="shared" ca="1" si="24"/>
        <v>1.0002569444444445</v>
      </c>
    </row>
    <row r="420" spans="12:15" x14ac:dyDescent="0.25">
      <c r="L420" s="146">
        <f ca="1"/>
        <v>45659</v>
      </c>
      <c r="M420" s="92">
        <f t="shared" ca="1" si="23"/>
        <v>9.25</v>
      </c>
      <c r="N420" s="143">
        <f ca="1">(PRODUCT($O$5:$O420)-1)*36000/_xlfn.DAYS(L420, $C$2)</f>
        <v>11.591440501099335</v>
      </c>
      <c r="O420" s="149">
        <f t="shared" ca="1" si="24"/>
        <v>1.0002569444444445</v>
      </c>
    </row>
    <row r="421" spans="12:15" x14ac:dyDescent="0.25">
      <c r="L421" s="146">
        <f ca="1"/>
        <v>45660</v>
      </c>
      <c r="M421" s="92">
        <f t="shared" ca="1" si="23"/>
        <v>9.25</v>
      </c>
      <c r="N421" s="143">
        <f ca="1">(PRODUCT($O$5:$O421)-1)*36000/_xlfn.DAYS(L421, $C$2)</f>
        <v>11.588796749767646</v>
      </c>
      <c r="O421" s="149">
        <f t="shared" ca="1" si="24"/>
        <v>1.0002569444444445</v>
      </c>
    </row>
    <row r="422" spans="12:15" x14ac:dyDescent="0.25">
      <c r="L422" s="146">
        <f ca="1"/>
        <v>45661</v>
      </c>
      <c r="M422" s="92">
        <f t="shared" ca="1" si="23"/>
        <v>9.25</v>
      </c>
      <c r="N422" s="143">
        <f ca="1">(PRODUCT($O$5:$O422)-1)*36000/_xlfn.DAYS(L422, $C$2)</f>
        <v>11.586172095545926</v>
      </c>
      <c r="O422" s="149">
        <f t="shared" ca="1" si="24"/>
        <v>1.0002569444444445</v>
      </c>
    </row>
    <row r="423" spans="12:15" x14ac:dyDescent="0.25">
      <c r="L423" s="146">
        <f ca="1"/>
        <v>45662</v>
      </c>
      <c r="M423" s="92">
        <f t="shared" ca="1" si="23"/>
        <v>9.25</v>
      </c>
      <c r="N423" s="143">
        <f ca="1">(PRODUCT($O$5:$O423)-1)*36000/_xlfn.DAYS(L423, $C$2)</f>
        <v>11.583566403353384</v>
      </c>
      <c r="O423" s="149">
        <f t="shared" ca="1" si="24"/>
        <v>1.0002569444444445</v>
      </c>
    </row>
    <row r="424" spans="12:15" x14ac:dyDescent="0.25">
      <c r="L424" s="146">
        <f ca="1"/>
        <v>45663</v>
      </c>
      <c r="M424" s="92">
        <f t="shared" ca="1" si="23"/>
        <v>9.25</v>
      </c>
      <c r="N424" s="143">
        <f ca="1">(PRODUCT($O$5:$O424)-1)*36000/_xlfn.DAYS(L424, $C$2)</f>
        <v>11.580979539396186</v>
      </c>
      <c r="O424" s="149">
        <f t="shared" ca="1" si="24"/>
        <v>1.0002569444444445</v>
      </c>
    </row>
    <row r="425" spans="12:15" x14ac:dyDescent="0.25">
      <c r="L425" s="146">
        <f ca="1"/>
        <v>45664</v>
      </c>
      <c r="M425" s="92">
        <f t="shared" ca="1" si="23"/>
        <v>9.25</v>
      </c>
      <c r="N425" s="143">
        <f ca="1">(PRODUCT($O$5:$O425)-1)*36000/_xlfn.DAYS(L425, $C$2)</f>
        <v>11.578411371152081</v>
      </c>
      <c r="O425" s="149">
        <f t="shared" ca="1" si="24"/>
        <v>1.0002569444444445</v>
      </c>
    </row>
    <row r="426" spans="12:15" x14ac:dyDescent="0.25">
      <c r="L426" s="146">
        <f ca="1"/>
        <v>45665</v>
      </c>
      <c r="M426" s="92">
        <f t="shared" ca="1" si="23"/>
        <v>9.25</v>
      </c>
      <c r="N426" s="143">
        <f ca="1">(PRODUCT($O$5:$O426)-1)*36000/_xlfn.DAYS(L426, $C$2)</f>
        <v>11.575861767355386</v>
      </c>
      <c r="O426" s="149">
        <f t="shared" ca="1" si="24"/>
        <v>1.0002569444444445</v>
      </c>
    </row>
    <row r="427" spans="12:15" x14ac:dyDescent="0.25">
      <c r="L427" s="146">
        <f ca="1"/>
        <v>45666</v>
      </c>
      <c r="M427" s="92">
        <f t="shared" ca="1" si="23"/>
        <v>9.25</v>
      </c>
      <c r="N427" s="143">
        <f ca="1">(PRODUCT($O$5:$O427)-1)*36000/_xlfn.DAYS(L427, $C$2)</f>
        <v>11.573330597982137</v>
      </c>
      <c r="O427" s="149">
        <f t="shared" ca="1" si="24"/>
        <v>1.0002569444444445</v>
      </c>
    </row>
    <row r="428" spans="12:15" x14ac:dyDescent="0.25">
      <c r="L428" s="146">
        <f ca="1"/>
        <v>45667</v>
      </c>
      <c r="M428" s="92">
        <f t="shared" ca="1" si="23"/>
        <v>9.25</v>
      </c>
      <c r="N428" s="143">
        <f ca="1">(PRODUCT($O$5:$O428)-1)*36000/_xlfn.DAYS(L428, $C$2)</f>
        <v>11.570817734235408</v>
      </c>
      <c r="O428" s="149">
        <f t="shared" ca="1" si="24"/>
        <v>1.0002569444444445</v>
      </c>
    </row>
    <row r="429" spans="12:15" x14ac:dyDescent="0.25">
      <c r="L429" s="146">
        <f ca="1"/>
        <v>45668</v>
      </c>
      <c r="M429" s="92">
        <f t="shared" ca="1" si="23"/>
        <v>9.25</v>
      </c>
      <c r="N429" s="143">
        <f ca="1">(PRODUCT($O$5:$O429)-1)*36000/_xlfn.DAYS(L429, $C$2)</f>
        <v>11.568323048530914</v>
      </c>
      <c r="O429" s="149">
        <f t="shared" ca="1" si="24"/>
        <v>1.0002569444444445</v>
      </c>
    </row>
    <row r="430" spans="12:15" x14ac:dyDescent="0.25">
      <c r="L430" s="146">
        <f ca="1"/>
        <v>45669</v>
      </c>
      <c r="M430" s="92">
        <f t="shared" ca="1" si="23"/>
        <v>9.25</v>
      </c>
      <c r="N430" s="143">
        <f ca="1">(PRODUCT($O$5:$O430)-1)*36000/_xlfn.DAYS(L430, $C$2)</f>
        <v>11.565846414482749</v>
      </c>
      <c r="O430" s="149">
        <f t="shared" ca="1" si="24"/>
        <v>1.0002569444444445</v>
      </c>
    </row>
    <row r="431" spans="12:15" x14ac:dyDescent="0.25">
      <c r="L431" s="146">
        <f ca="1"/>
        <v>45670</v>
      </c>
      <c r="M431" s="92">
        <f t="shared" ca="1" si="23"/>
        <v>9.25</v>
      </c>
      <c r="N431" s="143">
        <f ca="1">(PRODUCT($O$5:$O431)-1)*36000/_xlfn.DAYS(L431, $C$2)</f>
        <v>11.56338770688939</v>
      </c>
      <c r="O431" s="149">
        <f t="shared" ca="1" si="24"/>
        <v>1.0002569444444445</v>
      </c>
    </row>
    <row r="432" spans="12:15" x14ac:dyDescent="0.25">
      <c r="L432" s="146">
        <f ca="1"/>
        <v>45671</v>
      </c>
      <c r="M432" s="92">
        <f t="shared" ca="1" si="23"/>
        <v>9.25</v>
      </c>
      <c r="N432" s="143">
        <f ca="1">(PRODUCT($O$5:$O432)-1)*36000/_xlfn.DAYS(L432, $C$2)</f>
        <v>11.560946801719826</v>
      </c>
      <c r="O432" s="149">
        <f t="shared" ca="1" si="24"/>
        <v>1.0002569444444445</v>
      </c>
    </row>
    <row r="433" spans="12:15" x14ac:dyDescent="0.25">
      <c r="L433" s="146">
        <f ca="1"/>
        <v>45672</v>
      </c>
      <c r="M433" s="92">
        <f t="shared" ca="1" si="23"/>
        <v>9.25</v>
      </c>
      <c r="N433" s="143">
        <f ca="1">(PRODUCT($O$5:$O433)-1)*36000/_xlfn.DAYS(L433, $C$2)</f>
        <v>11.558523576099908</v>
      </c>
      <c r="O433" s="149">
        <f t="shared" ca="1" si="24"/>
        <v>1.0002569444444445</v>
      </c>
    </row>
    <row r="434" spans="12:15" x14ac:dyDescent="0.25">
      <c r="L434" s="146">
        <f ca="1"/>
        <v>45673</v>
      </c>
      <c r="M434" s="92">
        <f t="shared" ca="1" si="23"/>
        <v>9.25</v>
      </c>
      <c r="N434" s="143">
        <f ca="1">(PRODUCT($O$5:$O434)-1)*36000/_xlfn.DAYS(L434, $C$2)</f>
        <v>11.556117908298965</v>
      </c>
      <c r="O434" s="149">
        <f t="shared" ca="1" si="24"/>
        <v>1.0002569444444445</v>
      </c>
    </row>
    <row r="435" spans="12:15" x14ac:dyDescent="0.25">
      <c r="L435" s="146">
        <f ca="1"/>
        <v>45674</v>
      </c>
      <c r="M435" s="92">
        <f t="shared" ca="1" si="23"/>
        <v>9.25</v>
      </c>
      <c r="N435" s="143">
        <f ca="1">(PRODUCT($O$5:$O435)-1)*36000/_xlfn.DAYS(L435, $C$2)</f>
        <v>11.553729677716447</v>
      </c>
      <c r="O435" s="149">
        <f t="shared" ca="1" si="24"/>
        <v>1.0002569444444445</v>
      </c>
    </row>
    <row r="436" spans="12:15" x14ac:dyDescent="0.25">
      <c r="L436" s="146">
        <f ca="1"/>
        <v>45675</v>
      </c>
      <c r="M436" s="92">
        <f t="shared" ca="1" si="23"/>
        <v>9.25</v>
      </c>
      <c r="N436" s="143">
        <f ca="1">(PRODUCT($O$5:$O436)-1)*36000/_xlfn.DAYS(L436, $C$2)</f>
        <v>11.551358764868903</v>
      </c>
      <c r="O436" s="149">
        <f t="shared" ca="1" si="24"/>
        <v>1.0002569444444445</v>
      </c>
    </row>
    <row r="437" spans="12:15" x14ac:dyDescent="0.25">
      <c r="L437" s="146">
        <f ca="1"/>
        <v>45676</v>
      </c>
      <c r="M437" s="92">
        <f t="shared" ca="1" si="23"/>
        <v>9.25</v>
      </c>
      <c r="N437" s="143">
        <f ca="1">(PRODUCT($O$5:$O437)-1)*36000/_xlfn.DAYS(L437, $C$2)</f>
        <v>11.549005051377058</v>
      </c>
      <c r="O437" s="149">
        <f t="shared" ca="1" si="24"/>
        <v>1.0002569444444445</v>
      </c>
    </row>
    <row r="438" spans="12:15" x14ac:dyDescent="0.25">
      <c r="L438" s="146">
        <f ca="1"/>
        <v>45677</v>
      </c>
      <c r="M438" s="92">
        <f t="shared" ca="1" si="23"/>
        <v>9.25</v>
      </c>
      <c r="N438" s="143">
        <f ca="1">(PRODUCT($O$5:$O438)-1)*36000/_xlfn.DAYS(L438, $C$2)</f>
        <v>11.546668419953123</v>
      </c>
      <c r="O438" s="149">
        <f t="shared" ca="1" si="24"/>
        <v>1.0002569444444445</v>
      </c>
    </row>
    <row r="439" spans="12:15" x14ac:dyDescent="0.25">
      <c r="L439" s="146">
        <f ca="1"/>
        <v>45678</v>
      </c>
      <c r="M439" s="92">
        <f t="shared" ca="1" si="23"/>
        <v>9.25</v>
      </c>
      <c r="N439" s="143">
        <f ca="1">(PRODUCT($O$5:$O439)-1)*36000/_xlfn.DAYS(L439, $C$2)</f>
        <v>11.544348754388228</v>
      </c>
      <c r="O439" s="149">
        <f t="shared" ca="1" si="24"/>
        <v>1.0002569444444445</v>
      </c>
    </row>
    <row r="440" spans="12:15" x14ac:dyDescent="0.25">
      <c r="L440" s="146">
        <f ca="1"/>
        <v>45679</v>
      </c>
      <c r="M440" s="92">
        <f t="shared" ca="1" si="23"/>
        <v>9.25</v>
      </c>
      <c r="N440" s="143">
        <f ca="1">(PRODUCT($O$5:$O440)-1)*36000/_xlfn.DAYS(L440, $C$2)</f>
        <v>11.542045939540015</v>
      </c>
      <c r="O440" s="149">
        <f t="shared" ca="1" si="24"/>
        <v>1.0002569444444445</v>
      </c>
    </row>
    <row r="441" spans="12:15" x14ac:dyDescent="0.25">
      <c r="L441" s="146">
        <f ca="1"/>
        <v>45680</v>
      </c>
      <c r="M441" s="92">
        <f t="shared" ca="1" si="23"/>
        <v>9.25</v>
      </c>
      <c r="N441" s="143">
        <f ca="1">(PRODUCT($O$5:$O441)-1)*36000/_xlfn.DAYS(L441, $C$2)</f>
        <v>11.539759861320514</v>
      </c>
      <c r="O441" s="149">
        <f t="shared" ca="1" si="24"/>
        <v>1.0002569444444445</v>
      </c>
    </row>
    <row r="442" spans="12:15" x14ac:dyDescent="0.25">
      <c r="L442" s="146">
        <f ca="1"/>
        <v>45681</v>
      </c>
      <c r="M442" s="92">
        <f t="shared" ca="1" si="23"/>
        <v>9.25</v>
      </c>
      <c r="N442" s="143">
        <f ca="1">(PRODUCT($O$5:$O442)-1)*36000/_xlfn.DAYS(L442, $C$2)</f>
        <v>11.537490406684038</v>
      </c>
      <c r="O442" s="149">
        <f t="shared" ca="1" si="24"/>
        <v>1.0002569444444445</v>
      </c>
    </row>
    <row r="443" spans="12:15" x14ac:dyDescent="0.25">
      <c r="L443" s="146">
        <f ca="1"/>
        <v>45682</v>
      </c>
      <c r="M443" s="92">
        <f t="shared" ca="1" si="23"/>
        <v>9.25</v>
      </c>
      <c r="N443" s="143">
        <f ca="1">(PRODUCT($O$5:$O443)-1)*36000/_xlfn.DAYS(L443, $C$2)</f>
        <v>11.535237463615328</v>
      </c>
      <c r="O443" s="149">
        <f t="shared" ca="1" si="24"/>
        <v>1.0002569444444445</v>
      </c>
    </row>
    <row r="444" spans="12:15" x14ac:dyDescent="0.25">
      <c r="L444" s="146">
        <f ca="1"/>
        <v>45683</v>
      </c>
      <c r="M444" s="92">
        <f t="shared" ca="1" si="23"/>
        <v>9.25</v>
      </c>
      <c r="N444" s="143">
        <f ca="1">(PRODUCT($O$5:$O444)-1)*36000/_xlfn.DAYS(L444, $C$2)</f>
        <v>11.533000921117869</v>
      </c>
      <c r="O444" s="149">
        <f t="shared" ca="1" si="24"/>
        <v>1.0002569444444445</v>
      </c>
    </row>
    <row r="445" spans="12:15" x14ac:dyDescent="0.25">
      <c r="L445" s="146">
        <f ca="1"/>
        <v>45684</v>
      </c>
      <c r="M445" s="92">
        <f t="shared" ca="1" si="23"/>
        <v>9.25</v>
      </c>
      <c r="N445" s="143">
        <f ca="1">(PRODUCT($O$5:$O445)-1)*36000/_xlfn.DAYS(L445, $C$2)</f>
        <v>11.530780669202311</v>
      </c>
      <c r="O445" s="149">
        <f t="shared" ca="1" si="24"/>
        <v>1.0002569444444445</v>
      </c>
    </row>
    <row r="446" spans="12:15" x14ac:dyDescent="0.25">
      <c r="L446" s="146">
        <f ca="1"/>
        <v>45685</v>
      </c>
      <c r="M446" s="92">
        <f t="shared" ca="1" si="23"/>
        <v>9.25</v>
      </c>
      <c r="N446" s="143">
        <f ca="1">(PRODUCT($O$5:$O446)-1)*36000/_xlfn.DAYS(L446, $C$2)</f>
        <v>11.528576598875118</v>
      </c>
      <c r="O446" s="149">
        <f t="shared" ca="1" si="24"/>
        <v>1.0002569444444445</v>
      </c>
    </row>
    <row r="447" spans="12:15" x14ac:dyDescent="0.25">
      <c r="L447" s="146">
        <f ca="1"/>
        <v>45686</v>
      </c>
      <c r="M447" s="92">
        <f t="shared" ca="1" si="23"/>
        <v>9.25</v>
      </c>
      <c r="N447" s="143">
        <f ca="1">(PRODUCT($O$5:$O447)-1)*36000/_xlfn.DAYS(L447, $C$2)</f>
        <v>11.526388602127252</v>
      </c>
      <c r="O447" s="149">
        <f t="shared" ca="1" si="24"/>
        <v>1.0002569444444445</v>
      </c>
    </row>
    <row r="448" spans="12:15" x14ac:dyDescent="0.25">
      <c r="L448" s="146">
        <f ca="1"/>
        <v>45687</v>
      </c>
      <c r="M448" s="92">
        <f t="shared" ca="1" si="23"/>
        <v>9.25</v>
      </c>
      <c r="N448" s="143">
        <f ca="1">(PRODUCT($O$5:$O448)-1)*36000/_xlfn.DAYS(L448, $C$2)</f>
        <v>11.524216571923169</v>
      </c>
      <c r="O448" s="149">
        <f t="shared" ca="1" si="24"/>
        <v>1.0002569444444445</v>
      </c>
    </row>
    <row r="449" spans="12:15" x14ac:dyDescent="0.25">
      <c r="L449" s="146">
        <f ca="1"/>
        <v>45688</v>
      </c>
      <c r="M449" s="92">
        <f t="shared" ca="1" si="23"/>
        <v>9.25</v>
      </c>
      <c r="N449" s="143">
        <f ca="1">(PRODUCT($O$5:$O449)-1)*36000/_xlfn.DAYS(L449, $C$2)</f>
        <v>11.522060402189814</v>
      </c>
      <c r="O449" s="149">
        <f t="shared" ca="1" si="24"/>
        <v>1.0002569444444445</v>
      </c>
    </row>
    <row r="450" spans="12:15" x14ac:dyDescent="0.25">
      <c r="L450" s="146">
        <f ca="1"/>
        <v>45689</v>
      </c>
      <c r="M450" s="92">
        <f t="shared" ca="1" si="23"/>
        <v>9.25</v>
      </c>
      <c r="N450" s="143">
        <f ca="1">(PRODUCT($O$5:$O450)-1)*36000/_xlfn.DAYS(L450, $C$2)</f>
        <v>11.519919987805888</v>
      </c>
      <c r="O450" s="149">
        <f t="shared" ca="1" si="24"/>
        <v>1.0002569444444445</v>
      </c>
    </row>
    <row r="451" spans="12:15" x14ac:dyDescent="0.25">
      <c r="L451" s="146">
        <f ca="1"/>
        <v>45690</v>
      </c>
      <c r="M451" s="92">
        <f t="shared" ca="1" si="23"/>
        <v>9.25</v>
      </c>
      <c r="N451" s="143">
        <f ca="1">(PRODUCT($O$5:$O451)-1)*36000/_xlfn.DAYS(L451, $C$2)</f>
        <v>11.517795224591175</v>
      </c>
      <c r="O451" s="149">
        <f t="shared" ca="1" si="24"/>
        <v>1.0002569444444445</v>
      </c>
    </row>
    <row r="452" spans="12:15" x14ac:dyDescent="0.25">
      <c r="L452" s="146">
        <f ca="1"/>
        <v>45691</v>
      </c>
      <c r="M452" s="92">
        <f t="shared" ca="1" si="23"/>
        <v>9.25</v>
      </c>
      <c r="N452" s="143">
        <f ca="1">(PRODUCT($O$5:$O452)-1)*36000/_xlfn.DAYS(L452, $C$2)</f>
        <v>11.51568600929601</v>
      </c>
      <c r="O452" s="149">
        <f t="shared" ca="1" si="24"/>
        <v>1.0002569444444445</v>
      </c>
    </row>
    <row r="453" spans="12:15" x14ac:dyDescent="0.25">
      <c r="L453" s="146">
        <f ca="1"/>
        <v>45692</v>
      </c>
      <c r="M453" s="92">
        <f t="shared" ref="M453:M516" ca="1" si="25">IFERROR(INDEX($E$27:$H$47, MATCH(L453, $F$27:$F$47, 0), 4), IF(ISNUMBER(M452), M452, $C$5))</f>
        <v>9.25</v>
      </c>
      <c r="N453" s="143">
        <f ca="1">(PRODUCT($O$5:$O453)-1)*36000/_xlfn.DAYS(L453, $C$2)</f>
        <v>11.513592239590972</v>
      </c>
      <c r="O453" s="149">
        <f t="shared" ca="1" si="24"/>
        <v>1.0002569444444445</v>
      </c>
    </row>
    <row r="454" spans="12:15" x14ac:dyDescent="0.25">
      <c r="L454" s="146">
        <f ca="1"/>
        <v>45693</v>
      </c>
      <c r="M454" s="92">
        <f t="shared" ca="1" si="25"/>
        <v>9.25</v>
      </c>
      <c r="N454" s="143">
        <f ca="1">(PRODUCT($O$5:$O454)-1)*36000/_xlfn.DAYS(L454, $C$2)</f>
        <v>11.511513814056649</v>
      </c>
      <c r="O454" s="149">
        <f t="shared" ref="O454:O517" ca="1" si="26">1+M454*IFERROR(_xlfn.DAYS(L454, L453), _xlfn.DAYS(L454, $C$2))/36000</f>
        <v>1.0002569444444445</v>
      </c>
    </row>
    <row r="455" spans="12:15" x14ac:dyDescent="0.25">
      <c r="L455" s="146">
        <f ca="1"/>
        <v>45694</v>
      </c>
      <c r="M455" s="92">
        <f t="shared" ca="1" si="25"/>
        <v>9.25</v>
      </c>
      <c r="N455" s="143">
        <f ca="1">(PRODUCT($O$5:$O455)-1)*36000/_xlfn.DAYS(L455, $C$2)</f>
        <v>11.509450632173484</v>
      </c>
      <c r="O455" s="149">
        <f t="shared" ca="1" si="26"/>
        <v>1.0002569444444445</v>
      </c>
    </row>
    <row r="456" spans="12:15" x14ac:dyDescent="0.25">
      <c r="L456" s="146">
        <f ca="1"/>
        <v>45695</v>
      </c>
      <c r="M456" s="92">
        <f t="shared" ca="1" si="25"/>
        <v>8.75</v>
      </c>
      <c r="N456" s="143">
        <f ca="1">(PRODUCT($O$5:$O456)-1)*36000/_xlfn.DAYS(L456, $C$2)</f>
        <v>11.506136899798779</v>
      </c>
      <c r="O456" s="149">
        <f t="shared" ca="1" si="26"/>
        <v>1.0002430555555555</v>
      </c>
    </row>
    <row r="457" spans="12:15" x14ac:dyDescent="0.25">
      <c r="L457" s="146">
        <f ca="1"/>
        <v>45696</v>
      </c>
      <c r="M457" s="92">
        <f t="shared" ca="1" si="25"/>
        <v>8.75</v>
      </c>
      <c r="N457" s="143">
        <f ca="1">(PRODUCT($O$5:$O457)-1)*36000/_xlfn.DAYS(L457, $C$2)</f>
        <v>11.502843169301219</v>
      </c>
      <c r="O457" s="149">
        <f t="shared" ca="1" si="26"/>
        <v>1.0002430555555555</v>
      </c>
    </row>
    <row r="458" spans="12:15" x14ac:dyDescent="0.25">
      <c r="L458" s="146">
        <f ca="1"/>
        <v>45697</v>
      </c>
      <c r="M458" s="92">
        <f t="shared" ca="1" si="25"/>
        <v>8.75</v>
      </c>
      <c r="N458" s="143">
        <f ca="1">(PRODUCT($O$5:$O458)-1)*36000/_xlfn.DAYS(L458, $C$2)</f>
        <v>11.499569309812554</v>
      </c>
      <c r="O458" s="149">
        <f t="shared" ca="1" si="26"/>
        <v>1.0002430555555555</v>
      </c>
    </row>
    <row r="459" spans="12:15" x14ac:dyDescent="0.25">
      <c r="L459" s="146">
        <f ca="1"/>
        <v>45698</v>
      </c>
      <c r="M459" s="92">
        <f t="shared" ca="1" si="25"/>
        <v>8.75</v>
      </c>
      <c r="N459" s="143">
        <f ca="1">(PRODUCT($O$5:$O459)-1)*36000/_xlfn.DAYS(L459, $C$2)</f>
        <v>11.496315191615363</v>
      </c>
      <c r="O459" s="149">
        <f t="shared" ca="1" si="26"/>
        <v>1.0002430555555555</v>
      </c>
    </row>
    <row r="460" spans="12:15" x14ac:dyDescent="0.25">
      <c r="L460" s="146">
        <f ca="1"/>
        <v>45699</v>
      </c>
      <c r="M460" s="92">
        <f t="shared" ca="1" si="25"/>
        <v>8.75</v>
      </c>
      <c r="N460" s="143">
        <f ca="1">(PRODUCT($O$5:$O460)-1)*36000/_xlfn.DAYS(L460, $C$2)</f>
        <v>11.493080686130371</v>
      </c>
      <c r="O460" s="149">
        <f t="shared" ca="1" si="26"/>
        <v>1.0002430555555555</v>
      </c>
    </row>
    <row r="461" spans="12:15" x14ac:dyDescent="0.25">
      <c r="L461" s="146">
        <f ca="1"/>
        <v>45700</v>
      </c>
      <c r="M461" s="92">
        <f t="shared" ca="1" si="25"/>
        <v>8.75</v>
      </c>
      <c r="N461" s="143">
        <f ca="1">(PRODUCT($O$5:$O461)-1)*36000/_xlfn.DAYS(L461, $C$2)</f>
        <v>11.489865665904064</v>
      </c>
      <c r="O461" s="149">
        <f t="shared" ca="1" si="26"/>
        <v>1.0002430555555555</v>
      </c>
    </row>
    <row r="462" spans="12:15" x14ac:dyDescent="0.25">
      <c r="L462" s="146">
        <f ca="1"/>
        <v>45701</v>
      </c>
      <c r="M462" s="92">
        <f t="shared" ca="1" si="25"/>
        <v>8.75</v>
      </c>
      <c r="N462" s="143">
        <f ca="1">(PRODUCT($O$5:$O462)-1)*36000/_xlfn.DAYS(L462, $C$2)</f>
        <v>11.486670004596382</v>
      </c>
      <c r="O462" s="149">
        <f t="shared" ca="1" si="26"/>
        <v>1.0002430555555555</v>
      </c>
    </row>
    <row r="463" spans="12:15" x14ac:dyDescent="0.25">
      <c r="L463" s="146">
        <f ca="1"/>
        <v>45702</v>
      </c>
      <c r="M463" s="92">
        <f t="shared" ca="1" si="25"/>
        <v>8.75</v>
      </c>
      <c r="N463" s="143">
        <f ca="1">(PRODUCT($O$5:$O463)-1)*36000/_xlfn.DAYS(L463, $C$2)</f>
        <v>11.483493576968554</v>
      </c>
      <c r="O463" s="149">
        <f t="shared" ca="1" si="26"/>
        <v>1.0002430555555555</v>
      </c>
    </row>
    <row r="464" spans="12:15" x14ac:dyDescent="0.25">
      <c r="L464" s="146">
        <f ca="1"/>
        <v>45703</v>
      </c>
      <c r="M464" s="92">
        <f t="shared" ca="1" si="25"/>
        <v>8.75</v>
      </c>
      <c r="N464" s="143">
        <f ca="1">(PRODUCT($O$5:$O464)-1)*36000/_xlfn.DAYS(L464, $C$2)</f>
        <v>11.480336258871182</v>
      </c>
      <c r="O464" s="149">
        <f t="shared" ca="1" si="26"/>
        <v>1.0002430555555555</v>
      </c>
    </row>
    <row r="465" spans="12:15" x14ac:dyDescent="0.25">
      <c r="L465" s="146">
        <f ca="1"/>
        <v>45704</v>
      </c>
      <c r="M465" s="92">
        <f t="shared" ca="1" si="25"/>
        <v>8.75</v>
      </c>
      <c r="N465" s="143">
        <f ca="1">(PRODUCT($O$5:$O465)-1)*36000/_xlfn.DAYS(L465, $C$2)</f>
        <v>11.477197927232384</v>
      </c>
      <c r="O465" s="149">
        <f t="shared" ca="1" si="26"/>
        <v>1.0002430555555555</v>
      </c>
    </row>
    <row r="466" spans="12:15" x14ac:dyDescent="0.25">
      <c r="L466" s="146">
        <f ca="1"/>
        <v>45705</v>
      </c>
      <c r="M466" s="92">
        <f t="shared" ca="1" si="25"/>
        <v>8.75</v>
      </c>
      <c r="N466" s="143">
        <f ca="1">(PRODUCT($O$5:$O466)-1)*36000/_xlfn.DAYS(L466, $C$2)</f>
        <v>11.474078460046153</v>
      </c>
      <c r="O466" s="149">
        <f t="shared" ca="1" si="26"/>
        <v>1.0002430555555555</v>
      </c>
    </row>
    <row r="467" spans="12:15" x14ac:dyDescent="0.25">
      <c r="L467" s="146">
        <f ca="1"/>
        <v>45706</v>
      </c>
      <c r="M467" s="92">
        <f t="shared" ca="1" si="25"/>
        <v>8.75</v>
      </c>
      <c r="N467" s="143">
        <f ca="1">(PRODUCT($O$5:$O467)-1)*36000/_xlfn.DAYS(L467, $C$2)</f>
        <v>11.47097773636083</v>
      </c>
      <c r="O467" s="149">
        <f t="shared" ca="1" si="26"/>
        <v>1.0002430555555555</v>
      </c>
    </row>
    <row r="468" spans="12:15" x14ac:dyDescent="0.25">
      <c r="L468" s="146">
        <f ca="1"/>
        <v>45707</v>
      </c>
      <c r="M468" s="92">
        <f t="shared" ca="1" si="25"/>
        <v>8.75</v>
      </c>
      <c r="N468" s="143">
        <f ca="1">(PRODUCT($O$5:$O468)-1)*36000/_xlfn.DAYS(L468, $C$2)</f>
        <v>11.467895636267759</v>
      </c>
      <c r="O468" s="149">
        <f t="shared" ca="1" si="26"/>
        <v>1.0002430555555555</v>
      </c>
    </row>
    <row r="469" spans="12:15" x14ac:dyDescent="0.25">
      <c r="L469" s="146">
        <f ca="1"/>
        <v>45708</v>
      </c>
      <c r="M469" s="92">
        <f t="shared" ca="1" si="25"/>
        <v>8.75</v>
      </c>
      <c r="N469" s="143">
        <f ca="1">(PRODUCT($O$5:$O469)-1)*36000/_xlfn.DAYS(L469, $C$2)</f>
        <v>11.464832040890069</v>
      </c>
      <c r="O469" s="149">
        <f t="shared" ca="1" si="26"/>
        <v>1.0002430555555555</v>
      </c>
    </row>
    <row r="470" spans="12:15" x14ac:dyDescent="0.25">
      <c r="L470" s="146">
        <f ca="1"/>
        <v>45709</v>
      </c>
      <c r="M470" s="92">
        <f t="shared" ca="1" si="25"/>
        <v>8.75</v>
      </c>
      <c r="N470" s="143">
        <f ca="1">(PRODUCT($O$5:$O470)-1)*36000/_xlfn.DAYS(L470, $C$2)</f>
        <v>11.461786832371605</v>
      </c>
      <c r="O470" s="149">
        <f t="shared" ca="1" si="26"/>
        <v>1.0002430555555555</v>
      </c>
    </row>
    <row r="471" spans="12:15" x14ac:dyDescent="0.25">
      <c r="L471" s="146">
        <f ca="1"/>
        <v>45710</v>
      </c>
      <c r="M471" s="92">
        <f t="shared" ca="1" si="25"/>
        <v>8.75</v>
      </c>
      <c r="N471" s="143">
        <f ca="1">(PRODUCT($O$5:$O471)-1)*36000/_xlfn.DAYS(L471, $C$2)</f>
        <v>11.458759893865988</v>
      </c>
      <c r="O471" s="149">
        <f t="shared" ca="1" si="26"/>
        <v>1.0002430555555555</v>
      </c>
    </row>
    <row r="472" spans="12:15" x14ac:dyDescent="0.25">
      <c r="L472" s="146">
        <f ca="1"/>
        <v>45711</v>
      </c>
      <c r="M472" s="92">
        <f t="shared" ca="1" si="25"/>
        <v>8.75</v>
      </c>
      <c r="N472" s="143">
        <f ca="1">(PRODUCT($O$5:$O472)-1)*36000/_xlfn.DAYS(L472, $C$2)</f>
        <v>11.455751109525835</v>
      </c>
      <c r="O472" s="149">
        <f t="shared" ca="1" si="26"/>
        <v>1.0002430555555555</v>
      </c>
    </row>
    <row r="473" spans="12:15" x14ac:dyDescent="0.25">
      <c r="L473" s="146">
        <f ca="1"/>
        <v>45712</v>
      </c>
      <c r="M473" s="92">
        <f t="shared" ca="1" si="25"/>
        <v>8.75</v>
      </c>
      <c r="N473" s="143">
        <f ca="1">(PRODUCT($O$5:$O473)-1)*36000/_xlfn.DAYS(L473, $C$2)</f>
        <v>11.452760364492097</v>
      </c>
      <c r="O473" s="149">
        <f t="shared" ca="1" si="26"/>
        <v>1.0002430555555555</v>
      </c>
    </row>
    <row r="474" spans="12:15" x14ac:dyDescent="0.25">
      <c r="L474" s="146">
        <f ca="1"/>
        <v>45713</v>
      </c>
      <c r="M474" s="92">
        <f t="shared" ca="1" si="25"/>
        <v>8.75</v>
      </c>
      <c r="N474" s="143">
        <f ca="1">(PRODUCT($O$5:$O474)-1)*36000/_xlfn.DAYS(L474, $C$2)</f>
        <v>11.449787544883581</v>
      </c>
      <c r="O474" s="149">
        <f t="shared" ca="1" si="26"/>
        <v>1.0002430555555555</v>
      </c>
    </row>
    <row r="475" spans="12:15" x14ac:dyDescent="0.25">
      <c r="L475" s="146">
        <f ca="1"/>
        <v>45714</v>
      </c>
      <c r="M475" s="92">
        <f t="shared" ca="1" si="25"/>
        <v>8.75</v>
      </c>
      <c r="N475" s="143">
        <f ca="1">(PRODUCT($O$5:$O475)-1)*36000/_xlfn.DAYS(L475, $C$2)</f>
        <v>11.446832537786538</v>
      </c>
      <c r="O475" s="149">
        <f t="shared" ca="1" si="26"/>
        <v>1.0002430555555555</v>
      </c>
    </row>
    <row r="476" spans="12:15" x14ac:dyDescent="0.25">
      <c r="L476" s="146">
        <f ca="1"/>
        <v>45715</v>
      </c>
      <c r="M476" s="92">
        <f t="shared" ca="1" si="25"/>
        <v>8.75</v>
      </c>
      <c r="N476" s="143">
        <f ca="1">(PRODUCT($O$5:$O476)-1)*36000/_xlfn.DAYS(L476, $C$2)</f>
        <v>11.443895231244392</v>
      </c>
      <c r="O476" s="149">
        <f t="shared" ca="1" si="26"/>
        <v>1.0002430555555555</v>
      </c>
    </row>
    <row r="477" spans="12:15" x14ac:dyDescent="0.25">
      <c r="L477" s="146">
        <f ca="1"/>
        <v>45716</v>
      </c>
      <c r="M477" s="92">
        <f t="shared" ca="1" si="25"/>
        <v>8.75</v>
      </c>
      <c r="N477" s="143">
        <f ca="1">(PRODUCT($O$5:$O477)-1)*36000/_xlfn.DAYS(L477, $C$2)</f>
        <v>11.440975514247693</v>
      </c>
      <c r="O477" s="149">
        <f t="shared" ca="1" si="26"/>
        <v>1.0002430555555555</v>
      </c>
    </row>
    <row r="478" spans="12:15" x14ac:dyDescent="0.25">
      <c r="L478" s="146">
        <f ca="1"/>
        <v>45717</v>
      </c>
      <c r="M478" s="92">
        <f t="shared" ca="1" si="25"/>
        <v>8.75</v>
      </c>
      <c r="N478" s="143">
        <f ca="1">(PRODUCT($O$5:$O478)-1)*36000/_xlfn.DAYS(L478, $C$2)</f>
        <v>11.438073276724056</v>
      </c>
      <c r="O478" s="149">
        <f t="shared" ca="1" si="26"/>
        <v>1.0002430555555555</v>
      </c>
    </row>
    <row r="479" spans="12:15" x14ac:dyDescent="0.25">
      <c r="L479" s="146">
        <f ca="1"/>
        <v>45718</v>
      </c>
      <c r="M479" s="92">
        <f t="shared" ca="1" si="25"/>
        <v>8.75</v>
      </c>
      <c r="N479" s="143">
        <f ca="1">(PRODUCT($O$5:$O479)-1)*36000/_xlfn.DAYS(L479, $C$2)</f>
        <v>11.435188409528321</v>
      </c>
      <c r="O479" s="149">
        <f t="shared" ca="1" si="26"/>
        <v>1.0002430555555555</v>
      </c>
    </row>
    <row r="480" spans="12:15" x14ac:dyDescent="0.25">
      <c r="L480" s="146">
        <f ca="1"/>
        <v>45719</v>
      </c>
      <c r="M480" s="92">
        <f t="shared" ca="1" si="25"/>
        <v>8.75</v>
      </c>
      <c r="N480" s="143">
        <f ca="1">(PRODUCT($O$5:$O480)-1)*36000/_xlfn.DAYS(L480, $C$2)</f>
        <v>11.432320804432848</v>
      </c>
      <c r="O480" s="149">
        <f t="shared" ca="1" si="26"/>
        <v>1.0002430555555555</v>
      </c>
    </row>
    <row r="481" spans="12:15" x14ac:dyDescent="0.25">
      <c r="L481" s="146">
        <f ca="1"/>
        <v>45720</v>
      </c>
      <c r="M481" s="92">
        <f t="shared" ca="1" si="25"/>
        <v>8.75</v>
      </c>
      <c r="N481" s="143">
        <f ca="1">(PRODUCT($O$5:$O481)-1)*36000/_xlfn.DAYS(L481, $C$2)</f>
        <v>11.429470354117843</v>
      </c>
      <c r="O481" s="149">
        <f t="shared" ca="1" si="26"/>
        <v>1.0002430555555555</v>
      </c>
    </row>
    <row r="482" spans="12:15" x14ac:dyDescent="0.25">
      <c r="L482" s="146">
        <f ca="1"/>
        <v>45721</v>
      </c>
      <c r="M482" s="92">
        <f t="shared" ca="1" si="25"/>
        <v>8.75</v>
      </c>
      <c r="N482" s="143">
        <f ca="1">(PRODUCT($O$5:$O482)-1)*36000/_xlfn.DAYS(L482, $C$2)</f>
        <v>11.426636952161909</v>
      </c>
      <c r="O482" s="149">
        <f t="shared" ca="1" si="26"/>
        <v>1.0002430555555555</v>
      </c>
    </row>
    <row r="483" spans="12:15" x14ac:dyDescent="0.25">
      <c r="L483" s="146">
        <f ca="1"/>
        <v>45722</v>
      </c>
      <c r="M483" s="92">
        <f t="shared" ca="1" si="25"/>
        <v>8.75</v>
      </c>
      <c r="N483" s="143">
        <f ca="1">(PRODUCT($O$5:$O483)-1)*36000/_xlfn.DAYS(L483, $C$2)</f>
        <v>11.423820493032618</v>
      </c>
      <c r="O483" s="149">
        <f t="shared" ca="1" si="26"/>
        <v>1.0002430555555555</v>
      </c>
    </row>
    <row r="484" spans="12:15" x14ac:dyDescent="0.25">
      <c r="L484" s="146">
        <f ca="1"/>
        <v>45723</v>
      </c>
      <c r="M484" s="92">
        <f t="shared" ca="1" si="25"/>
        <v>8.75</v>
      </c>
      <c r="N484" s="143">
        <f ca="1">(PRODUCT($O$5:$O484)-1)*36000/_xlfn.DAYS(L484, $C$2)</f>
        <v>11.421020872077298</v>
      </c>
      <c r="O484" s="149">
        <f t="shared" ca="1" si="26"/>
        <v>1.0002430555555555</v>
      </c>
    </row>
    <row r="485" spans="12:15" x14ac:dyDescent="0.25">
      <c r="L485" s="146">
        <f ca="1"/>
        <v>45724</v>
      </c>
      <c r="M485" s="92">
        <f t="shared" ca="1" si="25"/>
        <v>8.75</v>
      </c>
      <c r="N485" s="143">
        <f ca="1">(PRODUCT($O$5:$O485)-1)*36000/_xlfn.DAYS(L485, $C$2)</f>
        <v>11.41823798551388</v>
      </c>
      <c r="O485" s="149">
        <f t="shared" ca="1" si="26"/>
        <v>1.0002430555555555</v>
      </c>
    </row>
    <row r="486" spans="12:15" x14ac:dyDescent="0.25">
      <c r="L486" s="146">
        <f ca="1"/>
        <v>45725</v>
      </c>
      <c r="M486" s="92">
        <f t="shared" ca="1" si="25"/>
        <v>8.75</v>
      </c>
      <c r="N486" s="143">
        <f ca="1">(PRODUCT($O$5:$O486)-1)*36000/_xlfn.DAYS(L486, $C$2)</f>
        <v>11.41547173042184</v>
      </c>
      <c r="O486" s="149">
        <f t="shared" ca="1" si="26"/>
        <v>1.0002430555555555</v>
      </c>
    </row>
    <row r="487" spans="12:15" x14ac:dyDescent="0.25">
      <c r="L487" s="146">
        <f ca="1"/>
        <v>45726</v>
      </c>
      <c r="M487" s="92">
        <f t="shared" ca="1" si="25"/>
        <v>8.75</v>
      </c>
      <c r="N487" s="143">
        <f ca="1">(PRODUCT($O$5:$O487)-1)*36000/_xlfn.DAYS(L487, $C$2)</f>
        <v>11.4127220047333</v>
      </c>
      <c r="O487" s="149">
        <f t="shared" ca="1" si="26"/>
        <v>1.0002430555555555</v>
      </c>
    </row>
    <row r="488" spans="12:15" x14ac:dyDescent="0.25">
      <c r="L488" s="146">
        <f ca="1"/>
        <v>45727</v>
      </c>
      <c r="M488" s="92">
        <f t="shared" ca="1" si="25"/>
        <v>8.75</v>
      </c>
      <c r="N488" s="143">
        <f ca="1">(PRODUCT($O$5:$O488)-1)*36000/_xlfn.DAYS(L488, $C$2)</f>
        <v>11.409988707224228</v>
      </c>
      <c r="O488" s="149">
        <f t="shared" ca="1" si="26"/>
        <v>1.0002430555555555</v>
      </c>
    </row>
    <row r="489" spans="12:15" x14ac:dyDescent="0.25">
      <c r="L489" s="146">
        <f ca="1"/>
        <v>45728</v>
      </c>
      <c r="M489" s="92">
        <f t="shared" ca="1" si="25"/>
        <v>8.75</v>
      </c>
      <c r="N489" s="143">
        <f ca="1">(PRODUCT($O$5:$O489)-1)*36000/_xlfn.DAYS(L489, $C$2)</f>
        <v>11.407271737505724</v>
      </c>
      <c r="O489" s="149">
        <f t="shared" ca="1" si="26"/>
        <v>1.0002430555555555</v>
      </c>
    </row>
    <row r="490" spans="12:15" x14ac:dyDescent="0.25">
      <c r="L490" s="146">
        <f ca="1"/>
        <v>45729</v>
      </c>
      <c r="M490" s="92">
        <f t="shared" ca="1" si="25"/>
        <v>8.75</v>
      </c>
      <c r="N490" s="143">
        <f ca="1">(PRODUCT($O$5:$O490)-1)*36000/_xlfn.DAYS(L490, $C$2)</f>
        <v>11.404570996015419</v>
      </c>
      <c r="O490" s="149">
        <f t="shared" ca="1" si="26"/>
        <v>1.0002430555555555</v>
      </c>
    </row>
    <row r="491" spans="12:15" x14ac:dyDescent="0.25">
      <c r="L491" s="146">
        <f ca="1"/>
        <v>45730</v>
      </c>
      <c r="M491" s="92">
        <f t="shared" ca="1" si="25"/>
        <v>8.75</v>
      </c>
      <c r="N491" s="143">
        <f ca="1">(PRODUCT($O$5:$O491)-1)*36000/_xlfn.DAYS(L491, $C$2)</f>
        <v>11.401886384009032</v>
      </c>
      <c r="O491" s="149">
        <f t="shared" ca="1" si="26"/>
        <v>1.0002430555555555</v>
      </c>
    </row>
    <row r="492" spans="12:15" x14ac:dyDescent="0.25">
      <c r="L492" s="146">
        <f ca="1"/>
        <v>45731</v>
      </c>
      <c r="M492" s="92">
        <f t="shared" ca="1" si="25"/>
        <v>8.75</v>
      </c>
      <c r="N492" s="143">
        <f ca="1">(PRODUCT($O$5:$O492)-1)*36000/_xlfn.DAYS(L492, $C$2)</f>
        <v>11.399217803551918</v>
      </c>
      <c r="O492" s="149">
        <f t="shared" ca="1" si="26"/>
        <v>1.0002430555555555</v>
      </c>
    </row>
    <row r="493" spans="12:15" x14ac:dyDescent="0.25">
      <c r="L493" s="146">
        <f ca="1"/>
        <v>45732</v>
      </c>
      <c r="M493" s="92">
        <f t="shared" ca="1" si="25"/>
        <v>8.75</v>
      </c>
      <c r="N493" s="143">
        <f ca="1">(PRODUCT($O$5:$O493)-1)*36000/_xlfn.DAYS(L493, $C$2)</f>
        <v>11.396565157510851</v>
      </c>
      <c r="O493" s="149">
        <f t="shared" ca="1" si="26"/>
        <v>1.0002430555555555</v>
      </c>
    </row>
    <row r="494" spans="12:15" x14ac:dyDescent="0.25">
      <c r="L494" s="146">
        <f ca="1"/>
        <v>45733</v>
      </c>
      <c r="M494" s="92">
        <f t="shared" ca="1" si="25"/>
        <v>8.75</v>
      </c>
      <c r="N494" s="143">
        <f ca="1">(PRODUCT($O$5:$O494)-1)*36000/_xlfn.DAYS(L494, $C$2)</f>
        <v>11.393928349545837</v>
      </c>
      <c r="O494" s="149">
        <f t="shared" ca="1" si="26"/>
        <v>1.0002430555555555</v>
      </c>
    </row>
    <row r="495" spans="12:15" x14ac:dyDescent="0.25">
      <c r="L495" s="146">
        <f ca="1"/>
        <v>45734</v>
      </c>
      <c r="M495" s="92">
        <f t="shared" ca="1" si="25"/>
        <v>8.75</v>
      </c>
      <c r="N495" s="143">
        <f ca="1">(PRODUCT($O$5:$O495)-1)*36000/_xlfn.DAYS(L495, $C$2)</f>
        <v>11.391307284102004</v>
      </c>
      <c r="O495" s="149">
        <f t="shared" ca="1" si="26"/>
        <v>1.0002430555555555</v>
      </c>
    </row>
    <row r="496" spans="12:15" x14ac:dyDescent="0.25">
      <c r="L496" s="146">
        <f ca="1"/>
        <v>45735</v>
      </c>
      <c r="M496" s="92">
        <f t="shared" ca="1" si="25"/>
        <v>8.75</v>
      </c>
      <c r="N496" s="143">
        <f ca="1">(PRODUCT($O$5:$O496)-1)*36000/_xlfn.DAYS(L496, $C$2)</f>
        <v>11.388701866401655</v>
      </c>
      <c r="O496" s="149">
        <f t="shared" ca="1" si="26"/>
        <v>1.0002430555555555</v>
      </c>
    </row>
    <row r="497" spans="12:15" x14ac:dyDescent="0.25">
      <c r="L497" s="146">
        <f ca="1"/>
        <v>45736</v>
      </c>
      <c r="M497" s="92">
        <f t="shared" ca="1" si="25"/>
        <v>8.75</v>
      </c>
      <c r="N497" s="143">
        <f ca="1">(PRODUCT($O$5:$O497)-1)*36000/_xlfn.DAYS(L497, $C$2)</f>
        <v>11.386112002436384</v>
      </c>
      <c r="O497" s="149">
        <f t="shared" ca="1" si="26"/>
        <v>1.0002430555555555</v>
      </c>
    </row>
    <row r="498" spans="12:15" x14ac:dyDescent="0.25">
      <c r="L498" s="146">
        <f ca="1"/>
        <v>45737</v>
      </c>
      <c r="M498" s="92">
        <f t="shared" ca="1" si="25"/>
        <v>8.75</v>
      </c>
      <c r="N498" s="143">
        <f ca="1">(PRODUCT($O$5:$O498)-1)*36000/_xlfn.DAYS(L498, $C$2)</f>
        <v>11.383537598959249</v>
      </c>
      <c r="O498" s="149">
        <f t="shared" ca="1" si="26"/>
        <v>1.0002430555555555</v>
      </c>
    </row>
    <row r="499" spans="12:15" x14ac:dyDescent="0.25">
      <c r="L499" s="146">
        <f ca="1"/>
        <v>45738</v>
      </c>
      <c r="M499" s="92">
        <f t="shared" ca="1" si="25"/>
        <v>8.75</v>
      </c>
      <c r="N499" s="143">
        <f ca="1">(PRODUCT($O$5:$O499)-1)*36000/_xlfn.DAYS(L499, $C$2)</f>
        <v>11.380978563477145</v>
      </c>
      <c r="O499" s="149">
        <f t="shared" ca="1" si="26"/>
        <v>1.0002430555555555</v>
      </c>
    </row>
    <row r="500" spans="12:15" x14ac:dyDescent="0.25">
      <c r="L500" s="146">
        <f ca="1"/>
        <v>45739</v>
      </c>
      <c r="M500" s="92">
        <f t="shared" ca="1" si="25"/>
        <v>8.75</v>
      </c>
      <c r="N500" s="143">
        <f ca="1">(PRODUCT($O$5:$O500)-1)*36000/_xlfn.DAYS(L500, $C$2)</f>
        <v>11.37843480424314</v>
      </c>
      <c r="O500" s="149">
        <f t="shared" ca="1" si="26"/>
        <v>1.0002430555555555</v>
      </c>
    </row>
    <row r="501" spans="12:15" x14ac:dyDescent="0.25">
      <c r="L501" s="146">
        <f ca="1"/>
        <v>45740</v>
      </c>
      <c r="M501" s="92">
        <f t="shared" ca="1" si="25"/>
        <v>8.75</v>
      </c>
      <c r="N501" s="143">
        <f ca="1">(PRODUCT($O$5:$O501)-1)*36000/_xlfn.DAYS(L501, $C$2)</f>
        <v>11.375906230249047</v>
      </c>
      <c r="O501" s="149">
        <f t="shared" ca="1" si="26"/>
        <v>1.0002430555555555</v>
      </c>
    </row>
    <row r="502" spans="12:15" x14ac:dyDescent="0.25">
      <c r="L502" s="146">
        <f ca="1"/>
        <v>45741</v>
      </c>
      <c r="M502" s="92">
        <f t="shared" ca="1" si="25"/>
        <v>8.75</v>
      </c>
      <c r="N502" s="143">
        <f ca="1">(PRODUCT($O$5:$O502)-1)*36000/_xlfn.DAYS(L502, $C$2)</f>
        <v>11.373392751217905</v>
      </c>
      <c r="O502" s="149">
        <f t="shared" ca="1" si="26"/>
        <v>1.0002430555555555</v>
      </c>
    </row>
    <row r="503" spans="12:15" x14ac:dyDescent="0.25">
      <c r="L503" s="146">
        <f ca="1"/>
        <v>45742</v>
      </c>
      <c r="M503" s="92">
        <f t="shared" ca="1" si="25"/>
        <v>8.25</v>
      </c>
      <c r="N503" s="143">
        <f ca="1">(PRODUCT($O$5:$O503)-1)*36000/_xlfn.DAYS(L503, $C$2)</f>
        <v>11.369734626361224</v>
      </c>
      <c r="O503" s="149">
        <f t="shared" ca="1" si="26"/>
        <v>1.0002291666666667</v>
      </c>
    </row>
    <row r="504" spans="12:15" x14ac:dyDescent="0.25">
      <c r="L504" s="146">
        <f ca="1"/>
        <v>45743</v>
      </c>
      <c r="M504" s="92">
        <f t="shared" ca="1" si="25"/>
        <v>8.25</v>
      </c>
      <c r="N504" s="143">
        <f ca="1">(PRODUCT($O$5:$O504)-1)*36000/_xlfn.DAYS(L504, $C$2)</f>
        <v>11.366095510165339</v>
      </c>
      <c r="O504" s="149">
        <f t="shared" ca="1" si="26"/>
        <v>1.0002291666666667</v>
      </c>
    </row>
    <row r="505" spans="12:15" x14ac:dyDescent="0.25">
      <c r="L505" s="146">
        <f ca="1"/>
        <v>45744</v>
      </c>
      <c r="M505" s="92">
        <f t="shared" ca="1" si="25"/>
        <v>8.25</v>
      </c>
      <c r="N505" s="143">
        <f ca="1">(PRODUCT($O$5:$O505)-1)*36000/_xlfn.DAYS(L505, $C$2)</f>
        <v>11.362475289806808</v>
      </c>
      <c r="O505" s="149">
        <f t="shared" ca="1" si="26"/>
        <v>1.0002291666666667</v>
      </c>
    </row>
    <row r="506" spans="12:15" x14ac:dyDescent="0.25">
      <c r="L506" s="146">
        <f ca="1"/>
        <v>45745</v>
      </c>
      <c r="M506" s="92">
        <f t="shared" ca="1" si="25"/>
        <v>8.25</v>
      </c>
      <c r="N506" s="143">
        <f ca="1">(PRODUCT($O$5:$O506)-1)*36000/_xlfn.DAYS(L506, $C$2)</f>
        <v>11.358873853361407</v>
      </c>
      <c r="O506" s="149">
        <f t="shared" ca="1" si="26"/>
        <v>1.0002291666666667</v>
      </c>
    </row>
    <row r="507" spans="12:15" x14ac:dyDescent="0.25">
      <c r="L507" s="146">
        <f ca="1"/>
        <v>45746</v>
      </c>
      <c r="M507" s="92">
        <f t="shared" ca="1" si="25"/>
        <v>8.25</v>
      </c>
      <c r="N507" s="143">
        <f ca="1">(PRODUCT($O$5:$O507)-1)*36000/_xlfn.DAYS(L507, $C$2)</f>
        <v>11.355291089795189</v>
      </c>
      <c r="O507" s="149">
        <f t="shared" ca="1" si="26"/>
        <v>1.0002291666666667</v>
      </c>
    </row>
    <row r="508" spans="12:15" x14ac:dyDescent="0.25">
      <c r="L508" s="146">
        <f ca="1"/>
        <v>45747</v>
      </c>
      <c r="M508" s="92">
        <f t="shared" ca="1" si="25"/>
        <v>8.25</v>
      </c>
      <c r="N508" s="143">
        <f ca="1">(PRODUCT($O$5:$O508)-1)*36000/_xlfn.DAYS(L508, $C$2)</f>
        <v>11.351726888955646</v>
      </c>
      <c r="O508" s="149">
        <f t="shared" ca="1" si="26"/>
        <v>1.0002291666666667</v>
      </c>
    </row>
    <row r="509" spans="12:15" x14ac:dyDescent="0.25">
      <c r="L509" s="146">
        <f ca="1"/>
        <v>45748</v>
      </c>
      <c r="M509" s="92">
        <f t="shared" ca="1" si="25"/>
        <v>8.25</v>
      </c>
      <c r="N509" s="143">
        <f ca="1">(PRODUCT($O$5:$O509)-1)*36000/_xlfn.DAYS(L509, $C$2)</f>
        <v>11.348181141563019</v>
      </c>
      <c r="O509" s="149">
        <f t="shared" ca="1" si="26"/>
        <v>1.0002291666666667</v>
      </c>
    </row>
    <row r="510" spans="12:15" x14ac:dyDescent="0.25">
      <c r="L510" s="146">
        <f ca="1"/>
        <v>45749</v>
      </c>
      <c r="M510" s="92">
        <f t="shared" ca="1" si="25"/>
        <v>8.25</v>
      </c>
      <c r="N510" s="143">
        <f ca="1">(PRODUCT($O$5:$O510)-1)*36000/_xlfn.DAYS(L510, $C$2)</f>
        <v>11.344653739201629</v>
      </c>
      <c r="O510" s="149">
        <f t="shared" ca="1" si="26"/>
        <v>1.0002291666666667</v>
      </c>
    </row>
    <row r="511" spans="12:15" x14ac:dyDescent="0.25">
      <c r="L511" s="146">
        <f ca="1"/>
        <v>45750</v>
      </c>
      <c r="M511" s="92">
        <f t="shared" ca="1" si="25"/>
        <v>8.25</v>
      </c>
      <c r="N511" s="143">
        <f ca="1">(PRODUCT($O$5:$O511)-1)*36000/_xlfn.DAYS(L511, $C$2)</f>
        <v>11.341144574311382</v>
      </c>
      <c r="O511" s="149">
        <f t="shared" ca="1" si="26"/>
        <v>1.0002291666666667</v>
      </c>
    </row>
    <row r="512" spans="12:15" x14ac:dyDescent="0.25">
      <c r="L512" s="146">
        <f ca="1"/>
        <v>45751</v>
      </c>
      <c r="M512" s="92">
        <f t="shared" ca="1" si="25"/>
        <v>8.25</v>
      </c>
      <c r="N512" s="143">
        <f ca="1">(PRODUCT($O$5:$O512)-1)*36000/_xlfn.DAYS(L512, $C$2)</f>
        <v>11.337653540179337</v>
      </c>
      <c r="O512" s="149">
        <f t="shared" ca="1" si="26"/>
        <v>1.0002291666666667</v>
      </c>
    </row>
    <row r="513" spans="12:15" x14ac:dyDescent="0.25">
      <c r="L513" s="146">
        <f ca="1"/>
        <v>45752</v>
      </c>
      <c r="M513" s="92">
        <f t="shared" ca="1" si="25"/>
        <v>8.25</v>
      </c>
      <c r="N513" s="143">
        <f ca="1">(PRODUCT($O$5:$O513)-1)*36000/_xlfn.DAYS(L513, $C$2)</f>
        <v>11.334180530931391</v>
      </c>
      <c r="O513" s="149">
        <f t="shared" ca="1" si="26"/>
        <v>1.0002291666666667</v>
      </c>
    </row>
    <row r="514" spans="12:15" x14ac:dyDescent="0.25">
      <c r="L514" s="146">
        <f ca="1"/>
        <v>45753</v>
      </c>
      <c r="M514" s="92">
        <f t="shared" ca="1" si="25"/>
        <v>8.25</v>
      </c>
      <c r="N514" s="143">
        <f ca="1">(PRODUCT($O$5:$O514)-1)*36000/_xlfn.DAYS(L514, $C$2)</f>
        <v>11.330725441524038</v>
      </c>
      <c r="O514" s="149">
        <f t="shared" ca="1" si="26"/>
        <v>1.0002291666666667</v>
      </c>
    </row>
    <row r="515" spans="12:15" x14ac:dyDescent="0.25">
      <c r="L515" s="146">
        <f ca="1"/>
        <v>45754</v>
      </c>
      <c r="M515" s="92">
        <f t="shared" ca="1" si="25"/>
        <v>8.25</v>
      </c>
      <c r="N515" s="143">
        <f ca="1">(PRODUCT($O$5:$O515)-1)*36000/_xlfn.DAYS(L515, $C$2)</f>
        <v>11.32728816773629</v>
      </c>
      <c r="O515" s="149">
        <f t="shared" ca="1" si="26"/>
        <v>1.0002291666666667</v>
      </c>
    </row>
    <row r="516" spans="12:15" x14ac:dyDescent="0.25">
      <c r="L516" s="146">
        <f ca="1"/>
        <v>45755</v>
      </c>
      <c r="M516" s="92">
        <f t="shared" ca="1" si="25"/>
        <v>8.25</v>
      </c>
      <c r="N516" s="143">
        <f ca="1">(PRODUCT($O$5:$O516)-1)*36000/_xlfn.DAYS(L516, $C$2)</f>
        <v>11.323868606161573</v>
      </c>
      <c r="O516" s="149">
        <f t="shared" ca="1" si="26"/>
        <v>1.0002291666666667</v>
      </c>
    </row>
    <row r="517" spans="12:15" x14ac:dyDescent="0.25">
      <c r="L517" s="146">
        <f ca="1"/>
        <v>45756</v>
      </c>
      <c r="M517" s="92">
        <f t="shared" ref="M517:M580" ca="1" si="27">IFERROR(INDEX($E$27:$H$47, MATCH(L517, $F$27:$F$47, 0), 4), IF(ISNUMBER(M516), M516, $C$5))</f>
        <v>8.25</v>
      </c>
      <c r="N517" s="143">
        <f ca="1">(PRODUCT($O$5:$O517)-1)*36000/_xlfn.DAYS(L517, $C$2)</f>
        <v>11.320466654199841</v>
      </c>
      <c r="O517" s="149">
        <f t="shared" ca="1" si="26"/>
        <v>1.0002291666666667</v>
      </c>
    </row>
    <row r="518" spans="12:15" x14ac:dyDescent="0.25">
      <c r="L518" s="146">
        <f ca="1"/>
        <v>45757</v>
      </c>
      <c r="M518" s="92">
        <f t="shared" ca="1" si="27"/>
        <v>8.25</v>
      </c>
      <c r="N518" s="143">
        <f ca="1">(PRODUCT($O$5:$O518)-1)*36000/_xlfn.DAYS(L518, $C$2)</f>
        <v>11.317082210049719</v>
      </c>
      <c r="O518" s="149">
        <f t="shared" ref="O518:O581" ca="1" si="28">1+M518*IFERROR(_xlfn.DAYS(L518, L517), _xlfn.DAYS(L518, $C$2))/36000</f>
        <v>1.0002291666666667</v>
      </c>
    </row>
    <row r="519" spans="12:15" x14ac:dyDescent="0.25">
      <c r="L519" s="146">
        <f ca="1"/>
        <v>45758</v>
      </c>
      <c r="M519" s="92">
        <f t="shared" ca="1" si="27"/>
        <v>8.25</v>
      </c>
      <c r="N519" s="143">
        <f ca="1">(PRODUCT($O$5:$O519)-1)*36000/_xlfn.DAYS(L519, $C$2)</f>
        <v>11.313715172700743</v>
      </c>
      <c r="O519" s="149">
        <f t="shared" ca="1" si="28"/>
        <v>1.0002291666666667</v>
      </c>
    </row>
    <row r="520" spans="12:15" x14ac:dyDescent="0.25">
      <c r="L520" s="146">
        <f ca="1"/>
        <v>45759</v>
      </c>
      <c r="M520" s="92">
        <f t="shared" ca="1" si="27"/>
        <v>8.25</v>
      </c>
      <c r="N520" s="143">
        <f ca="1">(PRODUCT($O$5:$O520)-1)*36000/_xlfn.DAYS(L520, $C$2)</f>
        <v>11.310365441925711</v>
      </c>
      <c r="O520" s="149">
        <f t="shared" ca="1" si="28"/>
        <v>1.0002291666666667</v>
      </c>
    </row>
    <row r="521" spans="12:15" x14ac:dyDescent="0.25">
      <c r="L521" s="146">
        <f ca="1"/>
        <v>45760</v>
      </c>
      <c r="M521" s="92">
        <f t="shared" ca="1" si="27"/>
        <v>8.25</v>
      </c>
      <c r="N521" s="143">
        <f ca="1">(PRODUCT($O$5:$O521)-1)*36000/_xlfn.DAYS(L521, $C$2)</f>
        <v>11.307032918273068</v>
      </c>
      <c r="O521" s="149">
        <f t="shared" ca="1" si="28"/>
        <v>1.0002291666666667</v>
      </c>
    </row>
    <row r="522" spans="12:15" x14ac:dyDescent="0.25">
      <c r="L522" s="146">
        <f ca="1"/>
        <v>45761</v>
      </c>
      <c r="M522" s="92">
        <f t="shared" ca="1" si="27"/>
        <v>8.25</v>
      </c>
      <c r="N522" s="143">
        <f ca="1">(PRODUCT($O$5:$O522)-1)*36000/_xlfn.DAYS(L522, $C$2)</f>
        <v>11.303717503059474</v>
      </c>
      <c r="O522" s="149">
        <f t="shared" ca="1" si="28"/>
        <v>1.0002291666666667</v>
      </c>
    </row>
    <row r="523" spans="12:15" x14ac:dyDescent="0.25">
      <c r="L523" s="146">
        <f ca="1"/>
        <v>45762</v>
      </c>
      <c r="M523" s="92">
        <f t="shared" ca="1" si="27"/>
        <v>8.25</v>
      </c>
      <c r="N523" s="143">
        <f ca="1">(PRODUCT($O$5:$O523)-1)*36000/_xlfn.DAYS(L523, $C$2)</f>
        <v>11.300419098362372</v>
      </c>
      <c r="O523" s="149">
        <f t="shared" ca="1" si="28"/>
        <v>1.0002291666666667</v>
      </c>
    </row>
    <row r="524" spans="12:15" x14ac:dyDescent="0.25">
      <c r="L524" s="146">
        <f ca="1"/>
        <v>45763</v>
      </c>
      <c r="M524" s="92">
        <f t="shared" ca="1" si="27"/>
        <v>8.25</v>
      </c>
      <c r="N524" s="143">
        <f ca="1">(PRODUCT($O$5:$O524)-1)*36000/_xlfn.DAYS(L524, $C$2)</f>
        <v>11.297137607012667</v>
      </c>
      <c r="O524" s="149">
        <f t="shared" ca="1" si="28"/>
        <v>1.0002291666666667</v>
      </c>
    </row>
    <row r="525" spans="12:15" x14ac:dyDescent="0.25">
      <c r="L525" s="146">
        <f ca="1"/>
        <v>45764</v>
      </c>
      <c r="M525" s="92">
        <f t="shared" ca="1" si="27"/>
        <v>8.25</v>
      </c>
      <c r="N525" s="143">
        <f ca="1">(PRODUCT($O$5:$O525)-1)*36000/_xlfn.DAYS(L525, $C$2)</f>
        <v>11.293872932587506</v>
      </c>
      <c r="O525" s="149">
        <f t="shared" ca="1" si="28"/>
        <v>1.0002291666666667</v>
      </c>
    </row>
    <row r="526" spans="12:15" x14ac:dyDescent="0.25">
      <c r="L526" s="146">
        <f ca="1"/>
        <v>45765</v>
      </c>
      <c r="M526" s="92">
        <f t="shared" ca="1" si="27"/>
        <v>8.25</v>
      </c>
      <c r="N526" s="143">
        <f ca="1">(PRODUCT($O$5:$O526)-1)*36000/_xlfn.DAYS(L526, $C$2)</f>
        <v>11.290624979403141</v>
      </c>
      <c r="O526" s="149">
        <f t="shared" ca="1" si="28"/>
        <v>1.0002291666666667</v>
      </c>
    </row>
    <row r="527" spans="12:15" x14ac:dyDescent="0.25">
      <c r="L527" s="146">
        <f ca="1"/>
        <v>45766</v>
      </c>
      <c r="M527" s="92">
        <f t="shared" ca="1" si="27"/>
        <v>8.25</v>
      </c>
      <c r="N527" s="143">
        <f ca="1">(PRODUCT($O$5:$O527)-1)*36000/_xlfn.DAYS(L527, $C$2)</f>
        <v>11.287393652507841</v>
      </c>
      <c r="O527" s="149">
        <f t="shared" ca="1" si="28"/>
        <v>1.0002291666666667</v>
      </c>
    </row>
    <row r="528" spans="12:15" x14ac:dyDescent="0.25">
      <c r="L528" s="146">
        <f ca="1"/>
        <v>45767</v>
      </c>
      <c r="M528" s="92">
        <f t="shared" ca="1" si="27"/>
        <v>8.25</v>
      </c>
      <c r="N528" s="143">
        <f ca="1">(PRODUCT($O$5:$O528)-1)*36000/_xlfn.DAYS(L528, $C$2)</f>
        <v>11.284178857674938</v>
      </c>
      <c r="O528" s="149">
        <f t="shared" ca="1" si="28"/>
        <v>1.0002291666666667</v>
      </c>
    </row>
    <row r="529" spans="12:15" x14ac:dyDescent="0.25">
      <c r="L529" s="146">
        <f ca="1"/>
        <v>45768</v>
      </c>
      <c r="M529" s="92">
        <f t="shared" ca="1" si="27"/>
        <v>8.25</v>
      </c>
      <c r="N529" s="143">
        <f ca="1">(PRODUCT($O$5:$O529)-1)*36000/_xlfn.DAYS(L529, $C$2)</f>
        <v>11.280980501395861</v>
      </c>
      <c r="O529" s="149">
        <f t="shared" ca="1" si="28"/>
        <v>1.0002291666666667</v>
      </c>
    </row>
    <row r="530" spans="12:15" x14ac:dyDescent="0.25">
      <c r="L530" s="146">
        <f ca="1"/>
        <v>45769</v>
      </c>
      <c r="M530" s="92">
        <f t="shared" ca="1" si="27"/>
        <v>8.25</v>
      </c>
      <c r="N530" s="143">
        <f ca="1">(PRODUCT($O$5:$O530)-1)*36000/_xlfn.DAYS(L530, $C$2)</f>
        <v>11.277798490873392</v>
      </c>
      <c r="O530" s="149">
        <f t="shared" ca="1" si="28"/>
        <v>1.0002291666666667</v>
      </c>
    </row>
    <row r="531" spans="12:15" x14ac:dyDescent="0.25">
      <c r="L531" s="146">
        <f ca="1"/>
        <v>45770</v>
      </c>
      <c r="M531" s="92">
        <f t="shared" ca="1" si="27"/>
        <v>8.25</v>
      </c>
      <c r="N531" s="143">
        <f ca="1">(PRODUCT($O$5:$O531)-1)*36000/_xlfn.DAYS(L531, $C$2)</f>
        <v>11.274632734014853</v>
      </c>
      <c r="O531" s="149">
        <f t="shared" ca="1" si="28"/>
        <v>1.0002291666666667</v>
      </c>
    </row>
    <row r="532" spans="12:15" x14ac:dyDescent="0.25">
      <c r="L532" s="146">
        <f ca="1"/>
        <v>45771</v>
      </c>
      <c r="M532" s="92">
        <f t="shared" ca="1" si="27"/>
        <v>8.25</v>
      </c>
      <c r="N532" s="143">
        <f ca="1">(PRODUCT($O$5:$O532)-1)*36000/_xlfn.DAYS(L532, $C$2)</f>
        <v>11.271483139425467</v>
      </c>
      <c r="O532" s="149">
        <f t="shared" ca="1" si="28"/>
        <v>1.0002291666666667</v>
      </c>
    </row>
    <row r="533" spans="12:15" x14ac:dyDescent="0.25">
      <c r="L533" s="146">
        <f ca="1"/>
        <v>45772</v>
      </c>
      <c r="M533" s="92">
        <f t="shared" ca="1" si="27"/>
        <v>8.25</v>
      </c>
      <c r="N533" s="143">
        <f ca="1">(PRODUCT($O$5:$O533)-1)*36000/_xlfn.DAYS(L533, $C$2)</f>
        <v>11.268349616401741</v>
      </c>
      <c r="O533" s="149">
        <f t="shared" ca="1" si="28"/>
        <v>1.0002291666666667</v>
      </c>
    </row>
    <row r="534" spans="12:15" x14ac:dyDescent="0.25">
      <c r="L534" s="146">
        <f ca="1"/>
        <v>45773</v>
      </c>
      <c r="M534" s="92">
        <f t="shared" ca="1" si="27"/>
        <v>8.25</v>
      </c>
      <c r="N534" s="143">
        <f ca="1">(PRODUCT($O$5:$O534)-1)*36000/_xlfn.DAYS(L534, $C$2)</f>
        <v>11.265232074924961</v>
      </c>
      <c r="O534" s="149">
        <f t="shared" ca="1" si="28"/>
        <v>1.0002291666666667</v>
      </c>
    </row>
    <row r="535" spans="12:15" x14ac:dyDescent="0.25">
      <c r="L535" s="146">
        <f ca="1"/>
        <v>45774</v>
      </c>
      <c r="M535" s="92">
        <f t="shared" ca="1" si="27"/>
        <v>8.25</v>
      </c>
      <c r="N535" s="143">
        <f ca="1">(PRODUCT($O$5:$O535)-1)*36000/_xlfn.DAYS(L535, $C$2)</f>
        <v>11.262130425654739</v>
      </c>
      <c r="O535" s="149">
        <f t="shared" ca="1" si="28"/>
        <v>1.0002291666666667</v>
      </c>
    </row>
    <row r="536" spans="12:15" x14ac:dyDescent="0.25">
      <c r="L536" s="146">
        <f ca="1"/>
        <v>45775</v>
      </c>
      <c r="M536" s="92">
        <f t="shared" ca="1" si="27"/>
        <v>8.25</v>
      </c>
      <c r="N536" s="143">
        <f ca="1">(PRODUCT($O$5:$O536)-1)*36000/_xlfn.DAYS(L536, $C$2)</f>
        <v>11.259044579922637</v>
      </c>
      <c r="O536" s="149">
        <f t="shared" ca="1" si="28"/>
        <v>1.0002291666666667</v>
      </c>
    </row>
    <row r="537" spans="12:15" x14ac:dyDescent="0.25">
      <c r="L537" s="146">
        <f ca="1"/>
        <v>45776</v>
      </c>
      <c r="M537" s="92">
        <f t="shared" ca="1" si="27"/>
        <v>8.25</v>
      </c>
      <c r="N537" s="143">
        <f ca="1">(PRODUCT($O$5:$O537)-1)*36000/_xlfn.DAYS(L537, $C$2)</f>
        <v>11.255974449725858</v>
      </c>
      <c r="O537" s="149">
        <f t="shared" ca="1" si="28"/>
        <v>1.0002291666666667</v>
      </c>
    </row>
    <row r="538" spans="12:15" x14ac:dyDescent="0.25">
      <c r="L538" s="146">
        <f ca="1"/>
        <v>45777</v>
      </c>
      <c r="M538" s="92">
        <f t="shared" ca="1" si="27"/>
        <v>8.25</v>
      </c>
      <c r="N538" s="143">
        <f ca="1">(PRODUCT($O$5:$O538)-1)*36000/_xlfn.DAYS(L538, $C$2)</f>
        <v>11.252919947721013</v>
      </c>
      <c r="O538" s="149">
        <f t="shared" ca="1" si="28"/>
        <v>1.0002291666666667</v>
      </c>
    </row>
    <row r="539" spans="12:15" x14ac:dyDescent="0.25">
      <c r="L539" s="146">
        <f ca="1"/>
        <v>45778</v>
      </c>
      <c r="M539" s="92">
        <f t="shared" ca="1" si="27"/>
        <v>8.25</v>
      </c>
      <c r="N539" s="143">
        <f ca="1">(PRODUCT($O$5:$O539)-1)*36000/_xlfn.DAYS(L539, $C$2)</f>
        <v>11.24988098721799</v>
      </c>
      <c r="O539" s="149">
        <f t="shared" ca="1" si="28"/>
        <v>1.0002291666666667</v>
      </c>
    </row>
    <row r="540" spans="12:15" x14ac:dyDescent="0.25">
      <c r="L540" s="146">
        <f ca="1"/>
        <v>45779</v>
      </c>
      <c r="M540" s="92">
        <f t="shared" ca="1" si="27"/>
        <v>8.25</v>
      </c>
      <c r="N540" s="143">
        <f ca="1">(PRODUCT($O$5:$O540)-1)*36000/_xlfn.DAYS(L540, $C$2)</f>
        <v>11.246857482173814</v>
      </c>
      <c r="O540" s="149">
        <f t="shared" ca="1" si="28"/>
        <v>1.0002291666666667</v>
      </c>
    </row>
    <row r="541" spans="12:15" x14ac:dyDescent="0.25">
      <c r="L541" s="146">
        <f ca="1"/>
        <v>45780</v>
      </c>
      <c r="M541" s="92">
        <f t="shared" ca="1" si="27"/>
        <v>8.25</v>
      </c>
      <c r="N541" s="143">
        <f ca="1">(PRODUCT($O$5:$O541)-1)*36000/_xlfn.DAYS(L541, $C$2)</f>
        <v>11.243849347186638</v>
      </c>
      <c r="O541" s="149">
        <f t="shared" ca="1" si="28"/>
        <v>1.0002291666666667</v>
      </c>
    </row>
    <row r="542" spans="12:15" x14ac:dyDescent="0.25">
      <c r="L542" s="146">
        <f ca="1"/>
        <v>45781</v>
      </c>
      <c r="M542" s="92">
        <f t="shared" ca="1" si="27"/>
        <v>8.25</v>
      </c>
      <c r="N542" s="143">
        <f ca="1">(PRODUCT($O$5:$O542)-1)*36000/_xlfn.DAYS(L542, $C$2)</f>
        <v>11.240856497489808</v>
      </c>
      <c r="O542" s="149">
        <f t="shared" ca="1" si="28"/>
        <v>1.0002291666666667</v>
      </c>
    </row>
    <row r="543" spans="12:15" x14ac:dyDescent="0.25">
      <c r="L543" s="146">
        <f ca="1"/>
        <v>45782</v>
      </c>
      <c r="M543" s="92">
        <f t="shared" ca="1" si="27"/>
        <v>8.25</v>
      </c>
      <c r="N543" s="143">
        <f ca="1">(PRODUCT($O$5:$O543)-1)*36000/_xlfn.DAYS(L543, $C$2)</f>
        <v>11.237878848945927</v>
      </c>
      <c r="O543" s="149">
        <f t="shared" ca="1" si="28"/>
        <v>1.0002291666666667</v>
      </c>
    </row>
    <row r="544" spans="12:15" x14ac:dyDescent="0.25">
      <c r="L544" s="146">
        <f ca="1"/>
        <v>45783</v>
      </c>
      <c r="M544" s="92">
        <f t="shared" ca="1" si="27"/>
        <v>8.25</v>
      </c>
      <c r="N544" s="143">
        <f ca="1">(PRODUCT($O$5:$O544)-1)*36000/_xlfn.DAYS(L544, $C$2)</f>
        <v>11.234916318041071</v>
      </c>
      <c r="O544" s="149">
        <f t="shared" ca="1" si="28"/>
        <v>1.0002291666666667</v>
      </c>
    </row>
    <row r="545" spans="12:15" x14ac:dyDescent="0.25">
      <c r="L545" s="146">
        <f ca="1"/>
        <v>45784</v>
      </c>
      <c r="M545" s="92">
        <f t="shared" ca="1" si="27"/>
        <v>8.25</v>
      </c>
      <c r="N545" s="143">
        <f ca="1">(PRODUCT($O$5:$O545)-1)*36000/_xlfn.DAYS(L545, $C$2)</f>
        <v>11.231968821878995</v>
      </c>
      <c r="O545" s="149">
        <f t="shared" ca="1" si="28"/>
        <v>1.0002291666666667</v>
      </c>
    </row>
    <row r="546" spans="12:15" x14ac:dyDescent="0.25">
      <c r="L546" s="146">
        <f ca="1"/>
        <v>45785</v>
      </c>
      <c r="M546" s="92">
        <f t="shared" ca="1" si="27"/>
        <v>8.25</v>
      </c>
      <c r="N546" s="143">
        <f ca="1">(PRODUCT($O$5:$O546)-1)*36000/_xlfn.DAYS(L546, $C$2)</f>
        <v>11.229036278175462</v>
      </c>
      <c r="O546" s="149">
        <f t="shared" ca="1" si="28"/>
        <v>1.0002291666666667</v>
      </c>
    </row>
    <row r="547" spans="12:15" x14ac:dyDescent="0.25">
      <c r="L547" s="146">
        <f ca="1"/>
        <v>45786</v>
      </c>
      <c r="M547" s="92">
        <f t="shared" ca="1" si="27"/>
        <v>8.25</v>
      </c>
      <c r="N547" s="143">
        <f ca="1">(PRODUCT($O$5:$O547)-1)*36000/_xlfn.DAYS(L547, $C$2)</f>
        <v>11.226118605252589</v>
      </c>
      <c r="O547" s="149">
        <f t="shared" ca="1" si="28"/>
        <v>1.0002291666666667</v>
      </c>
    </row>
    <row r="548" spans="12:15" x14ac:dyDescent="0.25">
      <c r="L548" s="146">
        <f ca="1"/>
        <v>45787</v>
      </c>
      <c r="M548" s="92">
        <f t="shared" ca="1" si="27"/>
        <v>8.25</v>
      </c>
      <c r="N548" s="143">
        <f ca="1">(PRODUCT($O$5:$O548)-1)*36000/_xlfn.DAYS(L548, $C$2)</f>
        <v>11.223215722033263</v>
      </c>
      <c r="O548" s="149">
        <f t="shared" ca="1" si="28"/>
        <v>1.0002291666666667</v>
      </c>
    </row>
    <row r="549" spans="12:15" x14ac:dyDescent="0.25">
      <c r="L549" s="146">
        <f ca="1"/>
        <v>45788</v>
      </c>
      <c r="M549" s="92">
        <f t="shared" ca="1" si="27"/>
        <v>8.25</v>
      </c>
      <c r="N549" s="143">
        <f ca="1">(PRODUCT($O$5:$O549)-1)*36000/_xlfn.DAYS(L549, $C$2)</f>
        <v>11.220327548035675</v>
      </c>
      <c r="O549" s="149">
        <f t="shared" ca="1" si="28"/>
        <v>1.0002291666666667</v>
      </c>
    </row>
    <row r="550" spans="12:15" x14ac:dyDescent="0.25">
      <c r="L550" s="146">
        <f ca="1"/>
        <v>45789</v>
      </c>
      <c r="M550" s="92">
        <f t="shared" ca="1" si="27"/>
        <v>8.25</v>
      </c>
      <c r="N550" s="143">
        <f ca="1">(PRODUCT($O$5:$O550)-1)*36000/_xlfn.DAYS(L550, $C$2)</f>
        <v>11.217454003367825</v>
      </c>
      <c r="O550" s="149">
        <f t="shared" ca="1" si="28"/>
        <v>1.0002291666666667</v>
      </c>
    </row>
    <row r="551" spans="12:15" x14ac:dyDescent="0.25">
      <c r="L551" s="146">
        <f ca="1"/>
        <v>45790</v>
      </c>
      <c r="M551" s="92">
        <f t="shared" ca="1" si="27"/>
        <v>8.25</v>
      </c>
      <c r="N551" s="143">
        <f ca="1">(PRODUCT($O$5:$O551)-1)*36000/_xlfn.DAYS(L551, $C$2)</f>
        <v>11.214595008722126</v>
      </c>
      <c r="O551" s="149">
        <f t="shared" ca="1" si="28"/>
        <v>1.0002291666666667</v>
      </c>
    </row>
    <row r="552" spans="12:15" x14ac:dyDescent="0.25">
      <c r="L552" s="146">
        <f ca="1"/>
        <v>45791</v>
      </c>
      <c r="M552" s="92">
        <f t="shared" ca="1" si="27"/>
        <v>8.25</v>
      </c>
      <c r="N552" s="143">
        <f ca="1">(PRODUCT($O$5:$O552)-1)*36000/_xlfn.DAYS(L552, $C$2)</f>
        <v>11.211750485370123</v>
      </c>
      <c r="O552" s="149">
        <f t="shared" ca="1" si="28"/>
        <v>1.0002291666666667</v>
      </c>
    </row>
    <row r="553" spans="12:15" x14ac:dyDescent="0.25">
      <c r="L553" s="146">
        <f ca="1"/>
        <v>45792</v>
      </c>
      <c r="M553" s="92">
        <f t="shared" ca="1" si="27"/>
        <v>8.25</v>
      </c>
      <c r="N553" s="143">
        <f ca="1">(PRODUCT($O$5:$O553)-1)*36000/_xlfn.DAYS(L553, $C$2)</f>
        <v>11.208920355157172</v>
      </c>
      <c r="O553" s="149">
        <f t="shared" ca="1" si="28"/>
        <v>1.0002291666666667</v>
      </c>
    </row>
    <row r="554" spans="12:15" x14ac:dyDescent="0.25">
      <c r="L554" s="146">
        <f ca="1"/>
        <v>45793</v>
      </c>
      <c r="M554" s="92">
        <f t="shared" ca="1" si="27"/>
        <v>7.75</v>
      </c>
      <c r="N554" s="143">
        <f ca="1">(PRODUCT($O$5:$O554)-1)*36000/_xlfn.DAYS(L554, $C$2)</f>
        <v>11.205040053192301</v>
      </c>
      <c r="O554" s="149">
        <f t="shared" ca="1" si="28"/>
        <v>1.0002152777777777</v>
      </c>
    </row>
    <row r="555" spans="12:15" x14ac:dyDescent="0.25">
      <c r="L555" s="146">
        <f ca="1"/>
        <v>45794</v>
      </c>
      <c r="M555" s="92">
        <f t="shared" ca="1" si="27"/>
        <v>7.75</v>
      </c>
      <c r="N555" s="143">
        <f ca="1">(PRODUCT($O$5:$O555)-1)*36000/_xlfn.DAYS(L555, $C$2)</f>
        <v>11.201177381348767</v>
      </c>
      <c r="O555" s="149">
        <f t="shared" ca="1" si="28"/>
        <v>1.0002152777777777</v>
      </c>
    </row>
    <row r="556" spans="12:15" x14ac:dyDescent="0.25">
      <c r="L556" s="146">
        <f ca="1"/>
        <v>45795</v>
      </c>
      <c r="M556" s="92">
        <f t="shared" ca="1" si="27"/>
        <v>7.75</v>
      </c>
      <c r="N556" s="143">
        <f ca="1">(PRODUCT($O$5:$O556)-1)*36000/_xlfn.DAYS(L556, $C$2)</f>
        <v>11.197332244572605</v>
      </c>
      <c r="O556" s="149">
        <f t="shared" ca="1" si="28"/>
        <v>1.0002152777777777</v>
      </c>
    </row>
    <row r="557" spans="12:15" x14ac:dyDescent="0.25">
      <c r="L557" s="146">
        <f ca="1"/>
        <v>45796</v>
      </c>
      <c r="M557" s="92">
        <f t="shared" ca="1" si="27"/>
        <v>7.75</v>
      </c>
      <c r="N557" s="143">
        <f ca="1">(PRODUCT($O$5:$O557)-1)*36000/_xlfn.DAYS(L557, $C$2)</f>
        <v>11.193504548497534</v>
      </c>
      <c r="O557" s="149">
        <f t="shared" ca="1" si="28"/>
        <v>1.0002152777777777</v>
      </c>
    </row>
    <row r="558" spans="12:15" x14ac:dyDescent="0.25">
      <c r="L558" s="146">
        <f ca="1"/>
        <v>45797</v>
      </c>
      <c r="M558" s="92">
        <f t="shared" ca="1" si="27"/>
        <v>7.75</v>
      </c>
      <c r="N558" s="143">
        <f ca="1">(PRODUCT($O$5:$O558)-1)*36000/_xlfn.DAYS(L558, $C$2)</f>
        <v>11.189694199438804</v>
      </c>
      <c r="O558" s="149">
        <f t="shared" ca="1" si="28"/>
        <v>1.0002152777777777</v>
      </c>
    </row>
    <row r="559" spans="12:15" x14ac:dyDescent="0.25">
      <c r="L559" s="146">
        <f ca="1"/>
        <v>45798</v>
      </c>
      <c r="M559" s="92">
        <f t="shared" ca="1" si="27"/>
        <v>7.75</v>
      </c>
      <c r="N559" s="143">
        <f ca="1">(PRODUCT($O$5:$O559)-1)*36000/_xlfn.DAYS(L559, $C$2)</f>
        <v>11.185901104387026</v>
      </c>
      <c r="O559" s="149">
        <f t="shared" ca="1" si="28"/>
        <v>1.0002152777777777</v>
      </c>
    </row>
    <row r="560" spans="12:15" x14ac:dyDescent="0.25">
      <c r="L560" s="146">
        <f ca="1"/>
        <v>45799</v>
      </c>
      <c r="M560" s="92">
        <f t="shared" ca="1" si="27"/>
        <v>7.75</v>
      </c>
      <c r="N560" s="143">
        <f ca="1">(PRODUCT($O$5:$O560)-1)*36000/_xlfn.DAYS(L560, $C$2)</f>
        <v>11.182125171002104</v>
      </c>
      <c r="O560" s="149">
        <f t="shared" ca="1" si="28"/>
        <v>1.0002152777777777</v>
      </c>
    </row>
    <row r="561" spans="12:15" x14ac:dyDescent="0.25">
      <c r="L561" s="146">
        <f ca="1"/>
        <v>45800</v>
      </c>
      <c r="M561" s="92">
        <f t="shared" ca="1" si="27"/>
        <v>7.75</v>
      </c>
      <c r="N561" s="143">
        <f ca="1">(PRODUCT($O$5:$O561)-1)*36000/_xlfn.DAYS(L561, $C$2)</f>
        <v>11.17836630760721</v>
      </c>
      <c r="O561" s="149">
        <f t="shared" ca="1" si="28"/>
        <v>1.0002152777777777</v>
      </c>
    </row>
    <row r="562" spans="12:15" x14ac:dyDescent="0.25">
      <c r="L562" s="146">
        <f ca="1"/>
        <v>45801</v>
      </c>
      <c r="M562" s="92">
        <f t="shared" ca="1" si="27"/>
        <v>7.75</v>
      </c>
      <c r="N562" s="143">
        <f ca="1">(PRODUCT($O$5:$O562)-1)*36000/_xlfn.DAYS(L562, $C$2)</f>
        <v>11.174624423182896</v>
      </c>
      <c r="O562" s="149">
        <f t="shared" ca="1" si="28"/>
        <v>1.0002152777777777</v>
      </c>
    </row>
    <row r="563" spans="12:15" x14ac:dyDescent="0.25">
      <c r="L563" s="146">
        <f ca="1"/>
        <v>45802</v>
      </c>
      <c r="M563" s="92">
        <f t="shared" ca="1" si="27"/>
        <v>7.75</v>
      </c>
      <c r="N563" s="143">
        <f ca="1">(PRODUCT($O$5:$O563)-1)*36000/_xlfn.DAYS(L563, $C$2)</f>
        <v>11.170899427361165</v>
      </c>
      <c r="O563" s="149">
        <f t="shared" ca="1" si="28"/>
        <v>1.0002152777777777</v>
      </c>
    </row>
    <row r="564" spans="12:15" x14ac:dyDescent="0.25">
      <c r="L564" s="146">
        <f ca="1"/>
        <v>45803</v>
      </c>
      <c r="M564" s="92">
        <f t="shared" ca="1" si="27"/>
        <v>7.75</v>
      </c>
      <c r="N564" s="143">
        <f ca="1">(PRODUCT($O$5:$O564)-1)*36000/_xlfn.DAYS(L564, $C$2)</f>
        <v>11.167191230419659</v>
      </c>
      <c r="O564" s="149">
        <f t="shared" ca="1" si="28"/>
        <v>1.0002152777777777</v>
      </c>
    </row>
    <row r="565" spans="12:15" x14ac:dyDescent="0.25">
      <c r="L565" s="146">
        <f ca="1"/>
        <v>45804</v>
      </c>
      <c r="M565" s="92">
        <f t="shared" ca="1" si="27"/>
        <v>7.75</v>
      </c>
      <c r="N565" s="143">
        <f ca="1">(PRODUCT($O$5:$O565)-1)*36000/_xlfn.DAYS(L565, $C$2)</f>
        <v>11.163499743275915</v>
      </c>
      <c r="O565" s="149">
        <f t="shared" ca="1" si="28"/>
        <v>1.0002152777777777</v>
      </c>
    </row>
    <row r="566" spans="12:15" x14ac:dyDescent="0.25">
      <c r="L566" s="146">
        <f ca="1"/>
        <v>45805</v>
      </c>
      <c r="M566" s="92">
        <f t="shared" ca="1" si="27"/>
        <v>7.75</v>
      </c>
      <c r="N566" s="143">
        <f ca="1">(PRODUCT($O$5:$O566)-1)*36000/_xlfn.DAYS(L566, $C$2)</f>
        <v>11.159824877481666</v>
      </c>
      <c r="O566" s="149">
        <f t="shared" ca="1" si="28"/>
        <v>1.0002152777777777</v>
      </c>
    </row>
    <row r="567" spans="12:15" x14ac:dyDescent="0.25">
      <c r="L567" s="146">
        <f ca="1"/>
        <v>45806</v>
      </c>
      <c r="M567" s="92">
        <f t="shared" ca="1" si="27"/>
        <v>7.75</v>
      </c>
      <c r="N567" s="143">
        <f ca="1">(PRODUCT($O$5:$O567)-1)*36000/_xlfn.DAYS(L567, $C$2)</f>
        <v>11.156166545217237</v>
      </c>
      <c r="O567" s="149">
        <f t="shared" ca="1" si="28"/>
        <v>1.0002152777777777</v>
      </c>
    </row>
    <row r="568" spans="12:15" x14ac:dyDescent="0.25">
      <c r="L568" s="146">
        <f ca="1"/>
        <v>45807</v>
      </c>
      <c r="M568" s="92">
        <f t="shared" ca="1" si="27"/>
        <v>7.75</v>
      </c>
      <c r="N568" s="143">
        <f ca="1">(PRODUCT($O$5:$O568)-1)*36000/_xlfn.DAYS(L568, $C$2)</f>
        <v>11.152524659285925</v>
      </c>
      <c r="O568" s="149">
        <f t="shared" ca="1" si="28"/>
        <v>1.0002152777777777</v>
      </c>
    </row>
    <row r="569" spans="12:15" x14ac:dyDescent="0.25">
      <c r="L569" s="146">
        <f ca="1"/>
        <v>45808</v>
      </c>
      <c r="M569" s="92">
        <f t="shared" ca="1" si="27"/>
        <v>7.75</v>
      </c>
      <c r="N569" s="143">
        <f ca="1">(PRODUCT($O$5:$O569)-1)*36000/_xlfn.DAYS(L569, $C$2)</f>
        <v>11.148899133108513</v>
      </c>
      <c r="O569" s="149">
        <f t="shared" ca="1" si="28"/>
        <v>1.0002152777777777</v>
      </c>
    </row>
    <row r="570" spans="12:15" x14ac:dyDescent="0.25">
      <c r="L570" s="146">
        <f ca="1"/>
        <v>45809</v>
      </c>
      <c r="M570" s="92">
        <f t="shared" ca="1" si="27"/>
        <v>7.75</v>
      </c>
      <c r="N570" s="143">
        <f ca="1">(PRODUCT($O$5:$O570)-1)*36000/_xlfn.DAYS(L570, $C$2)</f>
        <v>11.145289880717808</v>
      </c>
      <c r="O570" s="149">
        <f t="shared" ca="1" si="28"/>
        <v>1.0002152777777777</v>
      </c>
    </row>
    <row r="571" spans="12:15" x14ac:dyDescent="0.25">
      <c r="L571" s="146">
        <f ca="1"/>
        <v>45810</v>
      </c>
      <c r="M571" s="92">
        <f t="shared" ca="1" si="27"/>
        <v>7.75</v>
      </c>
      <c r="N571" s="143">
        <f ca="1">(PRODUCT($O$5:$O571)-1)*36000/_xlfn.DAYS(L571, $C$2)</f>
        <v>11.141696816753273</v>
      </c>
      <c r="O571" s="149">
        <f t="shared" ca="1" si="28"/>
        <v>1.0002152777777777</v>
      </c>
    </row>
    <row r="572" spans="12:15" x14ac:dyDescent="0.25">
      <c r="L572" s="146">
        <f ca="1"/>
        <v>45811</v>
      </c>
      <c r="M572" s="92">
        <f t="shared" ca="1" si="27"/>
        <v>7.75</v>
      </c>
      <c r="N572" s="143">
        <f ca="1">(PRODUCT($O$5:$O572)-1)*36000/_xlfn.DAYS(L572, $C$2)</f>
        <v>11.138119856455637</v>
      </c>
      <c r="O572" s="149">
        <f t="shared" ca="1" si="28"/>
        <v>1.0002152777777777</v>
      </c>
    </row>
    <row r="573" spans="12:15" x14ac:dyDescent="0.25">
      <c r="L573" s="146">
        <f ca="1"/>
        <v>45812</v>
      </c>
      <c r="M573" s="92">
        <f t="shared" ca="1" si="27"/>
        <v>7.75</v>
      </c>
      <c r="N573" s="143">
        <f ca="1">(PRODUCT($O$5:$O573)-1)*36000/_xlfn.DAYS(L573, $C$2)</f>
        <v>11.134558915661636</v>
      </c>
      <c r="O573" s="149">
        <f t="shared" ca="1" si="28"/>
        <v>1.0002152777777777</v>
      </c>
    </row>
    <row r="574" spans="12:15" x14ac:dyDescent="0.25">
      <c r="L574" s="146">
        <f ca="1"/>
        <v>45813</v>
      </c>
      <c r="M574" s="92">
        <f t="shared" ca="1" si="27"/>
        <v>7.75</v>
      </c>
      <c r="N574" s="143">
        <f ca="1">(PRODUCT($O$5:$O574)-1)*36000/_xlfn.DAYS(L574, $C$2)</f>
        <v>11.131013910798792</v>
      </c>
      <c r="O574" s="149">
        <f t="shared" ca="1" si="28"/>
        <v>1.0002152777777777</v>
      </c>
    </row>
    <row r="575" spans="12:15" x14ac:dyDescent="0.25">
      <c r="L575" s="146">
        <f ca="1"/>
        <v>45814</v>
      </c>
      <c r="M575" s="92">
        <f t="shared" ca="1" si="27"/>
        <v>7.75</v>
      </c>
      <c r="N575" s="143">
        <f ca="1">(PRODUCT($O$5:$O575)-1)*36000/_xlfn.DAYS(L575, $C$2)</f>
        <v>11.127484758880239</v>
      </c>
      <c r="O575" s="149">
        <f t="shared" ca="1" si="28"/>
        <v>1.0002152777777777</v>
      </c>
    </row>
    <row r="576" spans="12:15" x14ac:dyDescent="0.25">
      <c r="L576" s="146">
        <f ca="1"/>
        <v>45815</v>
      </c>
      <c r="M576" s="92">
        <f t="shared" ca="1" si="27"/>
        <v>7.75</v>
      </c>
      <c r="N576" s="143">
        <f ca="1">(PRODUCT($O$5:$O576)-1)*36000/_xlfn.DAYS(L576, $C$2)</f>
        <v>11.123971377499583</v>
      </c>
      <c r="O576" s="149">
        <f t="shared" ca="1" si="28"/>
        <v>1.0002152777777777</v>
      </c>
    </row>
    <row r="577" spans="12:15" x14ac:dyDescent="0.25">
      <c r="L577" s="146">
        <f ca="1"/>
        <v>45816</v>
      </c>
      <c r="M577" s="92">
        <f t="shared" ca="1" si="27"/>
        <v>7.75</v>
      </c>
      <c r="N577" s="143">
        <f ca="1">(PRODUCT($O$5:$O577)-1)*36000/_xlfn.DAYS(L577, $C$2)</f>
        <v>11.120473684825855</v>
      </c>
      <c r="O577" s="149">
        <f t="shared" ca="1" si="28"/>
        <v>1.0002152777777777</v>
      </c>
    </row>
    <row r="578" spans="12:15" x14ac:dyDescent="0.25">
      <c r="L578" s="146">
        <f ca="1"/>
        <v>45817</v>
      </c>
      <c r="M578" s="92">
        <f t="shared" ca="1" si="27"/>
        <v>7.75</v>
      </c>
      <c r="N578" s="143">
        <f ca="1">(PRODUCT($O$5:$O578)-1)*36000/_xlfn.DAYS(L578, $C$2)</f>
        <v>11.11699159959851</v>
      </c>
      <c r="O578" s="149">
        <f t="shared" ca="1" si="28"/>
        <v>1.0002152777777777</v>
      </c>
    </row>
    <row r="579" spans="12:15" x14ac:dyDescent="0.25">
      <c r="L579" s="146">
        <f ca="1"/>
        <v>45818</v>
      </c>
      <c r="M579" s="92">
        <f t="shared" ca="1" si="27"/>
        <v>7.75</v>
      </c>
      <c r="N579" s="143">
        <f ca="1">(PRODUCT($O$5:$O579)-1)*36000/_xlfn.DAYS(L579, $C$2)</f>
        <v>11.113525041122429</v>
      </c>
      <c r="O579" s="149">
        <f t="shared" ca="1" si="28"/>
        <v>1.0002152777777777</v>
      </c>
    </row>
    <row r="580" spans="12:15" x14ac:dyDescent="0.25">
      <c r="L580" s="146">
        <f ca="1"/>
        <v>45819</v>
      </c>
      <c r="M580" s="92">
        <f t="shared" ca="1" si="27"/>
        <v>7.75</v>
      </c>
      <c r="N580" s="143">
        <f ca="1">(PRODUCT($O$5:$O580)-1)*36000/_xlfn.DAYS(L580, $C$2)</f>
        <v>11.110073929263054</v>
      </c>
      <c r="O580" s="149">
        <f t="shared" ca="1" si="28"/>
        <v>1.0002152777777777</v>
      </c>
    </row>
    <row r="581" spans="12:15" x14ac:dyDescent="0.25">
      <c r="L581" s="146">
        <f ca="1"/>
        <v>45820</v>
      </c>
      <c r="M581" s="92">
        <f t="shared" ref="M581:M644" ca="1" si="29">IFERROR(INDEX($E$27:$H$47, MATCH(L581, $F$27:$F$47, 0), 4), IF(ISNUMBER(M580), M580, $C$5))</f>
        <v>7.75</v>
      </c>
      <c r="N581" s="143">
        <f ca="1">(PRODUCT($O$5:$O581)-1)*36000/_xlfn.DAYS(L581, $C$2)</f>
        <v>11.106638184441495</v>
      </c>
      <c r="O581" s="149">
        <f t="shared" ca="1" si="28"/>
        <v>1.0002152777777777</v>
      </c>
    </row>
    <row r="582" spans="12:15" x14ac:dyDescent="0.25">
      <c r="L582" s="146">
        <f ca="1"/>
        <v>45821</v>
      </c>
      <c r="M582" s="92">
        <f t="shared" ca="1" si="29"/>
        <v>7.75</v>
      </c>
      <c r="N582" s="143">
        <f ca="1">(PRODUCT($O$5:$O582)-1)*36000/_xlfn.DAYS(L582, $C$2)</f>
        <v>11.103217727629758</v>
      </c>
      <c r="O582" s="149">
        <f t="shared" ref="O582:O645" ca="1" si="30">1+M582*IFERROR(_xlfn.DAYS(L582, L581), _xlfn.DAYS(L582, $C$2))/36000</f>
        <v>1.0002152777777777</v>
      </c>
    </row>
    <row r="583" spans="12:15" x14ac:dyDescent="0.25">
      <c r="L583" s="146">
        <f ca="1"/>
        <v>45822</v>
      </c>
      <c r="M583" s="92">
        <f t="shared" ca="1" si="29"/>
        <v>7.75</v>
      </c>
      <c r="N583" s="143">
        <f ca="1">(PRODUCT($O$5:$O583)-1)*36000/_xlfn.DAYS(L583, $C$2)</f>
        <v>11.099812480345939</v>
      </c>
      <c r="O583" s="149">
        <f t="shared" ca="1" si="30"/>
        <v>1.0002152777777777</v>
      </c>
    </row>
    <row r="584" spans="12:15" x14ac:dyDescent="0.25">
      <c r="L584" s="146">
        <f ca="1"/>
        <v>45823</v>
      </c>
      <c r="M584" s="92">
        <f t="shared" ca="1" si="29"/>
        <v>7.75</v>
      </c>
      <c r="N584" s="143">
        <f ca="1">(PRODUCT($O$5:$O584)-1)*36000/_xlfn.DAYS(L584, $C$2)</f>
        <v>11.096422364649579</v>
      </c>
      <c r="O584" s="149">
        <f t="shared" ca="1" si="30"/>
        <v>1.0002152777777777</v>
      </c>
    </row>
    <row r="585" spans="12:15" x14ac:dyDescent="0.25">
      <c r="L585" s="146">
        <f ca="1"/>
        <v>45824</v>
      </c>
      <c r="M585" s="92">
        <f t="shared" ca="1" si="29"/>
        <v>7.75</v>
      </c>
      <c r="N585" s="143">
        <f ca="1">(PRODUCT($O$5:$O585)-1)*36000/_xlfn.DAYS(L585, $C$2)</f>
        <v>11.093047303136933</v>
      </c>
      <c r="O585" s="149">
        <f t="shared" ca="1" si="30"/>
        <v>1.0002152777777777</v>
      </c>
    </row>
    <row r="586" spans="12:15" x14ac:dyDescent="0.25">
      <c r="L586" s="146">
        <f ca="1"/>
        <v>45825</v>
      </c>
      <c r="M586" s="92">
        <f t="shared" ca="1" si="29"/>
        <v>7.75</v>
      </c>
      <c r="N586" s="143">
        <f ca="1">(PRODUCT($O$5:$O586)-1)*36000/_xlfn.DAYS(L586, $C$2)</f>
        <v>11.089687218936445</v>
      </c>
      <c r="O586" s="149">
        <f t="shared" ca="1" si="30"/>
        <v>1.0002152777777777</v>
      </c>
    </row>
    <row r="587" spans="12:15" x14ac:dyDescent="0.25">
      <c r="L587" s="146">
        <f ca="1"/>
        <v>45826</v>
      </c>
      <c r="M587" s="92">
        <f t="shared" ca="1" si="29"/>
        <v>7.75</v>
      </c>
      <c r="N587" s="143">
        <f ca="1">(PRODUCT($O$5:$O587)-1)*36000/_xlfn.DAYS(L587, $C$2)</f>
        <v>11.086342035704092</v>
      </c>
      <c r="O587" s="149">
        <f t="shared" ca="1" si="30"/>
        <v>1.0002152777777777</v>
      </c>
    </row>
    <row r="588" spans="12:15" x14ac:dyDescent="0.25">
      <c r="L588" s="146">
        <f ca="1"/>
        <v>45827</v>
      </c>
      <c r="M588" s="92">
        <f t="shared" ca="1" si="29"/>
        <v>7.75</v>
      </c>
      <c r="N588" s="143">
        <f ca="1">(PRODUCT($O$5:$O588)-1)*36000/_xlfn.DAYS(L588, $C$2)</f>
        <v>11.083011677618924</v>
      </c>
      <c r="O588" s="149">
        <f t="shared" ca="1" si="30"/>
        <v>1.0002152777777777</v>
      </c>
    </row>
    <row r="589" spans="12:15" x14ac:dyDescent="0.25">
      <c r="L589" s="146">
        <f ca="1"/>
        <v>45828</v>
      </c>
      <c r="M589" s="92">
        <f t="shared" ca="1" si="29"/>
        <v>7.25</v>
      </c>
      <c r="N589" s="143">
        <f ca="1">(PRODUCT($O$5:$O589)-1)*36000/_xlfn.DAYS(L589, $C$2)</f>
        <v>11.078687700935578</v>
      </c>
      <c r="O589" s="149">
        <f t="shared" ca="1" si="30"/>
        <v>1.000201388888889</v>
      </c>
    </row>
    <row r="590" spans="12:15" x14ac:dyDescent="0.25">
      <c r="L590" s="146">
        <f ca="1"/>
        <v>45829</v>
      </c>
      <c r="M590" s="92">
        <f t="shared" ca="1" si="29"/>
        <v>7.25</v>
      </c>
      <c r="N590" s="143">
        <f ca="1">(PRODUCT($O$5:$O590)-1)*36000/_xlfn.DAYS(L590, $C$2)</f>
        <v>11.074381421402869</v>
      </c>
      <c r="O590" s="149">
        <f t="shared" ca="1" si="30"/>
        <v>1.000201388888889</v>
      </c>
    </row>
    <row r="591" spans="12:15" x14ac:dyDescent="0.25">
      <c r="L591" s="146">
        <f ca="1"/>
        <v>45830</v>
      </c>
      <c r="M591" s="92">
        <f t="shared" ca="1" si="29"/>
        <v>7.25</v>
      </c>
      <c r="N591" s="143">
        <f ca="1">(PRODUCT($O$5:$O591)-1)*36000/_xlfn.DAYS(L591, $C$2)</f>
        <v>11.070092749166372</v>
      </c>
      <c r="O591" s="149">
        <f t="shared" ca="1" si="30"/>
        <v>1.000201388888889</v>
      </c>
    </row>
    <row r="592" spans="12:15" x14ac:dyDescent="0.25">
      <c r="L592" s="146">
        <f ca="1"/>
        <v>45831</v>
      </c>
      <c r="M592" s="92">
        <f t="shared" ca="1" si="29"/>
        <v>7.25</v>
      </c>
      <c r="N592" s="143">
        <f ca="1">(PRODUCT($O$5:$O592)-1)*36000/_xlfn.DAYS(L592, $C$2)</f>
        <v>11.065821594983044</v>
      </c>
      <c r="O592" s="149">
        <f t="shared" ca="1" si="30"/>
        <v>1.000201388888889</v>
      </c>
    </row>
    <row r="593" spans="12:15" x14ac:dyDescent="0.25">
      <c r="L593" s="146">
        <f ca="1"/>
        <v>45832</v>
      </c>
      <c r="M593" s="92">
        <f t="shared" ca="1" si="29"/>
        <v>7.25</v>
      </c>
      <c r="N593" s="143">
        <f ca="1">(PRODUCT($O$5:$O593)-1)*36000/_xlfn.DAYS(L593, $C$2)</f>
        <v>11.061567870216026</v>
      </c>
      <c r="O593" s="149">
        <f t="shared" ca="1" si="30"/>
        <v>1.000201388888889</v>
      </c>
    </row>
    <row r="594" spans="12:15" x14ac:dyDescent="0.25">
      <c r="L594" s="146">
        <f ca="1"/>
        <v>45833</v>
      </c>
      <c r="M594" s="92">
        <f t="shared" ca="1" si="29"/>
        <v>7.25</v>
      </c>
      <c r="N594" s="143">
        <f ca="1">(PRODUCT($O$5:$O594)-1)*36000/_xlfn.DAYS(L594, $C$2)</f>
        <v>11.057331486829497</v>
      </c>
      <c r="O594" s="149">
        <f t="shared" ca="1" si="30"/>
        <v>1.000201388888889</v>
      </c>
    </row>
    <row r="595" spans="12:15" x14ac:dyDescent="0.25">
      <c r="L595" s="146">
        <f ca="1"/>
        <v>45834</v>
      </c>
      <c r="M595" s="92">
        <f t="shared" ca="1" si="29"/>
        <v>7.25</v>
      </c>
      <c r="N595" s="143">
        <f ca="1">(PRODUCT($O$5:$O595)-1)*36000/_xlfn.DAYS(L595, $C$2)</f>
        <v>11.053112357383602</v>
      </c>
      <c r="O595" s="149">
        <f t="shared" ca="1" si="30"/>
        <v>1.000201388888889</v>
      </c>
    </row>
    <row r="596" spans="12:15" x14ac:dyDescent="0.25">
      <c r="L596" s="146">
        <f ca="1"/>
        <v>45835</v>
      </c>
      <c r="M596" s="92">
        <f t="shared" ca="1" si="29"/>
        <v>7.25</v>
      </c>
      <c r="N596" s="143">
        <f ca="1">(PRODUCT($O$5:$O596)-1)*36000/_xlfn.DAYS(L596, $C$2)</f>
        <v>11.048910395029415</v>
      </c>
      <c r="O596" s="149">
        <f t="shared" ca="1" si="30"/>
        <v>1.000201388888889</v>
      </c>
    </row>
    <row r="597" spans="12:15" x14ac:dyDescent="0.25">
      <c r="L597" s="146">
        <f ca="1"/>
        <v>45836</v>
      </c>
      <c r="M597" s="92">
        <f t="shared" ca="1" si="29"/>
        <v>7.25</v>
      </c>
      <c r="N597" s="143">
        <f ca="1">(PRODUCT($O$5:$O597)-1)*36000/_xlfn.DAYS(L597, $C$2)</f>
        <v>11.044725513503961</v>
      </c>
      <c r="O597" s="149">
        <f t="shared" ca="1" si="30"/>
        <v>1.000201388888889</v>
      </c>
    </row>
    <row r="598" spans="12:15" x14ac:dyDescent="0.25">
      <c r="L598" s="146">
        <f ca="1"/>
        <v>45837</v>
      </c>
      <c r="M598" s="92">
        <f t="shared" ca="1" si="29"/>
        <v>7.25</v>
      </c>
      <c r="N598" s="143">
        <f ca="1">(PRODUCT($O$5:$O598)-1)*36000/_xlfn.DAYS(L598, $C$2)</f>
        <v>11.040557627125262</v>
      </c>
      <c r="O598" s="149">
        <f t="shared" ca="1" si="30"/>
        <v>1.000201388888889</v>
      </c>
    </row>
    <row r="599" spans="12:15" x14ac:dyDescent="0.25">
      <c r="L599" s="146">
        <f ca="1"/>
        <v>45838</v>
      </c>
      <c r="M599" s="92">
        <f t="shared" ca="1" si="29"/>
        <v>7.25</v>
      </c>
      <c r="N599" s="143">
        <f ca="1">(PRODUCT($O$5:$O599)-1)*36000/_xlfn.DAYS(L599, $C$2)</f>
        <v>11.036406650787484</v>
      </c>
      <c r="O599" s="149">
        <f t="shared" ca="1" si="30"/>
        <v>1.000201388888889</v>
      </c>
    </row>
    <row r="600" spans="12:15" x14ac:dyDescent="0.25">
      <c r="L600" s="146">
        <f ca="1"/>
        <v>45839</v>
      </c>
      <c r="M600" s="92">
        <f t="shared" ca="1" si="29"/>
        <v>7.25</v>
      </c>
      <c r="N600" s="143">
        <f ca="1">(PRODUCT($O$5:$O600)-1)*36000/_xlfn.DAYS(L600, $C$2)</f>
        <v>11.032272499956088</v>
      </c>
      <c r="O600" s="149">
        <f t="shared" ca="1" si="30"/>
        <v>1.000201388888889</v>
      </c>
    </row>
    <row r="601" spans="12:15" x14ac:dyDescent="0.25">
      <c r="L601" s="146">
        <f ca="1"/>
        <v>45840</v>
      </c>
      <c r="M601" s="92">
        <f t="shared" ca="1" si="29"/>
        <v>7.25</v>
      </c>
      <c r="N601" s="143">
        <f ca="1">(PRODUCT($O$5:$O601)-1)*36000/_xlfn.DAYS(L601, $C$2)</f>
        <v>11.02815509066305</v>
      </c>
      <c r="O601" s="149">
        <f t="shared" ca="1" si="30"/>
        <v>1.000201388888889</v>
      </c>
    </row>
    <row r="602" spans="12:15" x14ac:dyDescent="0.25">
      <c r="L602" s="146">
        <f ca="1"/>
        <v>45841</v>
      </c>
      <c r="M602" s="92">
        <f t="shared" ca="1" si="29"/>
        <v>7.25</v>
      </c>
      <c r="N602" s="143">
        <f ca="1">(PRODUCT($O$5:$O602)-1)*36000/_xlfn.DAYS(L602, $C$2)</f>
        <v>11.024054339502115</v>
      </c>
      <c r="O602" s="149">
        <f t="shared" ca="1" si="30"/>
        <v>1.000201388888889</v>
      </c>
    </row>
    <row r="603" spans="12:15" x14ac:dyDescent="0.25">
      <c r="L603" s="146">
        <f ca="1"/>
        <v>45842</v>
      </c>
      <c r="M603" s="92">
        <f t="shared" ca="1" si="29"/>
        <v>7.25</v>
      </c>
      <c r="N603" s="143">
        <f ca="1">(PRODUCT($O$5:$O603)-1)*36000/_xlfn.DAYS(L603, $C$2)</f>
        <v>11.019970163624118</v>
      </c>
      <c r="O603" s="149">
        <f t="shared" ca="1" si="30"/>
        <v>1.000201388888889</v>
      </c>
    </row>
    <row r="604" spans="12:15" x14ac:dyDescent="0.25">
      <c r="L604" s="146">
        <f ca="1"/>
        <v>45843</v>
      </c>
      <c r="M604" s="92">
        <f t="shared" ca="1" si="29"/>
        <v>7.25</v>
      </c>
      <c r="N604" s="143">
        <f ca="1">(PRODUCT($O$5:$O604)-1)*36000/_xlfn.DAYS(L604, $C$2)</f>
        <v>11.01590248073235</v>
      </c>
      <c r="O604" s="149">
        <f t="shared" ca="1" si="30"/>
        <v>1.000201388888889</v>
      </c>
    </row>
    <row r="605" spans="12:15" x14ac:dyDescent="0.25">
      <c r="L605" s="146">
        <f ca="1"/>
        <v>45844</v>
      </c>
      <c r="M605" s="92">
        <f t="shared" ca="1" si="29"/>
        <v>7.25</v>
      </c>
      <c r="N605" s="143">
        <f ca="1">(PRODUCT($O$5:$O605)-1)*36000/_xlfn.DAYS(L605, $C$2)</f>
        <v>11.011851209077937</v>
      </c>
      <c r="O605" s="149">
        <f t="shared" ca="1" si="30"/>
        <v>1.000201388888889</v>
      </c>
    </row>
    <row r="606" spans="12:15" x14ac:dyDescent="0.25">
      <c r="L606" s="146">
        <f ca="1"/>
        <v>45845</v>
      </c>
      <c r="M606" s="92">
        <f t="shared" ca="1" si="29"/>
        <v>7.25</v>
      </c>
      <c r="N606" s="143">
        <f ca="1">(PRODUCT($O$5:$O606)-1)*36000/_xlfn.DAYS(L606, $C$2)</f>
        <v>11.007816267455295</v>
      </c>
      <c r="O606" s="149">
        <f t="shared" ca="1" si="30"/>
        <v>1.000201388888889</v>
      </c>
    </row>
    <row r="607" spans="12:15" x14ac:dyDescent="0.25">
      <c r="L607" s="146">
        <f ca="1"/>
        <v>45846</v>
      </c>
      <c r="M607" s="92">
        <f t="shared" ca="1" si="29"/>
        <v>7.25</v>
      </c>
      <c r="N607" s="143">
        <f ca="1">(PRODUCT($O$5:$O607)-1)*36000/_xlfn.DAYS(L607, $C$2)</f>
        <v>11.003797575197657</v>
      </c>
      <c r="O607" s="149">
        <f t="shared" ca="1" si="30"/>
        <v>1.000201388888889</v>
      </c>
    </row>
    <row r="608" spans="12:15" x14ac:dyDescent="0.25">
      <c r="L608" s="146">
        <f ca="1"/>
        <v>45847</v>
      </c>
      <c r="M608" s="92">
        <f t="shared" ca="1" si="29"/>
        <v>7.25</v>
      </c>
      <c r="N608" s="143">
        <f ca="1">(PRODUCT($O$5:$O608)-1)*36000/_xlfn.DAYS(L608, $C$2)</f>
        <v>10.999795052172564</v>
      </c>
      <c r="O608" s="149">
        <f t="shared" ca="1" si="30"/>
        <v>1.000201388888889</v>
      </c>
    </row>
    <row r="609" spans="12:15" x14ac:dyDescent="0.25">
      <c r="L609" s="146">
        <f ca="1"/>
        <v>45848</v>
      </c>
      <c r="M609" s="92">
        <f t="shared" ca="1" si="29"/>
        <v>7.25</v>
      </c>
      <c r="N609" s="143">
        <f ca="1">(PRODUCT($O$5:$O609)-1)*36000/_xlfn.DAYS(L609, $C$2)</f>
        <v>10.99580861877749</v>
      </c>
      <c r="O609" s="149">
        <f t="shared" ca="1" si="30"/>
        <v>1.000201388888889</v>
      </c>
    </row>
    <row r="610" spans="12:15" x14ac:dyDescent="0.25">
      <c r="L610" s="146">
        <f ca="1"/>
        <v>45849</v>
      </c>
      <c r="M610" s="92">
        <f t="shared" ca="1" si="29"/>
        <v>7.25</v>
      </c>
      <c r="N610" s="143">
        <f ca="1">(PRODUCT($O$5:$O610)-1)*36000/_xlfn.DAYS(L610, $C$2)</f>
        <v>10.991838195935456</v>
      </c>
      <c r="O610" s="149">
        <f t="shared" ca="1" si="30"/>
        <v>1.000201388888889</v>
      </c>
    </row>
    <row r="611" spans="12:15" x14ac:dyDescent="0.25">
      <c r="L611" s="146">
        <f ca="1"/>
        <v>45850</v>
      </c>
      <c r="M611" s="92">
        <f t="shared" ca="1" si="29"/>
        <v>7.25</v>
      </c>
      <c r="N611" s="143">
        <f ca="1">(PRODUCT($O$5:$O611)-1)*36000/_xlfn.DAYS(L611, $C$2)</f>
        <v>10.98788370509069</v>
      </c>
      <c r="O611" s="149">
        <f t="shared" ca="1" si="30"/>
        <v>1.000201388888889</v>
      </c>
    </row>
    <row r="612" spans="12:15" x14ac:dyDescent="0.25">
      <c r="L612" s="146">
        <f ca="1"/>
        <v>45851</v>
      </c>
      <c r="M612" s="92">
        <f t="shared" ca="1" si="29"/>
        <v>7.25</v>
      </c>
      <c r="N612" s="143">
        <f ca="1">(PRODUCT($O$5:$O612)-1)*36000/_xlfn.DAYS(L612, $C$2)</f>
        <v>10.983945068204367</v>
      </c>
      <c r="O612" s="149">
        <f t="shared" ca="1" si="30"/>
        <v>1.000201388888889</v>
      </c>
    </row>
    <row r="613" spans="12:15" x14ac:dyDescent="0.25">
      <c r="L613" s="146">
        <f ca="1"/>
        <v>45852</v>
      </c>
      <c r="M613" s="92">
        <f t="shared" ca="1" si="29"/>
        <v>7.25</v>
      </c>
      <c r="N613" s="143">
        <f ca="1">(PRODUCT($O$5:$O613)-1)*36000/_xlfn.DAYS(L613, $C$2)</f>
        <v>10.980022207750322</v>
      </c>
      <c r="O613" s="149">
        <f t="shared" ca="1" si="30"/>
        <v>1.000201388888889</v>
      </c>
    </row>
    <row r="614" spans="12:15" x14ac:dyDescent="0.25">
      <c r="L614" s="146">
        <f ca="1"/>
        <v>45853</v>
      </c>
      <c r="M614" s="92">
        <f t="shared" ca="1" si="29"/>
        <v>7.25</v>
      </c>
      <c r="N614" s="143">
        <f ca="1">(PRODUCT($O$5:$O614)-1)*36000/_xlfn.DAYS(L614, $C$2)</f>
        <v>10.976115046710875</v>
      </c>
      <c r="O614" s="149">
        <f t="shared" ca="1" si="30"/>
        <v>1.000201388888889</v>
      </c>
    </row>
    <row r="615" spans="12:15" x14ac:dyDescent="0.25">
      <c r="L615" s="146">
        <f ca="1"/>
        <v>45854</v>
      </c>
      <c r="M615" s="92">
        <f t="shared" ca="1" si="29"/>
        <v>7.25</v>
      </c>
      <c r="N615" s="143">
        <f ca="1">(PRODUCT($O$5:$O615)-1)*36000/_xlfn.DAYS(L615, $C$2)</f>
        <v>10.972223508572702</v>
      </c>
      <c r="O615" s="149">
        <f t="shared" ca="1" si="30"/>
        <v>1.000201388888889</v>
      </c>
    </row>
    <row r="616" spans="12:15" x14ac:dyDescent="0.25">
      <c r="L616" s="146">
        <f ca="1"/>
        <v>45855</v>
      </c>
      <c r="M616" s="92">
        <f t="shared" ca="1" si="29"/>
        <v>7.25</v>
      </c>
      <c r="N616" s="143">
        <f ca="1">(PRODUCT($O$5:$O616)-1)*36000/_xlfn.DAYS(L616, $C$2)</f>
        <v>10.968347517322641</v>
      </c>
      <c r="O616" s="149">
        <f t="shared" ca="1" si="30"/>
        <v>1.000201388888889</v>
      </c>
    </row>
    <row r="617" spans="12:15" x14ac:dyDescent="0.25">
      <c r="L617" s="146">
        <f ca="1"/>
        <v>45856</v>
      </c>
      <c r="M617" s="92">
        <f t="shared" ca="1" si="29"/>
        <v>7.25</v>
      </c>
      <c r="N617" s="143">
        <f ca="1">(PRODUCT($O$5:$O617)-1)*36000/_xlfn.DAYS(L617, $C$2)</f>
        <v>10.964486997443668</v>
      </c>
      <c r="O617" s="149">
        <f t="shared" ca="1" si="30"/>
        <v>1.000201388888889</v>
      </c>
    </row>
    <row r="618" spans="12:15" x14ac:dyDescent="0.25">
      <c r="L618" s="146">
        <f ca="1"/>
        <v>45857</v>
      </c>
      <c r="M618" s="92">
        <f t="shared" ca="1" si="29"/>
        <v>7.25</v>
      </c>
      <c r="N618" s="143">
        <f ca="1">(PRODUCT($O$5:$O618)-1)*36000/_xlfn.DAYS(L618, $C$2)</f>
        <v>10.960641873910845</v>
      </c>
      <c r="O618" s="149">
        <f t="shared" ca="1" si="30"/>
        <v>1.000201388888889</v>
      </c>
    </row>
    <row r="619" spans="12:15" x14ac:dyDescent="0.25">
      <c r="L619" s="146">
        <f ca="1"/>
        <v>45858</v>
      </c>
      <c r="M619" s="92">
        <f t="shared" ca="1" si="29"/>
        <v>7.25</v>
      </c>
      <c r="N619" s="143">
        <f ca="1">(PRODUCT($O$5:$O619)-1)*36000/_xlfn.DAYS(L619, $C$2)</f>
        <v>10.956812072187317</v>
      </c>
      <c r="O619" s="149">
        <f t="shared" ca="1" si="30"/>
        <v>1.000201388888889</v>
      </c>
    </row>
    <row r="620" spans="12:15" x14ac:dyDescent="0.25">
      <c r="L620" s="146">
        <f ca="1"/>
        <v>45859</v>
      </c>
      <c r="M620" s="92">
        <f t="shared" ca="1" si="29"/>
        <v>7.25</v>
      </c>
      <c r="N620" s="143">
        <f ca="1">(PRODUCT($O$5:$O620)-1)*36000/_xlfn.DAYS(L620, $C$2)</f>
        <v>10.952997518220341</v>
      </c>
      <c r="O620" s="149">
        <f t="shared" ca="1" si="30"/>
        <v>1.000201388888889</v>
      </c>
    </row>
    <row r="621" spans="12:15" x14ac:dyDescent="0.25">
      <c r="L621" s="146">
        <f ca="1"/>
        <v>45860</v>
      </c>
      <c r="M621" s="92">
        <f t="shared" ca="1" si="29"/>
        <v>7.25</v>
      </c>
      <c r="N621" s="143">
        <f ca="1">(PRODUCT($O$5:$O621)-1)*36000/_xlfn.DAYS(L621, $C$2)</f>
        <v>10.949198138437366</v>
      </c>
      <c r="O621" s="149">
        <f t="shared" ca="1" si="30"/>
        <v>1.000201388888889</v>
      </c>
    </row>
    <row r="622" spans="12:15" x14ac:dyDescent="0.25">
      <c r="L622" s="146">
        <f ca="1"/>
        <v>45861</v>
      </c>
      <c r="M622" s="92">
        <f t="shared" ca="1" si="29"/>
        <v>7.25</v>
      </c>
      <c r="N622" s="143">
        <f ca="1">(PRODUCT($O$5:$O622)-1)*36000/_xlfn.DAYS(L622, $C$2)</f>
        <v>10.945413859742166</v>
      </c>
      <c r="O622" s="149">
        <f t="shared" ca="1" si="30"/>
        <v>1.000201388888889</v>
      </c>
    </row>
    <row r="623" spans="12:15" x14ac:dyDescent="0.25">
      <c r="L623" s="146">
        <f ca="1"/>
        <v>45862</v>
      </c>
      <c r="M623" s="92">
        <f t="shared" ca="1" si="29"/>
        <v>7.25</v>
      </c>
      <c r="N623" s="143">
        <f ca="1">(PRODUCT($O$5:$O623)-1)*36000/_xlfn.DAYS(L623, $C$2)</f>
        <v>10.941644609510972</v>
      </c>
      <c r="O623" s="149">
        <f t="shared" ca="1" si="30"/>
        <v>1.000201388888889</v>
      </c>
    </row>
    <row r="624" spans="12:15" x14ac:dyDescent="0.25">
      <c r="L624" s="146">
        <f ca="1"/>
        <v>45863</v>
      </c>
      <c r="M624" s="92">
        <f t="shared" ca="1" si="29"/>
        <v>7.25</v>
      </c>
      <c r="N624" s="143">
        <f ca="1">(PRODUCT($O$5:$O624)-1)*36000/_xlfn.DAYS(L624, $C$2)</f>
        <v>10.937890315588664</v>
      </c>
      <c r="O624" s="149">
        <f t="shared" ca="1" si="30"/>
        <v>1.000201388888889</v>
      </c>
    </row>
    <row r="625" spans="12:15" x14ac:dyDescent="0.25">
      <c r="L625" s="146">
        <f ca="1"/>
        <v>45864</v>
      </c>
      <c r="M625" s="92">
        <f t="shared" ca="1" si="29"/>
        <v>7.25</v>
      </c>
      <c r="N625" s="143">
        <f ca="1">(PRODUCT($O$5:$O625)-1)*36000/_xlfn.DAYS(L625, $C$2)</f>
        <v>10.934150906285018</v>
      </c>
      <c r="O625" s="149">
        <f t="shared" ca="1" si="30"/>
        <v>1.000201388888889</v>
      </c>
    </row>
    <row r="626" spans="12:15" x14ac:dyDescent="0.25">
      <c r="L626" s="146">
        <f ca="1"/>
        <v>45865</v>
      </c>
      <c r="M626" s="92">
        <f t="shared" ca="1" si="29"/>
        <v>7.25</v>
      </c>
      <c r="N626" s="143">
        <f ca="1">(PRODUCT($O$5:$O626)-1)*36000/_xlfn.DAYS(L626, $C$2)</f>
        <v>10.930426310370922</v>
      </c>
      <c r="O626" s="149">
        <f t="shared" ca="1" si="30"/>
        <v>1.000201388888889</v>
      </c>
    </row>
    <row r="627" spans="12:15" x14ac:dyDescent="0.25">
      <c r="L627" s="146">
        <f ca="1"/>
        <v>45866</v>
      </c>
      <c r="M627" s="92">
        <f t="shared" ca="1" si="29"/>
        <v>7.25</v>
      </c>
      <c r="N627" s="143">
        <f ca="1">(PRODUCT($O$5:$O627)-1)*36000/_xlfn.DAYS(L627, $C$2)</f>
        <v>10.926716457074752</v>
      </c>
      <c r="O627" s="149">
        <f t="shared" ca="1" si="30"/>
        <v>1.000201388888889</v>
      </c>
    </row>
    <row r="628" spans="12:15" x14ac:dyDescent="0.25">
      <c r="L628" s="146">
        <f ca="1"/>
        <v>45867</v>
      </c>
      <c r="M628" s="92">
        <f t="shared" ca="1" si="29"/>
        <v>7.25</v>
      </c>
      <c r="N628" s="143">
        <f ca="1">(PRODUCT($O$5:$O628)-1)*36000/_xlfn.DAYS(L628, $C$2)</f>
        <v>10.92302127607862</v>
      </c>
      <c r="O628" s="149">
        <f t="shared" ca="1" si="30"/>
        <v>1.000201388888889</v>
      </c>
    </row>
    <row r="629" spans="12:15" x14ac:dyDescent="0.25">
      <c r="L629" s="146">
        <f ca="1"/>
        <v>45868</v>
      </c>
      <c r="M629" s="92">
        <f t="shared" ca="1" si="29"/>
        <v>7.25</v>
      </c>
      <c r="N629" s="143">
        <f ca="1">(PRODUCT($O$5:$O629)-1)*36000/_xlfn.DAYS(L629, $C$2)</f>
        <v>10.919340697514812</v>
      </c>
      <c r="O629" s="149">
        <f t="shared" ca="1" si="30"/>
        <v>1.000201388888889</v>
      </c>
    </row>
    <row r="630" spans="12:15" x14ac:dyDescent="0.25">
      <c r="L630" s="146">
        <f ca="1"/>
        <v>45869</v>
      </c>
      <c r="M630" s="92">
        <f t="shared" ca="1" si="29"/>
        <v>7.25</v>
      </c>
      <c r="N630" s="143">
        <f ca="1">(PRODUCT($O$5:$O630)-1)*36000/_xlfn.DAYS(L630, $C$2)</f>
        <v>10.915674651962147</v>
      </c>
      <c r="O630" s="149">
        <f t="shared" ca="1" si="30"/>
        <v>1.000201388888889</v>
      </c>
    </row>
    <row r="631" spans="12:15" x14ac:dyDescent="0.25">
      <c r="L631" s="146">
        <f ca="1"/>
        <v>45870</v>
      </c>
      <c r="M631" s="92">
        <f t="shared" ca="1" si="29"/>
        <v>7.25</v>
      </c>
      <c r="N631" s="143">
        <f ca="1">(PRODUCT($O$5:$O631)-1)*36000/_xlfn.DAYS(L631, $C$2)</f>
        <v>10.912023070442459</v>
      </c>
      <c r="O631" s="149">
        <f t="shared" ca="1" si="30"/>
        <v>1.000201388888889</v>
      </c>
    </row>
    <row r="632" spans="12:15" x14ac:dyDescent="0.25">
      <c r="L632" s="146">
        <f ca="1"/>
        <v>45871</v>
      </c>
      <c r="M632" s="92">
        <f t="shared" ca="1" si="29"/>
        <v>7.25</v>
      </c>
      <c r="N632" s="143">
        <f ca="1">(PRODUCT($O$5:$O632)-1)*36000/_xlfn.DAYS(L632, $C$2)</f>
        <v>10.908385884417012</v>
      </c>
      <c r="O632" s="149">
        <f t="shared" ca="1" si="30"/>
        <v>1.000201388888889</v>
      </c>
    </row>
    <row r="633" spans="12:15" x14ac:dyDescent="0.25">
      <c r="L633" s="146">
        <f ca="1"/>
        <v>45872</v>
      </c>
      <c r="M633" s="92">
        <f t="shared" ca="1" si="29"/>
        <v>7.25</v>
      </c>
      <c r="N633" s="143">
        <f ca="1">(PRODUCT($O$5:$O633)-1)*36000/_xlfn.DAYS(L633, $C$2)</f>
        <v>10.904763025783067</v>
      </c>
      <c r="O633" s="149">
        <f t="shared" ca="1" si="30"/>
        <v>1.000201388888889</v>
      </c>
    </row>
    <row r="634" spans="12:15" x14ac:dyDescent="0.25">
      <c r="L634" s="146">
        <f ca="1"/>
        <v>45873</v>
      </c>
      <c r="M634" s="92">
        <f t="shared" ca="1" si="29"/>
        <v>7.25</v>
      </c>
      <c r="N634" s="143">
        <f ca="1">(PRODUCT($O$5:$O634)-1)*36000/_xlfn.DAYS(L634, $C$2)</f>
        <v>10.901154426870376</v>
      </c>
      <c r="O634" s="149">
        <f t="shared" ca="1" si="30"/>
        <v>1.000201388888889</v>
      </c>
    </row>
    <row r="635" spans="12:15" x14ac:dyDescent="0.25">
      <c r="L635" s="146">
        <f ca="1"/>
        <v>45874</v>
      </c>
      <c r="M635" s="92">
        <f t="shared" ca="1" si="29"/>
        <v>7.25</v>
      </c>
      <c r="N635" s="143">
        <f ca="1">(PRODUCT($O$5:$O635)-1)*36000/_xlfn.DAYS(L635, $C$2)</f>
        <v>10.89756002043779</v>
      </c>
      <c r="O635" s="149">
        <f t="shared" ca="1" si="30"/>
        <v>1.000201388888889</v>
      </c>
    </row>
    <row r="636" spans="12:15" x14ac:dyDescent="0.25">
      <c r="L636" s="146">
        <f ca="1"/>
        <v>45875</v>
      </c>
      <c r="M636" s="92">
        <f t="shared" ca="1" si="29"/>
        <v>7.25</v>
      </c>
      <c r="N636" s="143">
        <f ca="1">(PRODUCT($O$5:$O636)-1)*36000/_xlfn.DAYS(L636, $C$2)</f>
        <v>10.893979739669858</v>
      </c>
      <c r="O636" s="149">
        <f t="shared" ca="1" si="30"/>
        <v>1.000201388888889</v>
      </c>
    </row>
    <row r="637" spans="12:15" x14ac:dyDescent="0.25">
      <c r="L637" s="146">
        <f ca="1"/>
        <v>45876</v>
      </c>
      <c r="M637" s="92">
        <f t="shared" ca="1" si="29"/>
        <v>7.25</v>
      </c>
      <c r="N637" s="143">
        <f ca="1">(PRODUCT($O$5:$O637)-1)*36000/_xlfn.DAYS(L637, $C$2)</f>
        <v>10.890413518173423</v>
      </c>
      <c r="O637" s="149">
        <f t="shared" ca="1" si="30"/>
        <v>1.000201388888889</v>
      </c>
    </row>
    <row r="638" spans="12:15" x14ac:dyDescent="0.25">
      <c r="L638" s="146">
        <f ca="1"/>
        <v>45877</v>
      </c>
      <c r="M638" s="92">
        <f t="shared" ca="1" si="29"/>
        <v>7</v>
      </c>
      <c r="N638" s="143">
        <f ca="1">(PRODUCT($O$5:$O638)-1)*36000/_xlfn.DAYS(L638, $C$2)</f>
        <v>10.886391459622985</v>
      </c>
      <c r="O638" s="149">
        <f t="shared" ca="1" si="30"/>
        <v>1.0001944444444444</v>
      </c>
    </row>
    <row r="639" spans="12:15" x14ac:dyDescent="0.25">
      <c r="L639" s="146">
        <f ca="1"/>
        <v>45878</v>
      </c>
      <c r="M639" s="92">
        <f t="shared" ca="1" si="29"/>
        <v>7</v>
      </c>
      <c r="N639" s="143">
        <f ca="1">(PRODUCT($O$5:$O639)-1)*36000/_xlfn.DAYS(L639, $C$2)</f>
        <v>10.882384622910449</v>
      </c>
      <c r="O639" s="149">
        <f t="shared" ca="1" si="30"/>
        <v>1.0001944444444444</v>
      </c>
    </row>
    <row r="640" spans="12:15" x14ac:dyDescent="0.25">
      <c r="L640" s="146">
        <f ca="1"/>
        <v>45879</v>
      </c>
      <c r="M640" s="92">
        <f t="shared" ca="1" si="29"/>
        <v>7</v>
      </c>
      <c r="N640" s="143">
        <f ca="1">(PRODUCT($O$5:$O640)-1)*36000/_xlfn.DAYS(L640, $C$2)</f>
        <v>10.87839293673051</v>
      </c>
      <c r="O640" s="149">
        <f t="shared" ca="1" si="30"/>
        <v>1.0001944444444444</v>
      </c>
    </row>
    <row r="641" spans="12:15" x14ac:dyDescent="0.25">
      <c r="L641" s="146">
        <f ca="1"/>
        <v>45880</v>
      </c>
      <c r="M641" s="92">
        <f t="shared" ca="1" si="29"/>
        <v>7</v>
      </c>
      <c r="N641" s="143">
        <f ca="1">(PRODUCT($O$5:$O641)-1)*36000/_xlfn.DAYS(L641, $C$2)</f>
        <v>10.874416330225705</v>
      </c>
      <c r="O641" s="149">
        <f t="shared" ca="1" si="30"/>
        <v>1.0001944444444444</v>
      </c>
    </row>
    <row r="642" spans="12:15" x14ac:dyDescent="0.25">
      <c r="L642" s="146">
        <f ca="1"/>
        <v>45881</v>
      </c>
      <c r="M642" s="92">
        <f t="shared" ca="1" si="29"/>
        <v>7</v>
      </c>
      <c r="N642" s="143">
        <f ca="1">(PRODUCT($O$5:$O642)-1)*36000/_xlfn.DAYS(L642, $C$2)</f>
        <v>10.870454732982951</v>
      </c>
      <c r="O642" s="149">
        <f t="shared" ca="1" si="30"/>
        <v>1.0001944444444444</v>
      </c>
    </row>
    <row r="643" spans="12:15" x14ac:dyDescent="0.25">
      <c r="L643" s="146">
        <f ca="1"/>
        <v>45882</v>
      </c>
      <c r="M643" s="92">
        <f t="shared" ca="1" si="29"/>
        <v>7</v>
      </c>
      <c r="N643" s="143">
        <f ca="1">(PRODUCT($O$5:$O643)-1)*36000/_xlfn.DAYS(L643, $C$2)</f>
        <v>10.866508075029989</v>
      </c>
      <c r="O643" s="149">
        <f t="shared" ca="1" si="30"/>
        <v>1.0001944444444444</v>
      </c>
    </row>
    <row r="644" spans="12:15" x14ac:dyDescent="0.25">
      <c r="L644" s="146">
        <f ca="1"/>
        <v>45883</v>
      </c>
      <c r="M644" s="92">
        <f t="shared" ca="1" si="29"/>
        <v>7</v>
      </c>
      <c r="N644" s="143">
        <f ca="1">(PRODUCT($O$5:$O644)-1)*36000/_xlfn.DAYS(L644, $C$2)</f>
        <v>10.862576286832008</v>
      </c>
      <c r="O644" s="149">
        <f t="shared" ca="1" si="30"/>
        <v>1.0001944444444444</v>
      </c>
    </row>
    <row r="645" spans="12:15" x14ac:dyDescent="0.25">
      <c r="L645" s="146">
        <f ca="1"/>
        <v>45884</v>
      </c>
      <c r="M645" s="92">
        <f t="shared" ref="M645:M708" ca="1" si="31">IFERROR(INDEX($E$27:$H$47, MATCH(L645, $F$27:$F$47, 0), 4), IF(ISNUMBER(M644), M644, $C$5))</f>
        <v>7</v>
      </c>
      <c r="N645" s="143">
        <f ca="1">(PRODUCT($O$5:$O645)-1)*36000/_xlfn.DAYS(L645, $C$2)</f>
        <v>10.858659299288192</v>
      </c>
      <c r="O645" s="149">
        <f t="shared" ca="1" si="30"/>
        <v>1.0001944444444444</v>
      </c>
    </row>
    <row r="646" spans="12:15" x14ac:dyDescent="0.25">
      <c r="L646" s="146">
        <f ca="1"/>
        <v>45885</v>
      </c>
      <c r="M646" s="92">
        <f t="shared" ca="1" si="31"/>
        <v>7</v>
      </c>
      <c r="N646" s="143">
        <f ca="1">(PRODUCT($O$5:$O646)-1)*36000/_xlfn.DAYS(L646, $C$2)</f>
        <v>10.854757043728375</v>
      </c>
      <c r="O646" s="149">
        <f t="shared" ref="O646:O709" ca="1" si="32">1+M646*IFERROR(_xlfn.DAYS(L646, L645), _xlfn.DAYS(L646, $C$2))/36000</f>
        <v>1.0001944444444444</v>
      </c>
    </row>
    <row r="647" spans="12:15" x14ac:dyDescent="0.25">
      <c r="L647" s="146">
        <f ca="1"/>
        <v>45886</v>
      </c>
      <c r="M647" s="92">
        <f t="shared" ca="1" si="31"/>
        <v>7</v>
      </c>
      <c r="N647" s="143">
        <f ca="1">(PRODUCT($O$5:$O647)-1)*36000/_xlfn.DAYS(L647, $C$2)</f>
        <v>10.850869451909649</v>
      </c>
      <c r="O647" s="149">
        <f t="shared" ca="1" si="32"/>
        <v>1.0001944444444444</v>
      </c>
    </row>
    <row r="648" spans="12:15" x14ac:dyDescent="0.25">
      <c r="L648" s="146">
        <f ca="1"/>
        <v>45887</v>
      </c>
      <c r="M648" s="92">
        <f t="shared" ca="1" si="31"/>
        <v>7</v>
      </c>
      <c r="N648" s="143">
        <f ca="1">(PRODUCT($O$5:$O648)-1)*36000/_xlfn.DAYS(L648, $C$2)</f>
        <v>10.846996456013093</v>
      </c>
      <c r="O648" s="149">
        <f t="shared" ca="1" si="32"/>
        <v>1.0001944444444444</v>
      </c>
    </row>
    <row r="649" spans="12:15" x14ac:dyDescent="0.25">
      <c r="L649" s="146">
        <f ca="1"/>
        <v>45888</v>
      </c>
      <c r="M649" s="92">
        <f t="shared" ca="1" si="31"/>
        <v>7</v>
      </c>
      <c r="N649" s="143">
        <f ca="1">(PRODUCT($O$5:$O649)-1)*36000/_xlfn.DAYS(L649, $C$2)</f>
        <v>10.843137988640445</v>
      </c>
      <c r="O649" s="149">
        <f t="shared" ca="1" si="32"/>
        <v>1.0001944444444444</v>
      </c>
    </row>
    <row r="650" spans="12:15" x14ac:dyDescent="0.25">
      <c r="L650" s="146">
        <f ca="1"/>
        <v>45889</v>
      </c>
      <c r="M650" s="92">
        <f t="shared" ca="1" si="31"/>
        <v>7</v>
      </c>
      <c r="N650" s="143">
        <f ca="1">(PRODUCT($O$5:$O650)-1)*36000/_xlfn.DAYS(L650, $C$2)</f>
        <v>10.839293982810881</v>
      </c>
      <c r="O650" s="149">
        <f t="shared" ca="1" si="32"/>
        <v>1.0001944444444444</v>
      </c>
    </row>
    <row r="651" spans="12:15" x14ac:dyDescent="0.25">
      <c r="L651" s="146">
        <f ca="1"/>
        <v>45890</v>
      </c>
      <c r="M651" s="92">
        <f t="shared" ca="1" si="31"/>
        <v>7</v>
      </c>
      <c r="N651" s="143">
        <f ca="1">(PRODUCT($O$5:$O651)-1)*36000/_xlfn.DAYS(L651, $C$2)</f>
        <v>10.835464371957753</v>
      </c>
      <c r="O651" s="149">
        <f t="shared" ca="1" si="32"/>
        <v>1.0001944444444444</v>
      </c>
    </row>
    <row r="652" spans="12:15" x14ac:dyDescent="0.25">
      <c r="L652" s="146">
        <f ca="1"/>
        <v>45891</v>
      </c>
      <c r="M652" s="92">
        <f t="shared" ca="1" si="31"/>
        <v>7</v>
      </c>
      <c r="N652" s="143">
        <f ca="1">(PRODUCT($O$5:$O652)-1)*36000/_xlfn.DAYS(L652, $C$2)</f>
        <v>10.831649089925437</v>
      </c>
      <c r="O652" s="149">
        <f t="shared" ca="1" si="32"/>
        <v>1.0001944444444444</v>
      </c>
    </row>
    <row r="653" spans="12:15" x14ac:dyDescent="0.25">
      <c r="L653" s="146">
        <f ca="1"/>
        <v>45892</v>
      </c>
      <c r="M653" s="92">
        <f t="shared" ca="1" si="31"/>
        <v>7</v>
      </c>
      <c r="N653" s="143">
        <f ca="1">(PRODUCT($O$5:$O653)-1)*36000/_xlfn.DAYS(L653, $C$2)</f>
        <v>10.827848070966118</v>
      </c>
      <c r="O653" s="149">
        <f t="shared" ca="1" si="32"/>
        <v>1.0001944444444444</v>
      </c>
    </row>
    <row r="654" spans="12:15" x14ac:dyDescent="0.25">
      <c r="L654" s="146">
        <f ca="1"/>
        <v>45893</v>
      </c>
      <c r="M654" s="92">
        <f t="shared" ca="1" si="31"/>
        <v>7</v>
      </c>
      <c r="N654" s="143">
        <f ca="1">(PRODUCT($O$5:$O654)-1)*36000/_xlfn.DAYS(L654, $C$2)</f>
        <v>10.824061249736692</v>
      </c>
      <c r="O654" s="149">
        <f t="shared" ca="1" si="32"/>
        <v>1.0001944444444444</v>
      </c>
    </row>
    <row r="655" spans="12:15" x14ac:dyDescent="0.25">
      <c r="L655" s="146">
        <f ca="1"/>
        <v>45894</v>
      </c>
      <c r="M655" s="92">
        <f t="shared" ca="1" si="31"/>
        <v>7</v>
      </c>
      <c r="N655" s="143">
        <f ca="1">(PRODUCT($O$5:$O655)-1)*36000/_xlfn.DAYS(L655, $C$2)</f>
        <v>10.820288561295655</v>
      </c>
      <c r="O655" s="149">
        <f t="shared" ca="1" si="32"/>
        <v>1.0001944444444444</v>
      </c>
    </row>
    <row r="656" spans="12:15" x14ac:dyDescent="0.25">
      <c r="L656" s="146">
        <f ca="1"/>
        <v>45895</v>
      </c>
      <c r="M656" s="92">
        <f t="shared" ca="1" si="31"/>
        <v>7</v>
      </c>
      <c r="N656" s="143">
        <f ca="1">(PRODUCT($O$5:$O656)-1)*36000/_xlfn.DAYS(L656, $C$2)</f>
        <v>10.816529941099981</v>
      </c>
      <c r="O656" s="149">
        <f t="shared" ca="1" si="32"/>
        <v>1.0001944444444444</v>
      </c>
    </row>
    <row r="657" spans="12:15" x14ac:dyDescent="0.25">
      <c r="L657" s="146">
        <f ca="1"/>
        <v>45896</v>
      </c>
      <c r="M657" s="92">
        <f t="shared" ca="1" si="31"/>
        <v>7</v>
      </c>
      <c r="N657" s="143">
        <f ca="1">(PRODUCT($O$5:$O657)-1)*36000/_xlfn.DAYS(L657, $C$2)</f>
        <v>10.812785325002123</v>
      </c>
      <c r="O657" s="149">
        <f t="shared" ca="1" si="32"/>
        <v>1.0001944444444444</v>
      </c>
    </row>
    <row r="658" spans="12:15" x14ac:dyDescent="0.25">
      <c r="L658" s="146">
        <f ca="1"/>
        <v>45897</v>
      </c>
      <c r="M658" s="92">
        <f t="shared" ca="1" si="31"/>
        <v>7</v>
      </c>
      <c r="N658" s="143">
        <f ca="1">(PRODUCT($O$5:$O658)-1)*36000/_xlfn.DAYS(L658, $C$2)</f>
        <v>10.809054649246958</v>
      </c>
      <c r="O658" s="149">
        <f t="shared" ca="1" si="32"/>
        <v>1.0001944444444444</v>
      </c>
    </row>
    <row r="659" spans="12:15" x14ac:dyDescent="0.25">
      <c r="L659" s="146">
        <f ca="1"/>
        <v>45898</v>
      </c>
      <c r="M659" s="92">
        <f t="shared" ca="1" si="31"/>
        <v>7</v>
      </c>
      <c r="N659" s="143">
        <f ca="1">(PRODUCT($O$5:$O659)-1)*36000/_xlfn.DAYS(L659, $C$2)</f>
        <v>10.805337850468804</v>
      </c>
      <c r="O659" s="149">
        <f t="shared" ca="1" si="32"/>
        <v>1.0001944444444444</v>
      </c>
    </row>
    <row r="660" spans="12:15" x14ac:dyDescent="0.25">
      <c r="L660" s="146">
        <f ca="1"/>
        <v>45899</v>
      </c>
      <c r="M660" s="92">
        <f t="shared" ca="1" si="31"/>
        <v>7</v>
      </c>
      <c r="N660" s="143">
        <f ca="1">(PRODUCT($O$5:$O660)-1)*36000/_xlfn.DAYS(L660, $C$2)</f>
        <v>10.801634865688467</v>
      </c>
      <c r="O660" s="149">
        <f t="shared" ca="1" si="32"/>
        <v>1.0001944444444444</v>
      </c>
    </row>
    <row r="661" spans="12:15" x14ac:dyDescent="0.25">
      <c r="L661" s="146">
        <f ca="1"/>
        <v>45900</v>
      </c>
      <c r="M661" s="92">
        <f t="shared" ca="1" si="31"/>
        <v>7</v>
      </c>
      <c r="N661" s="143">
        <f ca="1">(PRODUCT($O$5:$O661)-1)*36000/_xlfn.DAYS(L661, $C$2)</f>
        <v>10.797945632310244</v>
      </c>
      <c r="O661" s="149">
        <f t="shared" ca="1" si="32"/>
        <v>1.0001944444444444</v>
      </c>
    </row>
    <row r="662" spans="12:15" x14ac:dyDescent="0.25">
      <c r="L662" s="146">
        <f ca="1"/>
        <v>45901</v>
      </c>
      <c r="M662" s="92">
        <f t="shared" ca="1" si="31"/>
        <v>7</v>
      </c>
      <c r="N662" s="143">
        <f ca="1">(PRODUCT($O$5:$O662)-1)*36000/_xlfn.DAYS(L662, $C$2)</f>
        <v>10.794270088119081</v>
      </c>
      <c r="O662" s="149">
        <f t="shared" ca="1" si="32"/>
        <v>1.0001944444444444</v>
      </c>
    </row>
    <row r="663" spans="12:15" x14ac:dyDescent="0.25">
      <c r="L663" s="146">
        <f ca="1"/>
        <v>45902</v>
      </c>
      <c r="M663" s="92">
        <f t="shared" ca="1" si="31"/>
        <v>7</v>
      </c>
      <c r="N663" s="143">
        <f ca="1">(PRODUCT($O$5:$O663)-1)*36000/_xlfn.DAYS(L663, $C$2)</f>
        <v>10.790608171277636</v>
      </c>
      <c r="O663" s="149">
        <f t="shared" ca="1" si="32"/>
        <v>1.0001944444444444</v>
      </c>
    </row>
    <row r="664" spans="12:15" x14ac:dyDescent="0.25">
      <c r="L664" s="146">
        <f ca="1"/>
        <v>45903</v>
      </c>
      <c r="M664" s="92">
        <f t="shared" ca="1" si="31"/>
        <v>7</v>
      </c>
      <c r="N664" s="143">
        <f ca="1">(PRODUCT($O$5:$O664)-1)*36000/_xlfn.DAYS(L664, $C$2)</f>
        <v>10.78695982032343</v>
      </c>
      <c r="O664" s="149">
        <f t="shared" ca="1" si="32"/>
        <v>1.0001944444444444</v>
      </c>
    </row>
    <row r="665" spans="12:15" x14ac:dyDescent="0.25">
      <c r="L665" s="146">
        <f ca="1"/>
        <v>45904</v>
      </c>
      <c r="M665" s="92">
        <f t="shared" ca="1" si="31"/>
        <v>7</v>
      </c>
      <c r="N665" s="143">
        <f ca="1">(PRODUCT($O$5:$O665)-1)*36000/_xlfn.DAYS(L665, $C$2)</f>
        <v>10.78332497416601</v>
      </c>
      <c r="O665" s="149">
        <f t="shared" ca="1" si="32"/>
        <v>1.0001944444444444</v>
      </c>
    </row>
    <row r="666" spans="12:15" x14ac:dyDescent="0.25">
      <c r="L666" s="146">
        <f ca="1"/>
        <v>45905</v>
      </c>
      <c r="M666" s="92">
        <f t="shared" ca="1" si="31"/>
        <v>7</v>
      </c>
      <c r="N666" s="143">
        <f ca="1">(PRODUCT($O$5:$O666)-1)*36000/_xlfn.DAYS(L666, $C$2)</f>
        <v>10.779703572084163</v>
      </c>
      <c r="O666" s="149">
        <f t="shared" ca="1" si="32"/>
        <v>1.0001944444444444</v>
      </c>
    </row>
    <row r="667" spans="12:15" x14ac:dyDescent="0.25">
      <c r="L667" s="146">
        <f ca="1"/>
        <v>45906</v>
      </c>
      <c r="M667" s="92">
        <f t="shared" ca="1" si="31"/>
        <v>7</v>
      </c>
      <c r="N667" s="143">
        <f ca="1">(PRODUCT($O$5:$O667)-1)*36000/_xlfn.DAYS(L667, $C$2)</f>
        <v>10.77609555372309</v>
      </c>
      <c r="O667" s="149">
        <f t="shared" ca="1" si="32"/>
        <v>1.0001944444444444</v>
      </c>
    </row>
    <row r="668" spans="12:15" x14ac:dyDescent="0.25">
      <c r="L668" s="146">
        <f ca="1"/>
        <v>45907</v>
      </c>
      <c r="M668" s="92">
        <f t="shared" ca="1" si="31"/>
        <v>7</v>
      </c>
      <c r="N668" s="143">
        <f ca="1">(PRODUCT($O$5:$O668)-1)*36000/_xlfn.DAYS(L668, $C$2)</f>
        <v>10.77250085909168</v>
      </c>
      <c r="O668" s="149">
        <f t="shared" ca="1" si="32"/>
        <v>1.0001944444444444</v>
      </c>
    </row>
    <row r="669" spans="12:15" x14ac:dyDescent="0.25">
      <c r="L669" s="146">
        <f ca="1"/>
        <v>45908</v>
      </c>
      <c r="M669" s="92">
        <f t="shared" ca="1" si="31"/>
        <v>7</v>
      </c>
      <c r="N669" s="143">
        <f ca="1">(PRODUCT($O$5:$O669)-1)*36000/_xlfn.DAYS(L669, $C$2)</f>
        <v>10.768919428559748</v>
      </c>
      <c r="O669" s="149">
        <f t="shared" ca="1" si="32"/>
        <v>1.0001944444444444</v>
      </c>
    </row>
    <row r="670" spans="12:15" x14ac:dyDescent="0.25">
      <c r="L670" s="146">
        <f ca="1"/>
        <v>45909</v>
      </c>
      <c r="M670" s="92">
        <f t="shared" ca="1" si="31"/>
        <v>7</v>
      </c>
      <c r="N670" s="143">
        <f ca="1">(PRODUCT($O$5:$O670)-1)*36000/_xlfn.DAYS(L670, $C$2)</f>
        <v>10.765351202855365</v>
      </c>
      <c r="O670" s="149">
        <f t="shared" ca="1" si="32"/>
        <v>1.0001944444444444</v>
      </c>
    </row>
    <row r="671" spans="12:15" x14ac:dyDescent="0.25">
      <c r="L671" s="146">
        <f ca="1"/>
        <v>45910</v>
      </c>
      <c r="M671" s="92">
        <f t="shared" ca="1" si="31"/>
        <v>7</v>
      </c>
      <c r="N671" s="143">
        <f ca="1">(PRODUCT($O$5:$O671)-1)*36000/_xlfn.DAYS(L671, $C$2)</f>
        <v>10.76179612306213</v>
      </c>
      <c r="O671" s="149">
        <f t="shared" ca="1" si="32"/>
        <v>1.0001944444444444</v>
      </c>
    </row>
    <row r="672" spans="12:15" x14ac:dyDescent="0.25">
      <c r="L672" s="146">
        <f ca="1"/>
        <v>45911</v>
      </c>
      <c r="M672" s="92">
        <f t="shared" ca="1" si="31"/>
        <v>7</v>
      </c>
      <c r="N672" s="143">
        <f ca="1">(PRODUCT($O$5:$O672)-1)*36000/_xlfn.DAYS(L672, $C$2)</f>
        <v>10.758254130616526</v>
      </c>
      <c r="O672" s="149">
        <f t="shared" ca="1" si="32"/>
        <v>1.0001944444444444</v>
      </c>
    </row>
    <row r="673" spans="12:15" x14ac:dyDescent="0.25">
      <c r="L673" s="146">
        <f ca="1"/>
        <v>45912</v>
      </c>
      <c r="M673" s="92">
        <f t="shared" ca="1" si="31"/>
        <v>7</v>
      </c>
      <c r="N673" s="143">
        <f ca="1">(PRODUCT($O$5:$O673)-1)*36000/_xlfn.DAYS(L673, $C$2)</f>
        <v>10.754725167305306</v>
      </c>
      <c r="O673" s="149">
        <f t="shared" ca="1" si="32"/>
        <v>1.0001944444444444</v>
      </c>
    </row>
    <row r="674" spans="12:15" x14ac:dyDescent="0.25">
      <c r="L674" s="146">
        <f ca="1"/>
        <v>45913</v>
      </c>
      <c r="M674" s="92">
        <f t="shared" ca="1" si="31"/>
        <v>7</v>
      </c>
      <c r="N674" s="143">
        <f ca="1">(PRODUCT($O$5:$O674)-1)*36000/_xlfn.DAYS(L674, $C$2)</f>
        <v>10.751209175262829</v>
      </c>
      <c r="O674" s="149">
        <f t="shared" ca="1" si="32"/>
        <v>1.0001944444444444</v>
      </c>
    </row>
    <row r="675" spans="12:15" x14ac:dyDescent="0.25">
      <c r="L675" s="146">
        <f ca="1"/>
        <v>45914</v>
      </c>
      <c r="M675" s="92">
        <f t="shared" ca="1" si="31"/>
        <v>7</v>
      </c>
      <c r="N675" s="143">
        <f ca="1">(PRODUCT($O$5:$O675)-1)*36000/_xlfn.DAYS(L675, $C$2)</f>
        <v>10.747706096968507</v>
      </c>
      <c r="O675" s="149">
        <f t="shared" ca="1" si="32"/>
        <v>1.0001944444444444</v>
      </c>
    </row>
    <row r="676" spans="12:15" x14ac:dyDescent="0.25">
      <c r="L676" s="146">
        <f ca="1"/>
        <v>45915</v>
      </c>
      <c r="M676" s="92">
        <f t="shared" ca="1" si="31"/>
        <v>7</v>
      </c>
      <c r="N676" s="143">
        <f ca="1">(PRODUCT($O$5:$O676)-1)*36000/_xlfn.DAYS(L676, $C$2)</f>
        <v>10.74421587524424</v>
      </c>
      <c r="O676" s="149">
        <f t="shared" ca="1" si="32"/>
        <v>1.0001944444444444</v>
      </c>
    </row>
    <row r="677" spans="12:15" x14ac:dyDescent="0.25">
      <c r="L677" s="146">
        <f ca="1"/>
        <v>45916</v>
      </c>
      <c r="M677" s="92">
        <f t="shared" ca="1" si="31"/>
        <v>7</v>
      </c>
      <c r="N677" s="143">
        <f ca="1">(PRODUCT($O$5:$O677)-1)*36000/_xlfn.DAYS(L677, $C$2)</f>
        <v>10.74073845325184</v>
      </c>
      <c r="O677" s="149">
        <f t="shared" ca="1" si="32"/>
        <v>1.0001944444444444</v>
      </c>
    </row>
    <row r="678" spans="12:15" x14ac:dyDescent="0.25">
      <c r="L678" s="146">
        <f ca="1"/>
        <v>45917</v>
      </c>
      <c r="M678" s="92">
        <f t="shared" ca="1" si="31"/>
        <v>7</v>
      </c>
      <c r="N678" s="143">
        <f ca="1">(PRODUCT($O$5:$O678)-1)*36000/_xlfn.DAYS(L678, $C$2)</f>
        <v>10.737273774490559</v>
      </c>
      <c r="O678" s="149">
        <f t="shared" ca="1" si="32"/>
        <v>1.0001944444444444</v>
      </c>
    </row>
    <row r="679" spans="12:15" x14ac:dyDescent="0.25">
      <c r="L679" s="146">
        <f ca="1"/>
        <v>45918</v>
      </c>
      <c r="M679" s="92">
        <f t="shared" ca="1" si="31"/>
        <v>7</v>
      </c>
      <c r="N679" s="143">
        <f ca="1">(PRODUCT($O$5:$O679)-1)*36000/_xlfn.DAYS(L679, $C$2)</f>
        <v>10.733821782794521</v>
      </c>
      <c r="O679" s="149">
        <f t="shared" ca="1" si="32"/>
        <v>1.0001944444444444</v>
      </c>
    </row>
    <row r="680" spans="12:15" x14ac:dyDescent="0.25">
      <c r="L680" s="146">
        <f ca="1"/>
        <v>45919</v>
      </c>
      <c r="M680" s="92">
        <f t="shared" ca="1" si="31"/>
        <v>7</v>
      </c>
      <c r="N680" s="143">
        <f ca="1">(PRODUCT($O$5:$O680)-1)*36000/_xlfn.DAYS(L680, $C$2)</f>
        <v>10.730382422330308</v>
      </c>
      <c r="O680" s="149">
        <f t="shared" ca="1" si="32"/>
        <v>1.0001944444444444</v>
      </c>
    </row>
    <row r="681" spans="12:15" x14ac:dyDescent="0.25">
      <c r="L681" s="146">
        <f ca="1"/>
        <v>45920</v>
      </c>
      <c r="M681" s="92">
        <f t="shared" ca="1" si="31"/>
        <v>7</v>
      </c>
      <c r="N681" s="143">
        <f ca="1">(PRODUCT($O$5:$O681)-1)*36000/_xlfn.DAYS(L681, $C$2)</f>
        <v>10.726955637594486</v>
      </c>
      <c r="O681" s="149">
        <f t="shared" ca="1" si="32"/>
        <v>1.0001944444444444</v>
      </c>
    </row>
    <row r="682" spans="12:15" x14ac:dyDescent="0.25">
      <c r="L682" s="146">
        <f ca="1"/>
        <v>45921</v>
      </c>
      <c r="M682" s="92">
        <f t="shared" ca="1" si="31"/>
        <v>7</v>
      </c>
      <c r="N682" s="143">
        <f ca="1">(PRODUCT($O$5:$O682)-1)*36000/_xlfn.DAYS(L682, $C$2)</f>
        <v>10.723541373411154</v>
      </c>
      <c r="O682" s="149">
        <f t="shared" ca="1" si="32"/>
        <v>1.0001944444444444</v>
      </c>
    </row>
    <row r="683" spans="12:15" x14ac:dyDescent="0.25">
      <c r="L683" s="146">
        <f ca="1"/>
        <v>45922</v>
      </c>
      <c r="M683" s="92">
        <f t="shared" ca="1" si="31"/>
        <v>7</v>
      </c>
      <c r="N683" s="143">
        <f ca="1">(PRODUCT($O$5:$O683)-1)*36000/_xlfn.DAYS(L683, $C$2)</f>
        <v>10.72013957492954</v>
      </c>
      <c r="O683" s="149">
        <f t="shared" ca="1" si="32"/>
        <v>1.0001944444444444</v>
      </c>
    </row>
    <row r="684" spans="12:15" x14ac:dyDescent="0.25">
      <c r="L684" s="146">
        <f ca="1"/>
        <v>45923</v>
      </c>
      <c r="M684" s="92">
        <f t="shared" ca="1" si="31"/>
        <v>7</v>
      </c>
      <c r="N684" s="143">
        <f ca="1">(PRODUCT($O$5:$O684)-1)*36000/_xlfn.DAYS(L684, $C$2)</f>
        <v>10.716750187621622</v>
      </c>
      <c r="O684" s="149">
        <f t="shared" ca="1" si="32"/>
        <v>1.0001944444444444</v>
      </c>
    </row>
    <row r="685" spans="12:15" x14ac:dyDescent="0.25">
      <c r="L685" s="146">
        <f ca="1"/>
        <v>45924</v>
      </c>
      <c r="M685" s="92">
        <f t="shared" ca="1" si="31"/>
        <v>7</v>
      </c>
      <c r="N685" s="143">
        <f ca="1">(PRODUCT($O$5:$O685)-1)*36000/_xlfn.DAYS(L685, $C$2)</f>
        <v>10.713373157279745</v>
      </c>
      <c r="O685" s="149">
        <f t="shared" ca="1" si="32"/>
        <v>1.0001944444444444</v>
      </c>
    </row>
    <row r="686" spans="12:15" x14ac:dyDescent="0.25">
      <c r="L686" s="146">
        <f ca="1"/>
        <v>45925</v>
      </c>
      <c r="M686" s="92">
        <f t="shared" ca="1" si="31"/>
        <v>7</v>
      </c>
      <c r="N686" s="143">
        <f ca="1">(PRODUCT($O$5:$O686)-1)*36000/_xlfn.DAYS(L686, $C$2)</f>
        <v>10.710008430014296</v>
      </c>
      <c r="O686" s="149">
        <f t="shared" ca="1" si="32"/>
        <v>1.0001944444444444</v>
      </c>
    </row>
    <row r="687" spans="12:15" x14ac:dyDescent="0.25">
      <c r="L687" s="146">
        <f ca="1"/>
        <v>45926</v>
      </c>
      <c r="M687" s="92">
        <f t="shared" ca="1" si="31"/>
        <v>6.75</v>
      </c>
      <c r="N687" s="143">
        <f ca="1">(PRODUCT($O$5:$O687)-1)*36000/_xlfn.DAYS(L687, $C$2)</f>
        <v>10.706215653876626</v>
      </c>
      <c r="O687" s="149">
        <f t="shared" ca="1" si="32"/>
        <v>1.0001875</v>
      </c>
    </row>
    <row r="688" spans="12:15" x14ac:dyDescent="0.25">
      <c r="L688" s="146">
        <f ca="1"/>
        <v>45927</v>
      </c>
      <c r="M688" s="92">
        <f t="shared" ca="1" si="31"/>
        <v>6.75</v>
      </c>
      <c r="N688" s="143">
        <f ca="1">(PRODUCT($O$5:$O688)-1)*36000/_xlfn.DAYS(L688, $C$2)</f>
        <v>10.702436193479395</v>
      </c>
      <c r="O688" s="149">
        <f t="shared" ca="1" si="32"/>
        <v>1.0001875</v>
      </c>
    </row>
    <row r="689" spans="12:15" x14ac:dyDescent="0.25">
      <c r="L689" s="146">
        <f ca="1"/>
        <v>45928</v>
      </c>
      <c r="M689" s="92">
        <f t="shared" ca="1" si="31"/>
        <v>6.75</v>
      </c>
      <c r="N689" s="143">
        <f ca="1">(PRODUCT($O$5:$O689)-1)*36000/_xlfn.DAYS(L689, $C$2)</f>
        <v>10.698669990922214</v>
      </c>
      <c r="O689" s="149">
        <f t="shared" ca="1" si="32"/>
        <v>1.0001875</v>
      </c>
    </row>
    <row r="690" spans="12:15" x14ac:dyDescent="0.25">
      <c r="L690" s="146">
        <f ca="1"/>
        <v>45929</v>
      </c>
      <c r="M690" s="92">
        <f t="shared" ca="1" si="31"/>
        <v>6.75</v>
      </c>
      <c r="N690" s="143">
        <f ca="1">(PRODUCT($O$5:$O690)-1)*36000/_xlfn.DAYS(L690, $C$2)</f>
        <v>10.69491698864238</v>
      </c>
      <c r="O690" s="149">
        <f t="shared" ca="1" si="32"/>
        <v>1.0001875</v>
      </c>
    </row>
    <row r="691" spans="12:15" x14ac:dyDescent="0.25">
      <c r="L691" s="146">
        <f ca="1"/>
        <v>45930</v>
      </c>
      <c r="M691" s="92">
        <f t="shared" ca="1" si="31"/>
        <v>6.75</v>
      </c>
      <c r="N691" s="143">
        <f ca="1">(PRODUCT($O$5:$O691)-1)*36000/_xlfn.DAYS(L691, $C$2)</f>
        <v>10.691177129412429</v>
      </c>
      <c r="O691" s="149">
        <f t="shared" ca="1" si="32"/>
        <v>1.0001875</v>
      </c>
    </row>
    <row r="692" spans="12:15" x14ac:dyDescent="0.25">
      <c r="L692" s="146">
        <f ca="1"/>
        <v>45931</v>
      </c>
      <c r="M692" s="92">
        <f t="shared" ca="1" si="31"/>
        <v>6.75</v>
      </c>
      <c r="N692" s="143">
        <f ca="1">(PRODUCT($O$5:$O692)-1)*36000/_xlfn.DAYS(L692, $C$2)</f>
        <v>10.687450356337683</v>
      </c>
      <c r="O692" s="149">
        <f t="shared" ca="1" si="32"/>
        <v>1.0001875</v>
      </c>
    </row>
    <row r="693" spans="12:15" x14ac:dyDescent="0.25">
      <c r="L693" s="146">
        <f ca="1"/>
        <v>45932</v>
      </c>
      <c r="M693" s="92">
        <f t="shared" ca="1" si="31"/>
        <v>6.75</v>
      </c>
      <c r="N693" s="143">
        <f ca="1">(PRODUCT($O$5:$O693)-1)*36000/_xlfn.DAYS(L693, $C$2)</f>
        <v>10.683736612853835</v>
      </c>
      <c r="O693" s="149">
        <f t="shared" ca="1" si="32"/>
        <v>1.0001875</v>
      </c>
    </row>
    <row r="694" spans="12:15" x14ac:dyDescent="0.25">
      <c r="L694" s="146">
        <f ca="1"/>
        <v>45933</v>
      </c>
      <c r="M694" s="92">
        <f t="shared" ca="1" si="31"/>
        <v>6.75</v>
      </c>
      <c r="N694" s="143">
        <f ca="1">(PRODUCT($O$5:$O694)-1)*36000/_xlfn.DAYS(L694, $C$2)</f>
        <v>10.680035842724585</v>
      </c>
      <c r="O694" s="149">
        <f t="shared" ca="1" si="32"/>
        <v>1.0001875</v>
      </c>
    </row>
    <row r="695" spans="12:15" x14ac:dyDescent="0.25">
      <c r="L695" s="146">
        <f ca="1"/>
        <v>45934</v>
      </c>
      <c r="M695" s="92">
        <f t="shared" ca="1" si="31"/>
        <v>6.75</v>
      </c>
      <c r="N695" s="143">
        <f ca="1">(PRODUCT($O$5:$O695)-1)*36000/_xlfn.DAYS(L695, $C$2)</f>
        <v>10.676347990039245</v>
      </c>
      <c r="O695" s="149">
        <f t="shared" ca="1" si="32"/>
        <v>1.0001875</v>
      </c>
    </row>
    <row r="696" spans="12:15" x14ac:dyDescent="0.25">
      <c r="L696" s="146">
        <f ca="1"/>
        <v>45935</v>
      </c>
      <c r="M696" s="92">
        <f t="shared" ca="1" si="31"/>
        <v>6.75</v>
      </c>
      <c r="N696" s="143">
        <f ca="1">(PRODUCT($O$5:$O696)-1)*36000/_xlfn.DAYS(L696, $C$2)</f>
        <v>10.67267299921037</v>
      </c>
      <c r="O696" s="149">
        <f t="shared" ca="1" si="32"/>
        <v>1.0001875</v>
      </c>
    </row>
    <row r="697" spans="12:15" x14ac:dyDescent="0.25">
      <c r="L697" s="146">
        <f ca="1"/>
        <v>45936</v>
      </c>
      <c r="M697" s="92">
        <f t="shared" ca="1" si="31"/>
        <v>6.75</v>
      </c>
      <c r="N697" s="143">
        <f ca="1">(PRODUCT($O$5:$O697)-1)*36000/_xlfn.DAYS(L697, $C$2)</f>
        <v>10.669010814971468</v>
      </c>
      <c r="O697" s="149">
        <f t="shared" ca="1" si="32"/>
        <v>1.0001875</v>
      </c>
    </row>
    <row r="698" spans="12:15" x14ac:dyDescent="0.25">
      <c r="L698" s="146">
        <f ca="1"/>
        <v>45937</v>
      </c>
      <c r="M698" s="92">
        <f t="shared" ca="1" si="31"/>
        <v>6.75</v>
      </c>
      <c r="N698" s="143">
        <f ca="1">(PRODUCT($O$5:$O698)-1)*36000/_xlfn.DAYS(L698, $C$2)</f>
        <v>10.665361382374636</v>
      </c>
      <c r="O698" s="149">
        <f t="shared" ca="1" si="32"/>
        <v>1.0001875</v>
      </c>
    </row>
    <row r="699" spans="12:15" x14ac:dyDescent="0.25">
      <c r="L699" s="146">
        <f ca="1"/>
        <v>45938</v>
      </c>
      <c r="M699" s="92">
        <f t="shared" ca="1" si="31"/>
        <v>6.75</v>
      </c>
      <c r="N699" s="143">
        <f ca="1">(PRODUCT($O$5:$O699)-1)*36000/_xlfn.DAYS(L699, $C$2)</f>
        <v>10.661724646788315</v>
      </c>
      <c r="O699" s="149">
        <f t="shared" ca="1" si="32"/>
        <v>1.0001875</v>
      </c>
    </row>
    <row r="700" spans="12:15" x14ac:dyDescent="0.25">
      <c r="L700" s="146">
        <f ca="1"/>
        <v>45939</v>
      </c>
      <c r="M700" s="92">
        <f t="shared" ca="1" si="31"/>
        <v>6.75</v>
      </c>
      <c r="N700" s="143">
        <f ca="1">(PRODUCT($O$5:$O700)-1)*36000/_xlfn.DAYS(L700, $C$2)</f>
        <v>10.658100553894995</v>
      </c>
      <c r="O700" s="149">
        <f t="shared" ca="1" si="32"/>
        <v>1.0001875</v>
      </c>
    </row>
    <row r="701" spans="12:15" x14ac:dyDescent="0.25">
      <c r="L701" s="146">
        <f ca="1"/>
        <v>45940</v>
      </c>
      <c r="M701" s="92">
        <f t="shared" ca="1" si="31"/>
        <v>6.75</v>
      </c>
      <c r="N701" s="143">
        <f ca="1">(PRODUCT($O$5:$O701)-1)*36000/_xlfn.DAYS(L701, $C$2)</f>
        <v>10.654489049688953</v>
      </c>
      <c r="O701" s="149">
        <f t="shared" ca="1" si="32"/>
        <v>1.0001875</v>
      </c>
    </row>
    <row r="702" spans="12:15" x14ac:dyDescent="0.25">
      <c r="L702" s="146">
        <f ca="1"/>
        <v>45941</v>
      </c>
      <c r="M702" s="92">
        <f t="shared" ca="1" si="31"/>
        <v>6.75</v>
      </c>
      <c r="N702" s="143">
        <f ca="1">(PRODUCT($O$5:$O702)-1)*36000/_xlfn.DAYS(L702, $C$2)</f>
        <v>10.65089008047404</v>
      </c>
      <c r="O702" s="149">
        <f t="shared" ca="1" si="32"/>
        <v>1.0001875</v>
      </c>
    </row>
    <row r="703" spans="12:15" x14ac:dyDescent="0.25">
      <c r="L703" s="146">
        <f ca="1"/>
        <v>45942</v>
      </c>
      <c r="M703" s="92">
        <f t="shared" ca="1" si="31"/>
        <v>6.75</v>
      </c>
      <c r="N703" s="143">
        <f ca="1">(PRODUCT($O$5:$O703)-1)*36000/_xlfn.DAYS(L703, $C$2)</f>
        <v>10.647303592861464</v>
      </c>
      <c r="O703" s="149">
        <f t="shared" ca="1" si="32"/>
        <v>1.0001875</v>
      </c>
    </row>
    <row r="704" spans="12:15" x14ac:dyDescent="0.25">
      <c r="L704" s="146">
        <f ca="1"/>
        <v>45943</v>
      </c>
      <c r="M704" s="92">
        <f t="shared" ca="1" si="31"/>
        <v>6.75</v>
      </c>
      <c r="N704" s="143">
        <f ca="1">(PRODUCT($O$5:$O704)-1)*36000/_xlfn.DAYS(L704, $C$2)</f>
        <v>10.643729533767576</v>
      </c>
      <c r="O704" s="149">
        <f t="shared" ca="1" si="32"/>
        <v>1.0001875</v>
      </c>
    </row>
    <row r="705" spans="12:15" x14ac:dyDescent="0.25">
      <c r="L705" s="146">
        <f ca="1"/>
        <v>45944</v>
      </c>
      <c r="M705" s="92">
        <f t="shared" ca="1" si="31"/>
        <v>6.75</v>
      </c>
      <c r="N705" s="143">
        <f ca="1">(PRODUCT($O$5:$O705)-1)*36000/_xlfn.DAYS(L705, $C$2)</f>
        <v>10.640167850411718</v>
      </c>
      <c r="O705" s="149">
        <f t="shared" ca="1" si="32"/>
        <v>1.0001875</v>
      </c>
    </row>
    <row r="706" spans="12:15" x14ac:dyDescent="0.25">
      <c r="L706" s="146">
        <f ca="1"/>
        <v>45945</v>
      </c>
      <c r="M706" s="92">
        <f t="shared" ca="1" si="31"/>
        <v>6.75</v>
      </c>
      <c r="N706" s="143">
        <f ca="1">(PRODUCT($O$5:$O706)-1)*36000/_xlfn.DAYS(L706, $C$2)</f>
        <v>10.636618490314033</v>
      </c>
      <c r="O706" s="149">
        <f t="shared" ca="1" si="32"/>
        <v>1.0001875</v>
      </c>
    </row>
    <row r="707" spans="12:15" x14ac:dyDescent="0.25">
      <c r="L707" s="146">
        <f ca="1"/>
        <v>45946</v>
      </c>
      <c r="M707" s="92">
        <f t="shared" ca="1" si="31"/>
        <v>6.75</v>
      </c>
      <c r="N707" s="143">
        <f ca="1">(PRODUCT($O$5:$O707)-1)*36000/_xlfn.DAYS(L707, $C$2)</f>
        <v>10.633081401293373</v>
      </c>
      <c r="O707" s="149">
        <f t="shared" ca="1" si="32"/>
        <v>1.0001875</v>
      </c>
    </row>
    <row r="708" spans="12:15" x14ac:dyDescent="0.25">
      <c r="L708" s="146">
        <f ca="1"/>
        <v>45947</v>
      </c>
      <c r="M708" s="92">
        <f t="shared" ca="1" si="31"/>
        <v>6.75</v>
      </c>
      <c r="N708" s="143">
        <f ca="1">(PRODUCT($O$5:$O708)-1)*36000/_xlfn.DAYS(L708, $C$2)</f>
        <v>10.629556531465131</v>
      </c>
      <c r="O708" s="149">
        <f t="shared" ca="1" si="32"/>
        <v>1.0001875</v>
      </c>
    </row>
    <row r="709" spans="12:15" x14ac:dyDescent="0.25">
      <c r="L709" s="146">
        <f ca="1"/>
        <v>45948</v>
      </c>
      <c r="M709" s="92">
        <f t="shared" ref="M709:M772" ca="1" si="33">IFERROR(INDEX($E$27:$H$47, MATCH(L709, $F$27:$F$47, 0), 4), IF(ISNUMBER(M708), M708, $C$5))</f>
        <v>6.75</v>
      </c>
      <c r="N709" s="143">
        <f ca="1">(PRODUCT($O$5:$O709)-1)*36000/_xlfn.DAYS(L709, $C$2)</f>
        <v>10.626043829239155</v>
      </c>
      <c r="O709" s="149">
        <f t="shared" ca="1" si="32"/>
        <v>1.0001875</v>
      </c>
    </row>
    <row r="710" spans="12:15" x14ac:dyDescent="0.25">
      <c r="L710" s="146">
        <f ca="1"/>
        <v>45949</v>
      </c>
      <c r="M710" s="92">
        <f t="shared" ca="1" si="33"/>
        <v>6.75</v>
      </c>
      <c r="N710" s="143">
        <f ca="1">(PRODUCT($O$5:$O710)-1)*36000/_xlfn.DAYS(L710, $C$2)</f>
        <v>10.622543243317676</v>
      </c>
      <c r="O710" s="149">
        <f t="shared" ref="O710:O773" ca="1" si="34">1+M710*IFERROR(_xlfn.DAYS(L710, L709), _xlfn.DAYS(L710, $C$2))/36000</f>
        <v>1.0001875</v>
      </c>
    </row>
    <row r="711" spans="12:15" x14ac:dyDescent="0.25">
      <c r="L711" s="146">
        <f ca="1"/>
        <v>45950</v>
      </c>
      <c r="M711" s="92">
        <f t="shared" ca="1" si="33"/>
        <v>6.75</v>
      </c>
      <c r="N711" s="143">
        <f ca="1">(PRODUCT($O$5:$O711)-1)*36000/_xlfn.DAYS(L711, $C$2)</f>
        <v>10.619054722693233</v>
      </c>
      <c r="O711" s="149">
        <f t="shared" ca="1" si="34"/>
        <v>1.0001875</v>
      </c>
    </row>
    <row r="712" spans="12:15" x14ac:dyDescent="0.25">
      <c r="L712" s="146">
        <f ca="1"/>
        <v>45951</v>
      </c>
      <c r="M712" s="92">
        <f t="shared" ca="1" si="33"/>
        <v>6.75</v>
      </c>
      <c r="N712" s="143">
        <f ca="1">(PRODUCT($O$5:$O712)-1)*36000/_xlfn.DAYS(L712, $C$2)</f>
        <v>10.6155782166466</v>
      </c>
      <c r="O712" s="149">
        <f t="shared" ca="1" si="34"/>
        <v>1.0001875</v>
      </c>
    </row>
    <row r="713" spans="12:15" x14ac:dyDescent="0.25">
      <c r="L713" s="146">
        <f ca="1"/>
        <v>45952</v>
      </c>
      <c r="M713" s="92">
        <f t="shared" ca="1" si="33"/>
        <v>6.75</v>
      </c>
      <c r="N713" s="143">
        <f ca="1">(PRODUCT($O$5:$O713)-1)*36000/_xlfn.DAYS(L713, $C$2)</f>
        <v>10.612113674744789</v>
      </c>
      <c r="O713" s="149">
        <f t="shared" ca="1" si="34"/>
        <v>1.0001875</v>
      </c>
    </row>
    <row r="714" spans="12:15" x14ac:dyDescent="0.25">
      <c r="L714" s="146">
        <f ca="1"/>
        <v>45953</v>
      </c>
      <c r="M714" s="92">
        <f t="shared" ca="1" si="33"/>
        <v>6.75</v>
      </c>
      <c r="N714" s="143">
        <f ca="1">(PRODUCT($O$5:$O714)-1)*36000/_xlfn.DAYS(L714, $C$2)</f>
        <v>10.608661046838998</v>
      </c>
      <c r="O714" s="149">
        <f t="shared" ca="1" si="34"/>
        <v>1.0001875</v>
      </c>
    </row>
    <row r="715" spans="12:15" x14ac:dyDescent="0.25">
      <c r="L715" s="146">
        <f ca="1"/>
        <v>45954</v>
      </c>
      <c r="M715" s="92">
        <f t="shared" ca="1" si="33"/>
        <v>6.75</v>
      </c>
      <c r="N715" s="143">
        <f ca="1">(PRODUCT($O$5:$O715)-1)*36000/_xlfn.DAYS(L715, $C$2)</f>
        <v>10.605220283062664</v>
      </c>
      <c r="O715" s="149">
        <f t="shared" ca="1" si="34"/>
        <v>1.0001875</v>
      </c>
    </row>
    <row r="716" spans="12:15" x14ac:dyDescent="0.25">
      <c r="L716" s="146">
        <f ca="1"/>
        <v>45955</v>
      </c>
      <c r="M716" s="92">
        <f t="shared" ca="1" si="33"/>
        <v>6.75</v>
      </c>
      <c r="N716" s="143">
        <f ca="1">(PRODUCT($O$5:$O716)-1)*36000/_xlfn.DAYS(L716, $C$2)</f>
        <v>10.601791333829409</v>
      </c>
      <c r="O716" s="149">
        <f t="shared" ca="1" si="34"/>
        <v>1.0001875</v>
      </c>
    </row>
    <row r="717" spans="12:15" x14ac:dyDescent="0.25">
      <c r="L717" s="146">
        <f ca="1"/>
        <v>45956</v>
      </c>
      <c r="M717" s="92">
        <f t="shared" ca="1" si="33"/>
        <v>6.75</v>
      </c>
      <c r="N717" s="143">
        <f ca="1">(PRODUCT($O$5:$O717)-1)*36000/_xlfn.DAYS(L717, $C$2)</f>
        <v>10.598374149831148</v>
      </c>
      <c r="O717" s="149">
        <f t="shared" ca="1" si="34"/>
        <v>1.0001875</v>
      </c>
    </row>
    <row r="718" spans="12:15" x14ac:dyDescent="0.25">
      <c r="L718" s="146">
        <f ca="1"/>
        <v>45957</v>
      </c>
      <c r="M718" s="92">
        <f t="shared" ca="1" si="33"/>
        <v>6.75</v>
      </c>
      <c r="N718" s="143">
        <f ca="1">(PRODUCT($O$5:$O718)-1)*36000/_xlfn.DAYS(L718, $C$2)</f>
        <v>10.594968682036082</v>
      </c>
      <c r="O718" s="149">
        <f t="shared" ca="1" si="34"/>
        <v>1.0001875</v>
      </c>
    </row>
    <row r="719" spans="12:15" x14ac:dyDescent="0.25">
      <c r="L719" s="146">
        <f ca="1"/>
        <v>45958</v>
      </c>
      <c r="M719" s="92">
        <f t="shared" ca="1" si="33"/>
        <v>6.75</v>
      </c>
      <c r="N719" s="143">
        <f ca="1">(PRODUCT($O$5:$O719)-1)*36000/_xlfn.DAYS(L719, $C$2)</f>
        <v>10.591574881686812</v>
      </c>
      <c r="O719" s="149">
        <f t="shared" ca="1" si="34"/>
        <v>1.0001875</v>
      </c>
    </row>
    <row r="720" spans="12:15" x14ac:dyDescent="0.25">
      <c r="L720" s="146">
        <f ca="1"/>
        <v>45959</v>
      </c>
      <c r="M720" s="92">
        <f t="shared" ca="1" si="33"/>
        <v>6.75</v>
      </c>
      <c r="N720" s="143">
        <f ca="1">(PRODUCT($O$5:$O720)-1)*36000/_xlfn.DAYS(L720, $C$2)</f>
        <v>10.588192700298388</v>
      </c>
      <c r="O720" s="149">
        <f t="shared" ca="1" si="34"/>
        <v>1.0001875</v>
      </c>
    </row>
    <row r="721" spans="12:15" x14ac:dyDescent="0.25">
      <c r="L721" s="146">
        <f ca="1"/>
        <v>45960</v>
      </c>
      <c r="M721" s="92">
        <f t="shared" ca="1" si="33"/>
        <v>6.75</v>
      </c>
      <c r="N721" s="143">
        <f ca="1">(PRODUCT($O$5:$O721)-1)*36000/_xlfn.DAYS(L721, $C$2)</f>
        <v>10.584822089656436</v>
      </c>
      <c r="O721" s="149">
        <f t="shared" ca="1" si="34"/>
        <v>1.0001875</v>
      </c>
    </row>
    <row r="722" spans="12:15" x14ac:dyDescent="0.25">
      <c r="L722" s="146">
        <f ca="1"/>
        <v>45961</v>
      </c>
      <c r="M722" s="92">
        <f t="shared" ca="1" si="33"/>
        <v>6.75</v>
      </c>
      <c r="N722" s="143">
        <f ca="1">(PRODUCT($O$5:$O722)-1)*36000/_xlfn.DAYS(L722, $C$2)</f>
        <v>10.581463001815246</v>
      </c>
      <c r="O722" s="149">
        <f t="shared" ca="1" si="34"/>
        <v>1.0001875</v>
      </c>
    </row>
    <row r="723" spans="12:15" x14ac:dyDescent="0.25">
      <c r="L723" s="146">
        <f ca="1"/>
        <v>45962</v>
      </c>
      <c r="M723" s="92">
        <f t="shared" ca="1" si="33"/>
        <v>6.75</v>
      </c>
      <c r="N723" s="143">
        <f ca="1">(PRODUCT($O$5:$O723)-1)*36000/_xlfn.DAYS(L723, $C$2)</f>
        <v>10.578115389095919</v>
      </c>
      <c r="O723" s="149">
        <f t="shared" ca="1" si="34"/>
        <v>1.0001875</v>
      </c>
    </row>
    <row r="724" spans="12:15" x14ac:dyDescent="0.25">
      <c r="L724" s="146">
        <f ca="1"/>
        <v>45963</v>
      </c>
      <c r="M724" s="92">
        <f t="shared" ca="1" si="33"/>
        <v>6.75</v>
      </c>
      <c r="N724" s="143">
        <f ca="1">(PRODUCT($O$5:$O724)-1)*36000/_xlfn.DAYS(L724, $C$2)</f>
        <v>10.574779204084528</v>
      </c>
      <c r="O724" s="149">
        <f t="shared" ca="1" si="34"/>
        <v>1.0001875</v>
      </c>
    </row>
    <row r="725" spans="12:15" x14ac:dyDescent="0.25">
      <c r="L725" s="146">
        <f ca="1"/>
        <v>45964</v>
      </c>
      <c r="M725" s="92">
        <f t="shared" ca="1" si="33"/>
        <v>6.75</v>
      </c>
      <c r="N725" s="143">
        <f ca="1">(PRODUCT($O$5:$O725)-1)*36000/_xlfn.DAYS(L725, $C$2)</f>
        <v>10.571454399630248</v>
      </c>
      <c r="O725" s="149">
        <f t="shared" ca="1" si="34"/>
        <v>1.0001875</v>
      </c>
    </row>
    <row r="726" spans="12:15" x14ac:dyDescent="0.25">
      <c r="L726" s="146">
        <f ca="1"/>
        <v>45965</v>
      </c>
      <c r="M726" s="92">
        <f t="shared" ca="1" si="33"/>
        <v>6.75</v>
      </c>
      <c r="N726" s="143">
        <f ca="1">(PRODUCT($O$5:$O726)-1)*36000/_xlfn.DAYS(L726, $C$2)</f>
        <v>10.568140928843574</v>
      </c>
      <c r="O726" s="149">
        <f t="shared" ca="1" si="34"/>
        <v>1.0001875</v>
      </c>
    </row>
    <row r="727" spans="12:15" x14ac:dyDescent="0.25">
      <c r="L727" s="146">
        <f ca="1"/>
        <v>45966</v>
      </c>
      <c r="M727" s="92">
        <f t="shared" ca="1" si="33"/>
        <v>6.75</v>
      </c>
      <c r="N727" s="143">
        <f ca="1">(PRODUCT($O$5:$O727)-1)*36000/_xlfn.DAYS(L727, $C$2)</f>
        <v>10.564838745094477</v>
      </c>
      <c r="O727" s="149">
        <f t="shared" ca="1" si="34"/>
        <v>1.0001875</v>
      </c>
    </row>
    <row r="728" spans="12:15" x14ac:dyDescent="0.25">
      <c r="L728" s="146">
        <f ca="1"/>
        <v>45967</v>
      </c>
      <c r="M728" s="92">
        <f t="shared" ca="1" si="33"/>
        <v>6.75</v>
      </c>
      <c r="N728" s="143">
        <f ca="1">(PRODUCT($O$5:$O728)-1)*36000/_xlfn.DAYS(L728, $C$2)</f>
        <v>10.561547802010624</v>
      </c>
      <c r="O728" s="149">
        <f t="shared" ca="1" si="34"/>
        <v>1.0001875</v>
      </c>
    </row>
    <row r="729" spans="12:15" x14ac:dyDescent="0.25">
      <c r="L729" s="146">
        <f ca="1"/>
        <v>45968</v>
      </c>
      <c r="M729" s="92">
        <f t="shared" ca="1" si="33"/>
        <v>6.5</v>
      </c>
      <c r="N729" s="143">
        <f ca="1">(PRODUCT($O$5:$O729)-1)*36000/_xlfn.DAYS(L729, $C$2)</f>
        <v>10.557849982971693</v>
      </c>
      <c r="O729" s="149">
        <f t="shared" ca="1" si="34"/>
        <v>1.0001805555555556</v>
      </c>
    </row>
    <row r="730" spans="12:15" x14ac:dyDescent="0.25">
      <c r="L730" s="146">
        <f ca="1"/>
        <v>45969</v>
      </c>
      <c r="M730" s="92">
        <f t="shared" ca="1" si="33"/>
        <v>6.5</v>
      </c>
      <c r="N730" s="143">
        <f ca="1">(PRODUCT($O$5:$O730)-1)*36000/_xlfn.DAYS(L730, $C$2)</f>
        <v>10.554164310667506</v>
      </c>
      <c r="O730" s="149">
        <f t="shared" ca="1" si="34"/>
        <v>1.0001805555555556</v>
      </c>
    </row>
    <row r="731" spans="12:15" x14ac:dyDescent="0.25">
      <c r="L731" s="146">
        <f ca="1"/>
        <v>45970</v>
      </c>
      <c r="M731" s="92">
        <f t="shared" ca="1" si="33"/>
        <v>6.5</v>
      </c>
      <c r="N731" s="143">
        <f ca="1">(PRODUCT($O$5:$O731)-1)*36000/_xlfn.DAYS(L731, $C$2)</f>
        <v>10.550490735327381</v>
      </c>
      <c r="O731" s="149">
        <f t="shared" ca="1" si="34"/>
        <v>1.0001805555555556</v>
      </c>
    </row>
    <row r="732" spans="12:15" x14ac:dyDescent="0.25">
      <c r="L732" s="146">
        <f ca="1"/>
        <v>45971</v>
      </c>
      <c r="M732" s="92">
        <f t="shared" ca="1" si="33"/>
        <v>6.5</v>
      </c>
      <c r="N732" s="143">
        <f ca="1">(PRODUCT($O$5:$O732)-1)*36000/_xlfn.DAYS(L732, $C$2)</f>
        <v>10.54682920745414</v>
      </c>
      <c r="O732" s="149">
        <f t="shared" ca="1" si="34"/>
        <v>1.0001805555555556</v>
      </c>
    </row>
    <row r="733" spans="12:15" x14ac:dyDescent="0.25">
      <c r="L733" s="146">
        <f ca="1"/>
        <v>45972</v>
      </c>
      <c r="M733" s="92">
        <f t="shared" ca="1" si="33"/>
        <v>6.5</v>
      </c>
      <c r="N733" s="143">
        <f ca="1">(PRODUCT($O$5:$O733)-1)*36000/_xlfn.DAYS(L733, $C$2)</f>
        <v>10.543179677822277</v>
      </c>
      <c r="O733" s="149">
        <f t="shared" ca="1" si="34"/>
        <v>1.0001805555555556</v>
      </c>
    </row>
    <row r="734" spans="12:15" x14ac:dyDescent="0.25">
      <c r="L734" s="146">
        <f ca="1"/>
        <v>45973</v>
      </c>
      <c r="M734" s="92">
        <f t="shared" ca="1" si="33"/>
        <v>6.5</v>
      </c>
      <c r="N734" s="143">
        <f ca="1">(PRODUCT($O$5:$O734)-1)*36000/_xlfn.DAYS(L734, $C$2)</f>
        <v>10.539542097476078</v>
      </c>
      <c r="O734" s="149">
        <f t="shared" ca="1" si="34"/>
        <v>1.0001805555555556</v>
      </c>
    </row>
    <row r="735" spans="12:15" x14ac:dyDescent="0.25">
      <c r="L735" s="146">
        <f ca="1"/>
        <v>45974</v>
      </c>
      <c r="M735" s="92">
        <f t="shared" ca="1" si="33"/>
        <v>6.5</v>
      </c>
      <c r="N735" s="143">
        <f ca="1">(PRODUCT($O$5:$O735)-1)*36000/_xlfn.DAYS(L735, $C$2)</f>
        <v>10.535916417727773</v>
      </c>
      <c r="O735" s="149">
        <f t="shared" ca="1" si="34"/>
        <v>1.0001805555555556</v>
      </c>
    </row>
    <row r="736" spans="12:15" x14ac:dyDescent="0.25">
      <c r="L736" s="146">
        <f ca="1"/>
        <v>45975</v>
      </c>
      <c r="M736" s="92">
        <f t="shared" ca="1" si="33"/>
        <v>6.5</v>
      </c>
      <c r="N736" s="143">
        <f ca="1">(PRODUCT($O$5:$O736)-1)*36000/_xlfn.DAYS(L736, $C$2)</f>
        <v>10.532302590155705</v>
      </c>
      <c r="O736" s="149">
        <f t="shared" ca="1" si="34"/>
        <v>1.0001805555555556</v>
      </c>
    </row>
    <row r="737" spans="12:15" x14ac:dyDescent="0.25">
      <c r="L737" s="146">
        <f ca="1"/>
        <v>45976</v>
      </c>
      <c r="M737" s="92">
        <f t="shared" ca="1" si="33"/>
        <v>6.5</v>
      </c>
      <c r="N737" s="143">
        <f ca="1">(PRODUCT($O$5:$O737)-1)*36000/_xlfn.DAYS(L737, $C$2)</f>
        <v>10.528700566602513</v>
      </c>
      <c r="O737" s="149">
        <f t="shared" ca="1" si="34"/>
        <v>1.0001805555555556</v>
      </c>
    </row>
    <row r="738" spans="12:15" x14ac:dyDescent="0.25">
      <c r="L738" s="146">
        <f ca="1"/>
        <v>45977</v>
      </c>
      <c r="M738" s="92">
        <f t="shared" ca="1" si="33"/>
        <v>6.5</v>
      </c>
      <c r="N738" s="143">
        <f ca="1">(PRODUCT($O$5:$O738)-1)*36000/_xlfn.DAYS(L738, $C$2)</f>
        <v>10.525110299173358</v>
      </c>
      <c r="O738" s="149">
        <f t="shared" ca="1" si="34"/>
        <v>1.0001805555555556</v>
      </c>
    </row>
    <row r="739" spans="12:15" x14ac:dyDescent="0.25">
      <c r="L739" s="146">
        <f ca="1"/>
        <v>45978</v>
      </c>
      <c r="M739" s="92">
        <f t="shared" ca="1" si="33"/>
        <v>6.5</v>
      </c>
      <c r="N739" s="143">
        <f ca="1">(PRODUCT($O$5:$O739)-1)*36000/_xlfn.DAYS(L739, $C$2)</f>
        <v>10.521531740234101</v>
      </c>
      <c r="O739" s="149">
        <f t="shared" ca="1" si="34"/>
        <v>1.0001805555555556</v>
      </c>
    </row>
    <row r="740" spans="12:15" x14ac:dyDescent="0.25">
      <c r="L740" s="146">
        <f ca="1"/>
        <v>45979</v>
      </c>
      <c r="M740" s="92">
        <f t="shared" ca="1" si="33"/>
        <v>6.5</v>
      </c>
      <c r="N740" s="143">
        <f ca="1">(PRODUCT($O$5:$O740)-1)*36000/_xlfn.DAYS(L740, $C$2)</f>
        <v>10.517964842409544</v>
      </c>
      <c r="O740" s="149">
        <f t="shared" ca="1" si="34"/>
        <v>1.0001805555555556</v>
      </c>
    </row>
    <row r="741" spans="12:15" x14ac:dyDescent="0.25">
      <c r="L741" s="146">
        <f ca="1"/>
        <v>45980</v>
      </c>
      <c r="M741" s="92">
        <f t="shared" ca="1" si="33"/>
        <v>6.5</v>
      </c>
      <c r="N741" s="143">
        <f ca="1">(PRODUCT($O$5:$O741)-1)*36000/_xlfn.DAYS(L741, $C$2)</f>
        <v>10.514409558581697</v>
      </c>
      <c r="O741" s="149">
        <f t="shared" ca="1" si="34"/>
        <v>1.0001805555555556</v>
      </c>
    </row>
    <row r="742" spans="12:15" x14ac:dyDescent="0.25">
      <c r="L742" s="146">
        <f ca="1"/>
        <v>45981</v>
      </c>
      <c r="M742" s="92">
        <f t="shared" ca="1" si="33"/>
        <v>6.5</v>
      </c>
      <c r="N742" s="143">
        <f ca="1">(PRODUCT($O$5:$O742)-1)*36000/_xlfn.DAYS(L742, $C$2)</f>
        <v>10.510865841887984</v>
      </c>
      <c r="O742" s="149">
        <f t="shared" ca="1" si="34"/>
        <v>1.0001805555555556</v>
      </c>
    </row>
    <row r="743" spans="12:15" x14ac:dyDescent="0.25">
      <c r="L743" s="146">
        <f ca="1"/>
        <v>45982</v>
      </c>
      <c r="M743" s="92">
        <f t="shared" ca="1" si="33"/>
        <v>6.5</v>
      </c>
      <c r="N743" s="143">
        <f ca="1">(PRODUCT($O$5:$O743)-1)*36000/_xlfn.DAYS(L743, $C$2)</f>
        <v>10.507333645719573</v>
      </c>
      <c r="O743" s="149">
        <f t="shared" ca="1" si="34"/>
        <v>1.0001805555555556</v>
      </c>
    </row>
    <row r="744" spans="12:15" x14ac:dyDescent="0.25">
      <c r="L744" s="146">
        <f ca="1"/>
        <v>45983</v>
      </c>
      <c r="M744" s="92">
        <f t="shared" ca="1" si="33"/>
        <v>6.5</v>
      </c>
      <c r="N744" s="143">
        <f ca="1">(PRODUCT($O$5:$O744)-1)*36000/_xlfn.DAYS(L744, $C$2)</f>
        <v>10.503812923719623</v>
      </c>
      <c r="O744" s="149">
        <f t="shared" ca="1" si="34"/>
        <v>1.0001805555555556</v>
      </c>
    </row>
    <row r="745" spans="12:15" x14ac:dyDescent="0.25">
      <c r="L745" s="146">
        <f ca="1"/>
        <v>45984</v>
      </c>
      <c r="M745" s="92">
        <f t="shared" ca="1" si="33"/>
        <v>6.5</v>
      </c>
      <c r="N745" s="143">
        <f ca="1">(PRODUCT($O$5:$O745)-1)*36000/_xlfn.DAYS(L745, $C$2)</f>
        <v>10.500303629781598</v>
      </c>
      <c r="O745" s="149">
        <f t="shared" ca="1" si="34"/>
        <v>1.0001805555555556</v>
      </c>
    </row>
    <row r="746" spans="12:15" x14ac:dyDescent="0.25">
      <c r="L746" s="146">
        <f ca="1"/>
        <v>45985</v>
      </c>
      <c r="M746" s="92">
        <f t="shared" ca="1" si="33"/>
        <v>6.5</v>
      </c>
      <c r="N746" s="143">
        <f ca="1">(PRODUCT($O$5:$O746)-1)*36000/_xlfn.DAYS(L746, $C$2)</f>
        <v>10.496805718047579</v>
      </c>
      <c r="O746" s="149">
        <f t="shared" ca="1" si="34"/>
        <v>1.0001805555555556</v>
      </c>
    </row>
    <row r="747" spans="12:15" x14ac:dyDescent="0.25">
      <c r="L747" s="146">
        <f ca="1"/>
        <v>45986</v>
      </c>
      <c r="M747" s="92">
        <f t="shared" ca="1" si="33"/>
        <v>6.5</v>
      </c>
      <c r="N747" s="143">
        <f ca="1">(PRODUCT($O$5:$O747)-1)*36000/_xlfn.DAYS(L747, $C$2)</f>
        <v>10.49331914290658</v>
      </c>
      <c r="O747" s="149">
        <f t="shared" ca="1" si="34"/>
        <v>1.0001805555555556</v>
      </c>
    </row>
    <row r="748" spans="12:15" x14ac:dyDescent="0.25">
      <c r="L748" s="146">
        <f ca="1"/>
        <v>45987</v>
      </c>
      <c r="M748" s="92">
        <f t="shared" ca="1" si="33"/>
        <v>6.5</v>
      </c>
      <c r="N748" s="143">
        <f ca="1">(PRODUCT($O$5:$O748)-1)*36000/_xlfn.DAYS(L748, $C$2)</f>
        <v>10.4898438589929</v>
      </c>
      <c r="O748" s="149">
        <f t="shared" ca="1" si="34"/>
        <v>1.0001805555555556</v>
      </c>
    </row>
    <row r="749" spans="12:15" x14ac:dyDescent="0.25">
      <c r="L749" s="146">
        <f ca="1"/>
        <v>45988</v>
      </c>
      <c r="M749" s="92">
        <f t="shared" ca="1" si="33"/>
        <v>6.5</v>
      </c>
      <c r="N749" s="143">
        <f ca="1">(PRODUCT($O$5:$O749)-1)*36000/_xlfn.DAYS(L749, $C$2)</f>
        <v>10.486379821184491</v>
      </c>
      <c r="O749" s="149">
        <f t="shared" ca="1" si="34"/>
        <v>1.0001805555555556</v>
      </c>
    </row>
    <row r="750" spans="12:15" x14ac:dyDescent="0.25">
      <c r="L750" s="146">
        <f ca="1"/>
        <v>45989</v>
      </c>
      <c r="M750" s="92">
        <f t="shared" ca="1" si="33"/>
        <v>6.5</v>
      </c>
      <c r="N750" s="143">
        <f ca="1">(PRODUCT($O$5:$O750)-1)*36000/_xlfn.DAYS(L750, $C$2)</f>
        <v>10.482926984601292</v>
      </c>
      <c r="O750" s="149">
        <f t="shared" ca="1" si="34"/>
        <v>1.0001805555555556</v>
      </c>
    </row>
    <row r="751" spans="12:15" x14ac:dyDescent="0.25">
      <c r="L751" s="146">
        <f ca="1"/>
        <v>45990</v>
      </c>
      <c r="M751" s="92">
        <f t="shared" ca="1" si="33"/>
        <v>6.5</v>
      </c>
      <c r="N751" s="143">
        <f ca="1">(PRODUCT($O$5:$O751)-1)*36000/_xlfn.DAYS(L751, $C$2)</f>
        <v>10.479485304603624</v>
      </c>
      <c r="O751" s="149">
        <f t="shared" ca="1" si="34"/>
        <v>1.0001805555555556</v>
      </c>
    </row>
    <row r="752" spans="12:15" x14ac:dyDescent="0.25">
      <c r="L752" s="146">
        <f ca="1"/>
        <v>45991</v>
      </c>
      <c r="M752" s="92">
        <f t="shared" ca="1" si="33"/>
        <v>6.5</v>
      </c>
      <c r="N752" s="143">
        <f ca="1">(PRODUCT($O$5:$O752)-1)*36000/_xlfn.DAYS(L752, $C$2)</f>
        <v>10.476054736790596</v>
      </c>
      <c r="O752" s="149">
        <f t="shared" ca="1" si="34"/>
        <v>1.0001805555555556</v>
      </c>
    </row>
    <row r="753" spans="12:15" x14ac:dyDescent="0.25">
      <c r="L753" s="146">
        <f ca="1"/>
        <v>45992</v>
      </c>
      <c r="M753" s="92">
        <f t="shared" ca="1" si="33"/>
        <v>6.5</v>
      </c>
      <c r="N753" s="143">
        <f ca="1">(PRODUCT($O$5:$O753)-1)*36000/_xlfn.DAYS(L753, $C$2)</f>
        <v>10.472635236998501</v>
      </c>
      <c r="O753" s="149">
        <f t="shared" ca="1" si="34"/>
        <v>1.0001805555555556</v>
      </c>
    </row>
    <row r="754" spans="12:15" x14ac:dyDescent="0.25">
      <c r="L754" s="146">
        <f ca="1"/>
        <v>45993</v>
      </c>
      <c r="M754" s="92">
        <f t="shared" ca="1" si="33"/>
        <v>6.5</v>
      </c>
      <c r="N754" s="143">
        <f ca="1">(PRODUCT($O$5:$O754)-1)*36000/_xlfn.DAYS(L754, $C$2)</f>
        <v>10.469226761299225</v>
      </c>
      <c r="O754" s="149">
        <f t="shared" ca="1" si="34"/>
        <v>1.0001805555555556</v>
      </c>
    </row>
    <row r="755" spans="12:15" x14ac:dyDescent="0.25">
      <c r="L755" s="146">
        <f ca="1"/>
        <v>45994</v>
      </c>
      <c r="M755" s="92">
        <f t="shared" ca="1" si="33"/>
        <v>6.5</v>
      </c>
      <c r="N755" s="143">
        <f ca="1">(PRODUCT($O$5:$O755)-1)*36000/_xlfn.DAYS(L755, $C$2)</f>
        <v>10.465829265998691</v>
      </c>
      <c r="O755" s="149">
        <f t="shared" ca="1" si="34"/>
        <v>1.0001805555555556</v>
      </c>
    </row>
    <row r="756" spans="12:15" x14ac:dyDescent="0.25">
      <c r="L756" s="146">
        <f ca="1"/>
        <v>45995</v>
      </c>
      <c r="M756" s="92">
        <f t="shared" ca="1" si="33"/>
        <v>6.5</v>
      </c>
      <c r="N756" s="143">
        <f ca="1">(PRODUCT($O$5:$O756)-1)*36000/_xlfn.DAYS(L756, $C$2)</f>
        <v>10.462442707635297</v>
      </c>
      <c r="O756" s="149">
        <f t="shared" ca="1" si="34"/>
        <v>1.0001805555555556</v>
      </c>
    </row>
    <row r="757" spans="12:15" x14ac:dyDescent="0.25">
      <c r="L757" s="146">
        <f ca="1"/>
        <v>45996</v>
      </c>
      <c r="M757" s="92">
        <f t="shared" ca="1" si="33"/>
        <v>6.5</v>
      </c>
      <c r="N757" s="143">
        <f ca="1">(PRODUCT($O$5:$O757)-1)*36000/_xlfn.DAYS(L757, $C$2)</f>
        <v>10.459067042978372</v>
      </c>
      <c r="O757" s="149">
        <f t="shared" ca="1" si="34"/>
        <v>1.0001805555555556</v>
      </c>
    </row>
    <row r="758" spans="12:15" x14ac:dyDescent="0.25">
      <c r="L758" s="146">
        <f ca="1"/>
        <v>45997</v>
      </c>
      <c r="M758" s="92">
        <f t="shared" ca="1" si="33"/>
        <v>6.5</v>
      </c>
      <c r="N758" s="143">
        <f ca="1">(PRODUCT($O$5:$O758)-1)*36000/_xlfn.DAYS(L758, $C$2)</f>
        <v>10.455702229026663</v>
      </c>
      <c r="O758" s="149">
        <f t="shared" ca="1" si="34"/>
        <v>1.0001805555555556</v>
      </c>
    </row>
    <row r="759" spans="12:15" x14ac:dyDescent="0.25">
      <c r="L759" s="146">
        <f ca="1"/>
        <v>45998</v>
      </c>
      <c r="M759" s="92">
        <f t="shared" ca="1" si="33"/>
        <v>6.5</v>
      </c>
      <c r="N759" s="143">
        <f ca="1">(PRODUCT($O$5:$O759)-1)*36000/_xlfn.DAYS(L759, $C$2)</f>
        <v>10.452348223006778</v>
      </c>
      <c r="O759" s="149">
        <f t="shared" ca="1" si="34"/>
        <v>1.0001805555555556</v>
      </c>
    </row>
    <row r="760" spans="12:15" x14ac:dyDescent="0.25">
      <c r="L760" s="146">
        <f ca="1"/>
        <v>45999</v>
      </c>
      <c r="M760" s="92">
        <f t="shared" ca="1" si="33"/>
        <v>6.5</v>
      </c>
      <c r="N760" s="143">
        <f ca="1">(PRODUCT($O$5:$O760)-1)*36000/_xlfn.DAYS(L760, $C$2)</f>
        <v>10.449004982371715</v>
      </c>
      <c r="O760" s="149">
        <f t="shared" ca="1" si="34"/>
        <v>1.0001805555555556</v>
      </c>
    </row>
    <row r="761" spans="12:15" x14ac:dyDescent="0.25">
      <c r="L761" s="146">
        <f ca="1"/>
        <v>46000</v>
      </c>
      <c r="M761" s="92">
        <f t="shared" ca="1" si="33"/>
        <v>6.5</v>
      </c>
      <c r="N761" s="143">
        <f ca="1">(PRODUCT($O$5:$O761)-1)*36000/_xlfn.DAYS(L761, $C$2)</f>
        <v>10.445672464799362</v>
      </c>
      <c r="O761" s="149">
        <f t="shared" ca="1" si="34"/>
        <v>1.0001805555555556</v>
      </c>
    </row>
    <row r="762" spans="12:15" x14ac:dyDescent="0.25">
      <c r="L762" s="146">
        <f ca="1"/>
        <v>46001</v>
      </c>
      <c r="M762" s="92">
        <f t="shared" ca="1" si="33"/>
        <v>6.5</v>
      </c>
      <c r="N762" s="143">
        <f ca="1">(PRODUCT($O$5:$O762)-1)*36000/_xlfn.DAYS(L762, $C$2)</f>
        <v>10.442350628190981</v>
      </c>
      <c r="O762" s="149">
        <f t="shared" ca="1" si="34"/>
        <v>1.0001805555555556</v>
      </c>
    </row>
    <row r="763" spans="12:15" x14ac:dyDescent="0.25">
      <c r="L763" s="146">
        <f ca="1"/>
        <v>46002</v>
      </c>
      <c r="M763" s="92">
        <f t="shared" ca="1" si="33"/>
        <v>6.5</v>
      </c>
      <c r="N763" s="143">
        <f ca="1">(PRODUCT($O$5:$O763)-1)*36000/_xlfn.DAYS(L763, $C$2)</f>
        <v>10.439039430669764</v>
      </c>
      <c r="O763" s="149">
        <f t="shared" ca="1" si="34"/>
        <v>1.0001805555555556</v>
      </c>
    </row>
    <row r="764" spans="12:15" x14ac:dyDescent="0.25">
      <c r="L764" s="146">
        <f ca="1"/>
        <v>46003</v>
      </c>
      <c r="M764" s="92">
        <f t="shared" ca="1" si="33"/>
        <v>6.25</v>
      </c>
      <c r="N764" s="143">
        <f ca="1">(PRODUCT($O$5:$O764)-1)*36000/_xlfn.DAYS(L764, $C$2)</f>
        <v>10.435337485267539</v>
      </c>
      <c r="O764" s="149">
        <f t="shared" ca="1" si="34"/>
        <v>1.000173611111111</v>
      </c>
    </row>
    <row r="765" spans="12:15" x14ac:dyDescent="0.25">
      <c r="L765" s="146">
        <f ca="1"/>
        <v>46004</v>
      </c>
      <c r="M765" s="92">
        <f t="shared" ca="1" si="33"/>
        <v>6.25</v>
      </c>
      <c r="N765" s="143">
        <f ca="1">(PRODUCT($O$5:$O765)-1)*36000/_xlfn.DAYS(L765, $C$2)</f>
        <v>10.431647008686475</v>
      </c>
      <c r="O765" s="149">
        <f t="shared" ca="1" si="34"/>
        <v>1.000173611111111</v>
      </c>
    </row>
    <row r="766" spans="12:15" x14ac:dyDescent="0.25">
      <c r="L766" s="146">
        <f ca="1"/>
        <v>46005</v>
      </c>
      <c r="M766" s="92">
        <f t="shared" ca="1" si="33"/>
        <v>6.25</v>
      </c>
      <c r="N766" s="143">
        <f ca="1">(PRODUCT($O$5:$O766)-1)*36000/_xlfn.DAYS(L766, $C$2)</f>
        <v>10.427967956075372</v>
      </c>
      <c r="O766" s="149">
        <f t="shared" ca="1" si="34"/>
        <v>1.000173611111111</v>
      </c>
    </row>
    <row r="767" spans="12:15" x14ac:dyDescent="0.25">
      <c r="L767" s="146">
        <f ca="1"/>
        <v>46006</v>
      </c>
      <c r="M767" s="92">
        <f t="shared" ca="1" si="33"/>
        <v>6.25</v>
      </c>
      <c r="N767" s="143">
        <f ca="1">(PRODUCT($O$5:$O767)-1)*36000/_xlfn.DAYS(L767, $C$2)</f>
        <v>10.424300282818203</v>
      </c>
      <c r="O767" s="149">
        <f t="shared" ca="1" si="34"/>
        <v>1.000173611111111</v>
      </c>
    </row>
    <row r="768" spans="12:15" x14ac:dyDescent="0.25">
      <c r="L768" s="146">
        <f ca="1"/>
        <v>46007</v>
      </c>
      <c r="M768" s="92">
        <f t="shared" ca="1" si="33"/>
        <v>6.25</v>
      </c>
      <c r="N768" s="143">
        <f ca="1">(PRODUCT($O$5:$O768)-1)*36000/_xlfn.DAYS(L768, $C$2)</f>
        <v>10.42064394453257</v>
      </c>
      <c r="O768" s="149">
        <f t="shared" ca="1" si="34"/>
        <v>1.000173611111111</v>
      </c>
    </row>
    <row r="769" spans="12:15" x14ac:dyDescent="0.25">
      <c r="L769" s="146">
        <f ca="1"/>
        <v>46008</v>
      </c>
      <c r="M769" s="92">
        <f t="shared" ca="1" si="33"/>
        <v>6.25</v>
      </c>
      <c r="N769" s="143">
        <f ca="1">(PRODUCT($O$5:$O769)-1)*36000/_xlfn.DAYS(L769, $C$2)</f>
        <v>10.416998897068218</v>
      </c>
      <c r="O769" s="149">
        <f t="shared" ca="1" si="34"/>
        <v>1.000173611111111</v>
      </c>
    </row>
    <row r="770" spans="12:15" x14ac:dyDescent="0.25">
      <c r="L770" s="146">
        <f ca="1"/>
        <v>46009</v>
      </c>
      <c r="M770" s="92">
        <f t="shared" ca="1" si="33"/>
        <v>6.25</v>
      </c>
      <c r="N770" s="143">
        <f ca="1">(PRODUCT($O$5:$O770)-1)*36000/_xlfn.DAYS(L770, $C$2)</f>
        <v>10.413365096505482</v>
      </c>
      <c r="O770" s="149">
        <f t="shared" ca="1" si="34"/>
        <v>1.000173611111111</v>
      </c>
    </row>
    <row r="771" spans="12:15" x14ac:dyDescent="0.25">
      <c r="L771" s="146">
        <f ca="1"/>
        <v>46010</v>
      </c>
      <c r="M771" s="92">
        <f t="shared" ca="1" si="33"/>
        <v>6.25</v>
      </c>
      <c r="N771" s="143">
        <f ca="1">(PRODUCT($O$5:$O771)-1)*36000/_xlfn.DAYS(L771, $C$2)</f>
        <v>10.409742499153792</v>
      </c>
      <c r="O771" s="149">
        <f t="shared" ca="1" si="34"/>
        <v>1.000173611111111</v>
      </c>
    </row>
    <row r="772" spans="12:15" x14ac:dyDescent="0.25">
      <c r="L772" s="146">
        <f ca="1"/>
        <v>46011</v>
      </c>
      <c r="M772" s="92">
        <f t="shared" ca="1" si="33"/>
        <v>6.25</v>
      </c>
      <c r="N772" s="143">
        <f ca="1">(PRODUCT($O$5:$O772)-1)*36000/_xlfn.DAYS(L772, $C$2)</f>
        <v>10.406131061550191</v>
      </c>
      <c r="O772" s="149">
        <f t="shared" ca="1" si="34"/>
        <v>1.000173611111111</v>
      </c>
    </row>
    <row r="773" spans="12:15" x14ac:dyDescent="0.25">
      <c r="L773" s="146">
        <f ca="1"/>
        <v>46012</v>
      </c>
      <c r="M773" s="92">
        <f t="shared" ref="M773:M836" ca="1" si="35">IFERROR(INDEX($E$27:$H$47, MATCH(L773, $F$27:$F$47, 0), 4), IF(ISNUMBER(M772), M772, $C$5))</f>
        <v>6.25</v>
      </c>
      <c r="N773" s="143">
        <f ca="1">(PRODUCT($O$5:$O773)-1)*36000/_xlfn.DAYS(L773, $C$2)</f>
        <v>10.402530740457845</v>
      </c>
      <c r="O773" s="149">
        <f t="shared" ca="1" si="34"/>
        <v>1.000173611111111</v>
      </c>
    </row>
    <row r="774" spans="12:15" x14ac:dyDescent="0.25">
      <c r="L774" s="146">
        <f ca="1"/>
        <v>46013</v>
      </c>
      <c r="M774" s="92">
        <f t="shared" ca="1" si="35"/>
        <v>6.25</v>
      </c>
      <c r="N774" s="143">
        <f ca="1">(PRODUCT($O$5:$O774)-1)*36000/_xlfn.DAYS(L774, $C$2)</f>
        <v>10.398941492864582</v>
      </c>
      <c r="O774" s="149">
        <f t="shared" ref="O774:O837" ca="1" si="36">1+M774*IFERROR(_xlfn.DAYS(L774, L773), _xlfn.DAYS(L774, $C$2))/36000</f>
        <v>1.000173611111111</v>
      </c>
    </row>
    <row r="775" spans="12:15" x14ac:dyDescent="0.25">
      <c r="L775" s="146">
        <f ca="1"/>
        <v>46014</v>
      </c>
      <c r="M775" s="92">
        <f t="shared" ca="1" si="35"/>
        <v>6.25</v>
      </c>
      <c r="N775" s="143">
        <f ca="1">(PRODUCT($O$5:$O775)-1)*36000/_xlfn.DAYS(L775, $C$2)</f>
        <v>10.395363275981428</v>
      </c>
      <c r="O775" s="149">
        <f t="shared" ca="1" si="36"/>
        <v>1.000173611111111</v>
      </c>
    </row>
    <row r="776" spans="12:15" x14ac:dyDescent="0.25">
      <c r="L776" s="146">
        <f ca="1"/>
        <v>46015</v>
      </c>
      <c r="M776" s="92">
        <f t="shared" ca="1" si="35"/>
        <v>6.25</v>
      </c>
      <c r="N776" s="143">
        <f ca="1">(PRODUCT($O$5:$O776)-1)*36000/_xlfn.DAYS(L776, $C$2)</f>
        <v>10.391796047241167</v>
      </c>
      <c r="O776" s="149">
        <f t="shared" ca="1" si="36"/>
        <v>1.000173611111111</v>
      </c>
    </row>
    <row r="777" spans="12:15" x14ac:dyDescent="0.25">
      <c r="L777" s="146">
        <f ca="1"/>
        <v>46016</v>
      </c>
      <c r="M777" s="92">
        <f t="shared" ca="1" si="35"/>
        <v>6.25</v>
      </c>
      <c r="N777" s="143">
        <f ca="1">(PRODUCT($O$5:$O777)-1)*36000/_xlfn.DAYS(L777, $C$2)</f>
        <v>10.388239764296907</v>
      </c>
      <c r="O777" s="149">
        <f t="shared" ca="1" si="36"/>
        <v>1.000173611111111</v>
      </c>
    </row>
    <row r="778" spans="12:15" x14ac:dyDescent="0.25">
      <c r="L778" s="146">
        <f ca="1"/>
        <v>46017</v>
      </c>
      <c r="M778" s="92">
        <f t="shared" ca="1" si="35"/>
        <v>6.25</v>
      </c>
      <c r="N778" s="143">
        <f ca="1">(PRODUCT($O$5:$O778)-1)*36000/_xlfn.DAYS(L778, $C$2)</f>
        <v>10.384694385020651</v>
      </c>
      <c r="O778" s="149">
        <f t="shared" ca="1" si="36"/>
        <v>1.000173611111111</v>
      </c>
    </row>
    <row r="779" spans="12:15" x14ac:dyDescent="0.25">
      <c r="L779" s="146">
        <f ca="1"/>
        <v>46018</v>
      </c>
      <c r="M779" s="92">
        <f t="shared" ca="1" si="35"/>
        <v>6.25</v>
      </c>
      <c r="N779" s="143">
        <f ca="1">(PRODUCT($O$5:$O779)-1)*36000/_xlfn.DAYS(L779, $C$2)</f>
        <v>10.381159867501893</v>
      </c>
      <c r="O779" s="149">
        <f t="shared" ca="1" si="36"/>
        <v>1.000173611111111</v>
      </c>
    </row>
    <row r="780" spans="12:15" x14ac:dyDescent="0.25">
      <c r="L780" s="146">
        <f ca="1"/>
        <v>46019</v>
      </c>
      <c r="M780" s="92">
        <f t="shared" ca="1" si="35"/>
        <v>6.25</v>
      </c>
      <c r="N780" s="143">
        <f ca="1">(PRODUCT($O$5:$O780)-1)*36000/_xlfn.DAYS(L780, $C$2)</f>
        <v>10.377636170046205</v>
      </c>
      <c r="O780" s="149">
        <f t="shared" ca="1" si="36"/>
        <v>1.000173611111111</v>
      </c>
    </row>
    <row r="781" spans="12:15" x14ac:dyDescent="0.25">
      <c r="L781" s="146">
        <f ca="1"/>
        <v>46020</v>
      </c>
      <c r="M781" s="92">
        <f t="shared" ca="1" si="35"/>
        <v>6.25</v>
      </c>
      <c r="N781" s="143">
        <f ca="1">(PRODUCT($O$5:$O781)-1)*36000/_xlfn.DAYS(L781, $C$2)</f>
        <v>10.374123251173863</v>
      </c>
      <c r="O781" s="149">
        <f t="shared" ca="1" si="36"/>
        <v>1.000173611111111</v>
      </c>
    </row>
    <row r="782" spans="12:15" x14ac:dyDescent="0.25">
      <c r="L782" s="146">
        <f ca="1"/>
        <v>46021</v>
      </c>
      <c r="M782" s="92">
        <f t="shared" ca="1" si="35"/>
        <v>6.25</v>
      </c>
      <c r="N782" s="143">
        <f ca="1">(PRODUCT($O$5:$O782)-1)*36000/_xlfn.DAYS(L782, $C$2)</f>
        <v>10.37062106961846</v>
      </c>
      <c r="O782" s="149">
        <f t="shared" ca="1" si="36"/>
        <v>1.000173611111111</v>
      </c>
    </row>
    <row r="783" spans="12:15" x14ac:dyDescent="0.25">
      <c r="L783" s="146">
        <f ca="1"/>
        <v>46022</v>
      </c>
      <c r="M783" s="92">
        <f t="shared" ca="1" si="35"/>
        <v>6.25</v>
      </c>
      <c r="N783" s="143">
        <f ca="1">(PRODUCT($O$5:$O783)-1)*36000/_xlfn.DAYS(L783, $C$2)</f>
        <v>10.367129584325516</v>
      </c>
      <c r="O783" s="149">
        <f t="shared" ca="1" si="36"/>
        <v>1.000173611111111</v>
      </c>
    </row>
    <row r="784" spans="12:15" x14ac:dyDescent="0.25">
      <c r="L784" s="146">
        <f ca="1"/>
        <v>46023</v>
      </c>
      <c r="M784" s="92">
        <f t="shared" ca="1" si="35"/>
        <v>6.25</v>
      </c>
      <c r="N784" s="143">
        <f ca="1">(PRODUCT($O$5:$O784)-1)*36000/_xlfn.DAYS(L784, $C$2)</f>
        <v>10.363648754451152</v>
      </c>
      <c r="O784" s="149">
        <f t="shared" ca="1" si="36"/>
        <v>1.000173611111111</v>
      </c>
    </row>
    <row r="785" spans="12:15" x14ac:dyDescent="0.25">
      <c r="L785" s="146">
        <f ca="1"/>
        <v>46024</v>
      </c>
      <c r="M785" s="92">
        <f t="shared" ca="1" si="35"/>
        <v>6.25</v>
      </c>
      <c r="N785" s="143">
        <f ca="1">(PRODUCT($O$5:$O785)-1)*36000/_xlfn.DAYS(L785, $C$2)</f>
        <v>10.360178539360721</v>
      </c>
      <c r="O785" s="149">
        <f t="shared" ca="1" si="36"/>
        <v>1.000173611111111</v>
      </c>
    </row>
    <row r="786" spans="12:15" x14ac:dyDescent="0.25">
      <c r="L786" s="147">
        <f ca="1"/>
        <v>46025</v>
      </c>
      <c r="M786" s="92">
        <f t="shared" ca="1" si="35"/>
        <v>6.25</v>
      </c>
      <c r="N786" s="143">
        <f ca="1">(PRODUCT($O$5:$O786)-1)*36000/_xlfn.DAYS(L786, $C$2)</f>
        <v>10.356718898627495</v>
      </c>
      <c r="O786" s="149">
        <f t="shared" ca="1" si="36"/>
        <v>1.000173611111111</v>
      </c>
    </row>
    <row r="787" spans="12:15" x14ac:dyDescent="0.25">
      <c r="L787" s="147">
        <f ca="1"/>
        <v>46026</v>
      </c>
      <c r="M787" s="92">
        <f t="shared" ca="1" si="35"/>
        <v>6.25</v>
      </c>
      <c r="N787" s="143">
        <f ca="1">(PRODUCT($O$5:$O787)-1)*36000/_xlfn.DAYS(L787, $C$2)</f>
        <v>10.353269792031293</v>
      </c>
      <c r="O787" s="149">
        <f t="shared" ca="1" si="36"/>
        <v>1.000173611111111</v>
      </c>
    </row>
    <row r="788" spans="12:15" x14ac:dyDescent="0.25">
      <c r="L788" s="147">
        <f ca="1"/>
        <v>46027</v>
      </c>
      <c r="M788" s="92">
        <f t="shared" ca="1" si="35"/>
        <v>6.25</v>
      </c>
      <c r="N788" s="143">
        <f ca="1">(PRODUCT($O$5:$O788)-1)*36000/_xlfn.DAYS(L788, $C$2)</f>
        <v>10.349831179557214</v>
      </c>
      <c r="O788" s="149">
        <f t="shared" ca="1" si="36"/>
        <v>1.000173611111111</v>
      </c>
    </row>
    <row r="789" spans="12:15" x14ac:dyDescent="0.25">
      <c r="L789" s="147">
        <f ca="1"/>
        <v>46028</v>
      </c>
      <c r="M789" s="92">
        <f t="shared" ca="1" si="35"/>
        <v>6.25</v>
      </c>
      <c r="N789" s="143">
        <f ca="1">(PRODUCT($O$5:$O789)-1)*36000/_xlfn.DAYS(L789, $C$2)</f>
        <v>10.346403021394281</v>
      </c>
      <c r="O789" s="149">
        <f t="shared" ca="1" si="36"/>
        <v>1.000173611111111</v>
      </c>
    </row>
    <row r="790" spans="12:15" x14ac:dyDescent="0.25">
      <c r="L790" s="147">
        <f ca="1"/>
        <v>46029</v>
      </c>
      <c r="M790" s="92">
        <f t="shared" ca="1" si="35"/>
        <v>6.25</v>
      </c>
      <c r="N790" s="143">
        <f ca="1">(PRODUCT($O$5:$O790)-1)*36000/_xlfn.DAYS(L790, $C$2)</f>
        <v>10.342985277934194</v>
      </c>
      <c r="O790" s="149">
        <f t="shared" ca="1" si="36"/>
        <v>1.000173611111111</v>
      </c>
    </row>
    <row r="791" spans="12:15" x14ac:dyDescent="0.25">
      <c r="L791" s="147">
        <f ca="1"/>
        <v>46030</v>
      </c>
      <c r="M791" s="92">
        <f t="shared" ca="1" si="35"/>
        <v>6.25</v>
      </c>
      <c r="N791" s="143">
        <f ca="1">(PRODUCT($O$5:$O791)-1)*36000/_xlfn.DAYS(L791, $C$2)</f>
        <v>10.339577909770002</v>
      </c>
      <c r="O791" s="149">
        <f t="shared" ca="1" si="36"/>
        <v>1.000173611111111</v>
      </c>
    </row>
    <row r="792" spans="12:15" x14ac:dyDescent="0.25">
      <c r="L792" s="147">
        <f ca="1"/>
        <v>46031</v>
      </c>
      <c r="M792" s="92">
        <f t="shared" ca="1" si="35"/>
        <v>6.25</v>
      </c>
      <c r="N792" s="143">
        <f ca="1">(PRODUCT($O$5:$O792)-1)*36000/_xlfn.DAYS(L792, $C$2)</f>
        <v>10.33618087769484</v>
      </c>
      <c r="O792" s="149">
        <f t="shared" ca="1" si="36"/>
        <v>1.000173611111111</v>
      </c>
    </row>
    <row r="793" spans="12:15" x14ac:dyDescent="0.25">
      <c r="L793" s="147">
        <f ca="1"/>
        <v>46032</v>
      </c>
      <c r="M793" s="92">
        <f t="shared" ca="1" si="35"/>
        <v>6.25</v>
      </c>
      <c r="N793" s="143">
        <f ca="1">(PRODUCT($O$5:$O793)-1)*36000/_xlfn.DAYS(L793, $C$2)</f>
        <v>10.332794142700667</v>
      </c>
      <c r="O793" s="149">
        <f t="shared" ca="1" si="36"/>
        <v>1.000173611111111</v>
      </c>
    </row>
    <row r="794" spans="12:15" x14ac:dyDescent="0.25">
      <c r="L794" s="147">
        <f ca="1"/>
        <v>46033</v>
      </c>
      <c r="M794" s="92">
        <f t="shared" ca="1" si="35"/>
        <v>6.25</v>
      </c>
      <c r="N794" s="143">
        <f ca="1">(PRODUCT($O$5:$O794)-1)*36000/_xlfn.DAYS(L794, $C$2)</f>
        <v>10.329417665976994</v>
      </c>
      <c r="O794" s="149">
        <f t="shared" ca="1" si="36"/>
        <v>1.000173611111111</v>
      </c>
    </row>
    <row r="795" spans="12:15" x14ac:dyDescent="0.25">
      <c r="L795" s="147">
        <f ca="1"/>
        <v>46034</v>
      </c>
      <c r="M795" s="92">
        <f t="shared" ca="1" si="35"/>
        <v>6.25</v>
      </c>
      <c r="N795" s="143">
        <f ca="1">(PRODUCT($O$5:$O795)-1)*36000/_xlfn.DAYS(L795, $C$2)</f>
        <v>10.326051408909656</v>
      </c>
      <c r="O795" s="149">
        <f t="shared" ca="1" si="36"/>
        <v>1.000173611111111</v>
      </c>
    </row>
    <row r="796" spans="12:15" x14ac:dyDescent="0.25">
      <c r="L796" s="147">
        <f ca="1"/>
        <v>46035</v>
      </c>
      <c r="M796" s="92">
        <f t="shared" ca="1" si="35"/>
        <v>6.25</v>
      </c>
      <c r="N796" s="143">
        <f ca="1">(PRODUCT($O$5:$O796)-1)*36000/_xlfn.DAYS(L796, $C$2)</f>
        <v>10.322695333079551</v>
      </c>
      <c r="O796" s="149">
        <f t="shared" ca="1" si="36"/>
        <v>1.000173611111111</v>
      </c>
    </row>
    <row r="797" spans="12:15" x14ac:dyDescent="0.25">
      <c r="L797" s="147">
        <f ca="1"/>
        <v>46036</v>
      </c>
      <c r="M797" s="92">
        <f t="shared" ca="1" si="35"/>
        <v>6.25</v>
      </c>
      <c r="N797" s="143">
        <f ca="1">(PRODUCT($O$5:$O797)-1)*36000/_xlfn.DAYS(L797, $C$2)</f>
        <v>10.319349400261409</v>
      </c>
      <c r="O797" s="149">
        <f t="shared" ca="1" si="36"/>
        <v>1.000173611111111</v>
      </c>
    </row>
    <row r="798" spans="12:15" x14ac:dyDescent="0.25">
      <c r="L798" s="147">
        <f ca="1"/>
        <v>46037</v>
      </c>
      <c r="M798" s="92">
        <f t="shared" ca="1" si="35"/>
        <v>6.25</v>
      </c>
      <c r="N798" s="143">
        <f ca="1">(PRODUCT($O$5:$O798)-1)*36000/_xlfn.DAYS(L798, $C$2)</f>
        <v>10.316013572422603</v>
      </c>
      <c r="O798" s="149">
        <f t="shared" ca="1" si="36"/>
        <v>1.000173611111111</v>
      </c>
    </row>
    <row r="799" spans="12:15" x14ac:dyDescent="0.25">
      <c r="L799" s="147">
        <f ca="1"/>
        <v>46038</v>
      </c>
      <c r="M799" s="92">
        <f t="shared" ca="1" si="35"/>
        <v>6.25</v>
      </c>
      <c r="N799" s="143">
        <f ca="1">(PRODUCT($O$5:$O799)-1)*36000/_xlfn.DAYS(L799, $C$2)</f>
        <v>10.312687811721899</v>
      </c>
      <c r="O799" s="149">
        <f t="shared" ca="1" si="36"/>
        <v>1.000173611111111</v>
      </c>
    </row>
    <row r="800" spans="12:15" x14ac:dyDescent="0.25">
      <c r="L800" s="147">
        <f ca="1"/>
        <v>46039</v>
      </c>
      <c r="M800" s="92">
        <f t="shared" ca="1" si="35"/>
        <v>6.25</v>
      </c>
      <c r="N800" s="143">
        <f ca="1">(PRODUCT($O$5:$O800)-1)*36000/_xlfn.DAYS(L800, $C$2)</f>
        <v>10.309372080508279</v>
      </c>
      <c r="O800" s="149">
        <f t="shared" ca="1" si="36"/>
        <v>1.000173611111111</v>
      </c>
    </row>
    <row r="801" spans="3:15" x14ac:dyDescent="0.25">
      <c r="L801" s="147">
        <f ca="1"/>
        <v>46040</v>
      </c>
      <c r="M801" s="92">
        <f t="shared" ca="1" si="35"/>
        <v>6.25</v>
      </c>
      <c r="N801" s="143">
        <f ca="1">(PRODUCT($O$5:$O801)-1)*36000/_xlfn.DAYS(L801, $C$2)</f>
        <v>10.306066341319724</v>
      </c>
      <c r="O801" s="149">
        <f t="shared" ca="1" si="36"/>
        <v>1.000173611111111</v>
      </c>
    </row>
    <row r="802" spans="3:15" x14ac:dyDescent="0.25">
      <c r="L802" s="147">
        <f ca="1"/>
        <v>46041</v>
      </c>
      <c r="M802" s="92">
        <f t="shared" ca="1" si="35"/>
        <v>6.25</v>
      </c>
      <c r="N802" s="143">
        <f ca="1">(PRODUCT($O$5:$O802)-1)*36000/_xlfn.DAYS(L802, $C$2)</f>
        <v>10.302770556882072</v>
      </c>
      <c r="O802" s="149">
        <f t="shared" ca="1" si="36"/>
        <v>1.000173611111111</v>
      </c>
    </row>
    <row r="803" spans="3:15" x14ac:dyDescent="0.25">
      <c r="L803" s="147">
        <f ca="1"/>
        <v>46042</v>
      </c>
      <c r="M803" s="92">
        <f t="shared" ca="1" si="35"/>
        <v>6.25</v>
      </c>
      <c r="N803" s="143">
        <f ca="1">(PRODUCT($O$5:$O803)-1)*36000/_xlfn.DAYS(L803, $C$2)</f>
        <v>10.299484690107789</v>
      </c>
      <c r="O803" s="149">
        <f t="shared" ca="1" si="36"/>
        <v>1.000173611111111</v>
      </c>
    </row>
    <row r="804" spans="3:15" x14ac:dyDescent="0.25">
      <c r="L804" s="147">
        <f ca="1"/>
        <v>46043</v>
      </c>
      <c r="M804" s="92">
        <f t="shared" ca="1" si="35"/>
        <v>6.25</v>
      </c>
      <c r="N804" s="143">
        <f ca="1">(PRODUCT($O$5:$O804)-1)*36000/_xlfn.DAYS(L804, $C$2)</f>
        <v>10.296208704094841</v>
      </c>
      <c r="O804" s="149">
        <f t="shared" ca="1" si="36"/>
        <v>1.000173611111111</v>
      </c>
    </row>
    <row r="805" spans="3:15" x14ac:dyDescent="0.25">
      <c r="L805" s="147">
        <f ca="1"/>
        <v>46044</v>
      </c>
      <c r="M805" s="92">
        <f t="shared" ca="1" si="35"/>
        <v>6.25</v>
      </c>
      <c r="N805" s="143">
        <f ca="1">(PRODUCT($O$5:$O805)-1)*36000/_xlfn.DAYS(L805, $C$2)</f>
        <v>10.292942562125534</v>
      </c>
      <c r="O805" s="149">
        <f t="shared" ca="1" si="36"/>
        <v>1.000173611111111</v>
      </c>
    </row>
    <row r="806" spans="3:15" x14ac:dyDescent="0.25">
      <c r="L806" s="147">
        <f ca="1"/>
        <v>46045</v>
      </c>
      <c r="M806" s="92">
        <f t="shared" ca="1" si="35"/>
        <v>6.25</v>
      </c>
      <c r="N806" s="143">
        <f ca="1">(PRODUCT($O$5:$O806)-1)*36000/_xlfn.DAYS(L806, $C$2)</f>
        <v>10.289686227665326</v>
      </c>
      <c r="O806" s="149">
        <f t="shared" ca="1" si="36"/>
        <v>1.000173611111111</v>
      </c>
    </row>
    <row r="807" spans="3:15" x14ac:dyDescent="0.25">
      <c r="L807" s="147">
        <f ca="1"/>
        <v>46046</v>
      </c>
      <c r="M807" s="92">
        <f t="shared" ca="1" si="35"/>
        <v>6.25</v>
      </c>
      <c r="N807" s="143">
        <f ca="1">(PRODUCT($O$5:$O807)-1)*36000/_xlfn.DAYS(L807, $C$2)</f>
        <v>10.286439664361751</v>
      </c>
      <c r="O807" s="149">
        <f t="shared" ca="1" si="36"/>
        <v>1.000173611111111</v>
      </c>
    </row>
    <row r="808" spans="3:15" x14ac:dyDescent="0.25">
      <c r="L808" s="147">
        <f ca="1"/>
        <v>46047</v>
      </c>
      <c r="M808" s="92">
        <f t="shared" ca="1" si="35"/>
        <v>6.25</v>
      </c>
      <c r="N808" s="143">
        <f ca="1">(PRODUCT($O$5:$O808)-1)*36000/_xlfn.DAYS(L808, $C$2)</f>
        <v>10.283202836043214</v>
      </c>
      <c r="O808" s="149">
        <f t="shared" ca="1" si="36"/>
        <v>1.000173611111111</v>
      </c>
    </row>
    <row r="809" spans="3:15" x14ac:dyDescent="0.25">
      <c r="L809" s="147">
        <f ca="1"/>
        <v>46048</v>
      </c>
      <c r="M809" s="92">
        <f t="shared" ca="1" si="35"/>
        <v>6.25</v>
      </c>
      <c r="N809" s="143">
        <f ca="1">(PRODUCT($O$5:$O809)-1)*36000/_xlfn.DAYS(L809, $C$2)</f>
        <v>10.279975706717932</v>
      </c>
      <c r="O809" s="149">
        <f t="shared" ca="1" si="36"/>
        <v>1.000173611111111</v>
      </c>
    </row>
    <row r="810" spans="3:15" x14ac:dyDescent="0.25">
      <c r="L810" s="147">
        <f ca="1"/>
        <v>46049</v>
      </c>
      <c r="M810" s="92">
        <f t="shared" ca="1" si="35"/>
        <v>6.25</v>
      </c>
      <c r="N810" s="143">
        <f ca="1">(PRODUCT($O$5:$O810)-1)*36000/_xlfn.DAYS(L810, $C$2)</f>
        <v>10.276758240572786</v>
      </c>
      <c r="O810" s="149">
        <f t="shared" ca="1" si="36"/>
        <v>1.000173611111111</v>
      </c>
    </row>
    <row r="811" spans="3:15" x14ac:dyDescent="0.25">
      <c r="L811" s="147">
        <f ca="1"/>
        <v>46050</v>
      </c>
      <c r="M811" s="92">
        <f t="shared" ca="1" si="35"/>
        <v>6.25</v>
      </c>
      <c r="N811" s="143">
        <f ca="1">(PRODUCT($O$5:$O811)-1)*36000/_xlfn.DAYS(L811, $C$2)</f>
        <v>10.27355040197221</v>
      </c>
      <c r="O811" s="149">
        <f t="shared" ca="1" si="36"/>
        <v>1.000173611111111</v>
      </c>
    </row>
    <row r="812" spans="3:15" x14ac:dyDescent="0.25">
      <c r="L812" s="147">
        <f ca="1"/>
        <v>46051</v>
      </c>
      <c r="M812" s="92">
        <f t="shared" ca="1" si="35"/>
        <v>6.25</v>
      </c>
      <c r="N812" s="143">
        <f ca="1">(PRODUCT($O$5:$O812)-1)*36000/_xlfn.DAYS(L812, $C$2)</f>
        <v>10.270352155457109</v>
      </c>
      <c r="O812" s="149">
        <f t="shared" ca="1" si="36"/>
        <v>1.000173611111111</v>
      </c>
    </row>
    <row r="813" spans="3:15" x14ac:dyDescent="0.25">
      <c r="L813" s="147">
        <f ca="1"/>
        <v>46052</v>
      </c>
      <c r="M813" s="92">
        <f t="shared" ca="1" si="35"/>
        <v>6.25</v>
      </c>
      <c r="N813" s="143">
        <f ca="1">(PRODUCT($O$5:$O813)-1)*36000/_xlfn.DAYS(L813, $C$2)</f>
        <v>10.267163465743767</v>
      </c>
      <c r="O813" s="149">
        <f t="shared" ca="1" si="36"/>
        <v>1.000173611111111</v>
      </c>
    </row>
    <row r="814" spans="3:15" x14ac:dyDescent="0.25">
      <c r="L814" s="147">
        <f ca="1"/>
        <v>46053</v>
      </c>
      <c r="M814" s="92">
        <f t="shared" ca="1" si="35"/>
        <v>6.25</v>
      </c>
      <c r="N814" s="143">
        <f ca="1">(PRODUCT($O$5:$O814)-1)*36000/_xlfn.DAYS(L814, $C$2)</f>
        <v>10.26398429772274</v>
      </c>
      <c r="O814" s="149">
        <f t="shared" ca="1" si="36"/>
        <v>1.000173611111111</v>
      </c>
    </row>
    <row r="815" spans="3:15" x14ac:dyDescent="0.25">
      <c r="C815" s="78"/>
      <c r="D815" s="77"/>
      <c r="E815" s="77"/>
      <c r="L815" s="147">
        <f ca="1"/>
        <v>46054</v>
      </c>
      <c r="M815" s="92">
        <f t="shared" ca="1" si="35"/>
        <v>6.25</v>
      </c>
      <c r="N815" s="143">
        <f ca="1">(PRODUCT($O$5:$O815)-1)*36000/_xlfn.DAYS(L815, $C$2)</f>
        <v>10.260814616457806</v>
      </c>
      <c r="O815" s="149">
        <f t="shared" ca="1" si="36"/>
        <v>1.000173611111111</v>
      </c>
    </row>
    <row r="816" spans="3:15" x14ac:dyDescent="0.25">
      <c r="D816" s="34"/>
      <c r="L816" s="147">
        <f ca="1"/>
        <v>46055</v>
      </c>
      <c r="M816" s="92">
        <f t="shared" ca="1" si="35"/>
        <v>6.25</v>
      </c>
      <c r="N816" s="143">
        <f ca="1">(PRODUCT($O$5:$O816)-1)*36000/_xlfn.DAYS(L816, $C$2)</f>
        <v>10.257654387184905</v>
      </c>
      <c r="O816" s="149">
        <f t="shared" ca="1" si="36"/>
        <v>1.000173611111111</v>
      </c>
    </row>
    <row r="817" spans="12:15" x14ac:dyDescent="0.25">
      <c r="L817" s="147">
        <f ca="1"/>
        <v>46056</v>
      </c>
      <c r="M817" s="92">
        <f t="shared" ca="1" si="35"/>
        <v>6.25</v>
      </c>
      <c r="N817" s="143">
        <f ca="1">(PRODUCT($O$5:$O817)-1)*36000/_xlfn.DAYS(L817, $C$2)</f>
        <v>10.254503575311054</v>
      </c>
      <c r="O817" s="149">
        <f t="shared" ca="1" si="36"/>
        <v>1.000173611111111</v>
      </c>
    </row>
    <row r="818" spans="12:15" x14ac:dyDescent="0.25">
      <c r="L818" s="147">
        <f ca="1"/>
        <v>46057</v>
      </c>
      <c r="M818" s="92">
        <f t="shared" ca="1" si="35"/>
        <v>6.25</v>
      </c>
      <c r="N818" s="143">
        <f ca="1">(PRODUCT($O$5:$O818)-1)*36000/_xlfn.DAYS(L818, $C$2)</f>
        <v>10.251362146413314</v>
      </c>
      <c r="O818" s="149">
        <f t="shared" ca="1" si="36"/>
        <v>1.000173611111111</v>
      </c>
    </row>
    <row r="819" spans="12:15" x14ac:dyDescent="0.25">
      <c r="L819" s="147">
        <f ca="1"/>
        <v>46058</v>
      </c>
      <c r="M819" s="92">
        <f t="shared" ca="1" si="35"/>
        <v>6.25</v>
      </c>
      <c r="N819" s="143">
        <f ca="1">(PRODUCT($O$5:$O819)-1)*36000/_xlfn.DAYS(L819, $C$2)</f>
        <v>10.248230066237747</v>
      </c>
      <c r="O819" s="149">
        <f t="shared" ca="1" si="36"/>
        <v>1.000173611111111</v>
      </c>
    </row>
    <row r="820" spans="12:15" x14ac:dyDescent="0.25">
      <c r="L820" s="147">
        <f ca="1"/>
        <v>46059</v>
      </c>
      <c r="M820" s="92">
        <f t="shared" ca="1" si="35"/>
        <v>6.25</v>
      </c>
      <c r="N820" s="143">
        <f ca="1">(PRODUCT($O$5:$O820)-1)*36000/_xlfn.DAYS(L820, $C$2)</f>
        <v>10.24510730069837</v>
      </c>
      <c r="O820" s="149">
        <f t="shared" ca="1" si="36"/>
        <v>1.000173611111111</v>
      </c>
    </row>
    <row r="821" spans="12:15" x14ac:dyDescent="0.25">
      <c r="L821" s="147">
        <f ca="1"/>
        <v>46060</v>
      </c>
      <c r="M821" s="92">
        <f t="shared" ca="1" si="35"/>
        <v>6.25</v>
      </c>
      <c r="N821" s="143">
        <f ca="1">(PRODUCT($O$5:$O821)-1)*36000/_xlfn.DAYS(L821, $C$2)</f>
        <v>10.241993815876125</v>
      </c>
      <c r="O821" s="149">
        <f t="shared" ca="1" si="36"/>
        <v>1.000173611111111</v>
      </c>
    </row>
    <row r="822" spans="12:15" x14ac:dyDescent="0.25">
      <c r="L822" s="147">
        <f ca="1"/>
        <v>46061</v>
      </c>
      <c r="M822" s="92">
        <f t="shared" ca="1" si="35"/>
        <v>6.25</v>
      </c>
      <c r="N822" s="143">
        <f ca="1">(PRODUCT($O$5:$O822)-1)*36000/_xlfn.DAYS(L822, $C$2)</f>
        <v>10.23888957801789</v>
      </c>
      <c r="O822" s="149">
        <f t="shared" ca="1" si="36"/>
        <v>1.000173611111111</v>
      </c>
    </row>
    <row r="823" spans="12:15" x14ac:dyDescent="0.25">
      <c r="L823" s="147">
        <f ca="1"/>
        <v>46062</v>
      </c>
      <c r="M823" s="92">
        <f t="shared" ca="1" si="35"/>
        <v>6.25</v>
      </c>
      <c r="N823" s="143">
        <f ca="1">(PRODUCT($O$5:$O823)-1)*36000/_xlfn.DAYS(L823, $C$2)</f>
        <v>10.235794553535422</v>
      </c>
      <c r="O823" s="149">
        <f t="shared" ca="1" si="36"/>
        <v>1.000173611111111</v>
      </c>
    </row>
    <row r="824" spans="12:15" x14ac:dyDescent="0.25">
      <c r="L824" s="147">
        <f ca="1"/>
        <v>46063</v>
      </c>
      <c r="M824" s="92">
        <f t="shared" ca="1" si="35"/>
        <v>6.25</v>
      </c>
      <c r="N824" s="143">
        <f ca="1">(PRODUCT($O$5:$O824)-1)*36000/_xlfn.DAYS(L824, $C$2)</f>
        <v>10.232708709004372</v>
      </c>
      <c r="O824" s="149">
        <f t="shared" ca="1" si="36"/>
        <v>1.000173611111111</v>
      </c>
    </row>
    <row r="825" spans="12:15" x14ac:dyDescent="0.25">
      <c r="L825" s="147">
        <f ca="1"/>
        <v>46064</v>
      </c>
      <c r="M825" s="92">
        <f t="shared" ca="1" si="35"/>
        <v>6.25</v>
      </c>
      <c r="N825" s="143">
        <f ca="1">(PRODUCT($O$5:$O825)-1)*36000/_xlfn.DAYS(L825, $C$2)</f>
        <v>10.229632011163305</v>
      </c>
      <c r="O825" s="149">
        <f t="shared" ca="1" si="36"/>
        <v>1.000173611111111</v>
      </c>
    </row>
    <row r="826" spans="12:15" x14ac:dyDescent="0.25">
      <c r="L826" s="147">
        <f ca="1"/>
        <v>46065</v>
      </c>
      <c r="M826" s="92">
        <f t="shared" ca="1" si="35"/>
        <v>6.25</v>
      </c>
      <c r="N826" s="143">
        <f ca="1">(PRODUCT($O$5:$O826)-1)*36000/_xlfn.DAYS(L826, $C$2)</f>
        <v>10.226564426912674</v>
      </c>
      <c r="O826" s="149">
        <f t="shared" ca="1" si="36"/>
        <v>1.000173611111111</v>
      </c>
    </row>
    <row r="827" spans="12:15" x14ac:dyDescent="0.25">
      <c r="L827" s="147">
        <f ca="1"/>
        <v>46066</v>
      </c>
      <c r="M827" s="92">
        <f t="shared" ca="1" si="35"/>
        <v>6.25</v>
      </c>
      <c r="N827" s="143">
        <f ca="1">(PRODUCT($O$5:$O827)-1)*36000/_xlfn.DAYS(L827, $C$2)</f>
        <v>10.223505923313864</v>
      </c>
      <c r="O827" s="149">
        <f t="shared" ca="1" si="36"/>
        <v>1.000173611111111</v>
      </c>
    </row>
    <row r="828" spans="12:15" x14ac:dyDescent="0.25">
      <c r="L828" s="147">
        <f ca="1"/>
        <v>46067</v>
      </c>
      <c r="M828" s="92">
        <f t="shared" ca="1" si="35"/>
        <v>6.25</v>
      </c>
      <c r="N828" s="143">
        <f ca="1">(PRODUCT($O$5:$O828)-1)*36000/_xlfn.DAYS(L828, $C$2)</f>
        <v>10.220456467588191</v>
      </c>
      <c r="O828" s="149">
        <f t="shared" ca="1" si="36"/>
        <v>1.000173611111111</v>
      </c>
    </row>
    <row r="829" spans="12:15" x14ac:dyDescent="0.25">
      <c r="L829" s="147">
        <f ca="1"/>
        <v>46068</v>
      </c>
      <c r="M829" s="92">
        <f t="shared" ca="1" si="35"/>
        <v>6.25</v>
      </c>
      <c r="N829" s="143">
        <f ca="1">(PRODUCT($O$5:$O829)-1)*36000/_xlfn.DAYS(L829, $C$2)</f>
        <v>10.217416027115961</v>
      </c>
      <c r="O829" s="149">
        <f t="shared" ca="1" si="36"/>
        <v>1.000173611111111</v>
      </c>
    </row>
    <row r="830" spans="12:15" x14ac:dyDescent="0.25">
      <c r="L830" s="147">
        <f ca="1"/>
        <v>46069</v>
      </c>
      <c r="M830" s="92">
        <f t="shared" ca="1" si="35"/>
        <v>6.25</v>
      </c>
      <c r="N830" s="143">
        <f ca="1">(PRODUCT($O$5:$O830)-1)*36000/_xlfn.DAYS(L830, $C$2)</f>
        <v>10.21438456943549</v>
      </c>
      <c r="O830" s="149">
        <f t="shared" ca="1" si="36"/>
        <v>1.000173611111111</v>
      </c>
    </row>
    <row r="831" spans="12:15" x14ac:dyDescent="0.25">
      <c r="L831" s="147">
        <f ca="1"/>
        <v>46070</v>
      </c>
      <c r="M831" s="92">
        <f t="shared" ca="1" si="35"/>
        <v>6.25</v>
      </c>
      <c r="N831" s="143">
        <f ca="1">(PRODUCT($O$5:$O831)-1)*36000/_xlfn.DAYS(L831, $C$2)</f>
        <v>10.211362062242152</v>
      </c>
      <c r="O831" s="149">
        <f t="shared" ca="1" si="36"/>
        <v>1.000173611111111</v>
      </c>
    </row>
    <row r="832" spans="12:15" x14ac:dyDescent="0.25">
      <c r="L832" s="147">
        <f ca="1"/>
        <v>46071</v>
      </c>
      <c r="M832" s="92">
        <f t="shared" ca="1" si="35"/>
        <v>6.25</v>
      </c>
      <c r="N832" s="143">
        <f ca="1">(PRODUCT($O$5:$O832)-1)*36000/_xlfn.DAYS(L832, $C$2)</f>
        <v>10.208348473387426</v>
      </c>
      <c r="O832" s="149">
        <f t="shared" ca="1" si="36"/>
        <v>1.000173611111111</v>
      </c>
    </row>
    <row r="833" spans="12:15" x14ac:dyDescent="0.25">
      <c r="L833" s="147">
        <f ca="1"/>
        <v>46072</v>
      </c>
      <c r="M833" s="92">
        <f t="shared" ca="1" si="35"/>
        <v>6.25</v>
      </c>
      <c r="N833" s="143">
        <f ca="1">(PRODUCT($O$5:$O833)-1)*36000/_xlfn.DAYS(L833, $C$2)</f>
        <v>10.205343770877965</v>
      </c>
      <c r="O833" s="149">
        <f t="shared" ca="1" si="36"/>
        <v>1.000173611111111</v>
      </c>
    </row>
    <row r="834" spans="12:15" x14ac:dyDescent="0.25">
      <c r="L834" s="147">
        <f ca="1"/>
        <v>46073</v>
      </c>
      <c r="M834" s="92">
        <f t="shared" ca="1" si="35"/>
        <v>6.25</v>
      </c>
      <c r="N834" s="143">
        <f ca="1">(PRODUCT($O$5:$O834)-1)*36000/_xlfn.DAYS(L834, $C$2)</f>
        <v>10.202347922874653</v>
      </c>
      <c r="O834" s="149">
        <f t="shared" ca="1" si="36"/>
        <v>1.000173611111111</v>
      </c>
    </row>
    <row r="835" spans="12:15" x14ac:dyDescent="0.25">
      <c r="L835" s="147">
        <f ca="1"/>
        <v>46074</v>
      </c>
      <c r="M835" s="92">
        <f t="shared" ca="1" si="35"/>
        <v>6.25</v>
      </c>
      <c r="N835" s="143">
        <f ca="1">(PRODUCT($O$5:$O835)-1)*36000/_xlfn.DAYS(L835, $C$2)</f>
        <v>10.19936089769168</v>
      </c>
      <c r="O835" s="149">
        <f t="shared" ca="1" si="36"/>
        <v>1.000173611111111</v>
      </c>
    </row>
    <row r="836" spans="12:15" x14ac:dyDescent="0.25">
      <c r="L836" s="147">
        <f ca="1"/>
        <v>46075</v>
      </c>
      <c r="M836" s="92">
        <f t="shared" ca="1" si="35"/>
        <v>6.25</v>
      </c>
      <c r="N836" s="143">
        <f ca="1">(PRODUCT($O$5:$O836)-1)*36000/_xlfn.DAYS(L836, $C$2)</f>
        <v>10.196382663795626</v>
      </c>
      <c r="O836" s="149">
        <f t="shared" ca="1" si="36"/>
        <v>1.000173611111111</v>
      </c>
    </row>
    <row r="837" spans="12:15" x14ac:dyDescent="0.25">
      <c r="L837" s="147">
        <f ca="1"/>
        <v>46076</v>
      </c>
      <c r="M837" s="92">
        <f t="shared" ref="M837:M900" ca="1" si="37">IFERROR(INDEX($E$27:$H$47, MATCH(L837, $F$27:$F$47, 0), 4), IF(ISNUMBER(M836), M836, $C$5))</f>
        <v>6.25</v>
      </c>
      <c r="N837" s="143">
        <f ca="1">(PRODUCT($O$5:$O837)-1)*36000/_xlfn.DAYS(L837, $C$2)</f>
        <v>10.193413189804531</v>
      </c>
      <c r="O837" s="149">
        <f t="shared" ca="1" si="36"/>
        <v>1.000173611111111</v>
      </c>
    </row>
    <row r="838" spans="12:15" x14ac:dyDescent="0.25">
      <c r="L838" s="147">
        <f ca="1"/>
        <v>46077</v>
      </c>
      <c r="M838" s="92">
        <f t="shared" ca="1" si="37"/>
        <v>6.25</v>
      </c>
      <c r="N838" s="143">
        <f ca="1">(PRODUCT($O$5:$O838)-1)*36000/_xlfn.DAYS(L838, $C$2)</f>
        <v>10.190452444486999</v>
      </c>
      <c r="O838" s="149">
        <f t="shared" ref="O838:O901" ca="1" si="38">1+M838*IFERROR(_xlfn.DAYS(L838, L837), _xlfn.DAYS(L838, $C$2))/36000</f>
        <v>1.000173611111111</v>
      </c>
    </row>
    <row r="839" spans="12:15" x14ac:dyDescent="0.25">
      <c r="L839" s="147">
        <f ca="1"/>
        <v>46078</v>
      </c>
      <c r="M839" s="92">
        <f t="shared" ca="1" si="37"/>
        <v>6.25</v>
      </c>
      <c r="N839" s="143">
        <f ca="1">(PRODUCT($O$5:$O839)-1)*36000/_xlfn.DAYS(L839, $C$2)</f>
        <v>10.187500396761287</v>
      </c>
      <c r="O839" s="149">
        <f t="shared" ca="1" si="38"/>
        <v>1.000173611111111</v>
      </c>
    </row>
    <row r="840" spans="12:15" x14ac:dyDescent="0.25">
      <c r="L840" s="147">
        <f ca="1"/>
        <v>46079</v>
      </c>
      <c r="M840" s="92">
        <f t="shared" ca="1" si="37"/>
        <v>6.25</v>
      </c>
      <c r="N840" s="143">
        <f ca="1">(PRODUCT($O$5:$O840)-1)*36000/_xlfn.DAYS(L840, $C$2)</f>
        <v>10.184557015694439</v>
      </c>
      <c r="O840" s="149">
        <f t="shared" ca="1" si="38"/>
        <v>1.000173611111111</v>
      </c>
    </row>
    <row r="841" spans="12:15" x14ac:dyDescent="0.25">
      <c r="L841" s="147">
        <f ca="1"/>
        <v>46080</v>
      </c>
      <c r="M841" s="92">
        <f t="shared" ca="1" si="37"/>
        <v>6.25</v>
      </c>
      <c r="N841" s="143">
        <f ca="1">(PRODUCT($O$5:$O841)-1)*36000/_xlfn.DAYS(L841, $C$2)</f>
        <v>10.181622270501352</v>
      </c>
      <c r="O841" s="149">
        <f t="shared" ca="1" si="38"/>
        <v>1.000173611111111</v>
      </c>
    </row>
    <row r="842" spans="12:15" x14ac:dyDescent="0.25">
      <c r="L842" s="147">
        <f ca="1"/>
        <v>46081</v>
      </c>
      <c r="M842" s="92">
        <f t="shared" ca="1" si="37"/>
        <v>6.25</v>
      </c>
      <c r="N842" s="143">
        <f ca="1">(PRODUCT($O$5:$O842)-1)*36000/_xlfn.DAYS(L842, $C$2)</f>
        <v>10.178696130543925</v>
      </c>
      <c r="O842" s="149">
        <f t="shared" ca="1" si="38"/>
        <v>1.000173611111111</v>
      </c>
    </row>
    <row r="843" spans="12:15" x14ac:dyDescent="0.25">
      <c r="L843" s="147">
        <f ca="1"/>
        <v>46082</v>
      </c>
      <c r="M843" s="92">
        <f t="shared" ca="1" si="37"/>
        <v>6.25</v>
      </c>
      <c r="N843" s="143">
        <f ca="1">(PRODUCT($O$5:$O843)-1)*36000/_xlfn.DAYS(L843, $C$2)</f>
        <v>10.175778565330177</v>
      </c>
      <c r="O843" s="149">
        <f t="shared" ca="1" si="38"/>
        <v>1.000173611111111</v>
      </c>
    </row>
    <row r="844" spans="12:15" x14ac:dyDescent="0.25">
      <c r="L844" s="147">
        <f ca="1"/>
        <v>46083</v>
      </c>
      <c r="M844" s="92">
        <f t="shared" ca="1" si="37"/>
        <v>6.25</v>
      </c>
      <c r="N844" s="143">
        <f ca="1">(PRODUCT($O$5:$O844)-1)*36000/_xlfn.DAYS(L844, $C$2)</f>
        <v>10.172869544513372</v>
      </c>
      <c r="O844" s="149">
        <f t="shared" ca="1" si="38"/>
        <v>1.000173611111111</v>
      </c>
    </row>
    <row r="845" spans="12:15" x14ac:dyDescent="0.25">
      <c r="L845" s="147">
        <f ca="1"/>
        <v>46084</v>
      </c>
      <c r="M845" s="92">
        <f t="shared" ca="1" si="37"/>
        <v>6.25</v>
      </c>
      <c r="N845" s="143">
        <f ca="1">(PRODUCT($O$5:$O845)-1)*36000/_xlfn.DAYS(L845, $C$2)</f>
        <v>10.169969037891168</v>
      </c>
      <c r="O845" s="149">
        <f t="shared" ca="1" si="38"/>
        <v>1.000173611111111</v>
      </c>
    </row>
    <row r="846" spans="12:15" x14ac:dyDescent="0.25">
      <c r="L846" s="147">
        <f ca="1"/>
        <v>46085</v>
      </c>
      <c r="M846" s="92">
        <f t="shared" ca="1" si="37"/>
        <v>6.25</v>
      </c>
      <c r="N846" s="143">
        <f ca="1">(PRODUCT($O$5:$O846)-1)*36000/_xlfn.DAYS(L846, $C$2)</f>
        <v>10.167077015404731</v>
      </c>
      <c r="O846" s="149">
        <f t="shared" ca="1" si="38"/>
        <v>1.000173611111111</v>
      </c>
    </row>
    <row r="847" spans="12:15" x14ac:dyDescent="0.25">
      <c r="L847" s="147">
        <f ca="1"/>
        <v>46086</v>
      </c>
      <c r="M847" s="92">
        <f t="shared" ca="1" si="37"/>
        <v>6.25</v>
      </c>
      <c r="N847" s="143">
        <f ca="1">(PRODUCT($O$5:$O847)-1)*36000/_xlfn.DAYS(L847, $C$2)</f>
        <v>10.164193447137924</v>
      </c>
      <c r="O847" s="149">
        <f t="shared" ca="1" si="38"/>
        <v>1.000173611111111</v>
      </c>
    </row>
    <row r="848" spans="12:15" x14ac:dyDescent="0.25">
      <c r="L848" s="147">
        <f ca="1"/>
        <v>46087</v>
      </c>
      <c r="M848" s="92">
        <f t="shared" ca="1" si="37"/>
        <v>6.25</v>
      </c>
      <c r="N848" s="143">
        <f ca="1">(PRODUCT($O$5:$O848)-1)*36000/_xlfn.DAYS(L848, $C$2)</f>
        <v>10.161318303316422</v>
      </c>
      <c r="O848" s="149">
        <f t="shared" ca="1" si="38"/>
        <v>1.000173611111111</v>
      </c>
    </row>
    <row r="849" spans="12:15" x14ac:dyDescent="0.25">
      <c r="L849" s="147">
        <f ca="1"/>
        <v>46088</v>
      </c>
      <c r="M849" s="92">
        <f t="shared" ca="1" si="37"/>
        <v>6.25</v>
      </c>
      <c r="N849" s="143">
        <f ca="1">(PRODUCT($O$5:$O849)-1)*36000/_xlfn.DAYS(L849, $C$2)</f>
        <v>10.158451554306904</v>
      </c>
      <c r="O849" s="149">
        <f t="shared" ca="1" si="38"/>
        <v>1.000173611111111</v>
      </c>
    </row>
    <row r="850" spans="12:15" x14ac:dyDescent="0.25">
      <c r="L850" s="147">
        <f ca="1"/>
        <v>46089</v>
      </c>
      <c r="M850" s="92">
        <f t="shared" ca="1" si="37"/>
        <v>6.25</v>
      </c>
      <c r="N850" s="143">
        <f ca="1">(PRODUCT($O$5:$O850)-1)*36000/_xlfn.DAYS(L850, $C$2)</f>
        <v>10.155593170616205</v>
      </c>
      <c r="O850" s="149">
        <f t="shared" ca="1" si="38"/>
        <v>1.000173611111111</v>
      </c>
    </row>
    <row r="851" spans="12:15" x14ac:dyDescent="0.25">
      <c r="L851" s="147">
        <f ca="1"/>
        <v>46090</v>
      </c>
      <c r="M851" s="92">
        <f t="shared" ca="1" si="37"/>
        <v>6.25</v>
      </c>
      <c r="N851" s="143">
        <f ca="1">(PRODUCT($O$5:$O851)-1)*36000/_xlfn.DAYS(L851, $C$2)</f>
        <v>10.152743122890483</v>
      </c>
      <c r="O851" s="149">
        <f t="shared" ca="1" si="38"/>
        <v>1.000173611111111</v>
      </c>
    </row>
    <row r="852" spans="12:15" x14ac:dyDescent="0.25">
      <c r="L852" s="147">
        <f ca="1"/>
        <v>46091</v>
      </c>
      <c r="M852" s="92">
        <f t="shared" ca="1" si="37"/>
        <v>6.25</v>
      </c>
      <c r="N852" s="143">
        <f ca="1">(PRODUCT($O$5:$O852)-1)*36000/_xlfn.DAYS(L852, $C$2)</f>
        <v>10.149901381914416</v>
      </c>
      <c r="O852" s="149">
        <f t="shared" ca="1" si="38"/>
        <v>1.000173611111111</v>
      </c>
    </row>
    <row r="853" spans="12:15" x14ac:dyDescent="0.25">
      <c r="L853" s="147">
        <f ca="1"/>
        <v>46092</v>
      </c>
      <c r="M853" s="92">
        <f t="shared" ca="1" si="37"/>
        <v>6.25</v>
      </c>
      <c r="N853" s="143">
        <f ca="1">(PRODUCT($O$5:$O853)-1)*36000/_xlfn.DAYS(L853, $C$2)</f>
        <v>10.147067918610368</v>
      </c>
      <c r="O853" s="149">
        <f t="shared" ca="1" si="38"/>
        <v>1.000173611111111</v>
      </c>
    </row>
    <row r="854" spans="12:15" x14ac:dyDescent="0.25">
      <c r="L854" s="147">
        <f ca="1"/>
        <v>46093</v>
      </c>
      <c r="M854" s="92">
        <f t="shared" ca="1" si="37"/>
        <v>6.25</v>
      </c>
      <c r="N854" s="143">
        <f ca="1">(PRODUCT($O$5:$O854)-1)*36000/_xlfn.DAYS(L854, $C$2)</f>
        <v>10.144242704037588</v>
      </c>
      <c r="O854" s="149">
        <f t="shared" ca="1" si="38"/>
        <v>1.000173611111111</v>
      </c>
    </row>
    <row r="855" spans="12:15" x14ac:dyDescent="0.25">
      <c r="L855" s="147">
        <f ca="1"/>
        <v>46094</v>
      </c>
      <c r="M855" s="92">
        <f t="shared" ca="1" si="37"/>
        <v>6.25</v>
      </c>
      <c r="N855" s="143">
        <f ca="1">(PRODUCT($O$5:$O855)-1)*36000/_xlfn.DAYS(L855, $C$2)</f>
        <v>10.14142570939141</v>
      </c>
      <c r="O855" s="149">
        <f t="shared" ca="1" si="38"/>
        <v>1.000173611111111</v>
      </c>
    </row>
    <row r="856" spans="12:15" x14ac:dyDescent="0.25">
      <c r="L856" s="147">
        <f ca="1"/>
        <v>46095</v>
      </c>
      <c r="M856" s="92">
        <f t="shared" ca="1" si="37"/>
        <v>6.25</v>
      </c>
      <c r="N856" s="143">
        <f ca="1">(PRODUCT($O$5:$O856)-1)*36000/_xlfn.DAYS(L856, $C$2)</f>
        <v>10.138616906002447</v>
      </c>
      <c r="O856" s="149">
        <f t="shared" ca="1" si="38"/>
        <v>1.000173611111111</v>
      </c>
    </row>
    <row r="857" spans="12:15" x14ac:dyDescent="0.25">
      <c r="L857" s="147">
        <f ca="1"/>
        <v>46096</v>
      </c>
      <c r="M857" s="92">
        <f t="shared" ca="1" si="37"/>
        <v>6.25</v>
      </c>
      <c r="N857" s="143">
        <f ca="1">(PRODUCT($O$5:$O857)-1)*36000/_xlfn.DAYS(L857, $C$2)</f>
        <v>10.135816265335787</v>
      </c>
      <c r="O857" s="149">
        <f t="shared" ca="1" si="38"/>
        <v>1.000173611111111</v>
      </c>
    </row>
    <row r="858" spans="12:15" x14ac:dyDescent="0.25">
      <c r="L858" s="147">
        <f ca="1"/>
        <v>46097</v>
      </c>
      <c r="M858" s="92">
        <f t="shared" ca="1" si="37"/>
        <v>6.25</v>
      </c>
      <c r="N858" s="143">
        <f ca="1">(PRODUCT($O$5:$O858)-1)*36000/_xlfn.DAYS(L858, $C$2)</f>
        <v>10.133023758990241</v>
      </c>
      <c r="O858" s="149">
        <f t="shared" ca="1" si="38"/>
        <v>1.000173611111111</v>
      </c>
    </row>
    <row r="859" spans="12:15" x14ac:dyDescent="0.25">
      <c r="L859" s="147">
        <f ca="1"/>
        <v>46098</v>
      </c>
      <c r="M859" s="92">
        <f t="shared" ca="1" si="37"/>
        <v>6.25</v>
      </c>
      <c r="N859" s="143">
        <f ca="1">(PRODUCT($O$5:$O859)-1)*36000/_xlfn.DAYS(L859, $C$2)</f>
        <v>10.13023935869751</v>
      </c>
      <c r="O859" s="149">
        <f t="shared" ca="1" si="38"/>
        <v>1.000173611111111</v>
      </c>
    </row>
    <row r="860" spans="12:15" x14ac:dyDescent="0.25">
      <c r="L860" s="147">
        <f ca="1"/>
        <v>46099</v>
      </c>
      <c r="M860" s="92">
        <f t="shared" ca="1" si="37"/>
        <v>6.25</v>
      </c>
      <c r="N860" s="143">
        <f ca="1">(PRODUCT($O$5:$O860)-1)*36000/_xlfn.DAYS(L860, $C$2)</f>
        <v>10.127463036321471</v>
      </c>
      <c r="O860" s="149">
        <f t="shared" ca="1" si="38"/>
        <v>1.000173611111111</v>
      </c>
    </row>
    <row r="861" spans="12:15" x14ac:dyDescent="0.25">
      <c r="L861" s="147">
        <f ca="1"/>
        <v>46100</v>
      </c>
      <c r="M861" s="92">
        <f t="shared" ca="1" si="37"/>
        <v>6.25</v>
      </c>
      <c r="N861" s="143">
        <f ca="1">(PRODUCT($O$5:$O861)-1)*36000/_xlfn.DAYS(L861, $C$2)</f>
        <v>10.124694763857333</v>
      </c>
      <c r="O861" s="149">
        <f t="shared" ca="1" si="38"/>
        <v>1.000173611111111</v>
      </c>
    </row>
    <row r="862" spans="12:15" x14ac:dyDescent="0.25">
      <c r="L862" s="147">
        <f ca="1"/>
        <v>46101</v>
      </c>
      <c r="M862" s="92">
        <f t="shared" ca="1" si="37"/>
        <v>6.25</v>
      </c>
      <c r="N862" s="143">
        <f ca="1">(PRODUCT($O$5:$O862)-1)*36000/_xlfn.DAYS(L862, $C$2)</f>
        <v>10.121934513430947</v>
      </c>
      <c r="O862" s="149">
        <f t="shared" ca="1" si="38"/>
        <v>1.000173611111111</v>
      </c>
    </row>
    <row r="863" spans="12:15" x14ac:dyDescent="0.25">
      <c r="L863" s="147">
        <f ca="1"/>
        <v>46102</v>
      </c>
      <c r="M863" s="92">
        <f t="shared" ca="1" si="37"/>
        <v>6.25</v>
      </c>
      <c r="N863" s="143">
        <f ca="1">(PRODUCT($O$5:$O863)-1)*36000/_xlfn.DAYS(L863, $C$2)</f>
        <v>10.119182257298</v>
      </c>
      <c r="O863" s="149">
        <f t="shared" ca="1" si="38"/>
        <v>1.000173611111111</v>
      </c>
    </row>
    <row r="864" spans="12:15" x14ac:dyDescent="0.25">
      <c r="L864" s="147">
        <f ca="1"/>
        <v>46103</v>
      </c>
      <c r="M864" s="92">
        <f t="shared" ca="1" si="37"/>
        <v>6.25</v>
      </c>
      <c r="N864" s="143">
        <f ca="1">(PRODUCT($O$5:$O864)-1)*36000/_xlfn.DAYS(L864, $C$2)</f>
        <v>10.116437967843247</v>
      </c>
      <c r="O864" s="149">
        <f t="shared" ca="1" si="38"/>
        <v>1.000173611111111</v>
      </c>
    </row>
    <row r="865" spans="12:15" x14ac:dyDescent="0.25">
      <c r="L865" s="147">
        <f ca="1"/>
        <v>46104</v>
      </c>
      <c r="M865" s="92">
        <f t="shared" ca="1" si="37"/>
        <v>6.25</v>
      </c>
      <c r="N865" s="143">
        <f ca="1">(PRODUCT($O$5:$O865)-1)*36000/_xlfn.DAYS(L865, $C$2)</f>
        <v>10.113701617579817</v>
      </c>
      <c r="O865" s="149">
        <f t="shared" ca="1" si="38"/>
        <v>1.000173611111111</v>
      </c>
    </row>
    <row r="866" spans="12:15" x14ac:dyDescent="0.25">
      <c r="L866" s="147">
        <f ca="1"/>
        <v>46105</v>
      </c>
      <c r="M866" s="92">
        <f t="shared" ca="1" si="37"/>
        <v>6.25</v>
      </c>
      <c r="N866" s="143">
        <f ca="1">(PRODUCT($O$5:$O866)-1)*36000/_xlfn.DAYS(L866, $C$2)</f>
        <v>10.110973179148415</v>
      </c>
      <c r="O866" s="149">
        <f t="shared" ca="1" si="38"/>
        <v>1.000173611111111</v>
      </c>
    </row>
    <row r="867" spans="12:15" x14ac:dyDescent="0.25">
      <c r="L867" s="147">
        <f ca="1"/>
        <v>46106</v>
      </c>
      <c r="M867" s="92">
        <f t="shared" ca="1" si="37"/>
        <v>6.25</v>
      </c>
      <c r="N867" s="143">
        <f ca="1">(PRODUCT($O$5:$O867)-1)*36000/_xlfn.DAYS(L867, $C$2)</f>
        <v>10.108252625316601</v>
      </c>
      <c r="O867" s="149">
        <f t="shared" ca="1" si="38"/>
        <v>1.000173611111111</v>
      </c>
    </row>
    <row r="868" spans="12:15" x14ac:dyDescent="0.25">
      <c r="L868" s="147">
        <f ca="1"/>
        <v>46107</v>
      </c>
      <c r="M868" s="92">
        <f t="shared" ca="1" si="37"/>
        <v>6.25</v>
      </c>
      <c r="N868" s="143">
        <f ca="1">(PRODUCT($O$5:$O868)-1)*36000/_xlfn.DAYS(L868, $C$2)</f>
        <v>10.105539928978066</v>
      </c>
      <c r="O868" s="149">
        <f t="shared" ca="1" si="38"/>
        <v>1.000173611111111</v>
      </c>
    </row>
    <row r="869" spans="12:15" x14ac:dyDescent="0.25">
      <c r="L869" s="147">
        <f ca="1"/>
        <v>46108</v>
      </c>
      <c r="M869" s="92">
        <f t="shared" ca="1" si="37"/>
        <v>6.25</v>
      </c>
      <c r="N869" s="143">
        <f ca="1">(PRODUCT($O$5:$O869)-1)*36000/_xlfn.DAYS(L869, $C$2)</f>
        <v>10.102835063151899</v>
      </c>
      <c r="O869" s="149">
        <f t="shared" ca="1" si="38"/>
        <v>1.000173611111111</v>
      </c>
    </row>
    <row r="870" spans="12:15" x14ac:dyDescent="0.25">
      <c r="L870" s="147">
        <f ca="1"/>
        <v>46109</v>
      </c>
      <c r="M870" s="92">
        <f t="shared" ca="1" si="37"/>
        <v>6.25</v>
      </c>
      <c r="N870" s="143">
        <f ca="1">(PRODUCT($O$5:$O870)-1)*36000/_xlfn.DAYS(L870, $C$2)</f>
        <v>10.10013800098185</v>
      </c>
      <c r="O870" s="149">
        <f t="shared" ca="1" si="38"/>
        <v>1.000173611111111</v>
      </c>
    </row>
    <row r="871" spans="12:15" x14ac:dyDescent="0.25">
      <c r="L871" s="147">
        <f ca="1"/>
        <v>46110</v>
      </c>
      <c r="M871" s="92">
        <f t="shared" ca="1" si="37"/>
        <v>6.25</v>
      </c>
      <c r="N871" s="143">
        <f ca="1">(PRODUCT($O$5:$O871)-1)*36000/_xlfn.DAYS(L871, $C$2)</f>
        <v>10.097448715735627</v>
      </c>
      <c r="O871" s="149">
        <f t="shared" ca="1" si="38"/>
        <v>1.000173611111111</v>
      </c>
    </row>
    <row r="872" spans="12:15" x14ac:dyDescent="0.25">
      <c r="L872" s="147">
        <f ca="1"/>
        <v>46111</v>
      </c>
      <c r="M872" s="92">
        <f t="shared" ca="1" si="37"/>
        <v>6.25</v>
      </c>
      <c r="N872" s="143">
        <f ca="1">(PRODUCT($O$5:$O872)-1)*36000/_xlfn.DAYS(L872, $C$2)</f>
        <v>10.094767180804174</v>
      </c>
      <c r="O872" s="149">
        <f t="shared" ca="1" si="38"/>
        <v>1.000173611111111</v>
      </c>
    </row>
    <row r="873" spans="12:15" x14ac:dyDescent="0.25">
      <c r="L873" s="147">
        <f ca="1"/>
        <v>46112</v>
      </c>
      <c r="M873" s="92">
        <f t="shared" ca="1" si="37"/>
        <v>6.25</v>
      </c>
      <c r="N873" s="143">
        <f ca="1">(PRODUCT($O$5:$O873)-1)*36000/_xlfn.DAYS(L873, $C$2)</f>
        <v>10.092093369700954</v>
      </c>
      <c r="O873" s="149">
        <f t="shared" ca="1" si="38"/>
        <v>1.000173611111111</v>
      </c>
    </row>
    <row r="874" spans="12:15" x14ac:dyDescent="0.25">
      <c r="L874" s="147">
        <f ca="1"/>
        <v>46113</v>
      </c>
      <c r="M874" s="92">
        <f t="shared" ca="1" si="37"/>
        <v>6.25</v>
      </c>
      <c r="N874" s="143">
        <f ca="1">(PRODUCT($O$5:$O874)-1)*36000/_xlfn.DAYS(L874, $C$2)</f>
        <v>10.089427256061262</v>
      </c>
      <c r="O874" s="149">
        <f t="shared" ca="1" si="38"/>
        <v>1.000173611111111</v>
      </c>
    </row>
    <row r="875" spans="12:15" x14ac:dyDescent="0.25">
      <c r="L875" s="147">
        <f ca="1"/>
        <v>46114</v>
      </c>
      <c r="M875" s="92">
        <f t="shared" ca="1" si="37"/>
        <v>6.25</v>
      </c>
      <c r="N875" s="143">
        <f ca="1">(PRODUCT($O$5:$O875)-1)*36000/_xlfn.DAYS(L875, $C$2)</f>
        <v>10.086768813641514</v>
      </c>
      <c r="O875" s="149">
        <f t="shared" ca="1" si="38"/>
        <v>1.000173611111111</v>
      </c>
    </row>
    <row r="876" spans="12:15" x14ac:dyDescent="0.25">
      <c r="L876" s="147">
        <f ca="1"/>
        <v>46115</v>
      </c>
      <c r="M876" s="92">
        <f t="shared" ca="1" si="37"/>
        <v>6.25</v>
      </c>
      <c r="N876" s="143">
        <f ca="1">(PRODUCT($O$5:$O876)-1)*36000/_xlfn.DAYS(L876, $C$2)</f>
        <v>10.084118016318564</v>
      </c>
      <c r="O876" s="149">
        <f t="shared" ca="1" si="38"/>
        <v>1.000173611111111</v>
      </c>
    </row>
    <row r="877" spans="12:15" x14ac:dyDescent="0.25">
      <c r="L877" s="147">
        <f ca="1"/>
        <v>46116</v>
      </c>
      <c r="M877" s="92">
        <f t="shared" ca="1" si="37"/>
        <v>6.25</v>
      </c>
      <c r="N877" s="143">
        <f ca="1">(PRODUCT($O$5:$O877)-1)*36000/_xlfn.DAYS(L877, $C$2)</f>
        <v>10.081474838089006</v>
      </c>
      <c r="O877" s="149">
        <f t="shared" ca="1" si="38"/>
        <v>1.000173611111111</v>
      </c>
    </row>
    <row r="878" spans="12:15" x14ac:dyDescent="0.25">
      <c r="L878" s="147">
        <f ca="1"/>
        <v>46117</v>
      </c>
      <c r="M878" s="92">
        <f t="shared" ca="1" si="37"/>
        <v>6.25</v>
      </c>
      <c r="N878" s="143">
        <f ca="1">(PRODUCT($O$5:$O878)-1)*36000/_xlfn.DAYS(L878, $C$2)</f>
        <v>10.078839253068477</v>
      </c>
      <c r="O878" s="149">
        <f t="shared" ca="1" si="38"/>
        <v>1.000173611111111</v>
      </c>
    </row>
    <row r="879" spans="12:15" x14ac:dyDescent="0.25">
      <c r="L879" s="147">
        <f ca="1"/>
        <v>46118</v>
      </c>
      <c r="M879" s="92">
        <f t="shared" ca="1" si="37"/>
        <v>6.25</v>
      </c>
      <c r="N879" s="143">
        <f ca="1">(PRODUCT($O$5:$O879)-1)*36000/_xlfn.DAYS(L879, $C$2)</f>
        <v>10.076211235490993</v>
      </c>
      <c r="O879" s="149">
        <f t="shared" ca="1" si="38"/>
        <v>1.000173611111111</v>
      </c>
    </row>
    <row r="880" spans="12:15" x14ac:dyDescent="0.25">
      <c r="L880" s="147">
        <f ca="1"/>
        <v>46119</v>
      </c>
      <c r="M880" s="92">
        <f t="shared" ca="1" si="37"/>
        <v>6.25</v>
      </c>
      <c r="N880" s="143">
        <f ca="1">(PRODUCT($O$5:$O880)-1)*36000/_xlfn.DAYS(L880, $C$2)</f>
        <v>10.07359075970828</v>
      </c>
      <c r="O880" s="149">
        <f t="shared" ca="1" si="38"/>
        <v>1.000173611111111</v>
      </c>
    </row>
    <row r="881" spans="12:15" x14ac:dyDescent="0.25">
      <c r="L881" s="147">
        <f ca="1"/>
        <v>46120</v>
      </c>
      <c r="M881" s="92">
        <f t="shared" ca="1" si="37"/>
        <v>6.25</v>
      </c>
      <c r="N881" s="143">
        <f ca="1">(PRODUCT($O$5:$O881)-1)*36000/_xlfn.DAYS(L881, $C$2)</f>
        <v>10.070977800189079</v>
      </c>
      <c r="O881" s="149">
        <f t="shared" ca="1" si="38"/>
        <v>1.000173611111111</v>
      </c>
    </row>
    <row r="882" spans="12:15" x14ac:dyDescent="0.25">
      <c r="L882" s="147">
        <f ca="1"/>
        <v>46121</v>
      </c>
      <c r="M882" s="92">
        <f t="shared" ca="1" si="37"/>
        <v>6.25</v>
      </c>
      <c r="N882" s="143">
        <f ca="1">(PRODUCT($O$5:$O882)-1)*36000/_xlfn.DAYS(L882, $C$2)</f>
        <v>10.068372331518502</v>
      </c>
      <c r="O882" s="149">
        <f t="shared" ca="1" si="38"/>
        <v>1.000173611111111</v>
      </c>
    </row>
    <row r="883" spans="12:15" x14ac:dyDescent="0.25">
      <c r="L883" s="147">
        <f ca="1"/>
        <v>46122</v>
      </c>
      <c r="M883" s="92">
        <f t="shared" ca="1" si="37"/>
        <v>6.25</v>
      </c>
      <c r="N883" s="143">
        <f ca="1">(PRODUCT($O$5:$O883)-1)*36000/_xlfn.DAYS(L883, $C$2)</f>
        <v>10.065774328397351</v>
      </c>
      <c r="O883" s="149">
        <f t="shared" ca="1" si="38"/>
        <v>1.000173611111111</v>
      </c>
    </row>
    <row r="884" spans="12:15" x14ac:dyDescent="0.25">
      <c r="L884" s="147">
        <f ca="1"/>
        <v>46123</v>
      </c>
      <c r="M884" s="92">
        <f t="shared" ca="1" si="37"/>
        <v>6.25</v>
      </c>
      <c r="N884" s="143">
        <f ca="1">(PRODUCT($O$5:$O884)-1)*36000/_xlfn.DAYS(L884, $C$2)</f>
        <v>10.063183765641492</v>
      </c>
      <c r="O884" s="149">
        <f t="shared" ca="1" si="38"/>
        <v>1.000173611111111</v>
      </c>
    </row>
    <row r="885" spans="12:15" x14ac:dyDescent="0.25">
      <c r="L885" s="147">
        <f ca="1"/>
        <v>46124</v>
      </c>
      <c r="M885" s="92">
        <f t="shared" ca="1" si="37"/>
        <v>6.25</v>
      </c>
      <c r="N885" s="143">
        <f ca="1">(PRODUCT($O$5:$O885)-1)*36000/_xlfn.DAYS(L885, $C$2)</f>
        <v>10.060600618181148</v>
      </c>
      <c r="O885" s="149">
        <f t="shared" ca="1" si="38"/>
        <v>1.000173611111111</v>
      </c>
    </row>
    <row r="886" spans="12:15" x14ac:dyDescent="0.25">
      <c r="L886" s="147">
        <f ca="1"/>
        <v>46125</v>
      </c>
      <c r="M886" s="92">
        <f t="shared" ca="1" si="37"/>
        <v>6.25</v>
      </c>
      <c r="N886" s="143">
        <f ca="1">(PRODUCT($O$5:$O886)-1)*36000/_xlfn.DAYS(L886, $C$2)</f>
        <v>10.058024861060312</v>
      </c>
      <c r="O886" s="149">
        <f t="shared" ca="1" si="38"/>
        <v>1.000173611111111</v>
      </c>
    </row>
    <row r="887" spans="12:15" x14ac:dyDescent="0.25">
      <c r="L887" s="147">
        <f ca="1"/>
        <v>46126</v>
      </c>
      <c r="M887" s="92">
        <f t="shared" ca="1" si="37"/>
        <v>6.25</v>
      </c>
      <c r="N887" s="143">
        <f ca="1">(PRODUCT($O$5:$O887)-1)*36000/_xlfn.DAYS(L887, $C$2)</f>
        <v>10.055456469436059</v>
      </c>
      <c r="O887" s="149">
        <f t="shared" ca="1" si="38"/>
        <v>1.000173611111111</v>
      </c>
    </row>
    <row r="888" spans="12:15" x14ac:dyDescent="0.25">
      <c r="L888" s="147">
        <f ca="1"/>
        <v>46127</v>
      </c>
      <c r="M888" s="92">
        <f t="shared" ca="1" si="37"/>
        <v>6.25</v>
      </c>
      <c r="N888" s="143">
        <f ca="1">(PRODUCT($O$5:$O888)-1)*36000/_xlfn.DAYS(L888, $C$2)</f>
        <v>10.052895418577931</v>
      </c>
      <c r="O888" s="149">
        <f t="shared" ca="1" si="38"/>
        <v>1.000173611111111</v>
      </c>
    </row>
    <row r="889" spans="12:15" x14ac:dyDescent="0.25">
      <c r="L889" s="147">
        <f ca="1"/>
        <v>46128</v>
      </c>
      <c r="M889" s="92">
        <f t="shared" ca="1" si="37"/>
        <v>6.25</v>
      </c>
      <c r="N889" s="143">
        <f ca="1">(PRODUCT($O$5:$O889)-1)*36000/_xlfn.DAYS(L889, $C$2)</f>
        <v>10.050341683867279</v>
      </c>
      <c r="O889" s="149">
        <f t="shared" ca="1" si="38"/>
        <v>1.000173611111111</v>
      </c>
    </row>
    <row r="890" spans="12:15" x14ac:dyDescent="0.25">
      <c r="L890" s="147">
        <f ca="1"/>
        <v>46129</v>
      </c>
      <c r="M890" s="92">
        <f t="shared" ca="1" si="37"/>
        <v>6.25</v>
      </c>
      <c r="N890" s="143">
        <f ca="1">(PRODUCT($O$5:$O890)-1)*36000/_xlfn.DAYS(L890, $C$2)</f>
        <v>10.047795240796654</v>
      </c>
      <c r="O890" s="149">
        <f t="shared" ca="1" si="38"/>
        <v>1.000173611111111</v>
      </c>
    </row>
    <row r="891" spans="12:15" x14ac:dyDescent="0.25">
      <c r="L891" s="147">
        <f ca="1"/>
        <v>46130</v>
      </c>
      <c r="M891" s="92">
        <f t="shared" ca="1" si="37"/>
        <v>6.25</v>
      </c>
      <c r="N891" s="143">
        <f ca="1">(PRODUCT($O$5:$O891)-1)*36000/_xlfn.DAYS(L891, $C$2)</f>
        <v>10.045256064969177</v>
      </c>
      <c r="O891" s="149">
        <f t="shared" ca="1" si="38"/>
        <v>1.000173611111111</v>
      </c>
    </row>
    <row r="892" spans="12:15" x14ac:dyDescent="0.25">
      <c r="L892" s="147">
        <f ca="1"/>
        <v>46131</v>
      </c>
      <c r="M892" s="92">
        <f t="shared" ca="1" si="37"/>
        <v>6.25</v>
      </c>
      <c r="N892" s="143">
        <f ca="1">(PRODUCT($O$5:$O892)-1)*36000/_xlfn.DAYS(L892, $C$2)</f>
        <v>10.042724132097904</v>
      </c>
      <c r="O892" s="149">
        <f t="shared" ca="1" si="38"/>
        <v>1.000173611111111</v>
      </c>
    </row>
    <row r="893" spans="12:15" x14ac:dyDescent="0.25">
      <c r="L893" s="147">
        <f ca="1"/>
        <v>46132</v>
      </c>
      <c r="M893" s="92">
        <f t="shared" ca="1" si="37"/>
        <v>6.25</v>
      </c>
      <c r="N893" s="143">
        <f ca="1">(PRODUCT($O$5:$O893)-1)*36000/_xlfn.DAYS(L893, $C$2)</f>
        <v>10.040199418005214</v>
      </c>
      <c r="O893" s="149">
        <f t="shared" ca="1" si="38"/>
        <v>1.000173611111111</v>
      </c>
    </row>
    <row r="894" spans="12:15" x14ac:dyDescent="0.25">
      <c r="L894" s="147">
        <f ca="1"/>
        <v>46133</v>
      </c>
      <c r="M894" s="92">
        <f t="shared" ca="1" si="37"/>
        <v>6.25</v>
      </c>
      <c r="N894" s="143">
        <f ca="1">(PRODUCT($O$5:$O894)-1)*36000/_xlfn.DAYS(L894, $C$2)</f>
        <v>10.037681898622193</v>
      </c>
      <c r="O894" s="149">
        <f t="shared" ca="1" si="38"/>
        <v>1.000173611111111</v>
      </c>
    </row>
    <row r="895" spans="12:15" x14ac:dyDescent="0.25">
      <c r="L895" s="147">
        <f ca="1"/>
        <v>46134</v>
      </c>
      <c r="M895" s="92">
        <f t="shared" ca="1" si="37"/>
        <v>6.25</v>
      </c>
      <c r="N895" s="143">
        <f ca="1">(PRODUCT($O$5:$O895)-1)*36000/_xlfn.DAYS(L895, $C$2)</f>
        <v>10.035171549988029</v>
      </c>
      <c r="O895" s="149">
        <f t="shared" ca="1" si="38"/>
        <v>1.000173611111111</v>
      </c>
    </row>
    <row r="896" spans="12:15" x14ac:dyDescent="0.25">
      <c r="L896" s="147">
        <f ca="1"/>
        <v>46135</v>
      </c>
      <c r="M896" s="92">
        <f t="shared" ca="1" si="37"/>
        <v>6.25</v>
      </c>
      <c r="N896" s="143">
        <f ca="1">(PRODUCT($O$5:$O896)-1)*36000/_xlfn.DAYS(L896, $C$2)</f>
        <v>10.032668348249402</v>
      </c>
      <c r="O896" s="149">
        <f t="shared" ca="1" si="38"/>
        <v>1.000173611111111</v>
      </c>
    </row>
    <row r="897" spans="12:15" x14ac:dyDescent="0.25">
      <c r="L897" s="147">
        <f ca="1"/>
        <v>46136</v>
      </c>
      <c r="M897" s="92">
        <f t="shared" ca="1" si="37"/>
        <v>6.25</v>
      </c>
      <c r="N897" s="143">
        <f ca="1">(PRODUCT($O$5:$O897)-1)*36000/_xlfn.DAYS(L897, $C$2)</f>
        <v>10.030172269659886</v>
      </c>
      <c r="O897" s="149">
        <f t="shared" ca="1" si="38"/>
        <v>1.000173611111111</v>
      </c>
    </row>
    <row r="898" spans="12:15" x14ac:dyDescent="0.25">
      <c r="L898" s="147">
        <f ca="1"/>
        <v>46137</v>
      </c>
      <c r="M898" s="92">
        <f t="shared" ca="1" si="37"/>
        <v>6.25</v>
      </c>
      <c r="N898" s="143">
        <f ca="1">(PRODUCT($O$5:$O898)-1)*36000/_xlfn.DAYS(L898, $C$2)</f>
        <v>10.027683290579356</v>
      </c>
      <c r="O898" s="149">
        <f t="shared" ca="1" si="38"/>
        <v>1.000173611111111</v>
      </c>
    </row>
    <row r="899" spans="12:15" x14ac:dyDescent="0.25">
      <c r="L899" s="147">
        <f ca="1"/>
        <v>46138</v>
      </c>
      <c r="M899" s="92">
        <f t="shared" ca="1" si="37"/>
        <v>6.25</v>
      </c>
      <c r="N899" s="143">
        <f ca="1">(PRODUCT($O$5:$O899)-1)*36000/_xlfn.DAYS(L899, $C$2)</f>
        <v>10.02520138747337</v>
      </c>
      <c r="O899" s="149">
        <f t="shared" ca="1" si="38"/>
        <v>1.000173611111111</v>
      </c>
    </row>
    <row r="900" spans="12:15" x14ac:dyDescent="0.25">
      <c r="L900" s="147">
        <f ca="1"/>
        <v>46139</v>
      </c>
      <c r="M900" s="92">
        <f t="shared" ca="1" si="37"/>
        <v>6.25</v>
      </c>
      <c r="N900" s="143">
        <f ca="1">(PRODUCT($O$5:$O900)-1)*36000/_xlfn.DAYS(L900, $C$2)</f>
        <v>10.022726536912611</v>
      </c>
      <c r="O900" s="149">
        <f t="shared" ca="1" si="38"/>
        <v>1.000173611111111</v>
      </c>
    </row>
    <row r="901" spans="12:15" x14ac:dyDescent="0.25">
      <c r="L901" s="147">
        <f ca="1"/>
        <v>46140</v>
      </c>
      <c r="M901" s="92">
        <f t="shared" ref="M901:M964" ca="1" si="39">IFERROR(INDEX($E$27:$H$47, MATCH(L901, $F$27:$F$47, 0), 4), IF(ISNUMBER(M900), M900, $C$5))</f>
        <v>6.25</v>
      </c>
      <c r="N901" s="143">
        <f ca="1">(PRODUCT($O$5:$O901)-1)*36000/_xlfn.DAYS(L901, $C$2)</f>
        <v>10.020258715572266</v>
      </c>
      <c r="O901" s="149">
        <f t="shared" ca="1" si="38"/>
        <v>1.000173611111111</v>
      </c>
    </row>
    <row r="902" spans="12:15" x14ac:dyDescent="0.25">
      <c r="L902" s="147">
        <f ca="1"/>
        <v>46141</v>
      </c>
      <c r="M902" s="92">
        <f t="shared" ca="1" si="39"/>
        <v>6.25</v>
      </c>
      <c r="N902" s="143">
        <f ca="1">(PRODUCT($O$5:$O902)-1)*36000/_xlfn.DAYS(L902, $C$2)</f>
        <v>10.017797900231493</v>
      </c>
      <c r="O902" s="149">
        <f t="shared" ref="O902:O965" ca="1" si="40">1+M902*IFERROR(_xlfn.DAYS(L902, L901), _xlfn.DAYS(L902, $C$2))/36000</f>
        <v>1.000173611111111</v>
      </c>
    </row>
    <row r="903" spans="12:15" x14ac:dyDescent="0.25">
      <c r="L903" s="147">
        <f ca="1"/>
        <v>46142</v>
      </c>
      <c r="M903" s="92">
        <f t="shared" ca="1" si="39"/>
        <v>6.25</v>
      </c>
      <c r="N903" s="143">
        <f ca="1">(PRODUCT($O$5:$O903)-1)*36000/_xlfn.DAYS(L903, $C$2)</f>
        <v>10.015344067772793</v>
      </c>
      <c r="O903" s="149">
        <f t="shared" ca="1" si="40"/>
        <v>1.000173611111111</v>
      </c>
    </row>
    <row r="904" spans="12:15" x14ac:dyDescent="0.25">
      <c r="L904" s="147">
        <f ca="1"/>
        <v>46143</v>
      </c>
      <c r="M904" s="92">
        <f t="shared" ca="1" si="39"/>
        <v>6.25</v>
      </c>
      <c r="N904" s="143">
        <f ca="1">(PRODUCT($O$5:$O904)-1)*36000/_xlfn.DAYS(L904, $C$2)</f>
        <v>10.012897195181463</v>
      </c>
      <c r="O904" s="149">
        <f t="shared" ca="1" si="40"/>
        <v>1.000173611111111</v>
      </c>
    </row>
    <row r="905" spans="12:15" x14ac:dyDescent="0.25">
      <c r="L905" s="147">
        <f ca="1"/>
        <v>46144</v>
      </c>
      <c r="M905" s="92">
        <f t="shared" ca="1" si="39"/>
        <v>6.25</v>
      </c>
      <c r="N905" s="143">
        <f ca="1">(PRODUCT($O$5:$O905)-1)*36000/_xlfn.DAYS(L905, $C$2)</f>
        <v>10.010457259545017</v>
      </c>
      <c r="O905" s="149">
        <f t="shared" ca="1" si="40"/>
        <v>1.000173611111111</v>
      </c>
    </row>
    <row r="906" spans="12:15" x14ac:dyDescent="0.25">
      <c r="L906" s="147">
        <f ca="1"/>
        <v>46145</v>
      </c>
      <c r="M906" s="92">
        <f t="shared" ca="1" si="39"/>
        <v>6.25</v>
      </c>
      <c r="N906" s="143">
        <f ca="1">(PRODUCT($O$5:$O906)-1)*36000/_xlfn.DAYS(L906, $C$2)</f>
        <v>10.008024238052627</v>
      </c>
      <c r="O906" s="149">
        <f t="shared" ca="1" si="40"/>
        <v>1.000173611111111</v>
      </c>
    </row>
    <row r="907" spans="12:15" x14ac:dyDescent="0.25">
      <c r="L907" s="147">
        <f ca="1"/>
        <v>46146</v>
      </c>
      <c r="M907" s="92">
        <f t="shared" ca="1" si="39"/>
        <v>6.25</v>
      </c>
      <c r="N907" s="143">
        <f ca="1">(PRODUCT($O$5:$O907)-1)*36000/_xlfn.DAYS(L907, $C$2)</f>
        <v>10.005598107994551</v>
      </c>
      <c r="O907" s="149">
        <f t="shared" ca="1" si="40"/>
        <v>1.000173611111111</v>
      </c>
    </row>
    <row r="908" spans="12:15" x14ac:dyDescent="0.25">
      <c r="L908" s="147">
        <f ca="1"/>
        <v>46147</v>
      </c>
      <c r="M908" s="92">
        <f t="shared" ca="1" si="39"/>
        <v>6.25</v>
      </c>
      <c r="N908" s="143">
        <f ca="1">(PRODUCT($O$5:$O908)-1)*36000/_xlfn.DAYS(L908, $C$2)</f>
        <v>10.003178846761578</v>
      </c>
      <c r="O908" s="149">
        <f t="shared" ca="1" si="40"/>
        <v>1.000173611111111</v>
      </c>
    </row>
    <row r="909" spans="12:15" x14ac:dyDescent="0.25">
      <c r="L909" s="147">
        <f ca="1"/>
        <v>46148</v>
      </c>
      <c r="M909" s="92">
        <f t="shared" ca="1" si="39"/>
        <v>6.25</v>
      </c>
      <c r="N909" s="143">
        <f ca="1">(PRODUCT($O$5:$O909)-1)*36000/_xlfn.DAYS(L909, $C$2)</f>
        <v>10.00076643184447</v>
      </c>
      <c r="O909" s="149">
        <f t="shared" ca="1" si="40"/>
        <v>1.000173611111111</v>
      </c>
    </row>
    <row r="910" spans="12:15" x14ac:dyDescent="0.25">
      <c r="L910" s="147">
        <f ca="1"/>
        <v>46149</v>
      </c>
      <c r="M910" s="92">
        <f t="shared" ca="1" si="39"/>
        <v>6.25</v>
      </c>
      <c r="N910" s="143">
        <f ca="1">(PRODUCT($O$5:$O910)-1)*36000/_xlfn.DAYS(L910, $C$2)</f>
        <v>9.9983608408334206</v>
      </c>
      <c r="O910" s="149">
        <f t="shared" ca="1" si="40"/>
        <v>1.000173611111111</v>
      </c>
    </row>
    <row r="911" spans="12:15" x14ac:dyDescent="0.25">
      <c r="L911" s="147">
        <f ca="1"/>
        <v>46150</v>
      </c>
      <c r="M911" s="92">
        <f t="shared" ca="1" si="39"/>
        <v>6.25</v>
      </c>
      <c r="N911" s="143">
        <f ca="1">(PRODUCT($O$5:$O911)-1)*36000/_xlfn.DAYS(L911, $C$2)</f>
        <v>9.9959620514174876</v>
      </c>
      <c r="O911" s="149">
        <f t="shared" ca="1" si="40"/>
        <v>1.000173611111111</v>
      </c>
    </row>
    <row r="912" spans="12:15" x14ac:dyDescent="0.25">
      <c r="L912" s="147">
        <f ca="1"/>
        <v>46151</v>
      </c>
      <c r="M912" s="92">
        <f t="shared" ca="1" si="39"/>
        <v>6.25</v>
      </c>
      <c r="N912" s="143">
        <f ca="1">(PRODUCT($O$5:$O912)-1)*36000/_xlfn.DAYS(L912, $C$2)</f>
        <v>9.9935700413840767</v>
      </c>
      <c r="O912" s="149">
        <f t="shared" ca="1" si="40"/>
        <v>1.000173611111111</v>
      </c>
    </row>
    <row r="913" spans="12:15" x14ac:dyDescent="0.25">
      <c r="L913" s="147">
        <f ca="1"/>
        <v>46152</v>
      </c>
      <c r="M913" s="92">
        <f t="shared" ca="1" si="39"/>
        <v>6.25</v>
      </c>
      <c r="N913" s="143">
        <f ca="1">(PRODUCT($O$5:$O913)-1)*36000/_xlfn.DAYS(L913, $C$2)</f>
        <v>9.9911847886183676</v>
      </c>
      <c r="O913" s="149">
        <f t="shared" ca="1" si="40"/>
        <v>1.000173611111111</v>
      </c>
    </row>
    <row r="914" spans="12:15" x14ac:dyDescent="0.25">
      <c r="L914" s="147">
        <f ca="1"/>
        <v>46153</v>
      </c>
      <c r="M914" s="92">
        <f t="shared" ca="1" si="39"/>
        <v>6.25</v>
      </c>
      <c r="N914" s="143">
        <f ca="1">(PRODUCT($O$5:$O914)-1)*36000/_xlfn.DAYS(L914, $C$2)</f>
        <v>9.9888062711027956</v>
      </c>
      <c r="O914" s="149">
        <f t="shared" ca="1" si="40"/>
        <v>1.000173611111111</v>
      </c>
    </row>
    <row r="915" spans="12:15" x14ac:dyDescent="0.25">
      <c r="L915" s="147">
        <f ca="1"/>
        <v>46154</v>
      </c>
      <c r="M915" s="92">
        <f t="shared" ca="1" si="39"/>
        <v>6.25</v>
      </c>
      <c r="N915" s="143">
        <f ca="1">(PRODUCT($O$5:$O915)-1)*36000/_xlfn.DAYS(L915, $C$2)</f>
        <v>9.9864344669165259</v>
      </c>
      <c r="O915" s="149">
        <f t="shared" ca="1" si="40"/>
        <v>1.000173611111111</v>
      </c>
    </row>
    <row r="916" spans="12:15" x14ac:dyDescent="0.25">
      <c r="L916" s="147">
        <f ca="1"/>
        <v>46155</v>
      </c>
      <c r="M916" s="92">
        <f t="shared" ca="1" si="39"/>
        <v>6.25</v>
      </c>
      <c r="N916" s="143">
        <f ca="1">(PRODUCT($O$5:$O916)-1)*36000/_xlfn.DAYS(L916, $C$2)</f>
        <v>9.9840693542348991</v>
      </c>
      <c r="O916" s="149">
        <f t="shared" ca="1" si="40"/>
        <v>1.000173611111111</v>
      </c>
    </row>
    <row r="917" spans="12:15" x14ac:dyDescent="0.25">
      <c r="L917" s="147">
        <f ca="1"/>
        <v>46156</v>
      </c>
      <c r="M917" s="92">
        <f t="shared" ca="1" si="39"/>
        <v>6.25</v>
      </c>
      <c r="N917" s="143">
        <f ca="1">(PRODUCT($O$5:$O917)-1)*36000/_xlfn.DAYS(L917, $C$2)</f>
        <v>9.9817109113289266</v>
      </c>
      <c r="O917" s="149">
        <f t="shared" ca="1" si="40"/>
        <v>1.000173611111111</v>
      </c>
    </row>
    <row r="918" spans="12:15" x14ac:dyDescent="0.25">
      <c r="L918" s="147">
        <f ca="1"/>
        <v>46157</v>
      </c>
      <c r="M918" s="92">
        <f t="shared" ca="1" si="39"/>
        <v>6.25</v>
      </c>
      <c r="N918" s="143">
        <f ca="1">(PRODUCT($O$5:$O918)-1)*36000/_xlfn.DAYS(L918, $C$2)</f>
        <v>9.9793591165647584</v>
      </c>
      <c r="O918" s="149">
        <f t="shared" ca="1" si="40"/>
        <v>1.000173611111111</v>
      </c>
    </row>
    <row r="919" spans="12:15" x14ac:dyDescent="0.25">
      <c r="L919" s="147">
        <f ca="1"/>
        <v>46158</v>
      </c>
      <c r="M919" s="92">
        <f t="shared" ca="1" si="39"/>
        <v>6.25</v>
      </c>
      <c r="N919" s="143">
        <f ca="1">(PRODUCT($O$5:$O919)-1)*36000/_xlfn.DAYS(L919, $C$2)</f>
        <v>9.9770139484031564</v>
      </c>
      <c r="O919" s="149">
        <f t="shared" ca="1" si="40"/>
        <v>1.000173611111111</v>
      </c>
    </row>
    <row r="920" spans="12:15" x14ac:dyDescent="0.25">
      <c r="L920" s="147">
        <f ca="1"/>
        <v>46159</v>
      </c>
      <c r="M920" s="92">
        <f t="shared" ca="1" si="39"/>
        <v>6.25</v>
      </c>
      <c r="N920" s="143">
        <f ca="1">(PRODUCT($O$5:$O920)-1)*36000/_xlfn.DAYS(L920, $C$2)</f>
        <v>9.9746753853989976</v>
      </c>
      <c r="O920" s="149">
        <f t="shared" ca="1" si="40"/>
        <v>1.000173611111111</v>
      </c>
    </row>
    <row r="921" spans="12:15" x14ac:dyDescent="0.25">
      <c r="L921" s="147">
        <f ca="1"/>
        <v>46160</v>
      </c>
      <c r="M921" s="92">
        <f t="shared" ca="1" si="39"/>
        <v>6.25</v>
      </c>
      <c r="N921" s="143">
        <f ca="1">(PRODUCT($O$5:$O921)-1)*36000/_xlfn.DAYS(L921, $C$2)</f>
        <v>9.9723434062007303</v>
      </c>
      <c r="O921" s="149">
        <f t="shared" ca="1" si="40"/>
        <v>1.000173611111111</v>
      </c>
    </row>
    <row r="922" spans="12:15" x14ac:dyDescent="0.25">
      <c r="L922" s="147">
        <f ca="1"/>
        <v>46161</v>
      </c>
      <c r="M922" s="92">
        <f t="shared" ca="1" si="39"/>
        <v>6.25</v>
      </c>
      <c r="N922" s="143">
        <f ca="1">(PRODUCT($O$5:$O922)-1)*36000/_xlfn.DAYS(L922, $C$2)</f>
        <v>9.9700179895499019</v>
      </c>
      <c r="O922" s="149">
        <f t="shared" ca="1" si="40"/>
        <v>1.000173611111111</v>
      </c>
    </row>
    <row r="923" spans="12:15" x14ac:dyDescent="0.25">
      <c r="L923" s="147">
        <f ca="1"/>
        <v>46162</v>
      </c>
      <c r="M923" s="92">
        <f t="shared" ca="1" si="39"/>
        <v>6.25</v>
      </c>
      <c r="N923" s="143">
        <f ca="1">(PRODUCT($O$5:$O923)-1)*36000/_xlfn.DAYS(L923, $C$2)</f>
        <v>9.9676991142806202</v>
      </c>
      <c r="O923" s="149">
        <f t="shared" ca="1" si="40"/>
        <v>1.000173611111111</v>
      </c>
    </row>
    <row r="924" spans="12:15" x14ac:dyDescent="0.25">
      <c r="L924" s="147">
        <f ca="1"/>
        <v>46163</v>
      </c>
      <c r="M924" s="92">
        <f t="shared" ca="1" si="39"/>
        <v>6.25</v>
      </c>
      <c r="N924" s="143">
        <f ca="1">(PRODUCT($O$5:$O924)-1)*36000/_xlfn.DAYS(L924, $C$2)</f>
        <v>9.9653867593190704</v>
      </c>
      <c r="O924" s="149">
        <f t="shared" ca="1" si="40"/>
        <v>1.000173611111111</v>
      </c>
    </row>
    <row r="925" spans="12:15" x14ac:dyDescent="0.25">
      <c r="L925" s="147">
        <f ca="1"/>
        <v>46164</v>
      </c>
      <c r="M925" s="92">
        <f t="shared" ca="1" si="39"/>
        <v>6.25</v>
      </c>
      <c r="N925" s="143">
        <f ca="1">(PRODUCT($O$5:$O925)-1)*36000/_xlfn.DAYS(L925, $C$2)</f>
        <v>9.9630809036829984</v>
      </c>
      <c r="O925" s="149">
        <f t="shared" ca="1" si="40"/>
        <v>1.000173611111111</v>
      </c>
    </row>
    <row r="926" spans="12:15" x14ac:dyDescent="0.25">
      <c r="L926" s="147">
        <f ca="1"/>
        <v>46165</v>
      </c>
      <c r="M926" s="92">
        <f t="shared" ca="1" si="39"/>
        <v>6.25</v>
      </c>
      <c r="N926" s="143">
        <f ca="1">(PRODUCT($O$5:$O926)-1)*36000/_xlfn.DAYS(L926, $C$2)</f>
        <v>9.9607815264812398</v>
      </c>
      <c r="O926" s="149">
        <f t="shared" ca="1" si="40"/>
        <v>1.000173611111111</v>
      </c>
    </row>
    <row r="927" spans="12:15" x14ac:dyDescent="0.25">
      <c r="L927" s="147">
        <f ca="1"/>
        <v>46166</v>
      </c>
      <c r="M927" s="92">
        <f t="shared" ca="1" si="39"/>
        <v>6.25</v>
      </c>
      <c r="N927" s="143">
        <f ca="1">(PRODUCT($O$5:$O927)-1)*36000/_xlfn.DAYS(L927, $C$2)</f>
        <v>9.9584886069131926</v>
      </c>
      <c r="O927" s="149">
        <f t="shared" ca="1" si="40"/>
        <v>1.000173611111111</v>
      </c>
    </row>
    <row r="928" spans="12:15" x14ac:dyDescent="0.25">
      <c r="L928" s="147">
        <f ca="1"/>
        <v>46167</v>
      </c>
      <c r="M928" s="92">
        <f t="shared" ca="1" si="39"/>
        <v>6.25</v>
      </c>
      <c r="N928" s="143">
        <f ca="1">(PRODUCT($O$5:$O928)-1)*36000/_xlfn.DAYS(L928, $C$2)</f>
        <v>9.9562021242683514</v>
      </c>
      <c r="O928" s="149">
        <f t="shared" ca="1" si="40"/>
        <v>1.000173611111111</v>
      </c>
    </row>
    <row r="929" spans="12:15" x14ac:dyDescent="0.25">
      <c r="L929" s="147">
        <f ca="1"/>
        <v>46168</v>
      </c>
      <c r="M929" s="92">
        <f t="shared" ca="1" si="39"/>
        <v>6.25</v>
      </c>
      <c r="N929" s="143">
        <f ca="1">(PRODUCT($O$5:$O929)-1)*36000/_xlfn.DAYS(L929, $C$2)</f>
        <v>9.953922057925821</v>
      </c>
      <c r="O929" s="149">
        <f t="shared" ca="1" si="40"/>
        <v>1.000173611111111</v>
      </c>
    </row>
    <row r="930" spans="12:15" x14ac:dyDescent="0.25">
      <c r="L930" s="147">
        <f ca="1"/>
        <v>46169</v>
      </c>
      <c r="M930" s="92">
        <f t="shared" ca="1" si="39"/>
        <v>6.25</v>
      </c>
      <c r="N930" s="143">
        <f ca="1">(PRODUCT($O$5:$O930)-1)*36000/_xlfn.DAYS(L930, $C$2)</f>
        <v>9.9516483873538206</v>
      </c>
      <c r="O930" s="149">
        <f t="shared" ca="1" si="40"/>
        <v>1.000173611111111</v>
      </c>
    </row>
    <row r="931" spans="12:15" x14ac:dyDescent="0.25">
      <c r="L931" s="147">
        <f ca="1"/>
        <v>46170</v>
      </c>
      <c r="M931" s="92">
        <f t="shared" ca="1" si="39"/>
        <v>6.25</v>
      </c>
      <c r="N931" s="143">
        <f ca="1">(PRODUCT($O$5:$O931)-1)*36000/_xlfn.DAYS(L931, $C$2)</f>
        <v>9.9493810921092116</v>
      </c>
      <c r="O931" s="149">
        <f t="shared" ca="1" si="40"/>
        <v>1.000173611111111</v>
      </c>
    </row>
    <row r="932" spans="12:15" x14ac:dyDescent="0.25">
      <c r="L932" s="147">
        <f ca="1"/>
        <v>46171</v>
      </c>
      <c r="M932" s="92">
        <f t="shared" ca="1" si="39"/>
        <v>6.25</v>
      </c>
      <c r="N932" s="143">
        <f ca="1">(PRODUCT($O$5:$O932)-1)*36000/_xlfn.DAYS(L932, $C$2)</f>
        <v>9.9471201518370123</v>
      </c>
      <c r="O932" s="149">
        <f t="shared" ca="1" si="40"/>
        <v>1.000173611111111</v>
      </c>
    </row>
    <row r="933" spans="12:15" x14ac:dyDescent="0.25">
      <c r="L933" s="147">
        <f ca="1"/>
        <v>46172</v>
      </c>
      <c r="M933" s="92">
        <f t="shared" ca="1" si="39"/>
        <v>6.25</v>
      </c>
      <c r="N933" s="143">
        <f ca="1">(PRODUCT($O$5:$O933)-1)*36000/_xlfn.DAYS(L933, $C$2)</f>
        <v>9.9448655462699271</v>
      </c>
      <c r="O933" s="149">
        <f t="shared" ca="1" si="40"/>
        <v>1.000173611111111</v>
      </c>
    </row>
    <row r="934" spans="12:15" x14ac:dyDescent="0.25">
      <c r="L934" s="147">
        <f ca="1"/>
        <v>46173</v>
      </c>
      <c r="M934" s="92">
        <f t="shared" ca="1" si="39"/>
        <v>6.25</v>
      </c>
      <c r="N934" s="143">
        <f ca="1">(PRODUCT($O$5:$O934)-1)*36000/_xlfn.DAYS(L934, $C$2)</f>
        <v>9.9426172552278729</v>
      </c>
      <c r="O934" s="149">
        <f t="shared" ca="1" si="40"/>
        <v>1.000173611111111</v>
      </c>
    </row>
    <row r="935" spans="12:15" x14ac:dyDescent="0.25">
      <c r="L935" s="147">
        <f ca="1"/>
        <v>46174</v>
      </c>
      <c r="M935" s="92">
        <f t="shared" ca="1" si="39"/>
        <v>6.25</v>
      </c>
      <c r="N935" s="143">
        <f ca="1">(PRODUCT($O$5:$O935)-1)*36000/_xlfn.DAYS(L935, $C$2)</f>
        <v>9.9403752586175305</v>
      </c>
      <c r="O935" s="149">
        <f t="shared" ca="1" si="40"/>
        <v>1.000173611111111</v>
      </c>
    </row>
    <row r="936" spans="12:15" x14ac:dyDescent="0.25">
      <c r="L936" s="147">
        <f ca="1"/>
        <v>46175</v>
      </c>
      <c r="M936" s="92">
        <f t="shared" ca="1" si="39"/>
        <v>6.25</v>
      </c>
      <c r="N936" s="143">
        <f ca="1">(PRODUCT($O$5:$O936)-1)*36000/_xlfn.DAYS(L936, $C$2)</f>
        <v>9.938139536431839</v>
      </c>
      <c r="O936" s="149">
        <f t="shared" ca="1" si="40"/>
        <v>1.000173611111111</v>
      </c>
    </row>
    <row r="937" spans="12:15" x14ac:dyDescent="0.25">
      <c r="L937" s="147">
        <f ca="1"/>
        <v>46176</v>
      </c>
      <c r="M937" s="92">
        <f t="shared" ca="1" si="39"/>
        <v>6.25</v>
      </c>
      <c r="N937" s="143">
        <f ca="1">(PRODUCT($O$5:$O937)-1)*36000/_xlfn.DAYS(L937, $C$2)</f>
        <v>9.9359100687495694</v>
      </c>
      <c r="O937" s="149">
        <f t="shared" ca="1" si="40"/>
        <v>1.000173611111111</v>
      </c>
    </row>
    <row r="938" spans="12:15" x14ac:dyDescent="0.25">
      <c r="L938" s="147">
        <f ca="1"/>
        <v>46177</v>
      </c>
      <c r="M938" s="92">
        <f t="shared" ca="1" si="39"/>
        <v>6.25</v>
      </c>
      <c r="N938" s="143">
        <f ca="1">(PRODUCT($O$5:$O938)-1)*36000/_xlfn.DAYS(L938, $C$2)</f>
        <v>9.9336868357348553</v>
      </c>
      <c r="O938" s="149">
        <f t="shared" ca="1" si="40"/>
        <v>1.000173611111111</v>
      </c>
    </row>
    <row r="939" spans="12:15" x14ac:dyDescent="0.25">
      <c r="L939" s="147">
        <f ca="1"/>
        <v>46178</v>
      </c>
      <c r="M939" s="92">
        <f t="shared" ca="1" si="39"/>
        <v>6.25</v>
      </c>
      <c r="N939" s="143">
        <f ca="1">(PRODUCT($O$5:$O939)-1)*36000/_xlfn.DAYS(L939, $C$2)</f>
        <v>9.931469817636728</v>
      </c>
      <c r="O939" s="149">
        <f t="shared" ca="1" si="40"/>
        <v>1.000173611111111</v>
      </c>
    </row>
    <row r="940" spans="12:15" x14ac:dyDescent="0.25">
      <c r="L940" s="147">
        <f ca="1"/>
        <v>46179</v>
      </c>
      <c r="M940" s="92">
        <f t="shared" ca="1" si="39"/>
        <v>6.25</v>
      </c>
      <c r="N940" s="143">
        <f ca="1">(PRODUCT($O$5:$O940)-1)*36000/_xlfn.DAYS(L940, $C$2)</f>
        <v>9.9292589947886665</v>
      </c>
      <c r="O940" s="149">
        <f t="shared" ca="1" si="40"/>
        <v>1.000173611111111</v>
      </c>
    </row>
    <row r="941" spans="12:15" x14ac:dyDescent="0.25">
      <c r="L941" s="147">
        <f ca="1"/>
        <v>46180</v>
      </c>
      <c r="M941" s="92">
        <f t="shared" ca="1" si="39"/>
        <v>6.25</v>
      </c>
      <c r="N941" s="143">
        <f ca="1">(PRODUCT($O$5:$O941)-1)*36000/_xlfn.DAYS(L941, $C$2)</f>
        <v>9.9270543476081556</v>
      </c>
      <c r="O941" s="149">
        <f t="shared" ca="1" si="40"/>
        <v>1.000173611111111</v>
      </c>
    </row>
    <row r="942" spans="12:15" x14ac:dyDescent="0.25">
      <c r="L942" s="147">
        <f ca="1"/>
        <v>46181</v>
      </c>
      <c r="M942" s="92">
        <f t="shared" ca="1" si="39"/>
        <v>6.25</v>
      </c>
      <c r="N942" s="143">
        <f ca="1">(PRODUCT($O$5:$O942)-1)*36000/_xlfn.DAYS(L942, $C$2)</f>
        <v>9.9248558565962224</v>
      </c>
      <c r="O942" s="149">
        <f t="shared" ca="1" si="40"/>
        <v>1.000173611111111</v>
      </c>
    </row>
    <row r="943" spans="12:15" x14ac:dyDescent="0.25">
      <c r="L943" s="147">
        <f ca="1"/>
        <v>46182</v>
      </c>
      <c r="M943" s="92">
        <f t="shared" ca="1" si="39"/>
        <v>6.25</v>
      </c>
      <c r="N943" s="143">
        <f ca="1">(PRODUCT($O$5:$O943)-1)*36000/_xlfn.DAYS(L943, $C$2)</f>
        <v>9.9226635023370164</v>
      </c>
      <c r="O943" s="149">
        <f t="shared" ca="1" si="40"/>
        <v>1.000173611111111</v>
      </c>
    </row>
    <row r="944" spans="12:15" x14ac:dyDescent="0.25">
      <c r="L944" s="147">
        <f ca="1"/>
        <v>46183</v>
      </c>
      <c r="M944" s="92">
        <f t="shared" ca="1" si="39"/>
        <v>6.25</v>
      </c>
      <c r="N944" s="143">
        <f ca="1">(PRODUCT($O$5:$O944)-1)*36000/_xlfn.DAYS(L944, $C$2)</f>
        <v>9.920477265497329</v>
      </c>
      <c r="O944" s="149">
        <f t="shared" ca="1" si="40"/>
        <v>1.000173611111111</v>
      </c>
    </row>
    <row r="945" spans="12:15" x14ac:dyDescent="0.25">
      <c r="L945" s="147">
        <f ca="1"/>
        <v>46184</v>
      </c>
      <c r="M945" s="92">
        <f t="shared" ca="1" si="39"/>
        <v>6.25</v>
      </c>
      <c r="N945" s="143">
        <f ca="1">(PRODUCT($O$5:$O945)-1)*36000/_xlfn.DAYS(L945, $C$2)</f>
        <v>9.9182971268262001</v>
      </c>
      <c r="O945" s="149">
        <f t="shared" ca="1" si="40"/>
        <v>1.000173611111111</v>
      </c>
    </row>
    <row r="946" spans="12:15" x14ac:dyDescent="0.25">
      <c r="L946" s="147">
        <f ca="1"/>
        <v>46185</v>
      </c>
      <c r="M946" s="92">
        <f t="shared" ca="1" si="39"/>
        <v>6.25</v>
      </c>
      <c r="N946" s="143">
        <f ca="1">(PRODUCT($O$5:$O946)-1)*36000/_xlfn.DAYS(L946, $C$2)</f>
        <v>9.9161230671544427</v>
      </c>
      <c r="O946" s="149">
        <f t="shared" ca="1" si="40"/>
        <v>1.000173611111111</v>
      </c>
    </row>
    <row r="947" spans="12:15" x14ac:dyDescent="0.25">
      <c r="L947" s="147">
        <f ca="1"/>
        <v>46186</v>
      </c>
      <c r="M947" s="92">
        <f t="shared" ca="1" si="39"/>
        <v>6.25</v>
      </c>
      <c r="N947" s="143">
        <f ca="1">(PRODUCT($O$5:$O947)-1)*36000/_xlfn.DAYS(L947, $C$2)</f>
        <v>9.9139550673942285</v>
      </c>
      <c r="O947" s="149">
        <f t="shared" ca="1" si="40"/>
        <v>1.000173611111111</v>
      </c>
    </row>
    <row r="948" spans="12:15" x14ac:dyDescent="0.25">
      <c r="L948" s="147">
        <f ca="1"/>
        <v>46187</v>
      </c>
      <c r="M948" s="92">
        <f t="shared" ca="1" si="39"/>
        <v>6.25</v>
      </c>
      <c r="N948" s="143">
        <f ca="1">(PRODUCT($O$5:$O948)-1)*36000/_xlfn.DAYS(L948, $C$2)</f>
        <v>9.9117931085386495</v>
      </c>
      <c r="O948" s="149">
        <f t="shared" ca="1" si="40"/>
        <v>1.000173611111111</v>
      </c>
    </row>
    <row r="949" spans="12:15" x14ac:dyDescent="0.25">
      <c r="L949" s="147">
        <f ca="1"/>
        <v>46188</v>
      </c>
      <c r="M949" s="92">
        <f t="shared" ca="1" si="39"/>
        <v>6.25</v>
      </c>
      <c r="N949" s="143">
        <f ca="1">(PRODUCT($O$5:$O949)-1)*36000/_xlfn.DAYS(L949, $C$2)</f>
        <v>9.9096371716613127</v>
      </c>
      <c r="O949" s="149">
        <f t="shared" ca="1" si="40"/>
        <v>1.000173611111111</v>
      </c>
    </row>
    <row r="950" spans="12:15" x14ac:dyDescent="0.25">
      <c r="L950" s="147">
        <f ca="1"/>
        <v>46189</v>
      </c>
      <c r="M950" s="92">
        <f t="shared" ca="1" si="39"/>
        <v>6.25</v>
      </c>
      <c r="N950" s="143">
        <f ca="1">(PRODUCT($O$5:$O950)-1)*36000/_xlfn.DAYS(L950, $C$2)</f>
        <v>9.9074872379158698</v>
      </c>
      <c r="O950" s="149">
        <f t="shared" ca="1" si="40"/>
        <v>1.000173611111111</v>
      </c>
    </row>
    <row r="951" spans="12:15" x14ac:dyDescent="0.25">
      <c r="L951" s="147">
        <f ca="1"/>
        <v>46190</v>
      </c>
      <c r="M951" s="92">
        <f t="shared" ca="1" si="39"/>
        <v>6.25</v>
      </c>
      <c r="N951" s="143">
        <f ca="1">(PRODUCT($O$5:$O951)-1)*36000/_xlfn.DAYS(L951, $C$2)</f>
        <v>9.9053432885356401</v>
      </c>
      <c r="O951" s="149">
        <f t="shared" ca="1" si="40"/>
        <v>1.000173611111111</v>
      </c>
    </row>
    <row r="952" spans="12:15" x14ac:dyDescent="0.25">
      <c r="L952" s="147">
        <f ca="1"/>
        <v>46191</v>
      </c>
      <c r="M952" s="92">
        <f t="shared" ca="1" si="39"/>
        <v>6.25</v>
      </c>
      <c r="N952" s="143">
        <f ca="1">(PRODUCT($O$5:$O952)-1)*36000/_xlfn.DAYS(L952, $C$2)</f>
        <v>9.9032053048331541</v>
      </c>
      <c r="O952" s="149">
        <f t="shared" ca="1" si="40"/>
        <v>1.000173611111111</v>
      </c>
    </row>
    <row r="953" spans="12:15" x14ac:dyDescent="0.25">
      <c r="L953" s="147">
        <f ca="1"/>
        <v>46192</v>
      </c>
      <c r="M953" s="92">
        <f t="shared" ca="1" si="39"/>
        <v>6.25</v>
      </c>
      <c r="N953" s="143">
        <f ca="1">(PRODUCT($O$5:$O953)-1)*36000/_xlfn.DAYS(L953, $C$2)</f>
        <v>9.9010732681997666</v>
      </c>
      <c r="O953" s="149">
        <f t="shared" ca="1" si="40"/>
        <v>1.000173611111111</v>
      </c>
    </row>
    <row r="954" spans="12:15" x14ac:dyDescent="0.25">
      <c r="L954" s="147">
        <f ca="1"/>
        <v>46193</v>
      </c>
      <c r="M954" s="92">
        <f t="shared" ca="1" si="39"/>
        <v>6.25</v>
      </c>
      <c r="N954" s="143">
        <f ca="1">(PRODUCT($O$5:$O954)-1)*36000/_xlfn.DAYS(L954, $C$2)</f>
        <v>9.8989471601052212</v>
      </c>
      <c r="O954" s="149">
        <f t="shared" ca="1" si="40"/>
        <v>1.000173611111111</v>
      </c>
    </row>
    <row r="955" spans="12:15" x14ac:dyDescent="0.25">
      <c r="L955" s="147">
        <f ca="1"/>
        <v>46194</v>
      </c>
      <c r="M955" s="92">
        <f t="shared" ca="1" si="39"/>
        <v>6.25</v>
      </c>
      <c r="N955" s="143">
        <f ca="1">(PRODUCT($O$5:$O955)-1)*36000/_xlfn.DAYS(L955, $C$2)</f>
        <v>9.896826962097256</v>
      </c>
      <c r="O955" s="149">
        <f t="shared" ca="1" si="40"/>
        <v>1.000173611111111</v>
      </c>
    </row>
    <row r="956" spans="12:15" x14ac:dyDescent="0.25">
      <c r="L956" s="147">
        <f ca="1"/>
        <v>46195</v>
      </c>
      <c r="M956" s="92">
        <f t="shared" ca="1" si="39"/>
        <v>6.25</v>
      </c>
      <c r="N956" s="143">
        <f ca="1">(PRODUCT($O$5:$O956)-1)*36000/_xlfn.DAYS(L956, $C$2)</f>
        <v>9.8947126558011629</v>
      </c>
      <c r="O956" s="149">
        <f t="shared" ca="1" si="40"/>
        <v>1.000173611111111</v>
      </c>
    </row>
    <row r="957" spans="12:15" x14ac:dyDescent="0.25">
      <c r="L957" s="147">
        <f ca="1"/>
        <v>46196</v>
      </c>
      <c r="M957" s="92">
        <f t="shared" ca="1" si="39"/>
        <v>6.25</v>
      </c>
      <c r="N957" s="143">
        <f ca="1">(PRODUCT($O$5:$O957)-1)*36000/_xlfn.DAYS(L957, $C$2)</f>
        <v>9.8926042229194184</v>
      </c>
      <c r="O957" s="149">
        <f t="shared" ca="1" si="40"/>
        <v>1.000173611111111</v>
      </c>
    </row>
    <row r="958" spans="12:15" x14ac:dyDescent="0.25">
      <c r="L958" s="147">
        <f ca="1"/>
        <v>46197</v>
      </c>
      <c r="M958" s="92">
        <f t="shared" ca="1" si="39"/>
        <v>6.25</v>
      </c>
      <c r="N958" s="143">
        <f ca="1">(PRODUCT($O$5:$O958)-1)*36000/_xlfn.DAYS(L958, $C$2)</f>
        <v>9.8905016452312449</v>
      </c>
      <c r="O958" s="149">
        <f t="shared" ca="1" si="40"/>
        <v>1.000173611111111</v>
      </c>
    </row>
    <row r="959" spans="12:15" x14ac:dyDescent="0.25">
      <c r="L959" s="147">
        <f ca="1"/>
        <v>46198</v>
      </c>
      <c r="M959" s="92">
        <f t="shared" ca="1" si="39"/>
        <v>6.25</v>
      </c>
      <c r="N959" s="143">
        <f ca="1">(PRODUCT($O$5:$O959)-1)*36000/_xlfn.DAYS(L959, $C$2)</f>
        <v>9.8884049045922513</v>
      </c>
      <c r="O959" s="149">
        <f t="shared" ca="1" si="40"/>
        <v>1.000173611111111</v>
      </c>
    </row>
    <row r="960" spans="12:15" x14ac:dyDescent="0.25">
      <c r="L960" s="147">
        <f ca="1"/>
        <v>46199</v>
      </c>
      <c r="M960" s="92">
        <f t="shared" ca="1" si="39"/>
        <v>6.25</v>
      </c>
      <c r="N960" s="143">
        <f ca="1">(PRODUCT($O$5:$O960)-1)*36000/_xlfn.DAYS(L960, $C$2)</f>
        <v>9.8863139829339808</v>
      </c>
      <c r="O960" s="149">
        <f t="shared" ca="1" si="40"/>
        <v>1.000173611111111</v>
      </c>
    </row>
    <row r="961" spans="12:15" x14ac:dyDescent="0.25">
      <c r="L961" s="147">
        <f ca="1"/>
        <v>46200</v>
      </c>
      <c r="M961" s="92">
        <f t="shared" ca="1" si="39"/>
        <v>6.25</v>
      </c>
      <c r="N961" s="143">
        <f ca="1">(PRODUCT($O$5:$O961)-1)*36000/_xlfn.DAYS(L961, $C$2)</f>
        <v>9.8842288622635515</v>
      </c>
      <c r="O961" s="149">
        <f t="shared" ca="1" si="40"/>
        <v>1.000173611111111</v>
      </c>
    </row>
    <row r="962" spans="12:15" x14ac:dyDescent="0.25">
      <c r="L962" s="147">
        <f ca="1"/>
        <v>46201</v>
      </c>
      <c r="M962" s="92">
        <f t="shared" ca="1" si="39"/>
        <v>6.25</v>
      </c>
      <c r="N962" s="143">
        <f ca="1">(PRODUCT($O$5:$O962)-1)*36000/_xlfn.DAYS(L962, $C$2)</f>
        <v>9.8821495246632498</v>
      </c>
      <c r="O962" s="149">
        <f t="shared" ca="1" si="40"/>
        <v>1.000173611111111</v>
      </c>
    </row>
    <row r="963" spans="12:15" x14ac:dyDescent="0.25">
      <c r="L963" s="147">
        <f ca="1"/>
        <v>46202</v>
      </c>
      <c r="M963" s="92">
        <f t="shared" ca="1" si="39"/>
        <v>6.25</v>
      </c>
      <c r="N963" s="143">
        <f ca="1">(PRODUCT($O$5:$O963)-1)*36000/_xlfn.DAYS(L963, $C$2)</f>
        <v>9.8800759522901487</v>
      </c>
      <c r="O963" s="149">
        <f t="shared" ca="1" si="40"/>
        <v>1.000173611111111</v>
      </c>
    </row>
    <row r="964" spans="12:15" x14ac:dyDescent="0.25">
      <c r="L964" s="147">
        <f ca="1"/>
        <v>46203</v>
      </c>
      <c r="M964" s="92">
        <f t="shared" ca="1" si="39"/>
        <v>6.25</v>
      </c>
      <c r="N964" s="143">
        <f ca="1">(PRODUCT($O$5:$O964)-1)*36000/_xlfn.DAYS(L964, $C$2)</f>
        <v>9.8780081273756952</v>
      </c>
      <c r="O964" s="149">
        <f t="shared" ca="1" si="40"/>
        <v>1.000173611111111</v>
      </c>
    </row>
    <row r="965" spans="12:15" x14ac:dyDescent="0.25">
      <c r="L965" s="147">
        <f ca="1"/>
        <v>46204</v>
      </c>
      <c r="M965" s="92">
        <f t="shared" ref="M965:M1028" ca="1" si="41">IFERROR(INDEX($E$27:$H$47, MATCH(L965, $F$27:$F$47, 0), 4), IF(ISNUMBER(M964), M964, $C$5))</f>
        <v>6.25</v>
      </c>
      <c r="N965" s="143">
        <f ca="1">(PRODUCT($O$5:$O965)-1)*36000/_xlfn.DAYS(L965, $C$2)</f>
        <v>9.8759460322253503</v>
      </c>
      <c r="O965" s="149">
        <f t="shared" ca="1" si="40"/>
        <v>1.000173611111111</v>
      </c>
    </row>
    <row r="966" spans="12:15" x14ac:dyDescent="0.25">
      <c r="L966" s="147">
        <f ca="1"/>
        <v>46205</v>
      </c>
      <c r="M966" s="92">
        <f t="shared" ca="1" si="41"/>
        <v>6.25</v>
      </c>
      <c r="N966" s="143">
        <f ca="1">(PRODUCT($O$5:$O966)-1)*36000/_xlfn.DAYS(L966, $C$2)</f>
        <v>9.8738896492181869</v>
      </c>
      <c r="O966" s="149">
        <f t="shared" ref="O966:O1029" ca="1" si="42">1+M966*IFERROR(_xlfn.DAYS(L966, L965), _xlfn.DAYS(L966, $C$2))/36000</f>
        <v>1.000173611111111</v>
      </c>
    </row>
    <row r="967" spans="12:15" x14ac:dyDescent="0.25">
      <c r="L967" s="147">
        <f ca="1"/>
        <v>46206</v>
      </c>
      <c r="M967" s="92">
        <f t="shared" ca="1" si="41"/>
        <v>6.25</v>
      </c>
      <c r="N967" s="143">
        <f ca="1">(PRODUCT($O$5:$O967)-1)*36000/_xlfn.DAYS(L967, $C$2)</f>
        <v>9.8718389608065049</v>
      </c>
      <c r="O967" s="149">
        <f t="shared" ca="1" si="42"/>
        <v>1.000173611111111</v>
      </c>
    </row>
    <row r="968" spans="12:15" x14ac:dyDescent="0.25">
      <c r="L968" s="147">
        <f ca="1"/>
        <v>46207</v>
      </c>
      <c r="M968" s="92">
        <f t="shared" ca="1" si="41"/>
        <v>6.25</v>
      </c>
      <c r="N968" s="143">
        <f ca="1">(PRODUCT($O$5:$O968)-1)*36000/_xlfn.DAYS(L968, $C$2)</f>
        <v>9.8697939495154827</v>
      </c>
      <c r="O968" s="149">
        <f t="shared" ca="1" si="42"/>
        <v>1.000173611111111</v>
      </c>
    </row>
    <row r="969" spans="12:15" x14ac:dyDescent="0.25">
      <c r="L969" s="147">
        <f ca="1"/>
        <v>46208</v>
      </c>
      <c r="M969" s="92">
        <f t="shared" ca="1" si="41"/>
        <v>6.25</v>
      </c>
      <c r="N969" s="143">
        <f ca="1">(PRODUCT($O$5:$O969)-1)*36000/_xlfn.DAYS(L969, $C$2)</f>
        <v>9.8677545979427457</v>
      </c>
      <c r="O969" s="149">
        <f t="shared" ca="1" si="42"/>
        <v>1.000173611111111</v>
      </c>
    </row>
    <row r="970" spans="12:15" x14ac:dyDescent="0.25">
      <c r="L970" s="147">
        <f ca="1"/>
        <v>46209</v>
      </c>
      <c r="M970" s="92">
        <f t="shared" ca="1" si="41"/>
        <v>6.25</v>
      </c>
      <c r="N970" s="143">
        <f ca="1">(PRODUCT($O$5:$O970)-1)*36000/_xlfn.DAYS(L970, $C$2)</f>
        <v>9.865720888758041</v>
      </c>
      <c r="O970" s="149">
        <f t="shared" ca="1" si="42"/>
        <v>1.000173611111111</v>
      </c>
    </row>
    <row r="971" spans="12:15" x14ac:dyDescent="0.25">
      <c r="L971" s="147">
        <f ca="1"/>
        <v>46210</v>
      </c>
      <c r="M971" s="92">
        <f t="shared" ca="1" si="41"/>
        <v>6.25</v>
      </c>
      <c r="N971" s="143">
        <f ca="1">(PRODUCT($O$5:$O971)-1)*36000/_xlfn.DAYS(L971, $C$2)</f>
        <v>9.8636928047028452</v>
      </c>
      <c r="O971" s="149">
        <f t="shared" ca="1" si="42"/>
        <v>1.000173611111111</v>
      </c>
    </row>
    <row r="972" spans="12:15" x14ac:dyDescent="0.25">
      <c r="L972" s="147">
        <f ca="1"/>
        <v>46211</v>
      </c>
      <c r="M972" s="92">
        <f t="shared" ca="1" si="41"/>
        <v>6.25</v>
      </c>
      <c r="N972" s="143">
        <f ca="1">(PRODUCT($O$5:$O972)-1)*36000/_xlfn.DAYS(L972, $C$2)</f>
        <v>9.861670328589982</v>
      </c>
      <c r="O972" s="149">
        <f t="shared" ca="1" si="42"/>
        <v>1.000173611111111</v>
      </c>
    </row>
    <row r="973" spans="12:15" x14ac:dyDescent="0.25">
      <c r="L973" s="147">
        <f ca="1"/>
        <v>46212</v>
      </c>
      <c r="M973" s="92">
        <f t="shared" ca="1" si="41"/>
        <v>6.25</v>
      </c>
      <c r="N973" s="143">
        <f ca="1">(PRODUCT($O$5:$O973)-1)*36000/_xlfn.DAYS(L973, $C$2)</f>
        <v>9.8596534433032765</v>
      </c>
      <c r="O973" s="149">
        <f t="shared" ca="1" si="42"/>
        <v>1.000173611111111</v>
      </c>
    </row>
    <row r="974" spans="12:15" x14ac:dyDescent="0.25">
      <c r="L974" s="147">
        <f ca="1"/>
        <v>46213</v>
      </c>
      <c r="M974" s="92">
        <f t="shared" ca="1" si="41"/>
        <v>6.25</v>
      </c>
      <c r="N974" s="143">
        <f ca="1">(PRODUCT($O$5:$O974)-1)*36000/_xlfn.DAYS(L974, $C$2)</f>
        <v>9.8576421317971743</v>
      </c>
      <c r="O974" s="149">
        <f t="shared" ca="1" si="42"/>
        <v>1.000173611111111</v>
      </c>
    </row>
    <row r="975" spans="12:15" x14ac:dyDescent="0.25">
      <c r="L975" s="147">
        <f ca="1"/>
        <v>46214</v>
      </c>
      <c r="M975" s="92">
        <f t="shared" ca="1" si="41"/>
        <v>6.25</v>
      </c>
      <c r="N975" s="143">
        <f ca="1">(PRODUCT($O$5:$O975)-1)*36000/_xlfn.DAYS(L975, $C$2)</f>
        <v>9.8556363770963795</v>
      </c>
      <c r="O975" s="149">
        <f t="shared" ca="1" si="42"/>
        <v>1.000173611111111</v>
      </c>
    </row>
    <row r="976" spans="12:15" x14ac:dyDescent="0.25">
      <c r="L976" s="147">
        <f ca="1"/>
        <v>46215</v>
      </c>
      <c r="M976" s="92">
        <f t="shared" ca="1" si="41"/>
        <v>6.25</v>
      </c>
      <c r="N976" s="143">
        <f ca="1">(PRODUCT($O$5:$O976)-1)*36000/_xlfn.DAYS(L976, $C$2)</f>
        <v>9.8536361622955049</v>
      </c>
      <c r="O976" s="149">
        <f t="shared" ca="1" si="42"/>
        <v>1.000173611111111</v>
      </c>
    </row>
    <row r="977" spans="12:15" x14ac:dyDescent="0.25">
      <c r="L977" s="147">
        <f ca="1"/>
        <v>46216</v>
      </c>
      <c r="M977" s="92">
        <f t="shared" ca="1" si="41"/>
        <v>6.25</v>
      </c>
      <c r="N977" s="143">
        <f ca="1">(PRODUCT($O$5:$O977)-1)*36000/_xlfn.DAYS(L977, $C$2)</f>
        <v>9.8516414705586968</v>
      </c>
      <c r="O977" s="149">
        <f t="shared" ca="1" si="42"/>
        <v>1.000173611111111</v>
      </c>
    </row>
    <row r="978" spans="12:15" x14ac:dyDescent="0.25">
      <c r="L978" s="147">
        <f ca="1"/>
        <v>46217</v>
      </c>
      <c r="M978" s="92">
        <f t="shared" ca="1" si="41"/>
        <v>6.25</v>
      </c>
      <c r="N978" s="143">
        <f ca="1">(PRODUCT($O$5:$O978)-1)*36000/_xlfn.DAYS(L978, $C$2)</f>
        <v>9.8496522851192907</v>
      </c>
      <c r="O978" s="149">
        <f t="shared" ca="1" si="42"/>
        <v>1.000173611111111</v>
      </c>
    </row>
    <row r="979" spans="12:15" x14ac:dyDescent="0.25">
      <c r="L979" s="147">
        <f ca="1"/>
        <v>46218</v>
      </c>
      <c r="M979" s="92">
        <f t="shared" ca="1" si="41"/>
        <v>6.25</v>
      </c>
      <c r="N979" s="143">
        <f ca="1">(PRODUCT($O$5:$O979)-1)*36000/_xlfn.DAYS(L979, $C$2)</f>
        <v>9.84766858927944</v>
      </c>
      <c r="O979" s="149">
        <f t="shared" ca="1" si="42"/>
        <v>1.000173611111111</v>
      </c>
    </row>
    <row r="980" spans="12:15" x14ac:dyDescent="0.25">
      <c r="L980" s="147">
        <f ca="1"/>
        <v>46219</v>
      </c>
      <c r="M980" s="92">
        <f t="shared" ca="1" si="41"/>
        <v>6.25</v>
      </c>
      <c r="N980" s="143">
        <f ca="1">(PRODUCT($O$5:$O980)-1)*36000/_xlfn.DAYS(L980, $C$2)</f>
        <v>9.8456903664097837</v>
      </c>
      <c r="O980" s="149">
        <f t="shared" ca="1" si="42"/>
        <v>1.000173611111111</v>
      </c>
    </row>
    <row r="981" spans="12:15" x14ac:dyDescent="0.25">
      <c r="L981" s="147">
        <f ca="1"/>
        <v>46220</v>
      </c>
      <c r="M981" s="92">
        <f t="shared" ca="1" si="41"/>
        <v>6.25</v>
      </c>
      <c r="N981" s="143">
        <f ca="1">(PRODUCT($O$5:$O981)-1)*36000/_xlfn.DAYS(L981, $C$2)</f>
        <v>9.8437175999490858</v>
      </c>
      <c r="O981" s="149">
        <f t="shared" ca="1" si="42"/>
        <v>1.000173611111111</v>
      </c>
    </row>
    <row r="982" spans="12:15" x14ac:dyDescent="0.25">
      <c r="L982" s="147">
        <f ca="1"/>
        <v>46221</v>
      </c>
      <c r="M982" s="92">
        <f t="shared" ca="1" si="41"/>
        <v>6.25</v>
      </c>
      <c r="N982" s="143">
        <f ca="1">(PRODUCT($O$5:$O982)-1)*36000/_xlfn.DAYS(L982, $C$2)</f>
        <v>9.8417502734038784</v>
      </c>
      <c r="O982" s="149">
        <f t="shared" ca="1" si="42"/>
        <v>1.000173611111111</v>
      </c>
    </row>
    <row r="983" spans="12:15" x14ac:dyDescent="0.25">
      <c r="L983" s="147">
        <f ca="1"/>
        <v>46222</v>
      </c>
      <c r="M983" s="92">
        <f t="shared" ca="1" si="41"/>
        <v>6.25</v>
      </c>
      <c r="N983" s="143">
        <f ca="1">(PRODUCT($O$5:$O983)-1)*36000/_xlfn.DAYS(L983, $C$2)</f>
        <v>9.8397883703481384</v>
      </c>
      <c r="O983" s="149">
        <f t="shared" ca="1" si="42"/>
        <v>1.000173611111111</v>
      </c>
    </row>
    <row r="984" spans="12:15" x14ac:dyDescent="0.25">
      <c r="L984" s="147">
        <f ca="1"/>
        <v>46223</v>
      </c>
      <c r="M984" s="92">
        <f t="shared" ca="1" si="41"/>
        <v>6.25</v>
      </c>
      <c r="N984" s="143">
        <f ca="1">(PRODUCT($O$5:$O984)-1)*36000/_xlfn.DAYS(L984, $C$2)</f>
        <v>9.8378318744229194</v>
      </c>
      <c r="O984" s="149">
        <f t="shared" ca="1" si="42"/>
        <v>1.000173611111111</v>
      </c>
    </row>
    <row r="985" spans="12:15" x14ac:dyDescent="0.25">
      <c r="L985" s="147">
        <f ca="1"/>
        <v>46224</v>
      </c>
      <c r="M985" s="92">
        <f t="shared" ca="1" si="41"/>
        <v>6.25</v>
      </c>
      <c r="N985" s="143">
        <f ca="1">(PRODUCT($O$5:$O985)-1)*36000/_xlfn.DAYS(L985, $C$2)</f>
        <v>9.8358807693360326</v>
      </c>
      <c r="O985" s="149">
        <f t="shared" ca="1" si="42"/>
        <v>1.000173611111111</v>
      </c>
    </row>
    <row r="986" spans="12:15" x14ac:dyDescent="0.25">
      <c r="L986" s="147">
        <f ca="1"/>
        <v>46225</v>
      </c>
      <c r="M986" s="92">
        <f t="shared" ca="1" si="41"/>
        <v>6.25</v>
      </c>
      <c r="N986" s="143">
        <f ca="1">(PRODUCT($O$5:$O986)-1)*36000/_xlfn.DAYS(L986, $C$2)</f>
        <v>9.833935038861684</v>
      </c>
      <c r="O986" s="149">
        <f t="shared" ca="1" si="42"/>
        <v>1.000173611111111</v>
      </c>
    </row>
    <row r="987" spans="12:15" x14ac:dyDescent="0.25">
      <c r="L987" s="147">
        <f ca="1"/>
        <v>46226</v>
      </c>
      <c r="M987" s="92">
        <f t="shared" ca="1" si="41"/>
        <v>6.25</v>
      </c>
      <c r="N987" s="143">
        <f ca="1">(PRODUCT($O$5:$O987)-1)*36000/_xlfn.DAYS(L987, $C$2)</f>
        <v>9.8319946668401439</v>
      </c>
      <c r="O987" s="149">
        <f t="shared" ca="1" si="42"/>
        <v>1.000173611111111</v>
      </c>
    </row>
    <row r="988" spans="12:15" x14ac:dyDescent="0.25">
      <c r="L988" s="147">
        <f ca="1"/>
        <v>46227</v>
      </c>
      <c r="M988" s="92">
        <f t="shared" ca="1" si="41"/>
        <v>6.25</v>
      </c>
      <c r="N988" s="143">
        <f ca="1">(PRODUCT($O$5:$O988)-1)*36000/_xlfn.DAYS(L988, $C$2)</f>
        <v>9.8300596371774347</v>
      </c>
      <c r="O988" s="149">
        <f t="shared" ca="1" si="42"/>
        <v>1.000173611111111</v>
      </c>
    </row>
    <row r="989" spans="12:15" x14ac:dyDescent="0.25">
      <c r="L989" s="147">
        <f ca="1"/>
        <v>46228</v>
      </c>
      <c r="M989" s="92">
        <f t="shared" ca="1" si="41"/>
        <v>6.25</v>
      </c>
      <c r="N989" s="143">
        <f ca="1">(PRODUCT($O$5:$O989)-1)*36000/_xlfn.DAYS(L989, $C$2)</f>
        <v>9.8281299338449521</v>
      </c>
      <c r="O989" s="149">
        <f t="shared" ca="1" si="42"/>
        <v>1.000173611111111</v>
      </c>
    </row>
    <row r="990" spans="12:15" x14ac:dyDescent="0.25">
      <c r="L990" s="147">
        <f ca="1"/>
        <v>46229</v>
      </c>
      <c r="M990" s="92">
        <f t="shared" ca="1" si="41"/>
        <v>6.25</v>
      </c>
      <c r="N990" s="143">
        <f ca="1">(PRODUCT($O$5:$O990)-1)*36000/_xlfn.DAYS(L990, $C$2)</f>
        <v>9.8262055408791724</v>
      </c>
      <c r="O990" s="149">
        <f t="shared" ca="1" si="42"/>
        <v>1.000173611111111</v>
      </c>
    </row>
    <row r="991" spans="12:15" x14ac:dyDescent="0.25">
      <c r="L991" s="147">
        <f ca="1"/>
        <v>46230</v>
      </c>
      <c r="M991" s="92">
        <f t="shared" ca="1" si="41"/>
        <v>6.25</v>
      </c>
      <c r="N991" s="143">
        <f ca="1">(PRODUCT($O$5:$O991)-1)*36000/_xlfn.DAYS(L991, $C$2)</f>
        <v>9.8242864423813074</v>
      </c>
      <c r="O991" s="149">
        <f t="shared" ca="1" si="42"/>
        <v>1.000173611111111</v>
      </c>
    </row>
    <row r="992" spans="12:15" x14ac:dyDescent="0.25">
      <c r="L992" s="147">
        <f ca="1"/>
        <v>46231</v>
      </c>
      <c r="M992" s="92">
        <f t="shared" ca="1" si="41"/>
        <v>6.25</v>
      </c>
      <c r="N992" s="143">
        <f ca="1">(PRODUCT($O$5:$O992)-1)*36000/_xlfn.DAYS(L992, $C$2)</f>
        <v>9.8223726225169763</v>
      </c>
      <c r="O992" s="149">
        <f t="shared" ca="1" si="42"/>
        <v>1.000173611111111</v>
      </c>
    </row>
    <row r="993" spans="12:15" x14ac:dyDescent="0.25">
      <c r="L993" s="147">
        <f ca="1"/>
        <v>46232</v>
      </c>
      <c r="M993" s="92">
        <f t="shared" ca="1" si="41"/>
        <v>6.25</v>
      </c>
      <c r="N993" s="143">
        <f ca="1">(PRODUCT($O$5:$O993)-1)*36000/_xlfn.DAYS(L993, $C$2)</f>
        <v>9.8204640655158872</v>
      </c>
      <c r="O993" s="149">
        <f t="shared" ca="1" si="42"/>
        <v>1.000173611111111</v>
      </c>
    </row>
    <row r="994" spans="12:15" x14ac:dyDescent="0.25">
      <c r="L994" s="147">
        <f ca="1"/>
        <v>46233</v>
      </c>
      <c r="M994" s="92">
        <f t="shared" ca="1" si="41"/>
        <v>6.25</v>
      </c>
      <c r="N994" s="143">
        <f ca="1">(PRODUCT($O$5:$O994)-1)*36000/_xlfn.DAYS(L994, $C$2)</f>
        <v>9.8185607556715055</v>
      </c>
      <c r="O994" s="149">
        <f t="shared" ca="1" si="42"/>
        <v>1.000173611111111</v>
      </c>
    </row>
    <row r="995" spans="12:15" x14ac:dyDescent="0.25">
      <c r="L995" s="147">
        <f ca="1"/>
        <v>46234</v>
      </c>
      <c r="M995" s="92">
        <f t="shared" ca="1" si="41"/>
        <v>6.25</v>
      </c>
      <c r="N995" s="143">
        <f ca="1">(PRODUCT($O$5:$O995)-1)*36000/_xlfn.DAYS(L995, $C$2)</f>
        <v>9.8166626773407302</v>
      </c>
      <c r="O995" s="149">
        <f t="shared" ca="1" si="42"/>
        <v>1.000173611111111</v>
      </c>
    </row>
    <row r="996" spans="12:15" x14ac:dyDescent="0.25">
      <c r="L996" s="147">
        <f ca="1"/>
        <v>46235</v>
      </c>
      <c r="M996" s="92">
        <f t="shared" ca="1" si="41"/>
        <v>6.25</v>
      </c>
      <c r="N996" s="143">
        <f ca="1">(PRODUCT($O$5:$O996)-1)*36000/_xlfn.DAYS(L996, $C$2)</f>
        <v>9.8147698149435936</v>
      </c>
      <c r="O996" s="149">
        <f t="shared" ca="1" si="42"/>
        <v>1.000173611111111</v>
      </c>
    </row>
    <row r="997" spans="12:15" x14ac:dyDescent="0.25">
      <c r="L997" s="147">
        <f ca="1"/>
        <v>46236</v>
      </c>
      <c r="M997" s="92">
        <f t="shared" ca="1" si="41"/>
        <v>6.25</v>
      </c>
      <c r="N997" s="143">
        <f ca="1">(PRODUCT($O$5:$O997)-1)*36000/_xlfn.DAYS(L997, $C$2)</f>
        <v>9.8128821529629136</v>
      </c>
      <c r="O997" s="149">
        <f t="shared" ca="1" si="42"/>
        <v>1.000173611111111</v>
      </c>
    </row>
    <row r="998" spans="12:15" x14ac:dyDescent="0.25">
      <c r="L998" s="147">
        <f ca="1"/>
        <v>46237</v>
      </c>
      <c r="M998" s="92">
        <f t="shared" ca="1" si="41"/>
        <v>6.25</v>
      </c>
      <c r="N998" s="143">
        <f ca="1">(PRODUCT($O$5:$O998)-1)*36000/_xlfn.DAYS(L998, $C$2)</f>
        <v>9.810999675943993</v>
      </c>
      <c r="O998" s="149">
        <f t="shared" ca="1" si="42"/>
        <v>1.000173611111111</v>
      </c>
    </row>
    <row r="999" spans="12:15" x14ac:dyDescent="0.25">
      <c r="L999" s="147">
        <f ca="1"/>
        <v>46238</v>
      </c>
      <c r="M999" s="92">
        <f t="shared" ca="1" si="41"/>
        <v>6.25</v>
      </c>
      <c r="N999" s="143">
        <f ca="1">(PRODUCT($O$5:$O999)-1)*36000/_xlfn.DAYS(L999, $C$2)</f>
        <v>9.8091223684943216</v>
      </c>
      <c r="O999" s="149">
        <f t="shared" ca="1" si="42"/>
        <v>1.000173611111111</v>
      </c>
    </row>
    <row r="1000" spans="12:15" x14ac:dyDescent="0.25">
      <c r="L1000" s="147">
        <f ca="1"/>
        <v>46239</v>
      </c>
      <c r="M1000" s="92">
        <f t="shared" ca="1" si="41"/>
        <v>6.25</v>
      </c>
      <c r="N1000" s="143">
        <f ca="1">(PRODUCT($O$5:$O1000)-1)*36000/_xlfn.DAYS(L1000, $C$2)</f>
        <v>9.8072502152832275</v>
      </c>
      <c r="O1000" s="149">
        <f t="shared" ca="1" si="42"/>
        <v>1.000173611111111</v>
      </c>
    </row>
    <row r="1001" spans="12:15" x14ac:dyDescent="0.25">
      <c r="L1001" s="147">
        <f ca="1"/>
        <v>46240</v>
      </c>
      <c r="M1001" s="92">
        <f t="shared" ca="1" si="41"/>
        <v>6.25</v>
      </c>
      <c r="N1001" s="143">
        <f ca="1">(PRODUCT($O$5:$O1001)-1)*36000/_xlfn.DAYS(L1001, $C$2)</f>
        <v>9.8053832010416038</v>
      </c>
      <c r="O1001" s="149">
        <f t="shared" ca="1" si="42"/>
        <v>1.000173611111111</v>
      </c>
    </row>
    <row r="1002" spans="12:15" x14ac:dyDescent="0.25">
      <c r="L1002" s="147">
        <f ca="1"/>
        <v>46241</v>
      </c>
      <c r="M1002" s="92">
        <f t="shared" ca="1" si="41"/>
        <v>6.25</v>
      </c>
      <c r="N1002" s="143">
        <f ca="1">(PRODUCT($O$5:$O1002)-1)*36000/_xlfn.DAYS(L1002, $C$2)</f>
        <v>9.8035213105615888</v>
      </c>
      <c r="O1002" s="149">
        <f t="shared" ca="1" si="42"/>
        <v>1.000173611111111</v>
      </c>
    </row>
    <row r="1003" spans="12:15" x14ac:dyDescent="0.25">
      <c r="L1003" s="147">
        <f ca="1"/>
        <v>46242</v>
      </c>
      <c r="M1003" s="92">
        <f t="shared" ca="1" si="41"/>
        <v>6.25</v>
      </c>
      <c r="N1003" s="143">
        <f ca="1">(PRODUCT($O$5:$O1003)-1)*36000/_xlfn.DAYS(L1003, $C$2)</f>
        <v>9.8016645286962305</v>
      </c>
      <c r="O1003" s="149">
        <f t="shared" ca="1" si="42"/>
        <v>1.000173611111111</v>
      </c>
    </row>
    <row r="1004" spans="12:15" x14ac:dyDescent="0.25">
      <c r="L1004" s="147">
        <f ca="1"/>
        <v>46243</v>
      </c>
      <c r="M1004" s="92">
        <f t="shared" ca="1" si="41"/>
        <v>6.25</v>
      </c>
      <c r="N1004" s="143">
        <f ca="1">(PRODUCT($O$5:$O1004)-1)*36000/_xlfn.DAYS(L1004, $C$2)</f>
        <v>9.7998128403592268</v>
      </c>
      <c r="O1004" s="149">
        <f t="shared" ca="1" si="42"/>
        <v>1.000173611111111</v>
      </c>
    </row>
    <row r="1005" spans="12:15" x14ac:dyDescent="0.25">
      <c r="L1005" s="147">
        <f ca="1"/>
        <v>46244</v>
      </c>
      <c r="M1005" s="92">
        <f t="shared" ca="1" si="41"/>
        <v>6.25</v>
      </c>
      <c r="N1005" s="143">
        <f ca="1">(PRODUCT($O$5:$O1005)-1)*36000/_xlfn.DAYS(L1005, $C$2)</f>
        <v>9.7979662305245938</v>
      </c>
      <c r="O1005" s="149">
        <f t="shared" ca="1" si="42"/>
        <v>1.000173611111111</v>
      </c>
    </row>
    <row r="1006" spans="12:15" x14ac:dyDescent="0.25">
      <c r="L1006" s="147">
        <f ca="1"/>
        <v>46245</v>
      </c>
      <c r="M1006" s="92">
        <f t="shared" ca="1" si="41"/>
        <v>6.25</v>
      </c>
      <c r="N1006" s="143">
        <f ca="1">(PRODUCT($O$5:$O1006)-1)*36000/_xlfn.DAYS(L1006, $C$2)</f>
        <v>9.7961246842263723</v>
      </c>
      <c r="O1006" s="149">
        <f t="shared" ca="1" si="42"/>
        <v>1.000173611111111</v>
      </c>
    </row>
    <row r="1007" spans="12:15" x14ac:dyDescent="0.25">
      <c r="L1007" s="147">
        <f ca="1"/>
        <v>46246</v>
      </c>
      <c r="M1007" s="92">
        <f t="shared" ca="1" si="41"/>
        <v>6.25</v>
      </c>
      <c r="N1007" s="143">
        <f ca="1">(PRODUCT($O$5:$O1007)-1)*36000/_xlfn.DAYS(L1007, $C$2)</f>
        <v>9.7942881865583384</v>
      </c>
      <c r="O1007" s="149">
        <f t="shared" ca="1" si="42"/>
        <v>1.000173611111111</v>
      </c>
    </row>
    <row r="1008" spans="12:15" x14ac:dyDescent="0.25">
      <c r="L1008" s="147">
        <f ca="1"/>
        <v>46247</v>
      </c>
      <c r="M1008" s="92">
        <f t="shared" ca="1" si="41"/>
        <v>6.25</v>
      </c>
      <c r="N1008" s="143">
        <f ca="1">(PRODUCT($O$5:$O1008)-1)*36000/_xlfn.DAYS(L1008, $C$2)</f>
        <v>9.7924567226736894</v>
      </c>
      <c r="O1008" s="149">
        <f t="shared" ca="1" si="42"/>
        <v>1.000173611111111</v>
      </c>
    </row>
    <row r="1009" spans="12:15" x14ac:dyDescent="0.25">
      <c r="L1009" s="147">
        <f ca="1"/>
        <v>46248</v>
      </c>
      <c r="M1009" s="92">
        <f t="shared" ca="1" si="41"/>
        <v>6.25</v>
      </c>
      <c r="N1009" s="143">
        <f ca="1">(PRODUCT($O$5:$O1009)-1)*36000/_xlfn.DAYS(L1009, $C$2)</f>
        <v>9.7906302777847571</v>
      </c>
      <c r="O1009" s="149">
        <f t="shared" ca="1" si="42"/>
        <v>1.000173611111111</v>
      </c>
    </row>
    <row r="1010" spans="12:15" x14ac:dyDescent="0.25">
      <c r="L1010" s="147">
        <f ca="1"/>
        <v>46249</v>
      </c>
      <c r="M1010" s="92">
        <f t="shared" ca="1" si="41"/>
        <v>6.25</v>
      </c>
      <c r="N1010" s="143">
        <f ca="1">(PRODUCT($O$5:$O1010)-1)*36000/_xlfn.DAYS(L1010, $C$2)</f>
        <v>9.7888088371627084</v>
      </c>
      <c r="O1010" s="149">
        <f t="shared" ca="1" si="42"/>
        <v>1.000173611111111</v>
      </c>
    </row>
    <row r="1011" spans="12:15" x14ac:dyDescent="0.25">
      <c r="L1011" s="147">
        <f ca="1"/>
        <v>46250</v>
      </c>
      <c r="M1011" s="92">
        <f t="shared" ca="1" si="41"/>
        <v>6.25</v>
      </c>
      <c r="N1011" s="143">
        <f ca="1">(PRODUCT($O$5:$O1011)-1)*36000/_xlfn.DAYS(L1011, $C$2)</f>
        <v>9.7869923861372623</v>
      </c>
      <c r="O1011" s="149">
        <f t="shared" ca="1" si="42"/>
        <v>1.000173611111111</v>
      </c>
    </row>
    <row r="1012" spans="12:15" x14ac:dyDescent="0.25">
      <c r="L1012" s="147">
        <f ca="1"/>
        <v>46251</v>
      </c>
      <c r="M1012" s="92">
        <f t="shared" ca="1" si="41"/>
        <v>6.25</v>
      </c>
      <c r="N1012" s="143">
        <f ca="1">(PRODUCT($O$5:$O1012)-1)*36000/_xlfn.DAYS(L1012, $C$2)</f>
        <v>9.7851809100964005</v>
      </c>
      <c r="O1012" s="149">
        <f t="shared" ca="1" si="42"/>
        <v>1.000173611111111</v>
      </c>
    </row>
    <row r="1013" spans="12:15" x14ac:dyDescent="0.25">
      <c r="L1013" s="147">
        <f ca="1"/>
        <v>46252</v>
      </c>
      <c r="M1013" s="92">
        <f t="shared" ca="1" si="41"/>
        <v>6.25</v>
      </c>
      <c r="N1013" s="143">
        <f ca="1">(PRODUCT($O$5:$O1013)-1)*36000/_xlfn.DAYS(L1013, $C$2)</f>
        <v>9.7833743944860565</v>
      </c>
      <c r="O1013" s="149">
        <f t="shared" ca="1" si="42"/>
        <v>1.000173611111111</v>
      </c>
    </row>
    <row r="1014" spans="12:15" x14ac:dyDescent="0.25">
      <c r="L1014" s="147">
        <f ca="1"/>
        <v>46253</v>
      </c>
      <c r="M1014" s="92">
        <f t="shared" ca="1" si="41"/>
        <v>6.25</v>
      </c>
      <c r="N1014" s="143">
        <f ca="1">(PRODUCT($O$5:$O1014)-1)*36000/_xlfn.DAYS(L1014, $C$2)</f>
        <v>9.7815728248098637</v>
      </c>
      <c r="O1014" s="149">
        <f t="shared" ca="1" si="42"/>
        <v>1.000173611111111</v>
      </c>
    </row>
    <row r="1015" spans="12:15" x14ac:dyDescent="0.25">
      <c r="L1015" s="147">
        <f ca="1"/>
        <v>46254</v>
      </c>
      <c r="M1015" s="92">
        <f t="shared" ca="1" si="41"/>
        <v>6.25</v>
      </c>
      <c r="N1015" s="143">
        <f ca="1">(PRODUCT($O$5:$O1015)-1)*36000/_xlfn.DAYS(L1015, $C$2)</f>
        <v>9.7797761866288351</v>
      </c>
      <c r="O1015" s="149">
        <f t="shared" ca="1" si="42"/>
        <v>1.000173611111111</v>
      </c>
    </row>
    <row r="1016" spans="12:15" x14ac:dyDescent="0.25">
      <c r="L1016" s="147">
        <f ca="1"/>
        <v>46255</v>
      </c>
      <c r="M1016" s="92">
        <f t="shared" ca="1" si="41"/>
        <v>6.25</v>
      </c>
      <c r="N1016" s="143">
        <f ca="1">(PRODUCT($O$5:$O1016)-1)*36000/_xlfn.DAYS(L1016, $C$2)</f>
        <v>9.7779844655611061</v>
      </c>
      <c r="O1016" s="149">
        <f t="shared" ca="1" si="42"/>
        <v>1.000173611111111</v>
      </c>
    </row>
    <row r="1017" spans="12:15" x14ac:dyDescent="0.25">
      <c r="L1017" s="147">
        <f ca="1"/>
        <v>46256</v>
      </c>
      <c r="M1017" s="92">
        <f t="shared" ca="1" si="41"/>
        <v>6.25</v>
      </c>
      <c r="N1017" s="143">
        <f ca="1">(PRODUCT($O$5:$O1017)-1)*36000/_xlfn.DAYS(L1017, $C$2)</f>
        <v>9.7761976472816396</v>
      </c>
      <c r="O1017" s="149">
        <f t="shared" ca="1" si="42"/>
        <v>1.000173611111111</v>
      </c>
    </row>
    <row r="1018" spans="12:15" x14ac:dyDescent="0.25">
      <c r="L1018" s="147">
        <f ca="1"/>
        <v>46257</v>
      </c>
      <c r="M1018" s="92">
        <f t="shared" ca="1" si="41"/>
        <v>6.25</v>
      </c>
      <c r="N1018" s="143">
        <f ca="1">(PRODUCT($O$5:$O1018)-1)*36000/_xlfn.DAYS(L1018, $C$2)</f>
        <v>9.7744157175219453</v>
      </c>
      <c r="O1018" s="149">
        <f t="shared" ca="1" si="42"/>
        <v>1.000173611111111</v>
      </c>
    </row>
    <row r="1019" spans="12:15" x14ac:dyDescent="0.25">
      <c r="L1019" s="147">
        <f ca="1"/>
        <v>46258</v>
      </c>
      <c r="M1019" s="92">
        <f t="shared" ca="1" si="41"/>
        <v>6.25</v>
      </c>
      <c r="N1019" s="143">
        <f ca="1">(PRODUCT($O$5:$O1019)-1)*36000/_xlfn.DAYS(L1019, $C$2)</f>
        <v>9.7726386620698058</v>
      </c>
      <c r="O1019" s="149">
        <f t="shared" ca="1" si="42"/>
        <v>1.000173611111111</v>
      </c>
    </row>
    <row r="1020" spans="12:15" x14ac:dyDescent="0.25">
      <c r="L1020" s="147">
        <f ca="1"/>
        <v>46259</v>
      </c>
      <c r="M1020" s="92">
        <f t="shared" ca="1" si="41"/>
        <v>6.25</v>
      </c>
      <c r="N1020" s="143">
        <f ca="1">(PRODUCT($O$5:$O1020)-1)*36000/_xlfn.DAYS(L1020, $C$2)</f>
        <v>9.7708664667690037</v>
      </c>
      <c r="O1020" s="149">
        <f t="shared" ca="1" si="42"/>
        <v>1.000173611111111</v>
      </c>
    </row>
    <row r="1021" spans="12:15" x14ac:dyDescent="0.25">
      <c r="L1021" s="147">
        <f ca="1"/>
        <v>46260</v>
      </c>
      <c r="M1021" s="92">
        <f t="shared" ca="1" si="41"/>
        <v>6.25</v>
      </c>
      <c r="N1021" s="143">
        <f ca="1">(PRODUCT($O$5:$O1021)-1)*36000/_xlfn.DAYS(L1021, $C$2)</f>
        <v>9.7690991175190387</v>
      </c>
      <c r="O1021" s="149">
        <f t="shared" ca="1" si="42"/>
        <v>1.000173611111111</v>
      </c>
    </row>
    <row r="1022" spans="12:15" x14ac:dyDescent="0.25">
      <c r="L1022" s="147">
        <f ca="1"/>
        <v>46261</v>
      </c>
      <c r="M1022" s="92">
        <f t="shared" ca="1" si="41"/>
        <v>6.25</v>
      </c>
      <c r="N1022" s="143">
        <f ca="1">(PRODUCT($O$5:$O1022)-1)*36000/_xlfn.DAYS(L1022, $C$2)</f>
        <v>9.7673366002748505</v>
      </c>
      <c r="O1022" s="149">
        <f t="shared" ca="1" si="42"/>
        <v>1.000173611111111</v>
      </c>
    </row>
    <row r="1023" spans="12:15" x14ac:dyDescent="0.25">
      <c r="L1023" s="147">
        <f ca="1"/>
        <v>46262</v>
      </c>
      <c r="M1023" s="92">
        <f t="shared" ca="1" si="41"/>
        <v>6.25</v>
      </c>
      <c r="N1023" s="143">
        <f ca="1">(PRODUCT($O$5:$O1023)-1)*36000/_xlfn.DAYS(L1023, $C$2)</f>
        <v>9.7655789010465526</v>
      </c>
      <c r="O1023" s="149">
        <f t="shared" ca="1" si="42"/>
        <v>1.000173611111111</v>
      </c>
    </row>
    <row r="1024" spans="12:15" x14ac:dyDescent="0.25">
      <c r="L1024" s="147">
        <f ca="1"/>
        <v>46263</v>
      </c>
      <c r="M1024" s="92">
        <f t="shared" ca="1" si="41"/>
        <v>6.25</v>
      </c>
      <c r="N1024" s="143">
        <f ca="1">(PRODUCT($O$5:$O1024)-1)*36000/_xlfn.DAYS(L1024, $C$2)</f>
        <v>9.7638260058991726</v>
      </c>
      <c r="O1024" s="149">
        <f t="shared" ca="1" si="42"/>
        <v>1.000173611111111</v>
      </c>
    </row>
    <row r="1025" spans="12:15" x14ac:dyDescent="0.25">
      <c r="L1025" s="147">
        <f ca="1"/>
        <v>46264</v>
      </c>
      <c r="M1025" s="92">
        <f t="shared" ca="1" si="41"/>
        <v>6.25</v>
      </c>
      <c r="N1025" s="143">
        <f ca="1">(PRODUCT($O$5:$O1025)-1)*36000/_xlfn.DAYS(L1025, $C$2)</f>
        <v>9.7620779009523613</v>
      </c>
      <c r="O1025" s="149">
        <f t="shared" ca="1" si="42"/>
        <v>1.000173611111111</v>
      </c>
    </row>
    <row r="1026" spans="12:15" x14ac:dyDescent="0.25">
      <c r="L1026" s="147">
        <f ca="1"/>
        <v>46265</v>
      </c>
      <c r="M1026" s="92">
        <f t="shared" ca="1" si="41"/>
        <v>6.25</v>
      </c>
      <c r="N1026" s="143">
        <f ca="1">(PRODUCT($O$5:$O1026)-1)*36000/_xlfn.DAYS(L1026, $C$2)</f>
        <v>9.7603345723801471</v>
      </c>
      <c r="O1026" s="149">
        <f t="shared" ca="1" si="42"/>
        <v>1.000173611111111</v>
      </c>
    </row>
    <row r="1027" spans="12:15" x14ac:dyDescent="0.25">
      <c r="L1027" s="147">
        <f ca="1"/>
        <v>46266</v>
      </c>
      <c r="M1027" s="92">
        <f t="shared" ca="1" si="41"/>
        <v>6.25</v>
      </c>
      <c r="N1027" s="143">
        <f ca="1">(PRODUCT($O$5:$O1027)-1)*36000/_xlfn.DAYS(L1027, $C$2)</f>
        <v>9.7585960064106452</v>
      </c>
      <c r="O1027" s="149">
        <f t="shared" ca="1" si="42"/>
        <v>1.000173611111111</v>
      </c>
    </row>
    <row r="1028" spans="12:15" x14ac:dyDescent="0.25">
      <c r="L1028" s="147">
        <f ca="1"/>
        <v>46267</v>
      </c>
      <c r="M1028" s="92">
        <f t="shared" ca="1" si="41"/>
        <v>6.25</v>
      </c>
      <c r="N1028" s="143">
        <f ca="1">(PRODUCT($O$5:$O1028)-1)*36000/_xlfn.DAYS(L1028, $C$2)</f>
        <v>9.7568621893258243</v>
      </c>
      <c r="O1028" s="149">
        <f t="shared" ca="1" si="42"/>
        <v>1.000173611111111</v>
      </c>
    </row>
    <row r="1029" spans="12:15" x14ac:dyDescent="0.25">
      <c r="L1029" s="147">
        <f ca="1"/>
        <v>46268</v>
      </c>
      <c r="M1029" s="92">
        <f t="shared" ref="M1029:M1092" ca="1" si="43">IFERROR(INDEX($E$27:$H$47, MATCH(L1029, $F$27:$F$47, 0), 4), IF(ISNUMBER(M1028), M1028, $C$5))</f>
        <v>6.25</v>
      </c>
      <c r="N1029" s="143">
        <f ca="1">(PRODUCT($O$5:$O1029)-1)*36000/_xlfn.DAYS(L1029, $C$2)</f>
        <v>9.7551331074612087</v>
      </c>
      <c r="O1029" s="149">
        <f t="shared" ca="1" si="42"/>
        <v>1.000173611111111</v>
      </c>
    </row>
    <row r="1030" spans="12:15" x14ac:dyDescent="0.25">
      <c r="L1030" s="147">
        <f ca="1"/>
        <v>46269</v>
      </c>
      <c r="M1030" s="92">
        <f t="shared" ca="1" si="43"/>
        <v>6.25</v>
      </c>
      <c r="N1030" s="143">
        <f ca="1">(PRODUCT($O$5:$O1030)-1)*36000/_xlfn.DAYS(L1030, $C$2)</f>
        <v>9.7534087472056594</v>
      </c>
      <c r="O1030" s="149">
        <f t="shared" ref="O1030:O1093" ca="1" si="44">1+M1030*IFERROR(_xlfn.DAYS(L1030, L1029), _xlfn.DAYS(L1030, $C$2))/36000</f>
        <v>1.000173611111111</v>
      </c>
    </row>
    <row r="1031" spans="12:15" x14ac:dyDescent="0.25">
      <c r="L1031" s="147">
        <f ca="1"/>
        <v>46270</v>
      </c>
      <c r="M1031" s="92">
        <f t="shared" ca="1" si="43"/>
        <v>6.25</v>
      </c>
      <c r="N1031" s="143">
        <f ca="1">(PRODUCT($O$5:$O1031)-1)*36000/_xlfn.DAYS(L1031, $C$2)</f>
        <v>9.7516890950010673</v>
      </c>
      <c r="O1031" s="149">
        <f t="shared" ca="1" si="44"/>
        <v>1.000173611111111</v>
      </c>
    </row>
    <row r="1032" spans="12:15" x14ac:dyDescent="0.25">
      <c r="L1032" s="147">
        <f ca="1"/>
        <v>46271</v>
      </c>
      <c r="M1032" s="92">
        <f t="shared" ca="1" si="43"/>
        <v>6.25</v>
      </c>
      <c r="N1032" s="143">
        <f ca="1">(PRODUCT($O$5:$O1032)-1)*36000/_xlfn.DAYS(L1032, $C$2)</f>
        <v>9.7499741373421358</v>
      </c>
      <c r="O1032" s="149">
        <f t="shared" ca="1" si="44"/>
        <v>1.000173611111111</v>
      </c>
    </row>
    <row r="1033" spans="12:15" x14ac:dyDescent="0.25">
      <c r="L1033" s="147">
        <f ca="1"/>
        <v>46272</v>
      </c>
      <c r="M1033" s="92">
        <f t="shared" ca="1" si="43"/>
        <v>6.25</v>
      </c>
      <c r="N1033" s="143">
        <f ca="1">(PRODUCT($O$5:$O1033)-1)*36000/_xlfn.DAYS(L1033, $C$2)</f>
        <v>9.7482638607761043</v>
      </c>
      <c r="O1033" s="149">
        <f t="shared" ca="1" si="44"/>
        <v>1.000173611111111</v>
      </c>
    </row>
    <row r="1034" spans="12:15" x14ac:dyDescent="0.25">
      <c r="L1034" s="147">
        <f ca="1"/>
        <v>46273</v>
      </c>
      <c r="M1034" s="92">
        <f t="shared" ca="1" si="43"/>
        <v>6.25</v>
      </c>
      <c r="N1034" s="143">
        <f ca="1">(PRODUCT($O$5:$O1034)-1)*36000/_xlfn.DAYS(L1034, $C$2)</f>
        <v>9.7465582519024903</v>
      </c>
      <c r="O1034" s="149">
        <f t="shared" ca="1" si="44"/>
        <v>1.000173611111111</v>
      </c>
    </row>
    <row r="1035" spans="12:15" x14ac:dyDescent="0.25">
      <c r="L1035" s="147">
        <f ca="1"/>
        <v>46274</v>
      </c>
      <c r="M1035" s="92">
        <f t="shared" ca="1" si="43"/>
        <v>6.25</v>
      </c>
      <c r="N1035" s="143">
        <f ca="1">(PRODUCT($O$5:$O1035)-1)*36000/_xlfn.DAYS(L1035, $C$2)</f>
        <v>9.7448572973728531</v>
      </c>
      <c r="O1035" s="149">
        <f t="shared" ca="1" si="44"/>
        <v>1.000173611111111</v>
      </c>
    </row>
    <row r="1036" spans="12:15" x14ac:dyDescent="0.25">
      <c r="L1036" s="147">
        <f ca="1"/>
        <v>46275</v>
      </c>
      <c r="M1036" s="92">
        <f t="shared" ca="1" si="43"/>
        <v>6.25</v>
      </c>
      <c r="N1036" s="143">
        <f ca="1">(PRODUCT($O$5:$O1036)-1)*36000/_xlfn.DAYS(L1036, $C$2)</f>
        <v>9.7431609838905207</v>
      </c>
      <c r="O1036" s="149">
        <f t="shared" ca="1" si="44"/>
        <v>1.000173611111111</v>
      </c>
    </row>
    <row r="1037" spans="12:15" x14ac:dyDescent="0.25">
      <c r="L1037" s="147">
        <f ca="1"/>
        <v>46276</v>
      </c>
      <c r="M1037" s="92">
        <f t="shared" ca="1" si="43"/>
        <v>6.25</v>
      </c>
      <c r="N1037" s="143">
        <f ca="1">(PRODUCT($O$5:$O1037)-1)*36000/_xlfn.DAYS(L1037, $C$2)</f>
        <v>9.7414692982103563</v>
      </c>
      <c r="O1037" s="149">
        <f t="shared" ca="1" si="44"/>
        <v>1.000173611111111</v>
      </c>
    </row>
    <row r="1038" spans="12:15" x14ac:dyDescent="0.25">
      <c r="L1038" s="147">
        <f ca="1"/>
        <v>46277</v>
      </c>
      <c r="M1038" s="92">
        <f t="shared" ca="1" si="43"/>
        <v>6.25</v>
      </c>
      <c r="N1038" s="143">
        <f ca="1">(PRODUCT($O$5:$O1038)-1)*36000/_xlfn.DAYS(L1038, $C$2)</f>
        <v>9.7397822271384911</v>
      </c>
      <c r="O1038" s="149">
        <f t="shared" ca="1" si="44"/>
        <v>1.000173611111111</v>
      </c>
    </row>
    <row r="1039" spans="12:15" x14ac:dyDescent="0.25">
      <c r="L1039" s="147">
        <f ca="1"/>
        <v>46278</v>
      </c>
      <c r="M1039" s="92">
        <f t="shared" ca="1" si="43"/>
        <v>6.25</v>
      </c>
      <c r="N1039" s="143">
        <f ca="1">(PRODUCT($O$5:$O1039)-1)*36000/_xlfn.DAYS(L1039, $C$2)</f>
        <v>9.738099757532094</v>
      </c>
      <c r="O1039" s="149">
        <f t="shared" ca="1" si="44"/>
        <v>1.000173611111111</v>
      </c>
    </row>
    <row r="1040" spans="12:15" x14ac:dyDescent="0.25">
      <c r="L1040" s="147">
        <f ca="1"/>
        <v>46279</v>
      </c>
      <c r="M1040" s="92">
        <f t="shared" ca="1" si="43"/>
        <v>6.25</v>
      </c>
      <c r="N1040" s="143">
        <f ca="1">(PRODUCT($O$5:$O1040)-1)*36000/_xlfn.DAYS(L1040, $C$2)</f>
        <v>9.736421876299131</v>
      </c>
      <c r="O1040" s="149">
        <f t="shared" ca="1" si="44"/>
        <v>1.000173611111111</v>
      </c>
    </row>
    <row r="1041" spans="12:15" x14ac:dyDescent="0.25">
      <c r="L1041" s="147">
        <f ca="1"/>
        <v>46280</v>
      </c>
      <c r="M1041" s="92">
        <f t="shared" ca="1" si="43"/>
        <v>6.25</v>
      </c>
      <c r="N1041" s="143">
        <f ca="1">(PRODUCT($O$5:$O1041)-1)*36000/_xlfn.DAYS(L1041, $C$2)</f>
        <v>9.7347485703980858</v>
      </c>
      <c r="O1041" s="149">
        <f t="shared" ca="1" si="44"/>
        <v>1.000173611111111</v>
      </c>
    </row>
    <row r="1042" spans="12:15" x14ac:dyDescent="0.25">
      <c r="L1042" s="147">
        <f ca="1"/>
        <v>46281</v>
      </c>
      <c r="M1042" s="92">
        <f t="shared" ca="1" si="43"/>
        <v>6.25</v>
      </c>
      <c r="N1042" s="143">
        <f ca="1">(PRODUCT($O$5:$O1042)-1)*36000/_xlfn.DAYS(L1042, $C$2)</f>
        <v>9.7330798268377468</v>
      </c>
      <c r="O1042" s="149">
        <f t="shared" ca="1" si="44"/>
        <v>1.000173611111111</v>
      </c>
    </row>
    <row r="1043" spans="12:15" x14ac:dyDescent="0.25">
      <c r="L1043" s="147">
        <f ca="1"/>
        <v>46282</v>
      </c>
      <c r="M1043" s="92">
        <f t="shared" ca="1" si="43"/>
        <v>6.25</v>
      </c>
      <c r="N1043" s="143">
        <f ca="1">(PRODUCT($O$5:$O1043)-1)*36000/_xlfn.DAYS(L1043, $C$2)</f>
        <v>9.731415632676967</v>
      </c>
      <c r="O1043" s="149">
        <f t="shared" ca="1" si="44"/>
        <v>1.000173611111111</v>
      </c>
    </row>
    <row r="1044" spans="12:15" x14ac:dyDescent="0.25">
      <c r="L1044" s="147">
        <f ca="1"/>
        <v>46283</v>
      </c>
      <c r="M1044" s="92">
        <f t="shared" ca="1" si="43"/>
        <v>6.25</v>
      </c>
      <c r="N1044" s="143">
        <f ca="1">(PRODUCT($O$5:$O1044)-1)*36000/_xlfn.DAYS(L1044, $C$2)</f>
        <v>9.7297559750244051</v>
      </c>
      <c r="O1044" s="149">
        <f t="shared" ca="1" si="44"/>
        <v>1.000173611111111</v>
      </c>
    </row>
    <row r="1045" spans="12:15" x14ac:dyDescent="0.25">
      <c r="L1045" s="147">
        <f ca="1"/>
        <v>46284</v>
      </c>
      <c r="M1045" s="92">
        <f t="shared" ca="1" si="43"/>
        <v>6.25</v>
      </c>
      <c r="N1045" s="143">
        <f ca="1">(PRODUCT($O$5:$O1045)-1)*36000/_xlfn.DAYS(L1045, $C$2)</f>
        <v>9.7281008410382999</v>
      </c>
      <c r="O1045" s="149">
        <f t="shared" ca="1" si="44"/>
        <v>1.000173611111111</v>
      </c>
    </row>
    <row r="1046" spans="12:15" x14ac:dyDescent="0.25">
      <c r="L1046" s="147">
        <f ca="1"/>
        <v>46285</v>
      </c>
      <c r="M1046" s="92">
        <f t="shared" ca="1" si="43"/>
        <v>6.25</v>
      </c>
      <c r="N1046" s="143">
        <f ca="1">(PRODUCT($O$5:$O1046)-1)*36000/_xlfn.DAYS(L1046, $C$2)</f>
        <v>9.7264502179262173</v>
      </c>
      <c r="O1046" s="149">
        <f t="shared" ca="1" si="44"/>
        <v>1.000173611111111</v>
      </c>
    </row>
    <row r="1047" spans="12:15" x14ac:dyDescent="0.25">
      <c r="L1047" s="147">
        <f ca="1"/>
        <v>46286</v>
      </c>
      <c r="M1047" s="92">
        <f t="shared" ca="1" si="43"/>
        <v>6.25</v>
      </c>
      <c r="N1047" s="143">
        <f ca="1">(PRODUCT($O$5:$O1047)-1)*36000/_xlfn.DAYS(L1047, $C$2)</f>
        <v>9.7248040929448276</v>
      </c>
      <c r="O1047" s="149">
        <f t="shared" ca="1" si="44"/>
        <v>1.000173611111111</v>
      </c>
    </row>
    <row r="1048" spans="12:15" x14ac:dyDescent="0.25">
      <c r="L1048" s="147">
        <f ca="1"/>
        <v>46287</v>
      </c>
      <c r="M1048" s="92">
        <f t="shared" ca="1" si="43"/>
        <v>6.25</v>
      </c>
      <c r="N1048" s="143">
        <f ca="1">(PRODUCT($O$5:$O1048)-1)*36000/_xlfn.DAYS(L1048, $C$2)</f>
        <v>9.7231624533996701</v>
      </c>
      <c r="O1048" s="149">
        <f t="shared" ca="1" si="44"/>
        <v>1.000173611111111</v>
      </c>
    </row>
    <row r="1049" spans="12:15" x14ac:dyDescent="0.25">
      <c r="L1049" s="147">
        <f ca="1"/>
        <v>46288</v>
      </c>
      <c r="M1049" s="92">
        <f t="shared" ca="1" si="43"/>
        <v>6.25</v>
      </c>
      <c r="N1049" s="143">
        <f ca="1">(PRODUCT($O$5:$O1049)-1)*36000/_xlfn.DAYS(L1049, $C$2)</f>
        <v>9.721525286644912</v>
      </c>
      <c r="O1049" s="149">
        <f t="shared" ca="1" si="44"/>
        <v>1.000173611111111</v>
      </c>
    </row>
    <row r="1050" spans="12:15" x14ac:dyDescent="0.25">
      <c r="L1050" s="147">
        <f ca="1"/>
        <v>46289</v>
      </c>
      <c r="M1050" s="92">
        <f t="shared" ca="1" si="43"/>
        <v>6.25</v>
      </c>
      <c r="N1050" s="143">
        <f ca="1">(PRODUCT($O$5:$O1050)-1)*36000/_xlfn.DAYS(L1050, $C$2)</f>
        <v>9.7198925800831173</v>
      </c>
      <c r="O1050" s="149">
        <f t="shared" ca="1" si="44"/>
        <v>1.000173611111111</v>
      </c>
    </row>
    <row r="1051" spans="12:15" x14ac:dyDescent="0.25">
      <c r="L1051" s="147">
        <f ca="1"/>
        <v>46290</v>
      </c>
      <c r="M1051" s="92">
        <f t="shared" ca="1" si="43"/>
        <v>6.25</v>
      </c>
      <c r="N1051" s="143">
        <f ca="1">(PRODUCT($O$5:$O1051)-1)*36000/_xlfn.DAYS(L1051, $C$2)</f>
        <v>9.718264321165023</v>
      </c>
      <c r="O1051" s="149">
        <f t="shared" ca="1" si="44"/>
        <v>1.000173611111111</v>
      </c>
    </row>
    <row r="1052" spans="12:15" x14ac:dyDescent="0.25">
      <c r="L1052" s="147">
        <f ca="1"/>
        <v>46291</v>
      </c>
      <c r="M1052" s="92">
        <f t="shared" ca="1" si="43"/>
        <v>6.25</v>
      </c>
      <c r="N1052" s="143">
        <f ca="1">(PRODUCT($O$5:$O1052)-1)*36000/_xlfn.DAYS(L1052, $C$2)</f>
        <v>9.7166404973892995</v>
      </c>
      <c r="O1052" s="149">
        <f t="shared" ca="1" si="44"/>
        <v>1.000173611111111</v>
      </c>
    </row>
    <row r="1053" spans="12:15" x14ac:dyDescent="0.25">
      <c r="L1053" s="147">
        <f ca="1"/>
        <v>46292</v>
      </c>
      <c r="M1053" s="92">
        <f t="shared" ca="1" si="43"/>
        <v>6.25</v>
      </c>
      <c r="N1053" s="143">
        <f ca="1">(PRODUCT($O$5:$O1053)-1)*36000/_xlfn.DAYS(L1053, $C$2)</f>
        <v>9.7150210963023333</v>
      </c>
      <c r="O1053" s="149">
        <f t="shared" ca="1" si="44"/>
        <v>1.000173611111111</v>
      </c>
    </row>
    <row r="1054" spans="12:15" x14ac:dyDescent="0.25">
      <c r="L1054" s="147">
        <f ca="1"/>
        <v>46293</v>
      </c>
      <c r="M1054" s="92">
        <f t="shared" ca="1" si="43"/>
        <v>6.25</v>
      </c>
      <c r="N1054" s="143">
        <f ca="1">(PRODUCT($O$5:$O1054)-1)*36000/_xlfn.DAYS(L1054, $C$2)</f>
        <v>9.7134061054979828</v>
      </c>
      <c r="O1054" s="149">
        <f t="shared" ca="1" si="44"/>
        <v>1.000173611111111</v>
      </c>
    </row>
    <row r="1055" spans="12:15" x14ac:dyDescent="0.25">
      <c r="L1055" s="147">
        <f ca="1"/>
        <v>46294</v>
      </c>
      <c r="M1055" s="92">
        <f t="shared" ca="1" si="43"/>
        <v>6.25</v>
      </c>
      <c r="N1055" s="143">
        <f ca="1">(PRODUCT($O$5:$O1055)-1)*36000/_xlfn.DAYS(L1055, $C$2)</f>
        <v>9.7117955126173712</v>
      </c>
      <c r="O1055" s="149">
        <f t="shared" ca="1" si="44"/>
        <v>1.000173611111111</v>
      </c>
    </row>
    <row r="1056" spans="12:15" x14ac:dyDescent="0.25">
      <c r="L1056" s="147">
        <f ca="1"/>
        <v>46295</v>
      </c>
      <c r="M1056" s="92">
        <f t="shared" ca="1" si="43"/>
        <v>6.25</v>
      </c>
      <c r="N1056" s="143">
        <f ca="1">(PRODUCT($O$5:$O1056)-1)*36000/_xlfn.DAYS(L1056, $C$2)</f>
        <v>9.7101893053486492</v>
      </c>
      <c r="O1056" s="149">
        <f t="shared" ca="1" si="44"/>
        <v>1.000173611111111</v>
      </c>
    </row>
    <row r="1057" spans="12:15" x14ac:dyDescent="0.25">
      <c r="L1057" s="147">
        <f ca="1"/>
        <v>46296</v>
      </c>
      <c r="M1057" s="92">
        <f t="shared" ca="1" si="43"/>
        <v>6.25</v>
      </c>
      <c r="N1057" s="143">
        <f ca="1">(PRODUCT($O$5:$O1057)-1)*36000/_xlfn.DAYS(L1057, $C$2)</f>
        <v>9.7085874714267817</v>
      </c>
      <c r="O1057" s="149">
        <f t="shared" ca="1" si="44"/>
        <v>1.000173611111111</v>
      </c>
    </row>
    <row r="1058" spans="12:15" x14ac:dyDescent="0.25">
      <c r="L1058" s="147">
        <f ca="1"/>
        <v>46297</v>
      </c>
      <c r="M1058" s="92">
        <f t="shared" ca="1" si="43"/>
        <v>6.25</v>
      </c>
      <c r="N1058" s="143">
        <f ca="1">(PRODUCT($O$5:$O1058)-1)*36000/_xlfn.DAYS(L1058, $C$2)</f>
        <v>9.7069899986333148</v>
      </c>
      <c r="O1058" s="149">
        <f t="shared" ca="1" si="44"/>
        <v>1.000173611111111</v>
      </c>
    </row>
    <row r="1059" spans="12:15" x14ac:dyDescent="0.25">
      <c r="L1059" s="147">
        <f ca="1"/>
        <v>46298</v>
      </c>
      <c r="M1059" s="92">
        <f t="shared" ca="1" si="43"/>
        <v>6.25</v>
      </c>
      <c r="N1059" s="143">
        <f ca="1">(PRODUCT($O$5:$O1059)-1)*36000/_xlfn.DAYS(L1059, $C$2)</f>
        <v>9.7053968747961665</v>
      </c>
      <c r="O1059" s="149">
        <f t="shared" ca="1" si="44"/>
        <v>1.000173611111111</v>
      </c>
    </row>
    <row r="1060" spans="12:15" x14ac:dyDescent="0.25">
      <c r="L1060" s="147">
        <f ca="1"/>
        <v>46299</v>
      </c>
      <c r="M1060" s="92">
        <f t="shared" ca="1" si="43"/>
        <v>6.25</v>
      </c>
      <c r="N1060" s="143">
        <f ca="1">(PRODUCT($O$5:$O1060)-1)*36000/_xlfn.DAYS(L1060, $C$2)</f>
        <v>9.7038080877893886</v>
      </c>
      <c r="O1060" s="149">
        <f t="shared" ca="1" si="44"/>
        <v>1.000173611111111</v>
      </c>
    </row>
    <row r="1061" spans="12:15" x14ac:dyDescent="0.25">
      <c r="L1061" s="147">
        <f ca="1"/>
        <v>46300</v>
      </c>
      <c r="M1061" s="92">
        <f t="shared" ca="1" si="43"/>
        <v>6.25</v>
      </c>
      <c r="N1061" s="143">
        <f ca="1">(PRODUCT($O$5:$O1061)-1)*36000/_xlfn.DAYS(L1061, $C$2)</f>
        <v>9.7022236255329748</v>
      </c>
      <c r="O1061" s="149">
        <f t="shared" ca="1" si="44"/>
        <v>1.000173611111111</v>
      </c>
    </row>
    <row r="1062" spans="12:15" x14ac:dyDescent="0.25">
      <c r="L1062" s="147">
        <f ca="1"/>
        <v>46301</v>
      </c>
      <c r="M1062" s="92">
        <f t="shared" ca="1" si="43"/>
        <v>6.25</v>
      </c>
      <c r="N1062" s="143">
        <f ca="1">(PRODUCT($O$5:$O1062)-1)*36000/_xlfn.DAYS(L1062, $C$2)</f>
        <v>9.7006434759926154</v>
      </c>
      <c r="O1062" s="149">
        <f t="shared" ca="1" si="44"/>
        <v>1.000173611111111</v>
      </c>
    </row>
    <row r="1063" spans="12:15" x14ac:dyDescent="0.25">
      <c r="L1063" s="147">
        <f ca="1"/>
        <v>46302</v>
      </c>
      <c r="M1063" s="92">
        <f t="shared" ca="1" si="43"/>
        <v>6.25</v>
      </c>
      <c r="N1063" s="143">
        <f ca="1">(PRODUCT($O$5:$O1063)-1)*36000/_xlfn.DAYS(L1063, $C$2)</f>
        <v>9.699067627179506</v>
      </c>
      <c r="O1063" s="149">
        <f t="shared" ca="1" si="44"/>
        <v>1.000173611111111</v>
      </c>
    </row>
    <row r="1064" spans="12:15" x14ac:dyDescent="0.25">
      <c r="L1064" s="147">
        <f ca="1"/>
        <v>46303</v>
      </c>
      <c r="M1064" s="92">
        <f t="shared" ca="1" si="43"/>
        <v>6.25</v>
      </c>
      <c r="N1064" s="143">
        <f ca="1">(PRODUCT($O$5:$O1064)-1)*36000/_xlfn.DAYS(L1064, $C$2)</f>
        <v>9.6974960671501265</v>
      </c>
      <c r="O1064" s="149">
        <f t="shared" ca="1" si="44"/>
        <v>1.000173611111111</v>
      </c>
    </row>
    <row r="1065" spans="12:15" x14ac:dyDescent="0.25">
      <c r="L1065" s="147">
        <f ca="1"/>
        <v>46304</v>
      </c>
      <c r="M1065" s="92">
        <f t="shared" ca="1" si="43"/>
        <v>6.25</v>
      </c>
      <c r="N1065" s="143">
        <f ca="1">(PRODUCT($O$5:$O1065)-1)*36000/_xlfn.DAYS(L1065, $C$2)</f>
        <v>9.6959287840060124</v>
      </c>
      <c r="O1065" s="149">
        <f t="shared" ca="1" si="44"/>
        <v>1.000173611111111</v>
      </c>
    </row>
    <row r="1066" spans="12:15" x14ac:dyDescent="0.25">
      <c r="L1066" s="147">
        <f ca="1"/>
        <v>46305</v>
      </c>
      <c r="M1066" s="92">
        <f t="shared" ca="1" si="43"/>
        <v>6.25</v>
      </c>
      <c r="N1066" s="143">
        <f ca="1">(PRODUCT($O$5:$O1066)-1)*36000/_xlfn.DAYS(L1066, $C$2)</f>
        <v>9.6943657658935578</v>
      </c>
      <c r="O1066" s="149">
        <f t="shared" ca="1" si="44"/>
        <v>1.000173611111111</v>
      </c>
    </row>
    <row r="1067" spans="12:15" x14ac:dyDescent="0.25">
      <c r="L1067" s="147">
        <f ca="1"/>
        <v>46306</v>
      </c>
      <c r="M1067" s="92">
        <f t="shared" ca="1" si="43"/>
        <v>6.25</v>
      </c>
      <c r="N1067" s="143">
        <f ca="1">(PRODUCT($O$5:$O1067)-1)*36000/_xlfn.DAYS(L1067, $C$2)</f>
        <v>9.6928070010037981</v>
      </c>
      <c r="O1067" s="149">
        <f t="shared" ca="1" si="44"/>
        <v>1.000173611111111</v>
      </c>
    </row>
    <row r="1068" spans="12:15" x14ac:dyDescent="0.25">
      <c r="L1068" s="147">
        <f ca="1"/>
        <v>46307</v>
      </c>
      <c r="M1068" s="92">
        <f t="shared" ca="1" si="43"/>
        <v>6.25</v>
      </c>
      <c r="N1068" s="143">
        <f ca="1">(PRODUCT($O$5:$O1068)-1)*36000/_xlfn.DAYS(L1068, $C$2)</f>
        <v>9.6912524775722186</v>
      </c>
      <c r="O1068" s="149">
        <f t="shared" ca="1" si="44"/>
        <v>1.000173611111111</v>
      </c>
    </row>
    <row r="1069" spans="12:15" x14ac:dyDescent="0.25">
      <c r="L1069" s="147">
        <f ca="1"/>
        <v>46308</v>
      </c>
      <c r="M1069" s="92">
        <f t="shared" ca="1" si="43"/>
        <v>6.25</v>
      </c>
      <c r="N1069" s="143">
        <f ca="1">(PRODUCT($O$5:$O1069)-1)*36000/_xlfn.DAYS(L1069, $C$2)</f>
        <v>9.6897021838785058</v>
      </c>
      <c r="O1069" s="149">
        <f t="shared" ca="1" si="44"/>
        <v>1.000173611111111</v>
      </c>
    </row>
    <row r="1070" spans="12:15" x14ac:dyDescent="0.25">
      <c r="L1070" s="147">
        <f ca="1"/>
        <v>46309</v>
      </c>
      <c r="M1070" s="92">
        <f t="shared" ca="1" si="43"/>
        <v>6.25</v>
      </c>
      <c r="N1070" s="143">
        <f ca="1">(PRODUCT($O$5:$O1070)-1)*36000/_xlfn.DAYS(L1070, $C$2)</f>
        <v>9.6881561082463872</v>
      </c>
      <c r="O1070" s="149">
        <f t="shared" ca="1" si="44"/>
        <v>1.000173611111111</v>
      </c>
    </row>
    <row r="1071" spans="12:15" x14ac:dyDescent="0.25">
      <c r="L1071" s="147">
        <f ca="1"/>
        <v>46310</v>
      </c>
      <c r="M1071" s="92">
        <f t="shared" ca="1" si="43"/>
        <v>6.25</v>
      </c>
      <c r="N1071" s="143">
        <f ca="1">(PRODUCT($O$5:$O1071)-1)*36000/_xlfn.DAYS(L1071, $C$2)</f>
        <v>9.6866142390433794</v>
      </c>
      <c r="O1071" s="149">
        <f t="shared" ca="1" si="44"/>
        <v>1.000173611111111</v>
      </c>
    </row>
    <row r="1072" spans="12:15" x14ac:dyDescent="0.25">
      <c r="L1072" s="147">
        <f ca="1"/>
        <v>46311</v>
      </c>
      <c r="M1072" s="92">
        <f t="shared" ca="1" si="43"/>
        <v>6.25</v>
      </c>
      <c r="N1072" s="143">
        <f ca="1">(PRODUCT($O$5:$O1072)-1)*36000/_xlfn.DAYS(L1072, $C$2)</f>
        <v>9.6850765646806263</v>
      </c>
      <c r="O1072" s="149">
        <f t="shared" ca="1" si="44"/>
        <v>1.000173611111111</v>
      </c>
    </row>
    <row r="1073" spans="12:15" x14ac:dyDescent="0.25">
      <c r="L1073" s="147">
        <f ca="1"/>
        <v>46312</v>
      </c>
      <c r="M1073" s="92">
        <f t="shared" ca="1" si="43"/>
        <v>6.25</v>
      </c>
      <c r="N1073" s="143">
        <f ca="1">(PRODUCT($O$5:$O1073)-1)*36000/_xlfn.DAYS(L1073, $C$2)</f>
        <v>9.6835430736126664</v>
      </c>
      <c r="O1073" s="149">
        <f t="shared" ca="1" si="44"/>
        <v>1.000173611111111</v>
      </c>
    </row>
    <row r="1074" spans="12:15" x14ac:dyDescent="0.25">
      <c r="L1074" s="147">
        <f ca="1"/>
        <v>46313</v>
      </c>
      <c r="M1074" s="92">
        <f t="shared" ca="1" si="43"/>
        <v>6.25</v>
      </c>
      <c r="N1074" s="143">
        <f ca="1">(PRODUCT($O$5:$O1074)-1)*36000/_xlfn.DAYS(L1074, $C$2)</f>
        <v>9.6820137543372375</v>
      </c>
      <c r="O1074" s="149">
        <f t="shared" ca="1" si="44"/>
        <v>1.000173611111111</v>
      </c>
    </row>
    <row r="1075" spans="12:15" x14ac:dyDescent="0.25">
      <c r="L1075" s="147">
        <f ca="1"/>
        <v>46314</v>
      </c>
      <c r="M1075" s="92">
        <f t="shared" ca="1" si="43"/>
        <v>6.25</v>
      </c>
      <c r="N1075" s="143">
        <f ca="1">(PRODUCT($O$5:$O1075)-1)*36000/_xlfn.DAYS(L1075, $C$2)</f>
        <v>9.6804885953950723</v>
      </c>
      <c r="O1075" s="149">
        <f t="shared" ca="1" si="44"/>
        <v>1.000173611111111</v>
      </c>
    </row>
    <row r="1076" spans="12:15" x14ac:dyDescent="0.25">
      <c r="L1076" s="147">
        <f ca="1"/>
        <v>46315</v>
      </c>
      <c r="M1076" s="92">
        <f t="shared" ca="1" si="43"/>
        <v>6.25</v>
      </c>
      <c r="N1076" s="143">
        <f ca="1">(PRODUCT($O$5:$O1076)-1)*36000/_xlfn.DAYS(L1076, $C$2)</f>
        <v>9.6789675853697013</v>
      </c>
      <c r="O1076" s="149">
        <f t="shared" ca="1" si="44"/>
        <v>1.000173611111111</v>
      </c>
    </row>
    <row r="1077" spans="12:15" x14ac:dyDescent="0.25">
      <c r="L1077" s="147">
        <f ca="1"/>
        <v>46316</v>
      </c>
      <c r="M1077" s="92">
        <f t="shared" ca="1" si="43"/>
        <v>6.25</v>
      </c>
      <c r="N1077" s="143">
        <f ca="1">(PRODUCT($O$5:$O1077)-1)*36000/_xlfn.DAYS(L1077, $C$2)</f>
        <v>9.6774507128872713</v>
      </c>
      <c r="O1077" s="149">
        <f t="shared" ca="1" si="44"/>
        <v>1.000173611111111</v>
      </c>
    </row>
    <row r="1078" spans="12:15" x14ac:dyDescent="0.25">
      <c r="L1078" s="147">
        <f ca="1"/>
        <v>46317</v>
      </c>
      <c r="M1078" s="92">
        <f t="shared" ca="1" si="43"/>
        <v>6.25</v>
      </c>
      <c r="N1078" s="143">
        <f ca="1">(PRODUCT($O$5:$O1078)-1)*36000/_xlfn.DAYS(L1078, $C$2)</f>
        <v>9.6759379666162992</v>
      </c>
      <c r="O1078" s="149">
        <f t="shared" ca="1" si="44"/>
        <v>1.000173611111111</v>
      </c>
    </row>
    <row r="1079" spans="12:15" x14ac:dyDescent="0.25">
      <c r="L1079" s="147">
        <f ca="1"/>
        <v>46318</v>
      </c>
      <c r="M1079" s="92">
        <f t="shared" ca="1" si="43"/>
        <v>6.25</v>
      </c>
      <c r="N1079" s="143">
        <f ca="1">(PRODUCT($O$5:$O1079)-1)*36000/_xlfn.DAYS(L1079, $C$2)</f>
        <v>9.674429335267531</v>
      </c>
      <c r="O1079" s="149">
        <f t="shared" ca="1" si="44"/>
        <v>1.000173611111111</v>
      </c>
    </row>
    <row r="1080" spans="12:15" x14ac:dyDescent="0.25">
      <c r="L1080" s="147">
        <f ca="1"/>
        <v>46319</v>
      </c>
      <c r="M1080" s="92">
        <f t="shared" ca="1" si="43"/>
        <v>6.25</v>
      </c>
      <c r="N1080" s="143">
        <f ca="1">(PRODUCT($O$5:$O1080)-1)*36000/_xlfn.DAYS(L1080, $C$2)</f>
        <v>9.6729248075937058</v>
      </c>
      <c r="O1080" s="149">
        <f t="shared" ca="1" si="44"/>
        <v>1.000173611111111</v>
      </c>
    </row>
    <row r="1081" spans="12:15" x14ac:dyDescent="0.25">
      <c r="L1081" s="147">
        <f ca="1"/>
        <v>46320</v>
      </c>
      <c r="M1081" s="92">
        <f t="shared" ca="1" si="43"/>
        <v>6.25</v>
      </c>
      <c r="N1081" s="143">
        <f ca="1">(PRODUCT($O$5:$O1081)-1)*36000/_xlfn.DAYS(L1081, $C$2)</f>
        <v>9.6714243723893727</v>
      </c>
      <c r="O1081" s="149">
        <f t="shared" ca="1" si="44"/>
        <v>1.000173611111111</v>
      </c>
    </row>
    <row r="1082" spans="12:15" x14ac:dyDescent="0.25">
      <c r="L1082" s="147">
        <f ca="1"/>
        <v>46321</v>
      </c>
      <c r="M1082" s="92">
        <f t="shared" ca="1" si="43"/>
        <v>6.25</v>
      </c>
      <c r="N1082" s="143">
        <f ca="1">(PRODUCT($O$5:$O1082)-1)*36000/_xlfn.DAYS(L1082, $C$2)</f>
        <v>9.6699280184907064</v>
      </c>
      <c r="O1082" s="149">
        <f t="shared" ca="1" si="44"/>
        <v>1.000173611111111</v>
      </c>
    </row>
    <row r="1083" spans="12:15" x14ac:dyDescent="0.25">
      <c r="L1083" s="147">
        <f ca="1"/>
        <v>46322</v>
      </c>
      <c r="M1083" s="92">
        <f t="shared" ca="1" si="43"/>
        <v>6.25</v>
      </c>
      <c r="N1083" s="143">
        <f ca="1">(PRODUCT($O$5:$O1083)-1)*36000/_xlfn.DAYS(L1083, $C$2)</f>
        <v>9.6684357347753025</v>
      </c>
      <c r="O1083" s="149">
        <f t="shared" ca="1" si="44"/>
        <v>1.000173611111111</v>
      </c>
    </row>
    <row r="1084" spans="12:15" x14ac:dyDescent="0.25">
      <c r="L1084" s="147">
        <f ca="1"/>
        <v>46323</v>
      </c>
      <c r="M1084" s="92">
        <f t="shared" ca="1" si="43"/>
        <v>6.25</v>
      </c>
      <c r="N1084" s="143">
        <f ca="1">(PRODUCT($O$5:$O1084)-1)*36000/_xlfn.DAYS(L1084, $C$2)</f>
        <v>9.6669475101619859</v>
      </c>
      <c r="O1084" s="149">
        <f t="shared" ca="1" si="44"/>
        <v>1.000173611111111</v>
      </c>
    </row>
    <row r="1085" spans="12:15" x14ac:dyDescent="0.25">
      <c r="L1085" s="147">
        <f ca="1"/>
        <v>46324</v>
      </c>
      <c r="M1085" s="92">
        <f t="shared" ca="1" si="43"/>
        <v>6.25</v>
      </c>
      <c r="N1085" s="143">
        <f ca="1">(PRODUCT($O$5:$O1085)-1)*36000/_xlfn.DAYS(L1085, $C$2)</f>
        <v>9.6654633336106368</v>
      </c>
      <c r="O1085" s="149">
        <f t="shared" ca="1" si="44"/>
        <v>1.000173611111111</v>
      </c>
    </row>
    <row r="1086" spans="12:15" x14ac:dyDescent="0.25">
      <c r="L1086" s="147">
        <f ca="1"/>
        <v>46325</v>
      </c>
      <c r="M1086" s="92">
        <f t="shared" ca="1" si="43"/>
        <v>6.25</v>
      </c>
      <c r="N1086" s="143">
        <f ca="1">(PRODUCT($O$5:$O1086)-1)*36000/_xlfn.DAYS(L1086, $C$2)</f>
        <v>9.6639831941219754</v>
      </c>
      <c r="O1086" s="149">
        <f t="shared" ca="1" si="44"/>
        <v>1.000173611111111</v>
      </c>
    </row>
    <row r="1087" spans="12:15" x14ac:dyDescent="0.25">
      <c r="L1087" s="147">
        <f ca="1"/>
        <v>46326</v>
      </c>
      <c r="M1087" s="92">
        <f t="shared" ca="1" si="43"/>
        <v>6.25</v>
      </c>
      <c r="N1087" s="143">
        <f ca="1">(PRODUCT($O$5:$O1087)-1)*36000/_xlfn.DAYS(L1087, $C$2)</f>
        <v>9.6625070807373916</v>
      </c>
      <c r="O1087" s="149">
        <f t="shared" ca="1" si="44"/>
        <v>1.000173611111111</v>
      </c>
    </row>
    <row r="1088" spans="12:15" x14ac:dyDescent="0.25">
      <c r="L1088" s="147">
        <f ca="1"/>
        <v>46327</v>
      </c>
      <c r="M1088" s="92">
        <f t="shared" ca="1" si="43"/>
        <v>6.25</v>
      </c>
      <c r="N1088" s="143">
        <f ca="1">(PRODUCT($O$5:$O1088)-1)*36000/_xlfn.DAYS(L1088, $C$2)</f>
        <v>9.6610349825387498</v>
      </c>
      <c r="O1088" s="149">
        <f t="shared" ca="1" si="44"/>
        <v>1.000173611111111</v>
      </c>
    </row>
    <row r="1089" spans="12:15" x14ac:dyDescent="0.25">
      <c r="L1089" s="147">
        <f ca="1"/>
        <v>46328</v>
      </c>
      <c r="M1089" s="92">
        <f t="shared" ca="1" si="43"/>
        <v>6.25</v>
      </c>
      <c r="N1089" s="143">
        <f ca="1">(PRODUCT($O$5:$O1089)-1)*36000/_xlfn.DAYS(L1089, $C$2)</f>
        <v>9.659566888648202</v>
      </c>
      <c r="O1089" s="149">
        <f t="shared" ca="1" si="44"/>
        <v>1.000173611111111</v>
      </c>
    </row>
    <row r="1090" spans="12:15" x14ac:dyDescent="0.25">
      <c r="L1090" s="147">
        <f ca="1"/>
        <v>46329</v>
      </c>
      <c r="M1090" s="92">
        <f t="shared" ca="1" si="43"/>
        <v>6.25</v>
      </c>
      <c r="N1090" s="143">
        <f ca="1">(PRODUCT($O$5:$O1090)-1)*36000/_xlfn.DAYS(L1090, $C$2)</f>
        <v>9.6581027882280122</v>
      </c>
      <c r="O1090" s="149">
        <f t="shared" ca="1" si="44"/>
        <v>1.000173611111111</v>
      </c>
    </row>
    <row r="1091" spans="12:15" x14ac:dyDescent="0.25">
      <c r="L1091" s="147">
        <f ca="1"/>
        <v>46330</v>
      </c>
      <c r="M1091" s="92">
        <f t="shared" ca="1" si="43"/>
        <v>6.25</v>
      </c>
      <c r="N1091" s="143">
        <f ca="1">(PRODUCT($O$5:$O1091)-1)*36000/_xlfn.DAYS(L1091, $C$2)</f>
        <v>9.6566426704803519</v>
      </c>
      <c r="O1091" s="149">
        <f t="shared" ca="1" si="44"/>
        <v>1.000173611111111</v>
      </c>
    </row>
    <row r="1092" spans="12:15" x14ac:dyDescent="0.25">
      <c r="L1092" s="147">
        <f ca="1"/>
        <v>46331</v>
      </c>
      <c r="M1092" s="92">
        <f t="shared" ca="1" si="43"/>
        <v>6.25</v>
      </c>
      <c r="N1092" s="143">
        <f ca="1">(PRODUCT($O$5:$O1092)-1)*36000/_xlfn.DAYS(L1092, $C$2)</f>
        <v>9.6551865246471476</v>
      </c>
      <c r="O1092" s="149">
        <f t="shared" ca="1" si="44"/>
        <v>1.000173611111111</v>
      </c>
    </row>
    <row r="1093" spans="12:15" x14ac:dyDescent="0.25">
      <c r="L1093" s="147">
        <f ca="1"/>
        <v>46332</v>
      </c>
      <c r="M1093" s="92">
        <f t="shared" ref="M1093:M1156" ca="1" si="45">IFERROR(INDEX($E$27:$H$47, MATCH(L1093, $F$27:$F$47, 0), 4), IF(ISNUMBER(M1092), M1092, $C$5))</f>
        <v>6.25</v>
      </c>
      <c r="N1093" s="143">
        <f ca="1">(PRODUCT($O$5:$O1093)-1)*36000/_xlfn.DAYS(L1093, $C$2)</f>
        <v>9.653734340009871</v>
      </c>
      <c r="O1093" s="149">
        <f t="shared" ca="1" si="44"/>
        <v>1.000173611111111</v>
      </c>
    </row>
    <row r="1094" spans="12:15" x14ac:dyDescent="0.25">
      <c r="L1094" s="147">
        <f ca="1"/>
        <v>46333</v>
      </c>
      <c r="M1094" s="92">
        <f t="shared" ca="1" si="45"/>
        <v>6.25</v>
      </c>
      <c r="N1094" s="143">
        <f ca="1">(PRODUCT($O$5:$O1094)-1)*36000/_xlfn.DAYS(L1094, $C$2)</f>
        <v>9.6522861058893596</v>
      </c>
      <c r="O1094" s="149">
        <f t="shared" ref="O1094:O1157" ca="1" si="46">1+M1094*IFERROR(_xlfn.DAYS(L1094, L1093), _xlfn.DAYS(L1094, $C$2))/36000</f>
        <v>1.000173611111111</v>
      </c>
    </row>
    <row r="1095" spans="12:15" x14ac:dyDescent="0.25">
      <c r="L1095" s="147">
        <f ca="1"/>
        <v>46334</v>
      </c>
      <c r="M1095" s="92">
        <f t="shared" ca="1" si="45"/>
        <v>6.25</v>
      </c>
      <c r="N1095" s="143">
        <f ca="1">(PRODUCT($O$5:$O1095)-1)*36000/_xlfn.DAYS(L1095, $C$2)</f>
        <v>9.6508418116456518</v>
      </c>
      <c r="O1095" s="149">
        <f t="shared" ca="1" si="46"/>
        <v>1.000173611111111</v>
      </c>
    </row>
    <row r="1096" spans="12:15" x14ac:dyDescent="0.25">
      <c r="L1096" s="147">
        <f ca="1"/>
        <v>46335</v>
      </c>
      <c r="M1096" s="92">
        <f t="shared" ca="1" si="45"/>
        <v>6.25</v>
      </c>
      <c r="N1096" s="143">
        <f ca="1">(PRODUCT($O$5:$O1096)-1)*36000/_xlfn.DAYS(L1096, $C$2)</f>
        <v>9.6494014466777998</v>
      </c>
      <c r="O1096" s="149">
        <f t="shared" ca="1" si="46"/>
        <v>1.000173611111111</v>
      </c>
    </row>
    <row r="1097" spans="12:15" x14ac:dyDescent="0.25">
      <c r="L1097" s="147">
        <f ca="1"/>
        <v>46336</v>
      </c>
      <c r="M1097" s="92">
        <f t="shared" ca="1" si="45"/>
        <v>6.25</v>
      </c>
      <c r="N1097" s="143">
        <f ca="1">(PRODUCT($O$5:$O1097)-1)*36000/_xlfn.DAYS(L1097, $C$2)</f>
        <v>9.6479650004236834</v>
      </c>
      <c r="O1097" s="149">
        <f t="shared" ca="1" si="46"/>
        <v>1.000173611111111</v>
      </c>
    </row>
    <row r="1098" spans="12:15" x14ac:dyDescent="0.25">
      <c r="L1098" s="147">
        <f ca="1"/>
        <v>46337</v>
      </c>
      <c r="M1098" s="92">
        <f t="shared" ca="1" si="45"/>
        <v>6.25</v>
      </c>
      <c r="N1098" s="143">
        <f ca="1">(PRODUCT($O$5:$O1098)-1)*36000/_xlfn.DAYS(L1098, $C$2)</f>
        <v>9.6465324623598416</v>
      </c>
      <c r="O1098" s="149">
        <f t="shared" ca="1" si="46"/>
        <v>1.000173611111111</v>
      </c>
    </row>
    <row r="1099" spans="12:15" x14ac:dyDescent="0.25">
      <c r="L1099" s="147">
        <f ca="1"/>
        <v>46338</v>
      </c>
      <c r="M1099" s="92">
        <f t="shared" ca="1" si="45"/>
        <v>6.25</v>
      </c>
      <c r="N1099" s="143">
        <f ca="1">(PRODUCT($O$5:$O1099)-1)*36000/_xlfn.DAYS(L1099, $C$2)</f>
        <v>9.6451038220012961</v>
      </c>
      <c r="O1099" s="149">
        <f t="shared" ca="1" si="46"/>
        <v>1.000173611111111</v>
      </c>
    </row>
    <row r="1100" spans="12:15" x14ac:dyDescent="0.25">
      <c r="L1100" s="147">
        <f ca="1"/>
        <v>46339</v>
      </c>
      <c r="M1100" s="92">
        <f t="shared" ca="1" si="45"/>
        <v>6.25</v>
      </c>
      <c r="N1100" s="143">
        <f ca="1">(PRODUCT($O$5:$O1100)-1)*36000/_xlfn.DAYS(L1100, $C$2)</f>
        <v>9.6436790689013776</v>
      </c>
      <c r="O1100" s="149">
        <f t="shared" ca="1" si="46"/>
        <v>1.000173611111111</v>
      </c>
    </row>
    <row r="1101" spans="12:15" x14ac:dyDescent="0.25">
      <c r="L1101" s="147">
        <f ca="1"/>
        <v>46340</v>
      </c>
      <c r="M1101" s="92">
        <f t="shared" ca="1" si="45"/>
        <v>6.25</v>
      </c>
      <c r="N1101" s="143">
        <f ca="1">(PRODUCT($O$5:$O1101)-1)*36000/_xlfn.DAYS(L1101, $C$2)</f>
        <v>9.6422581926515392</v>
      </c>
      <c r="O1101" s="149">
        <f t="shared" ca="1" si="46"/>
        <v>1.000173611111111</v>
      </c>
    </row>
    <row r="1102" spans="12:15" x14ac:dyDescent="0.25">
      <c r="L1102" s="147">
        <f ca="1"/>
        <v>46341</v>
      </c>
      <c r="M1102" s="92">
        <f t="shared" ca="1" si="45"/>
        <v>6.25</v>
      </c>
      <c r="N1102" s="143">
        <f ca="1">(PRODUCT($O$5:$O1102)-1)*36000/_xlfn.DAYS(L1102, $C$2)</f>
        <v>9.6408411828811929</v>
      </c>
      <c r="O1102" s="149">
        <f t="shared" ca="1" si="46"/>
        <v>1.000173611111111</v>
      </c>
    </row>
    <row r="1103" spans="12:15" x14ac:dyDescent="0.25">
      <c r="L1103" s="147">
        <f ca="1"/>
        <v>46342</v>
      </c>
      <c r="M1103" s="92">
        <f t="shared" ca="1" si="45"/>
        <v>6.25</v>
      </c>
      <c r="N1103" s="143">
        <f ca="1">(PRODUCT($O$5:$O1103)-1)*36000/_xlfn.DAYS(L1103, $C$2)</f>
        <v>9.6394280292575338</v>
      </c>
      <c r="O1103" s="149">
        <f t="shared" ca="1" si="46"/>
        <v>1.000173611111111</v>
      </c>
    </row>
    <row r="1104" spans="12:15" x14ac:dyDescent="0.25">
      <c r="L1104" s="147">
        <f ca="1"/>
        <v>46343</v>
      </c>
      <c r="M1104" s="92">
        <f t="shared" ca="1" si="45"/>
        <v>6.25</v>
      </c>
      <c r="N1104" s="143">
        <f ca="1">(PRODUCT($O$5:$O1104)-1)*36000/_xlfn.DAYS(L1104, $C$2)</f>
        <v>9.6380187214853787</v>
      </c>
      <c r="O1104" s="149">
        <f t="shared" ca="1" si="46"/>
        <v>1.000173611111111</v>
      </c>
    </row>
    <row r="1105" spans="12:15" x14ac:dyDescent="0.25">
      <c r="L1105" s="147">
        <f ca="1"/>
        <v>46344</v>
      </c>
      <c r="M1105" s="92">
        <f t="shared" ca="1" si="45"/>
        <v>6.25</v>
      </c>
      <c r="N1105" s="143">
        <f ca="1">(PRODUCT($O$5:$O1105)-1)*36000/_xlfn.DAYS(L1105, $C$2)</f>
        <v>9.6366132493069685</v>
      </c>
      <c r="O1105" s="149">
        <f t="shared" ca="1" si="46"/>
        <v>1.000173611111111</v>
      </c>
    </row>
    <row r="1106" spans="12:15" x14ac:dyDescent="0.25">
      <c r="L1106" s="147">
        <f ca="1"/>
        <v>46345</v>
      </c>
      <c r="M1106" s="92">
        <f t="shared" ca="1" si="45"/>
        <v>6.25</v>
      </c>
      <c r="N1106" s="143">
        <f ca="1">(PRODUCT($O$5:$O1106)-1)*36000/_xlfn.DAYS(L1106, $C$2)</f>
        <v>9.6352116025018315</v>
      </c>
      <c r="O1106" s="149">
        <f t="shared" ca="1" si="46"/>
        <v>1.000173611111111</v>
      </c>
    </row>
    <row r="1107" spans="12:15" x14ac:dyDescent="0.25">
      <c r="L1107" s="147">
        <f ca="1"/>
        <v>46346</v>
      </c>
      <c r="M1107" s="92">
        <f t="shared" ca="1" si="45"/>
        <v>6.25</v>
      </c>
      <c r="N1107" s="143">
        <f ca="1">(PRODUCT($O$5:$O1107)-1)*36000/_xlfn.DAYS(L1107, $C$2)</f>
        <v>9.6338137708865901</v>
      </c>
      <c r="O1107" s="149">
        <f t="shared" ca="1" si="46"/>
        <v>1.000173611111111</v>
      </c>
    </row>
    <row r="1108" spans="12:15" x14ac:dyDescent="0.25">
      <c r="L1108" s="147">
        <f ca="1"/>
        <v>46347</v>
      </c>
      <c r="M1108" s="92">
        <f t="shared" ca="1" si="45"/>
        <v>6.25</v>
      </c>
      <c r="N1108" s="143">
        <f ca="1">(PRODUCT($O$5:$O1108)-1)*36000/_xlfn.DAYS(L1108, $C$2)</f>
        <v>9.6324197443148041</v>
      </c>
      <c r="O1108" s="149">
        <f t="shared" ca="1" si="46"/>
        <v>1.000173611111111</v>
      </c>
    </row>
    <row r="1109" spans="12:15" x14ac:dyDescent="0.25">
      <c r="L1109" s="147">
        <f ca="1"/>
        <v>46348</v>
      </c>
      <c r="M1109" s="92">
        <f t="shared" ca="1" si="45"/>
        <v>6.25</v>
      </c>
      <c r="N1109" s="143">
        <f ca="1">(PRODUCT($O$5:$O1109)-1)*36000/_xlfn.DAYS(L1109, $C$2)</f>
        <v>9.6310295126767986</v>
      </c>
      <c r="O1109" s="149">
        <f t="shared" ca="1" si="46"/>
        <v>1.000173611111111</v>
      </c>
    </row>
    <row r="1110" spans="12:15" x14ac:dyDescent="0.25">
      <c r="L1110" s="147">
        <f ca="1"/>
        <v>46349</v>
      </c>
      <c r="M1110" s="92">
        <f t="shared" ca="1" si="45"/>
        <v>6.25</v>
      </c>
      <c r="N1110" s="143">
        <f ca="1">(PRODUCT($O$5:$O1110)-1)*36000/_xlfn.DAYS(L1110, $C$2)</f>
        <v>9.6296430658995096</v>
      </c>
      <c r="O1110" s="149">
        <f t="shared" ca="1" si="46"/>
        <v>1.000173611111111</v>
      </c>
    </row>
    <row r="1111" spans="12:15" x14ac:dyDescent="0.25">
      <c r="L1111" s="147">
        <f ca="1"/>
        <v>46350</v>
      </c>
      <c r="M1111" s="92">
        <f t="shared" ca="1" si="45"/>
        <v>6.25</v>
      </c>
      <c r="N1111" s="143">
        <f ca="1">(PRODUCT($O$5:$O1111)-1)*36000/_xlfn.DAYS(L1111, $C$2)</f>
        <v>9.6282603939462934</v>
      </c>
      <c r="O1111" s="149">
        <f t="shared" ca="1" si="46"/>
        <v>1.000173611111111</v>
      </c>
    </row>
    <row r="1112" spans="12:15" x14ac:dyDescent="0.25">
      <c r="L1112" s="147">
        <f ca="1"/>
        <v>46351</v>
      </c>
      <c r="M1112" s="92">
        <f t="shared" ca="1" si="45"/>
        <v>6.25</v>
      </c>
      <c r="N1112" s="143">
        <f ca="1">(PRODUCT($O$5:$O1112)-1)*36000/_xlfn.DAYS(L1112, $C$2)</f>
        <v>9.626881486816794</v>
      </c>
      <c r="O1112" s="149">
        <f t="shared" ca="1" si="46"/>
        <v>1.000173611111111</v>
      </c>
    </row>
    <row r="1113" spans="12:15" x14ac:dyDescent="0.25">
      <c r="L1113" s="147">
        <f ca="1"/>
        <v>46352</v>
      </c>
      <c r="M1113" s="92">
        <f t="shared" ca="1" si="45"/>
        <v>6.25</v>
      </c>
      <c r="N1113" s="143">
        <f ca="1">(PRODUCT($O$5:$O1113)-1)*36000/_xlfn.DAYS(L1113, $C$2)</f>
        <v>9.6255063345467473</v>
      </c>
      <c r="O1113" s="149">
        <f t="shared" ca="1" si="46"/>
        <v>1.000173611111111</v>
      </c>
    </row>
    <row r="1114" spans="12:15" x14ac:dyDescent="0.25">
      <c r="L1114" s="147">
        <f ca="1"/>
        <v>46353</v>
      </c>
      <c r="M1114" s="92">
        <f t="shared" ca="1" si="45"/>
        <v>6.25</v>
      </c>
      <c r="N1114" s="143">
        <f ca="1">(PRODUCT($O$5:$O1114)-1)*36000/_xlfn.DAYS(L1114, $C$2)</f>
        <v>9.6241349272078427</v>
      </c>
      <c r="O1114" s="149">
        <f t="shared" ca="1" si="46"/>
        <v>1.000173611111111</v>
      </c>
    </row>
    <row r="1115" spans="12:15" x14ac:dyDescent="0.25">
      <c r="L1115" s="147">
        <f ca="1"/>
        <v>46354</v>
      </c>
      <c r="M1115" s="92">
        <f t="shared" ca="1" si="45"/>
        <v>6.25</v>
      </c>
      <c r="N1115" s="143">
        <f ca="1">(PRODUCT($O$5:$O1115)-1)*36000/_xlfn.DAYS(L1115, $C$2)</f>
        <v>9.6227672549075631</v>
      </c>
      <c r="O1115" s="149">
        <f t="shared" ca="1" si="46"/>
        <v>1.000173611111111</v>
      </c>
    </row>
    <row r="1116" spans="12:15" x14ac:dyDescent="0.25">
      <c r="L1116" s="147">
        <f ca="1"/>
        <v>46355</v>
      </c>
      <c r="M1116" s="92">
        <f t="shared" ca="1" si="45"/>
        <v>6.25</v>
      </c>
      <c r="N1116" s="143">
        <f ca="1">(PRODUCT($O$5:$O1116)-1)*36000/_xlfn.DAYS(L1116, $C$2)</f>
        <v>9.6214033077889933</v>
      </c>
      <c r="O1116" s="149">
        <f t="shared" ca="1" si="46"/>
        <v>1.000173611111111</v>
      </c>
    </row>
    <row r="1117" spans="12:15" x14ac:dyDescent="0.25">
      <c r="L1117" s="147">
        <f ca="1"/>
        <v>46356</v>
      </c>
      <c r="M1117" s="92">
        <f t="shared" ca="1" si="45"/>
        <v>6.25</v>
      </c>
      <c r="N1117" s="143">
        <f ca="1">(PRODUCT($O$5:$O1117)-1)*36000/_xlfn.DAYS(L1117, $C$2)</f>
        <v>9.620043076030699</v>
      </c>
      <c r="O1117" s="149">
        <f t="shared" ca="1" si="46"/>
        <v>1.000173611111111</v>
      </c>
    </row>
    <row r="1118" spans="12:15" x14ac:dyDescent="0.25">
      <c r="L1118" s="147">
        <f ca="1"/>
        <v>46357</v>
      </c>
      <c r="M1118" s="92">
        <f t="shared" ca="1" si="45"/>
        <v>6.25</v>
      </c>
      <c r="N1118" s="143">
        <f ca="1">(PRODUCT($O$5:$O1118)-1)*36000/_xlfn.DAYS(L1118, $C$2)</f>
        <v>9.6186865498465419</v>
      </c>
      <c r="O1118" s="149">
        <f t="shared" ca="1" si="46"/>
        <v>1.000173611111111</v>
      </c>
    </row>
    <row r="1119" spans="12:15" x14ac:dyDescent="0.25">
      <c r="L1119" s="147">
        <f ca="1"/>
        <v>46358</v>
      </c>
      <c r="M1119" s="92">
        <f t="shared" ca="1" si="45"/>
        <v>6.25</v>
      </c>
      <c r="N1119" s="143">
        <f ca="1">(PRODUCT($O$5:$O1119)-1)*36000/_xlfn.DAYS(L1119, $C$2)</f>
        <v>9.6173337194855186</v>
      </c>
      <c r="O1119" s="149">
        <f t="shared" ca="1" si="46"/>
        <v>1.000173611111111</v>
      </c>
    </row>
    <row r="1120" spans="12:15" x14ac:dyDescent="0.25">
      <c r="L1120" s="147">
        <f ca="1"/>
        <v>46359</v>
      </c>
      <c r="M1120" s="92">
        <f t="shared" ca="1" si="45"/>
        <v>6.25</v>
      </c>
      <c r="N1120" s="143">
        <f ca="1">(PRODUCT($O$5:$O1120)-1)*36000/_xlfn.DAYS(L1120, $C$2)</f>
        <v>9.6159845752316393</v>
      </c>
      <c r="O1120" s="149">
        <f t="shared" ca="1" si="46"/>
        <v>1.000173611111111</v>
      </c>
    </row>
    <row r="1121" spans="12:15" x14ac:dyDescent="0.25">
      <c r="L1121" s="147">
        <f ca="1"/>
        <v>46360</v>
      </c>
      <c r="M1121" s="92">
        <f t="shared" ca="1" si="45"/>
        <v>6.25</v>
      </c>
      <c r="N1121" s="143">
        <f ca="1">(PRODUCT($O$5:$O1121)-1)*36000/_xlfn.DAYS(L1121, $C$2)</f>
        <v>9.6146391074037219</v>
      </c>
      <c r="O1121" s="149">
        <f t="shared" ca="1" si="46"/>
        <v>1.000173611111111</v>
      </c>
    </row>
    <row r="1122" spans="12:15" x14ac:dyDescent="0.25">
      <c r="L1122" s="147">
        <f ca="1"/>
        <v>46361</v>
      </c>
      <c r="M1122" s="92">
        <f t="shared" ca="1" si="45"/>
        <v>6.25</v>
      </c>
      <c r="N1122" s="143">
        <f ca="1">(PRODUCT($O$5:$O1122)-1)*36000/_xlfn.DAYS(L1122, $C$2)</f>
        <v>9.6132973063552694</v>
      </c>
      <c r="O1122" s="149">
        <f t="shared" ca="1" si="46"/>
        <v>1.000173611111111</v>
      </c>
    </row>
    <row r="1123" spans="12:15" x14ac:dyDescent="0.25">
      <c r="L1123" s="147">
        <f ca="1"/>
        <v>46362</v>
      </c>
      <c r="M1123" s="92">
        <f t="shared" ca="1" si="45"/>
        <v>6.25</v>
      </c>
      <c r="N1123" s="143">
        <f ca="1">(PRODUCT($O$5:$O1123)-1)*36000/_xlfn.DAYS(L1123, $C$2)</f>
        <v>9.611959162474303</v>
      </c>
      <c r="O1123" s="149">
        <f t="shared" ca="1" si="46"/>
        <v>1.000173611111111</v>
      </c>
    </row>
    <row r="1124" spans="12:15" x14ac:dyDescent="0.25">
      <c r="L1124" s="147">
        <f ca="1"/>
        <v>46363</v>
      </c>
      <c r="M1124" s="92">
        <f t="shared" ca="1" si="45"/>
        <v>6.25</v>
      </c>
      <c r="N1124" s="143">
        <f ca="1">(PRODUCT($O$5:$O1124)-1)*36000/_xlfn.DAYS(L1124, $C$2)</f>
        <v>9.6106246661832149</v>
      </c>
      <c r="O1124" s="149">
        <f t="shared" ca="1" si="46"/>
        <v>1.000173611111111</v>
      </c>
    </row>
    <row r="1125" spans="12:15" x14ac:dyDescent="0.25">
      <c r="L1125" s="147">
        <f ca="1"/>
        <v>46364</v>
      </c>
      <c r="M1125" s="92">
        <f t="shared" ca="1" si="45"/>
        <v>6.25</v>
      </c>
      <c r="N1125" s="143">
        <f ca="1">(PRODUCT($O$5:$O1125)-1)*36000/_xlfn.DAYS(L1125, $C$2)</f>
        <v>9.6092938079386077</v>
      </c>
      <c r="O1125" s="149">
        <f t="shared" ca="1" si="46"/>
        <v>1.000173611111111</v>
      </c>
    </row>
    <row r="1126" spans="12:15" x14ac:dyDescent="0.25">
      <c r="L1126" s="147">
        <f ca="1"/>
        <v>46365</v>
      </c>
      <c r="M1126" s="92">
        <f t="shared" ca="1" si="45"/>
        <v>6.25</v>
      </c>
      <c r="N1126" s="143">
        <f ca="1">(PRODUCT($O$5:$O1126)-1)*36000/_xlfn.DAYS(L1126, $C$2)</f>
        <v>9.6079665782311352</v>
      </c>
      <c r="O1126" s="149">
        <f t="shared" ca="1" si="46"/>
        <v>1.000173611111111</v>
      </c>
    </row>
    <row r="1127" spans="12:15" x14ac:dyDescent="0.25">
      <c r="L1127" s="147">
        <f ca="1"/>
        <v>46366</v>
      </c>
      <c r="M1127" s="92">
        <f t="shared" ca="1" si="45"/>
        <v>6.25</v>
      </c>
      <c r="N1127" s="143">
        <f ca="1">(PRODUCT($O$5:$O1127)-1)*36000/_xlfn.DAYS(L1127, $C$2)</f>
        <v>9.6066429675853851</v>
      </c>
      <c r="O1127" s="149">
        <f t="shared" ca="1" si="46"/>
        <v>1.000173611111111</v>
      </c>
    </row>
    <row r="1128" spans="12:15" x14ac:dyDescent="0.25">
      <c r="L1128" s="147">
        <f ca="1"/>
        <v>46367</v>
      </c>
      <c r="M1128" s="92">
        <f t="shared" ca="1" si="45"/>
        <v>6.25</v>
      </c>
      <c r="N1128" s="143">
        <f ca="1">(PRODUCT($O$5:$O1128)-1)*36000/_xlfn.DAYS(L1128, $C$2)</f>
        <v>9.6053229665596742</v>
      </c>
      <c r="O1128" s="149">
        <f t="shared" ca="1" si="46"/>
        <v>1.000173611111111</v>
      </c>
    </row>
    <row r="1129" spans="12:15" x14ac:dyDescent="0.25">
      <c r="L1129" s="147">
        <f ca="1"/>
        <v>46368</v>
      </c>
      <c r="M1129" s="92">
        <f t="shared" ca="1" si="45"/>
        <v>6.25</v>
      </c>
      <c r="N1129" s="143">
        <f ca="1">(PRODUCT($O$5:$O1129)-1)*36000/_xlfn.DAYS(L1129, $C$2)</f>
        <v>9.6040065657459408</v>
      </c>
      <c r="O1129" s="149">
        <f t="shared" ca="1" si="46"/>
        <v>1.000173611111111</v>
      </c>
    </row>
    <row r="1130" spans="12:15" x14ac:dyDescent="0.25">
      <c r="L1130" s="147">
        <f ca="1"/>
        <v>46369</v>
      </c>
      <c r="M1130" s="92">
        <f t="shared" ca="1" si="45"/>
        <v>6.25</v>
      </c>
      <c r="N1130" s="143">
        <f ca="1">(PRODUCT($O$5:$O1130)-1)*36000/_xlfn.DAYS(L1130, $C$2)</f>
        <v>9.6026937557695859</v>
      </c>
      <c r="O1130" s="149">
        <f t="shared" ca="1" si="46"/>
        <v>1.000173611111111</v>
      </c>
    </row>
    <row r="1131" spans="12:15" x14ac:dyDescent="0.25">
      <c r="L1131" s="147">
        <f ca="1"/>
        <v>46370</v>
      </c>
      <c r="M1131" s="92">
        <f t="shared" ca="1" si="45"/>
        <v>6.25</v>
      </c>
      <c r="N1131" s="143">
        <f ca="1">(PRODUCT($O$5:$O1131)-1)*36000/_xlfn.DAYS(L1131, $C$2)</f>
        <v>9.6013845272893157</v>
      </c>
      <c r="O1131" s="149">
        <f t="shared" ca="1" si="46"/>
        <v>1.000173611111111</v>
      </c>
    </row>
    <row r="1132" spans="12:15" x14ac:dyDescent="0.25">
      <c r="L1132" s="147">
        <f ca="1"/>
        <v>46371</v>
      </c>
      <c r="M1132" s="92">
        <f t="shared" ca="1" si="45"/>
        <v>6.25</v>
      </c>
      <c r="N1132" s="143">
        <f ca="1">(PRODUCT($O$5:$O1132)-1)*36000/_xlfn.DAYS(L1132, $C$2)</f>
        <v>9.6000788709970006</v>
      </c>
      <c r="O1132" s="149">
        <f t="shared" ca="1" si="46"/>
        <v>1.000173611111111</v>
      </c>
    </row>
    <row r="1133" spans="12:15" x14ac:dyDescent="0.25">
      <c r="L1133" s="147">
        <f ca="1"/>
        <v>46372</v>
      </c>
      <c r="M1133" s="92">
        <f t="shared" ca="1" si="45"/>
        <v>6.25</v>
      </c>
      <c r="N1133" s="143">
        <f ca="1">(PRODUCT($O$5:$O1133)-1)*36000/_xlfn.DAYS(L1133, $C$2)</f>
        <v>9.5987767776175232</v>
      </c>
      <c r="O1133" s="149">
        <f t="shared" ca="1" si="46"/>
        <v>1.000173611111111</v>
      </c>
    </row>
    <row r="1134" spans="12:15" x14ac:dyDescent="0.25">
      <c r="L1134" s="147">
        <f ca="1"/>
        <v>46373</v>
      </c>
      <c r="M1134" s="92">
        <f t="shared" ca="1" si="45"/>
        <v>6.25</v>
      </c>
      <c r="N1134" s="143">
        <f ca="1">(PRODUCT($O$5:$O1134)-1)*36000/_xlfn.DAYS(L1134, $C$2)</f>
        <v>9.5974782379086392</v>
      </c>
      <c r="O1134" s="149">
        <f t="shared" ca="1" si="46"/>
        <v>1.000173611111111</v>
      </c>
    </row>
    <row r="1135" spans="12:15" x14ac:dyDescent="0.25">
      <c r="L1135" s="147">
        <f ca="1"/>
        <v>46374</v>
      </c>
      <c r="M1135" s="92">
        <f t="shared" ca="1" si="45"/>
        <v>6.25</v>
      </c>
      <c r="N1135" s="143">
        <f ca="1">(PRODUCT($O$5:$O1135)-1)*36000/_xlfn.DAYS(L1135, $C$2)</f>
        <v>9.5961832426608353</v>
      </c>
      <c r="O1135" s="149">
        <f t="shared" ca="1" si="46"/>
        <v>1.000173611111111</v>
      </c>
    </row>
    <row r="1136" spans="12:15" x14ac:dyDescent="0.25">
      <c r="L1136" s="147">
        <f ca="1"/>
        <v>46375</v>
      </c>
      <c r="M1136" s="92">
        <f t="shared" ca="1" si="45"/>
        <v>6.25</v>
      </c>
      <c r="N1136" s="143">
        <f ca="1">(PRODUCT($O$5:$O1136)-1)*36000/_xlfn.DAYS(L1136, $C$2)</f>
        <v>9.594891782697168</v>
      </c>
      <c r="O1136" s="149">
        <f t="shared" ca="1" si="46"/>
        <v>1.000173611111111</v>
      </c>
    </row>
    <row r="1137" spans="12:15" x14ac:dyDescent="0.25">
      <c r="L1137" s="147">
        <f ca="1"/>
        <v>46376</v>
      </c>
      <c r="M1137" s="92">
        <f t="shared" ca="1" si="45"/>
        <v>6.25</v>
      </c>
      <c r="N1137" s="143">
        <f ca="1">(PRODUCT($O$5:$O1137)-1)*36000/_xlfn.DAYS(L1137, $C$2)</f>
        <v>9.593603848873137</v>
      </c>
      <c r="O1137" s="149">
        <f t="shared" ca="1" si="46"/>
        <v>1.000173611111111</v>
      </c>
    </row>
    <row r="1138" spans="12:15" x14ac:dyDescent="0.25">
      <c r="L1138" s="147">
        <f ca="1"/>
        <v>46377</v>
      </c>
      <c r="M1138" s="92">
        <f t="shared" ca="1" si="45"/>
        <v>6.25</v>
      </c>
      <c r="N1138" s="143">
        <f ca="1">(PRODUCT($O$5:$O1138)-1)*36000/_xlfn.DAYS(L1138, $C$2)</f>
        <v>9.5923194320765326</v>
      </c>
      <c r="O1138" s="149">
        <f t="shared" ca="1" si="46"/>
        <v>1.000173611111111</v>
      </c>
    </row>
    <row r="1139" spans="12:15" x14ac:dyDescent="0.25">
      <c r="L1139" s="147">
        <f ca="1"/>
        <v>46378</v>
      </c>
      <c r="M1139" s="92">
        <f t="shared" ca="1" si="45"/>
        <v>6.25</v>
      </c>
      <c r="N1139" s="143">
        <f ca="1">(PRODUCT($O$5:$O1139)-1)*36000/_xlfn.DAYS(L1139, $C$2)</f>
        <v>9.5910385232272883</v>
      </c>
      <c r="O1139" s="149">
        <f t="shared" ca="1" si="46"/>
        <v>1.000173611111111</v>
      </c>
    </row>
    <row r="1140" spans="12:15" x14ac:dyDescent="0.25">
      <c r="L1140" s="147">
        <f ca="1"/>
        <v>46379</v>
      </c>
      <c r="M1140" s="92">
        <f t="shared" ca="1" si="45"/>
        <v>6.25</v>
      </c>
      <c r="N1140" s="143">
        <f ca="1">(PRODUCT($O$5:$O1140)-1)*36000/_xlfn.DAYS(L1140, $C$2)</f>
        <v>9.5897611132773601</v>
      </c>
      <c r="O1140" s="149">
        <f t="shared" ca="1" si="46"/>
        <v>1.000173611111111</v>
      </c>
    </row>
    <row r="1141" spans="12:15" x14ac:dyDescent="0.25">
      <c r="L1141" s="147">
        <f ca="1"/>
        <v>46380</v>
      </c>
      <c r="M1141" s="92">
        <f t="shared" ca="1" si="45"/>
        <v>6.25</v>
      </c>
      <c r="N1141" s="143">
        <f ca="1">(PRODUCT($O$5:$O1141)-1)*36000/_xlfn.DAYS(L1141, $C$2)</f>
        <v>9.5884871932105735</v>
      </c>
      <c r="O1141" s="149">
        <f t="shared" ca="1" si="46"/>
        <v>1.000173611111111</v>
      </c>
    </row>
    <row r="1142" spans="12:15" x14ac:dyDescent="0.25">
      <c r="L1142" s="147">
        <f ca="1"/>
        <v>46381</v>
      </c>
      <c r="M1142" s="92">
        <f t="shared" ca="1" si="45"/>
        <v>6.25</v>
      </c>
      <c r="N1142" s="143">
        <f ca="1">(PRODUCT($O$5:$O1142)-1)*36000/_xlfn.DAYS(L1142, $C$2)</f>
        <v>9.5872167540424655</v>
      </c>
      <c r="O1142" s="149">
        <f t="shared" ca="1" si="46"/>
        <v>1.000173611111111</v>
      </c>
    </row>
    <row r="1143" spans="12:15" x14ac:dyDescent="0.25">
      <c r="L1143" s="147">
        <f ca="1"/>
        <v>46382</v>
      </c>
      <c r="M1143" s="92">
        <f t="shared" ca="1" si="45"/>
        <v>6.25</v>
      </c>
      <c r="N1143" s="143">
        <f ca="1">(PRODUCT($O$5:$O1143)-1)*36000/_xlfn.DAYS(L1143, $C$2)</f>
        <v>9.5859497868201817</v>
      </c>
      <c r="O1143" s="149">
        <f t="shared" ca="1" si="46"/>
        <v>1.000173611111111</v>
      </c>
    </row>
    <row r="1144" spans="12:15" x14ac:dyDescent="0.25">
      <c r="L1144" s="147">
        <f ca="1"/>
        <v>46383</v>
      </c>
      <c r="M1144" s="92">
        <f t="shared" ca="1" si="45"/>
        <v>6.25</v>
      </c>
      <c r="N1144" s="143">
        <f ca="1">(PRODUCT($O$5:$O1144)-1)*36000/_xlfn.DAYS(L1144, $C$2)</f>
        <v>9.5846862826223056</v>
      </c>
      <c r="O1144" s="149">
        <f t="shared" ca="1" si="46"/>
        <v>1.000173611111111</v>
      </c>
    </row>
    <row r="1145" spans="12:15" x14ac:dyDescent="0.25">
      <c r="L1145" s="147">
        <f ca="1"/>
        <v>46384</v>
      </c>
      <c r="M1145" s="92">
        <f t="shared" ca="1" si="45"/>
        <v>6.25</v>
      </c>
      <c r="N1145" s="143">
        <f ca="1">(PRODUCT($O$5:$O1145)-1)*36000/_xlfn.DAYS(L1145, $C$2)</f>
        <v>9.5834262325587467</v>
      </c>
      <c r="O1145" s="149">
        <f t="shared" ca="1" si="46"/>
        <v>1.000173611111111</v>
      </c>
    </row>
    <row r="1146" spans="12:15" x14ac:dyDescent="0.25">
      <c r="L1146" s="147">
        <f ca="1"/>
        <v>46385</v>
      </c>
      <c r="M1146" s="92">
        <f t="shared" ca="1" si="45"/>
        <v>6.25</v>
      </c>
      <c r="N1146" s="143">
        <f ca="1">(PRODUCT($O$5:$O1146)-1)*36000/_xlfn.DAYS(L1146, $C$2)</f>
        <v>9.5821696277705737</v>
      </c>
      <c r="O1146" s="149">
        <f t="shared" ca="1" si="46"/>
        <v>1.000173611111111</v>
      </c>
    </row>
    <row r="1147" spans="12:15" x14ac:dyDescent="0.25">
      <c r="L1147" s="147">
        <f ca="1"/>
        <v>46386</v>
      </c>
      <c r="M1147" s="92">
        <f t="shared" ca="1" si="45"/>
        <v>6.25</v>
      </c>
      <c r="N1147" s="143">
        <f ca="1">(PRODUCT($O$5:$O1147)-1)*36000/_xlfn.DAYS(L1147, $C$2)</f>
        <v>9.5809164594299059</v>
      </c>
      <c r="O1147" s="149">
        <f t="shared" ca="1" si="46"/>
        <v>1.000173611111111</v>
      </c>
    </row>
    <row r="1148" spans="12:15" x14ac:dyDescent="0.25">
      <c r="L1148" s="147">
        <f ca="1"/>
        <v>46387</v>
      </c>
      <c r="M1148" s="92">
        <f t="shared" ca="1" si="45"/>
        <v>6.25</v>
      </c>
      <c r="N1148" s="143">
        <f ca="1">(PRODUCT($O$5:$O1148)-1)*36000/_xlfn.DAYS(L1148, $C$2)</f>
        <v>9.5796667187397748</v>
      </c>
      <c r="O1148" s="149">
        <f t="shared" ca="1" si="46"/>
        <v>1.000173611111111</v>
      </c>
    </row>
    <row r="1149" spans="12:15" x14ac:dyDescent="0.25">
      <c r="L1149" s="147">
        <f ca="1"/>
        <v>46388</v>
      </c>
      <c r="M1149" s="92">
        <f t="shared" ca="1" si="45"/>
        <v>6.25</v>
      </c>
      <c r="N1149" s="143">
        <f ca="1">(PRODUCT($O$5:$O1149)-1)*36000/_xlfn.DAYS(L1149, $C$2)</f>
        <v>9.578420396933959</v>
      </c>
      <c r="O1149" s="149">
        <f t="shared" ca="1" si="46"/>
        <v>1.000173611111111</v>
      </c>
    </row>
    <row r="1150" spans="12:15" x14ac:dyDescent="0.25">
      <c r="L1150" s="147">
        <f ca="1"/>
        <v>46389</v>
      </c>
      <c r="M1150" s="92">
        <f t="shared" ca="1" si="45"/>
        <v>6.25</v>
      </c>
      <c r="N1150" s="143">
        <f ca="1">(PRODUCT($O$5:$O1150)-1)*36000/_xlfn.DAYS(L1150, $C$2)</f>
        <v>9.5771774852768878</v>
      </c>
      <c r="O1150" s="149">
        <f t="shared" ca="1" si="46"/>
        <v>1.000173611111111</v>
      </c>
    </row>
    <row r="1151" spans="12:15" x14ac:dyDescent="0.25">
      <c r="L1151" s="147">
        <f ca="1"/>
        <v>46390</v>
      </c>
      <c r="M1151" s="92">
        <f t="shared" ca="1" si="45"/>
        <v>6.25</v>
      </c>
      <c r="N1151" s="143">
        <f ca="1">(PRODUCT($O$5:$O1151)-1)*36000/_xlfn.DAYS(L1151, $C$2)</f>
        <v>9.5759379750634821</v>
      </c>
      <c r="O1151" s="149">
        <f t="shared" ca="1" si="46"/>
        <v>1.000173611111111</v>
      </c>
    </row>
    <row r="1152" spans="12:15" x14ac:dyDescent="0.25">
      <c r="L1152" s="147">
        <f ca="1"/>
        <v>46391</v>
      </c>
      <c r="M1152" s="92">
        <f t="shared" ca="1" si="45"/>
        <v>6.25</v>
      </c>
      <c r="N1152" s="143">
        <f ca="1">(PRODUCT($O$5:$O1152)-1)*36000/_xlfn.DAYS(L1152, $C$2)</f>
        <v>9.574701857619047</v>
      </c>
      <c r="O1152" s="149">
        <f t="shared" ca="1" si="46"/>
        <v>1.000173611111111</v>
      </c>
    </row>
    <row r="1153" spans="12:15" x14ac:dyDescent="0.25">
      <c r="L1153" s="147">
        <f ca="1"/>
        <v>46392</v>
      </c>
      <c r="M1153" s="92">
        <f t="shared" ca="1" si="45"/>
        <v>6.25</v>
      </c>
      <c r="N1153" s="143">
        <f ca="1">(PRODUCT($O$5:$O1153)-1)*36000/_xlfn.DAYS(L1153, $C$2)</f>
        <v>9.5734691242991037</v>
      </c>
      <c r="O1153" s="149">
        <f t="shared" ca="1" si="46"/>
        <v>1.000173611111111</v>
      </c>
    </row>
    <row r="1154" spans="12:15" x14ac:dyDescent="0.25">
      <c r="L1154" s="147">
        <f ca="1"/>
        <v>46393</v>
      </c>
      <c r="M1154" s="92">
        <f t="shared" ca="1" si="45"/>
        <v>6.25</v>
      </c>
      <c r="N1154" s="143">
        <f ca="1">(PRODUCT($O$5:$O1154)-1)*36000/_xlfn.DAYS(L1154, $C$2)</f>
        <v>9.5722397664892949</v>
      </c>
      <c r="O1154" s="149">
        <f t="shared" ca="1" si="46"/>
        <v>1.000173611111111</v>
      </c>
    </row>
    <row r="1155" spans="12:15" x14ac:dyDescent="0.25">
      <c r="L1155" s="147">
        <f ca="1"/>
        <v>46394</v>
      </c>
      <c r="M1155" s="92">
        <f t="shared" ca="1" si="45"/>
        <v>6.25</v>
      </c>
      <c r="N1155" s="143">
        <f ca="1">(PRODUCT($O$5:$O1155)-1)*36000/_xlfn.DAYS(L1155, $C$2)</f>
        <v>9.5710137756052323</v>
      </c>
      <c r="O1155" s="149">
        <f t="shared" ca="1" si="46"/>
        <v>1.000173611111111</v>
      </c>
    </row>
    <row r="1156" spans="12:15" x14ac:dyDescent="0.25">
      <c r="L1156" s="147">
        <f ca="1"/>
        <v>46395</v>
      </c>
      <c r="M1156" s="92">
        <f t="shared" ca="1" si="45"/>
        <v>6.25</v>
      </c>
      <c r="N1156" s="143">
        <f ca="1">(PRODUCT($O$5:$O1156)-1)*36000/_xlfn.DAYS(L1156, $C$2)</f>
        <v>9.5697911430923668</v>
      </c>
      <c r="O1156" s="149">
        <f t="shared" ca="1" si="46"/>
        <v>1.000173611111111</v>
      </c>
    </row>
    <row r="1157" spans="12:15" x14ac:dyDescent="0.25">
      <c r="L1157" s="147">
        <f ca="1"/>
        <v>46396</v>
      </c>
      <c r="M1157" s="92">
        <f t="shared" ref="M1157:M1220" ca="1" si="47">IFERROR(INDEX($E$27:$H$47, MATCH(L1157, $F$27:$F$47, 0), 4), IF(ISNUMBER(M1156), M1156, $C$5))</f>
        <v>6.25</v>
      </c>
      <c r="N1157" s="143">
        <f ca="1">(PRODUCT($O$5:$O1157)-1)*36000/_xlfn.DAYS(L1157, $C$2)</f>
        <v>9.5685718604258625</v>
      </c>
      <c r="O1157" s="149">
        <f t="shared" ca="1" si="46"/>
        <v>1.000173611111111</v>
      </c>
    </row>
    <row r="1158" spans="12:15" x14ac:dyDescent="0.25">
      <c r="L1158" s="147">
        <f ca="1"/>
        <v>46397</v>
      </c>
      <c r="M1158" s="92">
        <f t="shared" ca="1" si="47"/>
        <v>6.25</v>
      </c>
      <c r="N1158" s="143">
        <f ca="1">(PRODUCT($O$5:$O1158)-1)*36000/_xlfn.DAYS(L1158, $C$2)</f>
        <v>9.5673559191104793</v>
      </c>
      <c r="O1158" s="149">
        <f t="shared" ref="O1158:O1221" ca="1" si="48">1+M1158*IFERROR(_xlfn.DAYS(L1158, L1157), _xlfn.DAYS(L1158, $C$2))/36000</f>
        <v>1.000173611111111</v>
      </c>
    </row>
    <row r="1159" spans="12:15" x14ac:dyDescent="0.25">
      <c r="L1159" s="147">
        <f ca="1"/>
        <v>46398</v>
      </c>
      <c r="M1159" s="92">
        <f t="shared" ca="1" si="47"/>
        <v>6.25</v>
      </c>
      <c r="N1159" s="143">
        <f ca="1">(PRODUCT($O$5:$O1159)-1)*36000/_xlfn.DAYS(L1159, $C$2)</f>
        <v>9.5661433106804239</v>
      </c>
      <c r="O1159" s="149">
        <f t="shared" ca="1" si="48"/>
        <v>1.000173611111111</v>
      </c>
    </row>
    <row r="1160" spans="12:15" x14ac:dyDescent="0.25">
      <c r="L1160" s="147">
        <f ca="1"/>
        <v>46399</v>
      </c>
      <c r="M1160" s="92">
        <f t="shared" ca="1" si="47"/>
        <v>6.25</v>
      </c>
      <c r="N1160" s="143">
        <f ca="1">(PRODUCT($O$5:$O1160)-1)*36000/_xlfn.DAYS(L1160, $C$2)</f>
        <v>9.5649340266992464</v>
      </c>
      <c r="O1160" s="149">
        <f t="shared" ca="1" si="48"/>
        <v>1.000173611111111</v>
      </c>
    </row>
    <row r="1161" spans="12:15" x14ac:dyDescent="0.25">
      <c r="L1161" s="147">
        <f ca="1"/>
        <v>46400</v>
      </c>
      <c r="M1161" s="92">
        <f t="shared" ca="1" si="47"/>
        <v>6.25</v>
      </c>
      <c r="N1161" s="143">
        <f ca="1">(PRODUCT($O$5:$O1161)-1)*36000/_xlfn.DAYS(L1161, $C$2)</f>
        <v>9.5637280587596916</v>
      </c>
      <c r="O1161" s="149">
        <f t="shared" ca="1" si="48"/>
        <v>1.000173611111111</v>
      </c>
    </row>
    <row r="1162" spans="12:15" x14ac:dyDescent="0.25">
      <c r="L1162" s="147">
        <f ca="1"/>
        <v>46401</v>
      </c>
      <c r="M1162" s="92">
        <f t="shared" ca="1" si="47"/>
        <v>6.25</v>
      </c>
      <c r="N1162" s="143">
        <f ca="1">(PRODUCT($O$5:$O1162)-1)*36000/_xlfn.DAYS(L1162, $C$2)</f>
        <v>9.5625253984835812</v>
      </c>
      <c r="O1162" s="149">
        <f t="shared" ca="1" si="48"/>
        <v>1.000173611111111</v>
      </c>
    </row>
    <row r="1163" spans="12:15" x14ac:dyDescent="0.25">
      <c r="L1163" s="147">
        <f ca="1"/>
        <v>46402</v>
      </c>
      <c r="M1163" s="92">
        <f t="shared" ca="1" si="47"/>
        <v>6.25</v>
      </c>
      <c r="N1163" s="143">
        <f ca="1">(PRODUCT($O$5:$O1163)-1)*36000/_xlfn.DAYS(L1163, $C$2)</f>
        <v>9.56132603752169</v>
      </c>
      <c r="O1163" s="149">
        <f t="shared" ca="1" si="48"/>
        <v>1.000173611111111</v>
      </c>
    </row>
    <row r="1164" spans="12:15" x14ac:dyDescent="0.25">
      <c r="L1164" s="147">
        <f ca="1"/>
        <v>46403</v>
      </c>
      <c r="M1164" s="92">
        <f t="shared" ca="1" si="47"/>
        <v>6.25</v>
      </c>
      <c r="N1164" s="143">
        <f ca="1">(PRODUCT($O$5:$O1164)-1)*36000/_xlfn.DAYS(L1164, $C$2)</f>
        <v>9.5601299675536193</v>
      </c>
      <c r="O1164" s="149">
        <f t="shared" ca="1" si="48"/>
        <v>1.000173611111111</v>
      </c>
    </row>
    <row r="1165" spans="12:15" x14ac:dyDescent="0.25">
      <c r="L1165" s="147">
        <f ca="1"/>
        <v>46404</v>
      </c>
      <c r="M1165" s="92">
        <f t="shared" ca="1" si="47"/>
        <v>6.25</v>
      </c>
      <c r="N1165" s="143">
        <f ca="1">(PRODUCT($O$5:$O1165)-1)*36000/_xlfn.DAYS(L1165, $C$2)</f>
        <v>9.5589371802876748</v>
      </c>
      <c r="O1165" s="149">
        <f t="shared" ca="1" si="48"/>
        <v>1.000173611111111</v>
      </c>
    </row>
    <row r="1166" spans="12:15" x14ac:dyDescent="0.25">
      <c r="L1166" s="147">
        <f ca="1"/>
        <v>46405</v>
      </c>
      <c r="M1166" s="92">
        <f t="shared" ca="1" si="47"/>
        <v>6.25</v>
      </c>
      <c r="N1166" s="143">
        <f ca="1">(PRODUCT($O$5:$O1166)-1)*36000/_xlfn.DAYS(L1166, $C$2)</f>
        <v>9.5577476674607436</v>
      </c>
      <c r="O1166" s="149">
        <f t="shared" ca="1" si="48"/>
        <v>1.000173611111111</v>
      </c>
    </row>
    <row r="1167" spans="12:15" x14ac:dyDescent="0.25">
      <c r="L1167" s="147">
        <f ca="1"/>
        <v>46406</v>
      </c>
      <c r="M1167" s="92">
        <f t="shared" ca="1" si="47"/>
        <v>6.25</v>
      </c>
      <c r="N1167" s="143">
        <f ca="1">(PRODUCT($O$5:$O1167)-1)*36000/_xlfn.DAYS(L1167, $C$2)</f>
        <v>9.55656142083817</v>
      </c>
      <c r="O1167" s="149">
        <f t="shared" ca="1" si="48"/>
        <v>1.000173611111111</v>
      </c>
    </row>
    <row r="1168" spans="12:15" x14ac:dyDescent="0.25">
      <c r="L1168" s="147">
        <f ca="1"/>
        <v>46407</v>
      </c>
      <c r="M1168" s="92">
        <f t="shared" ca="1" si="47"/>
        <v>6.25</v>
      </c>
      <c r="N1168" s="143">
        <f ca="1">(PRODUCT($O$5:$O1168)-1)*36000/_xlfn.DAYS(L1168, $C$2)</f>
        <v>9.5553784322136348</v>
      </c>
      <c r="O1168" s="149">
        <f t="shared" ca="1" si="48"/>
        <v>1.000173611111111</v>
      </c>
    </row>
    <row r="1169" spans="12:15" x14ac:dyDescent="0.25">
      <c r="L1169" s="147">
        <f ca="1"/>
        <v>46408</v>
      </c>
      <c r="M1169" s="92">
        <f t="shared" ca="1" si="47"/>
        <v>6.25</v>
      </c>
      <c r="N1169" s="143">
        <f ca="1">(PRODUCT($O$5:$O1169)-1)*36000/_xlfn.DAYS(L1169, $C$2)</f>
        <v>9.5541986934090257</v>
      </c>
      <c r="O1169" s="149">
        <f t="shared" ca="1" si="48"/>
        <v>1.000173611111111</v>
      </c>
    </row>
    <row r="1170" spans="12:15" x14ac:dyDescent="0.25">
      <c r="L1170" s="147">
        <f ca="1"/>
        <v>46409</v>
      </c>
      <c r="M1170" s="92">
        <f t="shared" ca="1" si="47"/>
        <v>6.25</v>
      </c>
      <c r="N1170" s="143">
        <f ca="1">(PRODUCT($O$5:$O1170)-1)*36000/_xlfn.DAYS(L1170, $C$2)</f>
        <v>9.5530221962743163</v>
      </c>
      <c r="O1170" s="149">
        <f t="shared" ca="1" si="48"/>
        <v>1.000173611111111</v>
      </c>
    </row>
    <row r="1171" spans="12:15" x14ac:dyDescent="0.25">
      <c r="L1171" s="147">
        <f ca="1"/>
        <v>46410</v>
      </c>
      <c r="M1171" s="92">
        <f t="shared" ca="1" si="47"/>
        <v>6.25</v>
      </c>
      <c r="N1171" s="143">
        <f ca="1">(PRODUCT($O$5:$O1171)-1)*36000/_xlfn.DAYS(L1171, $C$2)</f>
        <v>9.55184893268747</v>
      </c>
      <c r="O1171" s="149">
        <f t="shared" ca="1" si="48"/>
        <v>1.000173611111111</v>
      </c>
    </row>
    <row r="1172" spans="12:15" x14ac:dyDescent="0.25">
      <c r="L1172" s="147">
        <f ca="1"/>
        <v>46411</v>
      </c>
      <c r="M1172" s="92">
        <f t="shared" ca="1" si="47"/>
        <v>6.25</v>
      </c>
      <c r="N1172" s="143">
        <f ca="1">(PRODUCT($O$5:$O1172)-1)*36000/_xlfn.DAYS(L1172, $C$2)</f>
        <v>9.5506788945542844</v>
      </c>
      <c r="O1172" s="149">
        <f t="shared" ca="1" si="48"/>
        <v>1.000173611111111</v>
      </c>
    </row>
    <row r="1173" spans="12:15" x14ac:dyDescent="0.25">
      <c r="L1173" s="147">
        <f ca="1"/>
        <v>46412</v>
      </c>
      <c r="M1173" s="92">
        <f t="shared" ca="1" si="47"/>
        <v>6.25</v>
      </c>
      <c r="N1173" s="143">
        <f ca="1">(PRODUCT($O$5:$O1173)-1)*36000/_xlfn.DAYS(L1173, $C$2)</f>
        <v>9.5495120738082999</v>
      </c>
      <c r="O1173" s="149">
        <f t="shared" ca="1" si="48"/>
        <v>1.000173611111111</v>
      </c>
    </row>
    <row r="1174" spans="12:15" x14ac:dyDescent="0.25">
      <c r="L1174" s="147">
        <f ca="1"/>
        <v>46413</v>
      </c>
      <c r="M1174" s="92">
        <f t="shared" ca="1" si="47"/>
        <v>6.25</v>
      </c>
      <c r="N1174" s="143">
        <f ca="1">(PRODUCT($O$5:$O1174)-1)*36000/_xlfn.DAYS(L1174, $C$2)</f>
        <v>9.5483484624106758</v>
      </c>
      <c r="O1174" s="149">
        <f t="shared" ca="1" si="48"/>
        <v>1.000173611111111</v>
      </c>
    </row>
    <row r="1175" spans="12:15" x14ac:dyDescent="0.25">
      <c r="L1175" s="147">
        <f ca="1"/>
        <v>46414</v>
      </c>
      <c r="M1175" s="92">
        <f t="shared" ca="1" si="47"/>
        <v>6.25</v>
      </c>
      <c r="N1175" s="143">
        <f ca="1">(PRODUCT($O$5:$O1175)-1)*36000/_xlfn.DAYS(L1175, $C$2)</f>
        <v>9.5471880523500552</v>
      </c>
      <c r="O1175" s="149">
        <f t="shared" ca="1" si="48"/>
        <v>1.000173611111111</v>
      </c>
    </row>
    <row r="1176" spans="12:15" x14ac:dyDescent="0.25">
      <c r="L1176" s="147">
        <f ca="1"/>
        <v>46415</v>
      </c>
      <c r="M1176" s="92">
        <f t="shared" ca="1" si="47"/>
        <v>6.25</v>
      </c>
      <c r="N1176" s="143">
        <f ca="1">(PRODUCT($O$5:$O1176)-1)*36000/_xlfn.DAYS(L1176, $C$2)</f>
        <v>9.5460308356424655</v>
      </c>
      <c r="O1176" s="149">
        <f t="shared" ca="1" si="48"/>
        <v>1.000173611111111</v>
      </c>
    </row>
    <row r="1177" spans="12:15" x14ac:dyDescent="0.25">
      <c r="L1177" s="147">
        <f ca="1"/>
        <v>46416</v>
      </c>
      <c r="M1177" s="92">
        <f t="shared" ca="1" si="47"/>
        <v>6.25</v>
      </c>
      <c r="N1177" s="143">
        <f ca="1">(PRODUCT($O$5:$O1177)-1)*36000/_xlfn.DAYS(L1177, $C$2)</f>
        <v>9.5448768043311976</v>
      </c>
      <c r="O1177" s="149">
        <f t="shared" ca="1" si="48"/>
        <v>1.000173611111111</v>
      </c>
    </row>
    <row r="1178" spans="12:15" x14ac:dyDescent="0.25">
      <c r="L1178" s="147">
        <f ca="1"/>
        <v>46417</v>
      </c>
      <c r="M1178" s="92">
        <f t="shared" ca="1" si="47"/>
        <v>6.25</v>
      </c>
      <c r="N1178" s="143">
        <f ca="1">(PRODUCT($O$5:$O1178)-1)*36000/_xlfn.DAYS(L1178, $C$2)</f>
        <v>9.5437259504866923</v>
      </c>
      <c r="O1178" s="149">
        <f t="shared" ca="1" si="48"/>
        <v>1.000173611111111</v>
      </c>
    </row>
    <row r="1179" spans="12:15" x14ac:dyDescent="0.25">
      <c r="L1179" s="147">
        <f ca="1"/>
        <v>46418</v>
      </c>
      <c r="M1179" s="92">
        <f t="shared" ca="1" si="47"/>
        <v>6.25</v>
      </c>
      <c r="N1179" s="143">
        <f ca="1">(PRODUCT($O$5:$O1179)-1)*36000/_xlfn.DAYS(L1179, $C$2)</f>
        <v>9.5425782662064069</v>
      </c>
      <c r="O1179" s="149">
        <f t="shared" ca="1" si="48"/>
        <v>1.000173611111111</v>
      </c>
    </row>
    <row r="1180" spans="12:15" x14ac:dyDescent="0.25">
      <c r="L1180" s="147">
        <f ca="1"/>
        <v>46419</v>
      </c>
      <c r="M1180" s="92">
        <f t="shared" ca="1" si="47"/>
        <v>6.25</v>
      </c>
      <c r="N1180" s="143">
        <f ca="1">(PRODUCT($O$5:$O1180)-1)*36000/_xlfn.DAYS(L1180, $C$2)</f>
        <v>9.5414337436147338</v>
      </c>
      <c r="O1180" s="149">
        <f t="shared" ca="1" si="48"/>
        <v>1.000173611111111</v>
      </c>
    </row>
    <row r="1181" spans="12:15" x14ac:dyDescent="0.25">
      <c r="L1181" s="147">
        <f ca="1"/>
        <v>46420</v>
      </c>
      <c r="M1181" s="92">
        <f t="shared" ca="1" si="47"/>
        <v>6.25</v>
      </c>
      <c r="N1181" s="143">
        <f ca="1">(PRODUCT($O$5:$O1181)-1)*36000/_xlfn.DAYS(L1181, $C$2)</f>
        <v>9.540292374862851</v>
      </c>
      <c r="O1181" s="149">
        <f t="shared" ca="1" si="48"/>
        <v>1.000173611111111</v>
      </c>
    </row>
    <row r="1182" spans="12:15" x14ac:dyDescent="0.25">
      <c r="L1182" s="147">
        <f ca="1"/>
        <v>46421</v>
      </c>
      <c r="M1182" s="92">
        <f t="shared" ca="1" si="47"/>
        <v>6.25</v>
      </c>
      <c r="N1182" s="143">
        <f ca="1">(PRODUCT($O$5:$O1182)-1)*36000/_xlfn.DAYS(L1182, $C$2)</f>
        <v>9.5391541521286385</v>
      </c>
      <c r="O1182" s="149">
        <f t="shared" ca="1" si="48"/>
        <v>1.000173611111111</v>
      </c>
    </row>
    <row r="1183" spans="12:15" x14ac:dyDescent="0.25">
      <c r="L1183" s="147">
        <f ca="1"/>
        <v>46422</v>
      </c>
      <c r="M1183" s="92">
        <f t="shared" ca="1" si="47"/>
        <v>6.25</v>
      </c>
      <c r="N1183" s="143">
        <f ca="1">(PRODUCT($O$5:$O1183)-1)*36000/_xlfn.DAYS(L1183, $C$2)</f>
        <v>9.5380190676165331</v>
      </c>
      <c r="O1183" s="149">
        <f t="shared" ca="1" si="48"/>
        <v>1.000173611111111</v>
      </c>
    </row>
    <row r="1184" spans="12:15" x14ac:dyDescent="0.25">
      <c r="L1184" s="147">
        <f ca="1"/>
        <v>46423</v>
      </c>
      <c r="M1184" s="92">
        <f t="shared" ca="1" si="47"/>
        <v>6.25</v>
      </c>
      <c r="N1184" s="143">
        <f ca="1">(PRODUCT($O$5:$O1184)-1)*36000/_xlfn.DAYS(L1184, $C$2)</f>
        <v>9.5368871135574462</v>
      </c>
      <c r="O1184" s="149">
        <f t="shared" ca="1" si="48"/>
        <v>1.000173611111111</v>
      </c>
    </row>
    <row r="1185" spans="12:15" x14ac:dyDescent="0.25">
      <c r="L1185" s="147">
        <f ca="1"/>
        <v>46424</v>
      </c>
      <c r="M1185" s="92">
        <f t="shared" ca="1" si="47"/>
        <v>6.25</v>
      </c>
      <c r="N1185" s="143">
        <f ca="1">(PRODUCT($O$5:$O1185)-1)*36000/_xlfn.DAYS(L1185, $C$2)</f>
        <v>9.5357582822086417</v>
      </c>
      <c r="O1185" s="149">
        <f t="shared" ca="1" si="48"/>
        <v>1.000173611111111</v>
      </c>
    </row>
    <row r="1186" spans="12:15" x14ac:dyDescent="0.25">
      <c r="L1186" s="147">
        <f ca="1"/>
        <v>46425</v>
      </c>
      <c r="M1186" s="92">
        <f t="shared" ca="1" si="47"/>
        <v>6.25</v>
      </c>
      <c r="N1186" s="143">
        <f ca="1">(PRODUCT($O$5:$O1186)-1)*36000/_xlfn.DAYS(L1186, $C$2)</f>
        <v>9.5346325658536166</v>
      </c>
      <c r="O1186" s="149">
        <f t="shared" ca="1" si="48"/>
        <v>1.000173611111111</v>
      </c>
    </row>
    <row r="1187" spans="12:15" x14ac:dyDescent="0.25">
      <c r="L1187" s="147">
        <f ca="1"/>
        <v>46426</v>
      </c>
      <c r="M1187" s="92">
        <f t="shared" ca="1" si="47"/>
        <v>6.25</v>
      </c>
      <c r="N1187" s="143">
        <f ca="1">(PRODUCT($O$5:$O1187)-1)*36000/_xlfn.DAYS(L1187, $C$2)</f>
        <v>9.5335099568019874</v>
      </c>
      <c r="O1187" s="149">
        <f t="shared" ca="1" si="48"/>
        <v>1.000173611111111</v>
      </c>
    </row>
    <row r="1188" spans="12:15" x14ac:dyDescent="0.25">
      <c r="L1188" s="147">
        <f ca="1"/>
        <v>46427</v>
      </c>
      <c r="M1188" s="92">
        <f t="shared" ca="1" si="47"/>
        <v>6.25</v>
      </c>
      <c r="N1188" s="143">
        <f ca="1">(PRODUCT($O$5:$O1188)-1)*36000/_xlfn.DAYS(L1188, $C$2)</f>
        <v>9.5323904473894068</v>
      </c>
      <c r="O1188" s="149">
        <f t="shared" ca="1" si="48"/>
        <v>1.000173611111111</v>
      </c>
    </row>
    <row r="1189" spans="12:15" x14ac:dyDescent="0.25">
      <c r="L1189" s="147">
        <f ca="1"/>
        <v>46428</v>
      </c>
      <c r="M1189" s="92">
        <f t="shared" ca="1" si="47"/>
        <v>6.25</v>
      </c>
      <c r="N1189" s="143">
        <f ca="1">(PRODUCT($O$5:$O1189)-1)*36000/_xlfn.DAYS(L1189, $C$2)</f>
        <v>9.5312740299774195</v>
      </c>
      <c r="O1189" s="149">
        <f t="shared" ca="1" si="48"/>
        <v>1.000173611111111</v>
      </c>
    </row>
    <row r="1190" spans="12:15" x14ac:dyDescent="0.25">
      <c r="L1190" s="147">
        <f ca="1"/>
        <v>46429</v>
      </c>
      <c r="M1190" s="92">
        <f t="shared" ca="1" si="47"/>
        <v>6.25</v>
      </c>
      <c r="N1190" s="143">
        <f ca="1">(PRODUCT($O$5:$O1190)-1)*36000/_xlfn.DAYS(L1190, $C$2)</f>
        <v>9.5301606969533701</v>
      </c>
      <c r="O1190" s="149">
        <f t="shared" ca="1" si="48"/>
        <v>1.000173611111111</v>
      </c>
    </row>
    <row r="1191" spans="12:15" x14ac:dyDescent="0.25">
      <c r="L1191" s="147">
        <f ca="1"/>
        <v>46430</v>
      </c>
      <c r="M1191" s="92">
        <f t="shared" ca="1" si="47"/>
        <v>6.25</v>
      </c>
      <c r="N1191" s="143">
        <f ca="1">(PRODUCT($O$5:$O1191)-1)*36000/_xlfn.DAYS(L1191, $C$2)</f>
        <v>9.5290504407302983</v>
      </c>
      <c r="O1191" s="149">
        <f t="shared" ca="1" si="48"/>
        <v>1.000173611111111</v>
      </c>
    </row>
    <row r="1192" spans="12:15" x14ac:dyDescent="0.25">
      <c r="L1192" s="147">
        <f ca="1"/>
        <v>46431</v>
      </c>
      <c r="M1192" s="92">
        <f t="shared" ca="1" si="47"/>
        <v>6.25</v>
      </c>
      <c r="N1192" s="143">
        <f ca="1">(PRODUCT($O$5:$O1192)-1)*36000/_xlfn.DAYS(L1192, $C$2)</f>
        <v>9.5279432537468232</v>
      </c>
      <c r="O1192" s="149">
        <f t="shared" ca="1" si="48"/>
        <v>1.000173611111111</v>
      </c>
    </row>
    <row r="1193" spans="12:15" x14ac:dyDescent="0.25">
      <c r="L1193" s="147">
        <f ca="1"/>
        <v>46432</v>
      </c>
      <c r="M1193" s="92">
        <f t="shared" ca="1" si="47"/>
        <v>6.25</v>
      </c>
      <c r="N1193" s="143">
        <f ca="1">(PRODUCT($O$5:$O1193)-1)*36000/_xlfn.DAYS(L1193, $C$2)</f>
        <v>9.5268391284670351</v>
      </c>
      <c r="O1193" s="149">
        <f t="shared" ca="1" si="48"/>
        <v>1.000173611111111</v>
      </c>
    </row>
    <row r="1194" spans="12:15" x14ac:dyDescent="0.25">
      <c r="L1194" s="147">
        <f ca="1"/>
        <v>46433</v>
      </c>
      <c r="M1194" s="92">
        <f t="shared" ca="1" si="47"/>
        <v>6.25</v>
      </c>
      <c r="N1194" s="143">
        <f ca="1">(PRODUCT($O$5:$O1194)-1)*36000/_xlfn.DAYS(L1194, $C$2)</f>
        <v>9.5257380573803943</v>
      </c>
      <c r="O1194" s="149">
        <f t="shared" ca="1" si="48"/>
        <v>1.000173611111111</v>
      </c>
    </row>
    <row r="1195" spans="12:15" x14ac:dyDescent="0.25">
      <c r="L1195" s="147">
        <f ca="1"/>
        <v>46434</v>
      </c>
      <c r="M1195" s="92">
        <f t="shared" ca="1" si="47"/>
        <v>6.25</v>
      </c>
      <c r="N1195" s="143">
        <f ca="1">(PRODUCT($O$5:$O1195)-1)*36000/_xlfn.DAYS(L1195, $C$2)</f>
        <v>9.5246400330016279</v>
      </c>
      <c r="O1195" s="149">
        <f t="shared" ca="1" si="48"/>
        <v>1.000173611111111</v>
      </c>
    </row>
    <row r="1196" spans="12:15" x14ac:dyDescent="0.25">
      <c r="L1196" s="147">
        <f ca="1"/>
        <v>46435</v>
      </c>
      <c r="M1196" s="92">
        <f t="shared" ca="1" si="47"/>
        <v>6.25</v>
      </c>
      <c r="N1196" s="143">
        <f ca="1">(PRODUCT($O$5:$O1196)-1)*36000/_xlfn.DAYS(L1196, $C$2)</f>
        <v>9.5235450478706003</v>
      </c>
      <c r="O1196" s="149">
        <f t="shared" ca="1" si="48"/>
        <v>1.000173611111111</v>
      </c>
    </row>
    <row r="1197" spans="12:15" x14ac:dyDescent="0.25">
      <c r="L1197" s="147">
        <f ca="1"/>
        <v>46436</v>
      </c>
      <c r="M1197" s="92">
        <f t="shared" ca="1" si="47"/>
        <v>6.25</v>
      </c>
      <c r="N1197" s="143">
        <f ca="1">(PRODUCT($O$5:$O1197)-1)*36000/_xlfn.DAYS(L1197, $C$2)</f>
        <v>9.5224530945522421</v>
      </c>
      <c r="O1197" s="149">
        <f t="shared" ca="1" si="48"/>
        <v>1.000173611111111</v>
      </c>
    </row>
    <row r="1198" spans="12:15" x14ac:dyDescent="0.25">
      <c r="L1198" s="147">
        <f ca="1"/>
        <v>46437</v>
      </c>
      <c r="M1198" s="92">
        <f t="shared" ca="1" si="47"/>
        <v>6.25</v>
      </c>
      <c r="N1198" s="143">
        <f ca="1">(PRODUCT($O$5:$O1198)-1)*36000/_xlfn.DAYS(L1198, $C$2)</f>
        <v>9.5213641656364167</v>
      </c>
      <c r="O1198" s="149">
        <f t="shared" ca="1" si="48"/>
        <v>1.000173611111111</v>
      </c>
    </row>
    <row r="1199" spans="12:15" x14ac:dyDescent="0.25">
      <c r="L1199" s="147">
        <f ca="1"/>
        <v>46438</v>
      </c>
      <c r="M1199" s="92">
        <f t="shared" ca="1" si="47"/>
        <v>6.25</v>
      </c>
      <c r="N1199" s="143">
        <f ca="1">(PRODUCT($O$5:$O1199)-1)*36000/_xlfn.DAYS(L1199, $C$2)</f>
        <v>9.520278253737839</v>
      </c>
      <c r="O1199" s="149">
        <f t="shared" ca="1" si="48"/>
        <v>1.000173611111111</v>
      </c>
    </row>
    <row r="1200" spans="12:15" x14ac:dyDescent="0.25">
      <c r="L1200" s="147">
        <f ca="1"/>
        <v>46439</v>
      </c>
      <c r="M1200" s="92">
        <f t="shared" ca="1" si="47"/>
        <v>6.25</v>
      </c>
      <c r="N1200" s="143">
        <f ca="1">(PRODUCT($O$5:$O1200)-1)*36000/_xlfn.DAYS(L1200, $C$2)</f>
        <v>9.5191953514959415</v>
      </c>
      <c r="O1200" s="149">
        <f t="shared" ca="1" si="48"/>
        <v>1.000173611111111</v>
      </c>
    </row>
    <row r="1201" spans="12:15" x14ac:dyDescent="0.25">
      <c r="L1201" s="147">
        <f ca="1"/>
        <v>46440</v>
      </c>
      <c r="M1201" s="92">
        <f t="shared" ca="1" si="47"/>
        <v>6.25</v>
      </c>
      <c r="N1201" s="143">
        <f ca="1">(PRODUCT($O$5:$O1201)-1)*36000/_xlfn.DAYS(L1201, $C$2)</f>
        <v>9.5181154515748059</v>
      </c>
      <c r="O1201" s="149">
        <f t="shared" ca="1" si="48"/>
        <v>1.000173611111111</v>
      </c>
    </row>
    <row r="1202" spans="12:15" x14ac:dyDescent="0.25">
      <c r="L1202" s="147">
        <f ca="1"/>
        <v>46441</v>
      </c>
      <c r="M1202" s="92">
        <f t="shared" ca="1" si="47"/>
        <v>6.25</v>
      </c>
      <c r="N1202" s="143">
        <f ca="1">(PRODUCT($O$5:$O1202)-1)*36000/_xlfn.DAYS(L1202, $C$2)</f>
        <v>9.5170385466630378</v>
      </c>
      <c r="O1202" s="149">
        <f t="shared" ca="1" si="48"/>
        <v>1.000173611111111</v>
      </c>
    </row>
    <row r="1203" spans="12:15" x14ac:dyDescent="0.25">
      <c r="L1203" s="147">
        <f ca="1"/>
        <v>46442</v>
      </c>
      <c r="M1203" s="92">
        <f t="shared" ca="1" si="47"/>
        <v>6.25</v>
      </c>
      <c r="N1203" s="143">
        <f ca="1">(PRODUCT($O$5:$O1203)-1)*36000/_xlfn.DAYS(L1203, $C$2)</f>
        <v>9.5159646294736699</v>
      </c>
      <c r="O1203" s="149">
        <f t="shared" ca="1" si="48"/>
        <v>1.000173611111111</v>
      </c>
    </row>
    <row r="1204" spans="12:15" x14ac:dyDescent="0.25">
      <c r="L1204" s="147">
        <f ca="1"/>
        <v>46443</v>
      </c>
      <c r="M1204" s="92">
        <f t="shared" ca="1" si="47"/>
        <v>6.25</v>
      </c>
      <c r="N1204" s="143">
        <f ca="1">(PRODUCT($O$5:$O1204)-1)*36000/_xlfn.DAYS(L1204, $C$2)</f>
        <v>9.5148936927440602</v>
      </c>
      <c r="O1204" s="149">
        <f t="shared" ca="1" si="48"/>
        <v>1.000173611111111</v>
      </c>
    </row>
    <row r="1205" spans="12:15" x14ac:dyDescent="0.25">
      <c r="L1205" s="147">
        <f ca="1"/>
        <v>46444</v>
      </c>
      <c r="M1205" s="92">
        <f t="shared" ca="1" si="47"/>
        <v>6.25</v>
      </c>
      <c r="N1205" s="143">
        <f ca="1">(PRODUCT($O$5:$O1205)-1)*36000/_xlfn.DAYS(L1205, $C$2)</f>
        <v>9.5138257292357942</v>
      </c>
      <c r="O1205" s="149">
        <f t="shared" ca="1" si="48"/>
        <v>1.000173611111111</v>
      </c>
    </row>
    <row r="1206" spans="12:15" x14ac:dyDescent="0.25">
      <c r="L1206" s="147">
        <f ca="1"/>
        <v>46445</v>
      </c>
      <c r="M1206" s="92">
        <f t="shared" ca="1" si="47"/>
        <v>6.25</v>
      </c>
      <c r="N1206" s="143">
        <f ca="1">(PRODUCT($O$5:$O1206)-1)*36000/_xlfn.DAYS(L1206, $C$2)</f>
        <v>9.5127607317345824</v>
      </c>
      <c r="O1206" s="149">
        <f t="shared" ca="1" si="48"/>
        <v>1.000173611111111</v>
      </c>
    </row>
    <row r="1207" spans="12:15" x14ac:dyDescent="0.25">
      <c r="L1207" s="147">
        <f ca="1"/>
        <v>46446</v>
      </c>
      <c r="M1207" s="92">
        <f t="shared" ca="1" si="47"/>
        <v>6.25</v>
      </c>
      <c r="N1207" s="143">
        <f ca="1">(PRODUCT($O$5:$O1207)-1)*36000/_xlfn.DAYS(L1207, $C$2)</f>
        <v>9.5116986930501479</v>
      </c>
      <c r="O1207" s="149">
        <f t="shared" ca="1" si="48"/>
        <v>1.000173611111111</v>
      </c>
    </row>
    <row r="1208" spans="12:15" x14ac:dyDescent="0.25">
      <c r="L1208" s="147">
        <f ca="1"/>
        <v>46447</v>
      </c>
      <c r="M1208" s="92">
        <f t="shared" ca="1" si="47"/>
        <v>6.25</v>
      </c>
      <c r="N1208" s="143">
        <f ca="1">(PRODUCT($O$5:$O1208)-1)*36000/_xlfn.DAYS(L1208, $C$2)</f>
        <v>9.5106396060161504</v>
      </c>
      <c r="O1208" s="149">
        <f t="shared" ca="1" si="48"/>
        <v>1.000173611111111</v>
      </c>
    </row>
    <row r="1209" spans="12:15" x14ac:dyDescent="0.25">
      <c r="L1209" s="147">
        <f ca="1"/>
        <v>46448</v>
      </c>
      <c r="M1209" s="92">
        <f t="shared" ca="1" si="47"/>
        <v>6.25</v>
      </c>
      <c r="N1209" s="143">
        <f ca="1">(PRODUCT($O$5:$O1209)-1)*36000/_xlfn.DAYS(L1209, $C$2)</f>
        <v>9.5095834634900669</v>
      </c>
      <c r="O1209" s="149">
        <f t="shared" ca="1" si="48"/>
        <v>1.000173611111111</v>
      </c>
    </row>
    <row r="1210" spans="12:15" x14ac:dyDescent="0.25">
      <c r="L1210" s="147">
        <f ca="1"/>
        <v>46449</v>
      </c>
      <c r="M1210" s="92">
        <f t="shared" ca="1" si="47"/>
        <v>6.25</v>
      </c>
      <c r="N1210" s="143">
        <f ca="1">(PRODUCT($O$5:$O1210)-1)*36000/_xlfn.DAYS(L1210, $C$2)</f>
        <v>9.5085302583531028</v>
      </c>
      <c r="O1210" s="149">
        <f t="shared" ca="1" si="48"/>
        <v>1.000173611111111</v>
      </c>
    </row>
    <row r="1211" spans="12:15" x14ac:dyDescent="0.25">
      <c r="L1211" s="147">
        <f ca="1"/>
        <v>46450</v>
      </c>
      <c r="M1211" s="92">
        <f t="shared" ca="1" si="47"/>
        <v>6.25</v>
      </c>
      <c r="N1211" s="143">
        <f ca="1">(PRODUCT($O$5:$O1211)-1)*36000/_xlfn.DAYS(L1211, $C$2)</f>
        <v>9.5074799835100947</v>
      </c>
      <c r="O1211" s="149">
        <f t="shared" ca="1" si="48"/>
        <v>1.000173611111111</v>
      </c>
    </row>
    <row r="1212" spans="12:15" x14ac:dyDescent="0.25">
      <c r="L1212" s="147">
        <f ca="1"/>
        <v>46451</v>
      </c>
      <c r="M1212" s="92">
        <f t="shared" ca="1" si="47"/>
        <v>6.25</v>
      </c>
      <c r="N1212" s="143">
        <f ca="1">(PRODUCT($O$5:$O1212)-1)*36000/_xlfn.DAYS(L1212, $C$2)</f>
        <v>9.5064326318893997</v>
      </c>
      <c r="O1212" s="149">
        <f t="shared" ca="1" si="48"/>
        <v>1.000173611111111</v>
      </c>
    </row>
    <row r="1213" spans="12:15" x14ac:dyDescent="0.25">
      <c r="L1213" s="147">
        <f ca="1"/>
        <v>46452</v>
      </c>
      <c r="M1213" s="92">
        <f t="shared" ca="1" si="47"/>
        <v>6.25</v>
      </c>
      <c r="N1213" s="143">
        <f ca="1">(PRODUCT($O$5:$O1213)-1)*36000/_xlfn.DAYS(L1213, $C$2)</f>
        <v>9.5053881964428104</v>
      </c>
      <c r="O1213" s="149">
        <f t="shared" ca="1" si="48"/>
        <v>1.000173611111111</v>
      </c>
    </row>
    <row r="1214" spans="12:15" x14ac:dyDescent="0.25">
      <c r="L1214" s="147">
        <f ca="1"/>
        <v>46453</v>
      </c>
      <c r="M1214" s="92">
        <f t="shared" ca="1" si="47"/>
        <v>6.25</v>
      </c>
      <c r="N1214" s="143">
        <f ca="1">(PRODUCT($O$5:$O1214)-1)*36000/_xlfn.DAYS(L1214, $C$2)</f>
        <v>9.5043466701454555</v>
      </c>
      <c r="O1214" s="149">
        <f t="shared" ca="1" si="48"/>
        <v>1.000173611111111</v>
      </c>
    </row>
    <row r="1215" spans="12:15" x14ac:dyDescent="0.25">
      <c r="L1215" s="147">
        <f ca="1"/>
        <v>46454</v>
      </c>
      <c r="M1215" s="92">
        <f t="shared" ca="1" si="47"/>
        <v>6.25</v>
      </c>
      <c r="N1215" s="143">
        <f ca="1">(PRODUCT($O$5:$O1215)-1)*36000/_xlfn.DAYS(L1215, $C$2)</f>
        <v>9.5033080459957091</v>
      </c>
      <c r="O1215" s="149">
        <f t="shared" ca="1" si="48"/>
        <v>1.000173611111111</v>
      </c>
    </row>
    <row r="1216" spans="12:15" x14ac:dyDescent="0.25">
      <c r="L1216" s="147">
        <f ca="1"/>
        <v>46455</v>
      </c>
      <c r="M1216" s="92">
        <f t="shared" ca="1" si="47"/>
        <v>6.25</v>
      </c>
      <c r="N1216" s="143">
        <f ca="1">(PRODUCT($O$5:$O1216)-1)*36000/_xlfn.DAYS(L1216, $C$2)</f>
        <v>9.5022723170150805</v>
      </c>
      <c r="O1216" s="149">
        <f t="shared" ca="1" si="48"/>
        <v>1.000173611111111</v>
      </c>
    </row>
    <row r="1217" spans="12:15" x14ac:dyDescent="0.25">
      <c r="L1217" s="147">
        <f ca="1"/>
        <v>46456</v>
      </c>
      <c r="M1217" s="92">
        <f t="shared" ca="1" si="47"/>
        <v>6.25</v>
      </c>
      <c r="N1217" s="143">
        <f ca="1">(PRODUCT($O$5:$O1217)-1)*36000/_xlfn.DAYS(L1217, $C$2)</f>
        <v>9.5012394762481289</v>
      </c>
      <c r="O1217" s="149">
        <f t="shared" ca="1" si="48"/>
        <v>1.000173611111111</v>
      </c>
    </row>
    <row r="1218" spans="12:15" x14ac:dyDescent="0.25">
      <c r="L1218" s="147">
        <f ca="1"/>
        <v>46457</v>
      </c>
      <c r="M1218" s="92">
        <f t="shared" ca="1" si="47"/>
        <v>6.25</v>
      </c>
      <c r="N1218" s="143">
        <f ca="1">(PRODUCT($O$5:$O1218)-1)*36000/_xlfn.DAYS(L1218, $C$2)</f>
        <v>9.5002095167623644</v>
      </c>
      <c r="O1218" s="149">
        <f t="shared" ca="1" si="48"/>
        <v>1.000173611111111</v>
      </c>
    </row>
    <row r="1219" spans="12:15" x14ac:dyDescent="0.25">
      <c r="L1219" s="147">
        <f ca="1"/>
        <v>46458</v>
      </c>
      <c r="M1219" s="92">
        <f t="shared" ca="1" si="47"/>
        <v>6.25</v>
      </c>
      <c r="N1219" s="143">
        <f ca="1">(PRODUCT($O$5:$O1219)-1)*36000/_xlfn.DAYS(L1219, $C$2)</f>
        <v>9.4991824316481619</v>
      </c>
      <c r="O1219" s="149">
        <f t="shared" ca="1" si="48"/>
        <v>1.000173611111111</v>
      </c>
    </row>
    <row r="1220" spans="12:15" x14ac:dyDescent="0.25">
      <c r="L1220" s="147">
        <f ca="1"/>
        <v>46459</v>
      </c>
      <c r="M1220" s="92">
        <f t="shared" ca="1" si="47"/>
        <v>6.25</v>
      </c>
      <c r="N1220" s="143">
        <f ca="1">(PRODUCT($O$5:$O1220)-1)*36000/_xlfn.DAYS(L1220, $C$2)</f>
        <v>9.4981582140186589</v>
      </c>
      <c r="O1220" s="149">
        <f t="shared" ca="1" si="48"/>
        <v>1.000173611111111</v>
      </c>
    </row>
    <row r="1221" spans="12:15" x14ac:dyDescent="0.25">
      <c r="L1221" s="147">
        <f ca="1"/>
        <v>46460</v>
      </c>
      <c r="M1221" s="92">
        <f t="shared" ref="M1221:M1284" ca="1" si="49">IFERROR(INDEX($E$27:$H$47, MATCH(L1221, $F$27:$F$47, 0), 4), IF(ISNUMBER(M1220), M1220, $C$5))</f>
        <v>6.25</v>
      </c>
      <c r="N1221" s="143">
        <f ca="1">(PRODUCT($O$5:$O1221)-1)*36000/_xlfn.DAYS(L1221, $C$2)</f>
        <v>9.497136857009659</v>
      </c>
      <c r="O1221" s="149">
        <f t="shared" ca="1" si="48"/>
        <v>1.000173611111111</v>
      </c>
    </row>
    <row r="1222" spans="12:15" x14ac:dyDescent="0.25">
      <c r="L1222" s="147">
        <f ca="1"/>
        <v>46461</v>
      </c>
      <c r="M1222" s="92">
        <f t="shared" ca="1" si="49"/>
        <v>6.25</v>
      </c>
      <c r="N1222" s="143">
        <f ca="1">(PRODUCT($O$5:$O1222)-1)*36000/_xlfn.DAYS(L1222, $C$2)</f>
        <v>9.4961183537795524</v>
      </c>
      <c r="O1222" s="149">
        <f t="shared" ref="O1222:O1285" ca="1" si="50">1+M1222*IFERROR(_xlfn.DAYS(L1222, L1221), _xlfn.DAYS(L1222, $C$2))/36000</f>
        <v>1.000173611111111</v>
      </c>
    </row>
    <row r="1223" spans="12:15" x14ac:dyDescent="0.25">
      <c r="L1223" s="147">
        <f ca="1"/>
        <v>46462</v>
      </c>
      <c r="M1223" s="92">
        <f t="shared" ca="1" si="49"/>
        <v>6.25</v>
      </c>
      <c r="N1223" s="143">
        <f ca="1">(PRODUCT($O$5:$O1223)-1)*36000/_xlfn.DAYS(L1223, $C$2)</f>
        <v>9.4951026975091981</v>
      </c>
      <c r="O1223" s="149">
        <f t="shared" ca="1" si="50"/>
        <v>1.000173611111111</v>
      </c>
    </row>
    <row r="1224" spans="12:15" x14ac:dyDescent="0.25">
      <c r="L1224" s="147">
        <f ca="1"/>
        <v>46463</v>
      </c>
      <c r="M1224" s="92">
        <f t="shared" ca="1" si="49"/>
        <v>6.25</v>
      </c>
      <c r="N1224" s="143">
        <f ca="1">(PRODUCT($O$5:$O1224)-1)*36000/_xlfn.DAYS(L1224, $C$2)</f>
        <v>9.494089881401873</v>
      </c>
      <c r="O1224" s="149">
        <f t="shared" ca="1" si="50"/>
        <v>1.000173611111111</v>
      </c>
    </row>
    <row r="1225" spans="12:15" x14ac:dyDescent="0.25">
      <c r="L1225" s="147">
        <f ca="1"/>
        <v>46464</v>
      </c>
      <c r="M1225" s="92">
        <f t="shared" ca="1" si="49"/>
        <v>6.25</v>
      </c>
      <c r="N1225" s="143">
        <f ca="1">(PRODUCT($O$5:$O1225)-1)*36000/_xlfn.DAYS(L1225, $C$2)</f>
        <v>9.4930798986831348</v>
      </c>
      <c r="O1225" s="149">
        <f t="shared" ca="1" si="50"/>
        <v>1.000173611111111</v>
      </c>
    </row>
    <row r="1226" spans="12:15" x14ac:dyDescent="0.25">
      <c r="L1226" s="147">
        <f ca="1"/>
        <v>46465</v>
      </c>
      <c r="M1226" s="92">
        <f t="shared" ca="1" si="49"/>
        <v>6.25</v>
      </c>
      <c r="N1226" s="143">
        <f ca="1">(PRODUCT($O$5:$O1226)-1)*36000/_xlfn.DAYS(L1226, $C$2)</f>
        <v>9.4920727426007581</v>
      </c>
      <c r="O1226" s="149">
        <f t="shared" ca="1" si="50"/>
        <v>1.000173611111111</v>
      </c>
    </row>
    <row r="1227" spans="12:15" x14ac:dyDescent="0.25">
      <c r="L1227" s="147">
        <f ca="1"/>
        <v>46466</v>
      </c>
      <c r="M1227" s="92">
        <f t="shared" ca="1" si="49"/>
        <v>6.25</v>
      </c>
      <c r="N1227" s="143">
        <f ca="1">(PRODUCT($O$5:$O1227)-1)*36000/_xlfn.DAYS(L1227, $C$2)</f>
        <v>9.49106840642464</v>
      </c>
      <c r="O1227" s="149">
        <f t="shared" ca="1" si="50"/>
        <v>1.000173611111111</v>
      </c>
    </row>
    <row r="1228" spans="12:15" x14ac:dyDescent="0.25">
      <c r="L1228" s="147">
        <f ca="1"/>
        <v>46467</v>
      </c>
      <c r="M1228" s="92">
        <f t="shared" ca="1" si="49"/>
        <v>6.25</v>
      </c>
      <c r="N1228" s="143">
        <f ca="1">(PRODUCT($O$5:$O1228)-1)*36000/_xlfn.DAYS(L1228, $C$2)</f>
        <v>9.4900668834467012</v>
      </c>
      <c r="O1228" s="149">
        <f t="shared" ca="1" si="50"/>
        <v>1.000173611111111</v>
      </c>
    </row>
    <row r="1229" spans="12:15" x14ac:dyDescent="0.25">
      <c r="L1229" s="147">
        <f ca="1"/>
        <v>46468</v>
      </c>
      <c r="M1229" s="92">
        <f t="shared" ca="1" si="49"/>
        <v>6.25</v>
      </c>
      <c r="N1229" s="143">
        <f ca="1">(PRODUCT($O$5:$O1229)-1)*36000/_xlfn.DAYS(L1229, $C$2)</f>
        <v>9.4890681669808092</v>
      </c>
      <c r="O1229" s="149">
        <f t="shared" ca="1" si="50"/>
        <v>1.000173611111111</v>
      </c>
    </row>
    <row r="1230" spans="12:15" x14ac:dyDescent="0.25">
      <c r="L1230" s="147">
        <f ca="1"/>
        <v>46469</v>
      </c>
      <c r="M1230" s="92">
        <f t="shared" ca="1" si="49"/>
        <v>6.25</v>
      </c>
      <c r="N1230" s="143">
        <f ca="1">(PRODUCT($O$5:$O1230)-1)*36000/_xlfn.DAYS(L1230, $C$2)</f>
        <v>9.4880722503626718</v>
      </c>
      <c r="O1230" s="149">
        <f t="shared" ca="1" si="50"/>
        <v>1.000173611111111</v>
      </c>
    </row>
    <row r="1231" spans="12:15" x14ac:dyDescent="0.25">
      <c r="L1231" s="147">
        <f ca="1"/>
        <v>46470</v>
      </c>
      <c r="M1231" s="92">
        <f t="shared" ca="1" si="49"/>
        <v>6.25</v>
      </c>
      <c r="N1231" s="143">
        <f ca="1">(PRODUCT($O$5:$O1231)-1)*36000/_xlfn.DAYS(L1231, $C$2)</f>
        <v>9.4870791269497676</v>
      </c>
      <c r="O1231" s="149">
        <f t="shared" ca="1" si="50"/>
        <v>1.000173611111111</v>
      </c>
    </row>
    <row r="1232" spans="12:15" x14ac:dyDescent="0.25">
      <c r="L1232" s="147">
        <f ca="1"/>
        <v>46471</v>
      </c>
      <c r="M1232" s="92">
        <f t="shared" ca="1" si="49"/>
        <v>6.25</v>
      </c>
      <c r="N1232" s="143">
        <f ca="1">(PRODUCT($O$5:$O1232)-1)*36000/_xlfn.DAYS(L1232, $C$2)</f>
        <v>9.4860887901212401</v>
      </c>
      <c r="O1232" s="149">
        <f t="shared" ca="1" si="50"/>
        <v>1.000173611111111</v>
      </c>
    </row>
    <row r="1233" spans="12:15" x14ac:dyDescent="0.25">
      <c r="L1233" s="147">
        <f ca="1"/>
        <v>46472</v>
      </c>
      <c r="M1233" s="92">
        <f t="shared" ca="1" si="49"/>
        <v>6.25</v>
      </c>
      <c r="N1233" s="143">
        <f ca="1">(PRODUCT($O$5:$O1233)-1)*36000/_xlfn.DAYS(L1233, $C$2)</f>
        <v>9.4851012332778204</v>
      </c>
      <c r="O1233" s="149">
        <f t="shared" ca="1" si="50"/>
        <v>1.000173611111111</v>
      </c>
    </row>
    <row r="1234" spans="12:15" x14ac:dyDescent="0.25">
      <c r="L1234" s="147">
        <f ca="1"/>
        <v>46473</v>
      </c>
      <c r="M1234" s="92">
        <f t="shared" ca="1" si="49"/>
        <v>6.25</v>
      </c>
      <c r="N1234" s="143">
        <f ca="1">(PRODUCT($O$5:$O1234)-1)*36000/_xlfn.DAYS(L1234, $C$2)</f>
        <v>9.4841164498417321</v>
      </c>
      <c r="O1234" s="149">
        <f t="shared" ca="1" si="50"/>
        <v>1.000173611111111</v>
      </c>
    </row>
    <row r="1235" spans="12:15" x14ac:dyDescent="0.25">
      <c r="L1235" s="147">
        <f ca="1"/>
        <v>46474</v>
      </c>
      <c r="M1235" s="92">
        <f t="shared" ca="1" si="49"/>
        <v>6.25</v>
      </c>
      <c r="N1235" s="143">
        <f ca="1">(PRODUCT($O$5:$O1235)-1)*36000/_xlfn.DAYS(L1235, $C$2)</f>
        <v>9.483134433256609</v>
      </c>
      <c r="O1235" s="149">
        <f t="shared" ca="1" si="50"/>
        <v>1.000173611111111</v>
      </c>
    </row>
    <row r="1236" spans="12:15" x14ac:dyDescent="0.25">
      <c r="L1236" s="147">
        <f ca="1"/>
        <v>46475</v>
      </c>
      <c r="M1236" s="92">
        <f t="shared" ca="1" si="49"/>
        <v>6.25</v>
      </c>
      <c r="N1236" s="143">
        <f ca="1">(PRODUCT($O$5:$O1236)-1)*36000/_xlfn.DAYS(L1236, $C$2)</f>
        <v>9.4821551769874102</v>
      </c>
      <c r="O1236" s="149">
        <f t="shared" ca="1" si="50"/>
        <v>1.000173611111111</v>
      </c>
    </row>
    <row r="1237" spans="12:15" x14ac:dyDescent="0.25">
      <c r="L1237" s="147">
        <f ca="1"/>
        <v>46476</v>
      </c>
      <c r="M1237" s="92">
        <f t="shared" ca="1" si="49"/>
        <v>6.25</v>
      </c>
      <c r="N1237" s="143">
        <f ca="1">(PRODUCT($O$5:$O1237)-1)*36000/_xlfn.DAYS(L1237, $C$2)</f>
        <v>9.4811786745203257</v>
      </c>
      <c r="O1237" s="149">
        <f t="shared" ca="1" si="50"/>
        <v>1.000173611111111</v>
      </c>
    </row>
    <row r="1238" spans="12:15" x14ac:dyDescent="0.25">
      <c r="L1238" s="147">
        <f ca="1"/>
        <v>46477</v>
      </c>
      <c r="M1238" s="92">
        <f t="shared" ca="1" si="49"/>
        <v>6.25</v>
      </c>
      <c r="N1238" s="143">
        <f ca="1">(PRODUCT($O$5:$O1238)-1)*36000/_xlfn.DAYS(L1238, $C$2)</f>
        <v>9.4802049193627003</v>
      </c>
      <c r="O1238" s="149">
        <f t="shared" ca="1" si="50"/>
        <v>1.000173611111111</v>
      </c>
    </row>
    <row r="1239" spans="12:15" x14ac:dyDescent="0.25">
      <c r="L1239" s="147">
        <f ca="1"/>
        <v>46478</v>
      </c>
      <c r="M1239" s="92">
        <f t="shared" ca="1" si="49"/>
        <v>6.25</v>
      </c>
      <c r="N1239" s="143">
        <f ca="1">(PRODUCT($O$5:$O1239)-1)*36000/_xlfn.DAYS(L1239, $C$2)</f>
        <v>9.4792339050429355</v>
      </c>
      <c r="O1239" s="149">
        <f t="shared" ca="1" si="50"/>
        <v>1.000173611111111</v>
      </c>
    </row>
    <row r="1240" spans="12:15" x14ac:dyDescent="0.25">
      <c r="L1240" s="147">
        <f ca="1"/>
        <v>46479</v>
      </c>
      <c r="M1240" s="92">
        <f t="shared" ca="1" si="49"/>
        <v>6.25</v>
      </c>
      <c r="N1240" s="143">
        <f ca="1">(PRODUCT($O$5:$O1240)-1)*36000/_xlfn.DAYS(L1240, $C$2)</f>
        <v>9.4782656251104225</v>
      </c>
      <c r="O1240" s="149">
        <f t="shared" ca="1" si="50"/>
        <v>1.000173611111111</v>
      </c>
    </row>
    <row r="1241" spans="12:15" x14ac:dyDescent="0.25">
      <c r="L1241" s="147">
        <f ca="1"/>
        <v>46480</v>
      </c>
      <c r="M1241" s="92">
        <f t="shared" ca="1" si="49"/>
        <v>6.25</v>
      </c>
      <c r="N1241" s="143">
        <f ca="1">(PRODUCT($O$5:$O1241)-1)*36000/_xlfn.DAYS(L1241, $C$2)</f>
        <v>9.4773000731354369</v>
      </c>
      <c r="O1241" s="149">
        <f t="shared" ca="1" si="50"/>
        <v>1.000173611111111</v>
      </c>
    </row>
    <row r="1242" spans="12:15" x14ac:dyDescent="0.25">
      <c r="L1242" s="147">
        <f ca="1"/>
        <v>46481</v>
      </c>
      <c r="M1242" s="92">
        <f t="shared" ca="1" si="49"/>
        <v>6.25</v>
      </c>
      <c r="N1242" s="143">
        <f ca="1">(PRODUCT($O$5:$O1242)-1)*36000/_xlfn.DAYS(L1242, $C$2)</f>
        <v>9.4763372427090626</v>
      </c>
      <c r="O1242" s="149">
        <f t="shared" ca="1" si="50"/>
        <v>1.000173611111111</v>
      </c>
    </row>
    <row r="1243" spans="12:15" x14ac:dyDescent="0.25">
      <c r="L1243" s="147">
        <f ca="1"/>
        <v>46482</v>
      </c>
      <c r="M1243" s="92">
        <f t="shared" ca="1" si="49"/>
        <v>6.25</v>
      </c>
      <c r="N1243" s="143">
        <f ca="1">(PRODUCT($O$5:$O1243)-1)*36000/_xlfn.DAYS(L1243, $C$2)</f>
        <v>9.4753771274431209</v>
      </c>
      <c r="O1243" s="149">
        <f t="shared" ca="1" si="50"/>
        <v>1.000173611111111</v>
      </c>
    </row>
    <row r="1244" spans="12:15" x14ac:dyDescent="0.25">
      <c r="L1244" s="147">
        <f ca="1"/>
        <v>46483</v>
      </c>
      <c r="M1244" s="92">
        <f t="shared" ca="1" si="49"/>
        <v>6.25</v>
      </c>
      <c r="N1244" s="143">
        <f ca="1">(PRODUCT($O$5:$O1244)-1)*36000/_xlfn.DAYS(L1244, $C$2)</f>
        <v>9.4744197209700562</v>
      </c>
      <c r="O1244" s="149">
        <f t="shared" ca="1" si="50"/>
        <v>1.000173611111111</v>
      </c>
    </row>
    <row r="1245" spans="12:15" x14ac:dyDescent="0.25">
      <c r="L1245" s="147">
        <f ca="1"/>
        <v>46484</v>
      </c>
      <c r="M1245" s="92">
        <f t="shared" ca="1" si="49"/>
        <v>6.25</v>
      </c>
      <c r="N1245" s="143">
        <f ca="1">(PRODUCT($O$5:$O1245)-1)*36000/_xlfn.DAYS(L1245, $C$2)</f>
        <v>9.4734650169428907</v>
      </c>
      <c r="O1245" s="149">
        <f t="shared" ca="1" si="50"/>
        <v>1.000173611111111</v>
      </c>
    </row>
    <row r="1246" spans="12:15" x14ac:dyDescent="0.25">
      <c r="L1246" s="147">
        <f ca="1"/>
        <v>46485</v>
      </c>
      <c r="M1246" s="92">
        <f t="shared" ca="1" si="49"/>
        <v>6.25</v>
      </c>
      <c r="N1246" s="143">
        <f ca="1">(PRODUCT($O$5:$O1246)-1)*36000/_xlfn.DAYS(L1246, $C$2)</f>
        <v>9.4725130090351168</v>
      </c>
      <c r="O1246" s="149">
        <f t="shared" ca="1" si="50"/>
        <v>1.000173611111111</v>
      </c>
    </row>
    <row r="1247" spans="12:15" x14ac:dyDescent="0.25">
      <c r="L1247" s="147">
        <f ca="1"/>
        <v>46486</v>
      </c>
      <c r="M1247" s="92">
        <f t="shared" ca="1" si="49"/>
        <v>6.25</v>
      </c>
      <c r="N1247" s="143">
        <f ca="1">(PRODUCT($O$5:$O1247)-1)*36000/_xlfn.DAYS(L1247, $C$2)</f>
        <v>9.4715636909406165</v>
      </c>
      <c r="O1247" s="149">
        <f t="shared" ca="1" si="50"/>
        <v>1.000173611111111</v>
      </c>
    </row>
    <row r="1248" spans="12:15" x14ac:dyDescent="0.25">
      <c r="L1248" s="147">
        <f ca="1"/>
        <v>46487</v>
      </c>
      <c r="M1248" s="92">
        <f t="shared" ca="1" si="49"/>
        <v>6.25</v>
      </c>
      <c r="N1248" s="143">
        <f ca="1">(PRODUCT($O$5:$O1248)-1)*36000/_xlfn.DAYS(L1248, $C$2)</f>
        <v>9.4706170563735856</v>
      </c>
      <c r="O1248" s="149">
        <f t="shared" ca="1" si="50"/>
        <v>1.000173611111111</v>
      </c>
    </row>
    <row r="1249" spans="12:15" x14ac:dyDescent="0.25">
      <c r="L1249" s="147">
        <f ca="1"/>
        <v>46488</v>
      </c>
      <c r="M1249" s="92">
        <f t="shared" ca="1" si="49"/>
        <v>6.25</v>
      </c>
      <c r="N1249" s="143">
        <f ca="1">(PRODUCT($O$5:$O1249)-1)*36000/_xlfn.DAYS(L1249, $C$2)</f>
        <v>9.4696730990684497</v>
      </c>
      <c r="O1249" s="149">
        <f t="shared" ca="1" si="50"/>
        <v>1.000173611111111</v>
      </c>
    </row>
    <row r="1250" spans="12:15" x14ac:dyDescent="0.25">
      <c r="L1250" s="147">
        <f ca="1"/>
        <v>46489</v>
      </c>
      <c r="M1250" s="92">
        <f t="shared" ca="1" si="49"/>
        <v>6.25</v>
      </c>
      <c r="N1250" s="143">
        <f ca="1">(PRODUCT($O$5:$O1250)-1)*36000/_xlfn.DAYS(L1250, $C$2)</f>
        <v>9.468731812779783</v>
      </c>
      <c r="O1250" s="149">
        <f t="shared" ca="1" si="50"/>
        <v>1.000173611111111</v>
      </c>
    </row>
    <row r="1251" spans="12:15" x14ac:dyDescent="0.25">
      <c r="L1251" s="147">
        <f ca="1"/>
        <v>46490</v>
      </c>
      <c r="M1251" s="92">
        <f t="shared" ca="1" si="49"/>
        <v>6.25</v>
      </c>
      <c r="N1251" s="143">
        <f ca="1">(PRODUCT($O$5:$O1251)-1)*36000/_xlfn.DAYS(L1251, $C$2)</f>
        <v>9.4677931912822295</v>
      </c>
      <c r="O1251" s="149">
        <f t="shared" ca="1" si="50"/>
        <v>1.000173611111111</v>
      </c>
    </row>
    <row r="1252" spans="12:15" x14ac:dyDescent="0.25">
      <c r="L1252" s="147">
        <f ca="1"/>
        <v>46491</v>
      </c>
      <c r="M1252" s="92">
        <f t="shared" ca="1" si="49"/>
        <v>6.25</v>
      </c>
      <c r="N1252" s="143">
        <f ca="1">(PRODUCT($O$5:$O1252)-1)*36000/_xlfn.DAYS(L1252, $C$2)</f>
        <v>9.4668572283704204</v>
      </c>
      <c r="O1252" s="149">
        <f t="shared" ca="1" si="50"/>
        <v>1.000173611111111</v>
      </c>
    </row>
    <row r="1253" spans="12:15" x14ac:dyDescent="0.25">
      <c r="L1253" s="147">
        <f ca="1"/>
        <v>46492</v>
      </c>
      <c r="M1253" s="92">
        <f t="shared" ca="1" si="49"/>
        <v>6.25</v>
      </c>
      <c r="N1253" s="143">
        <f ca="1">(PRODUCT($O$5:$O1253)-1)*36000/_xlfn.DAYS(L1253, $C$2)</f>
        <v>9.4659239178588965</v>
      </c>
      <c r="O1253" s="149">
        <f t="shared" ca="1" si="50"/>
        <v>1.000173611111111</v>
      </c>
    </row>
    <row r="1254" spans="12:15" x14ac:dyDescent="0.25">
      <c r="L1254" s="147">
        <f ca="1"/>
        <v>46493</v>
      </c>
      <c r="M1254" s="92">
        <f t="shared" ca="1" si="49"/>
        <v>6.25</v>
      </c>
      <c r="N1254" s="143">
        <f ca="1">(PRODUCT($O$5:$O1254)-1)*36000/_xlfn.DAYS(L1254, $C$2)</f>
        <v>9.464993253582028</v>
      </c>
      <c r="O1254" s="149">
        <f t="shared" ca="1" si="50"/>
        <v>1.000173611111111</v>
      </c>
    </row>
    <row r="1255" spans="12:15" x14ac:dyDescent="0.25">
      <c r="L1255" s="147">
        <f ca="1"/>
        <v>46494</v>
      </c>
      <c r="M1255" s="92">
        <f t="shared" ca="1" si="49"/>
        <v>6.25</v>
      </c>
      <c r="N1255" s="143">
        <f ca="1">(PRODUCT($O$5:$O1255)-1)*36000/_xlfn.DAYS(L1255, $C$2)</f>
        <v>9.4640652293939258</v>
      </c>
      <c r="O1255" s="149">
        <f t="shared" ca="1" si="50"/>
        <v>1.000173611111111</v>
      </c>
    </row>
    <row r="1256" spans="12:15" x14ac:dyDescent="0.25">
      <c r="L1256" s="147">
        <f ca="1"/>
        <v>46495</v>
      </c>
      <c r="M1256" s="92">
        <f t="shared" ca="1" si="49"/>
        <v>6.25</v>
      </c>
      <c r="N1256" s="143">
        <f ca="1">(PRODUCT($O$5:$O1256)-1)*36000/_xlfn.DAYS(L1256, $C$2)</f>
        <v>9.4631398391683756</v>
      </c>
      <c r="O1256" s="149">
        <f t="shared" ca="1" si="50"/>
        <v>1.000173611111111</v>
      </c>
    </row>
    <row r="1257" spans="12:15" x14ac:dyDescent="0.25">
      <c r="L1257" s="147">
        <f ca="1"/>
        <v>46496</v>
      </c>
      <c r="M1257" s="92">
        <f t="shared" ca="1" si="49"/>
        <v>6.25</v>
      </c>
      <c r="N1257" s="143">
        <f ca="1">(PRODUCT($O$5:$O1257)-1)*36000/_xlfn.DAYS(L1257, $C$2)</f>
        <v>9.4622170767987566</v>
      </c>
      <c r="O1257" s="149">
        <f t="shared" ca="1" si="50"/>
        <v>1.000173611111111</v>
      </c>
    </row>
    <row r="1258" spans="12:15" x14ac:dyDescent="0.25">
      <c r="L1258" s="147">
        <f ca="1"/>
        <v>46497</v>
      </c>
      <c r="M1258" s="92">
        <f t="shared" ca="1" si="49"/>
        <v>6.25</v>
      </c>
      <c r="N1258" s="143">
        <f ca="1">(PRODUCT($O$5:$O1258)-1)*36000/_xlfn.DAYS(L1258, $C$2)</f>
        <v>9.4612969361979591</v>
      </c>
      <c r="O1258" s="149">
        <f t="shared" ca="1" si="50"/>
        <v>1.000173611111111</v>
      </c>
    </row>
    <row r="1259" spans="12:15" x14ac:dyDescent="0.25">
      <c r="L1259" s="147">
        <f ca="1"/>
        <v>46498</v>
      </c>
      <c r="M1259" s="92">
        <f t="shared" ca="1" si="49"/>
        <v>6.25</v>
      </c>
      <c r="N1259" s="143">
        <f ca="1">(PRODUCT($O$5:$O1259)-1)*36000/_xlfn.DAYS(L1259, $C$2)</f>
        <v>9.4603794112983195</v>
      </c>
      <c r="O1259" s="149">
        <f t="shared" ca="1" si="50"/>
        <v>1.000173611111111</v>
      </c>
    </row>
    <row r="1260" spans="12:15" x14ac:dyDescent="0.25">
      <c r="L1260" s="147">
        <f ca="1"/>
        <v>46499</v>
      </c>
      <c r="M1260" s="92">
        <f t="shared" ca="1" si="49"/>
        <v>6.25</v>
      </c>
      <c r="N1260" s="143">
        <f ca="1">(PRODUCT($O$5:$O1260)-1)*36000/_xlfn.DAYS(L1260, $C$2)</f>
        <v>9.4594644960515151</v>
      </c>
      <c r="O1260" s="149">
        <f t="shared" ca="1" si="50"/>
        <v>1.000173611111111</v>
      </c>
    </row>
    <row r="1261" spans="12:15" x14ac:dyDescent="0.25">
      <c r="L1261" s="147">
        <f ca="1"/>
        <v>46500</v>
      </c>
      <c r="M1261" s="92">
        <f t="shared" ca="1" si="49"/>
        <v>6.25</v>
      </c>
      <c r="N1261" s="143">
        <f ca="1">(PRODUCT($O$5:$O1261)-1)*36000/_xlfn.DAYS(L1261, $C$2)</f>
        <v>9.4585521844285143</v>
      </c>
      <c r="O1261" s="149">
        <f t="shared" ca="1" si="50"/>
        <v>1.000173611111111</v>
      </c>
    </row>
    <row r="1262" spans="12:15" x14ac:dyDescent="0.25">
      <c r="L1262" s="147">
        <f ca="1"/>
        <v>46501</v>
      </c>
      <c r="M1262" s="92">
        <f t="shared" ca="1" si="49"/>
        <v>6.25</v>
      </c>
      <c r="N1262" s="143">
        <f ca="1">(PRODUCT($O$5:$O1262)-1)*36000/_xlfn.DAYS(L1262, $C$2)</f>
        <v>9.4576424704194935</v>
      </c>
      <c r="O1262" s="149">
        <f t="shared" ca="1" si="50"/>
        <v>1.000173611111111</v>
      </c>
    </row>
    <row r="1263" spans="12:15" x14ac:dyDescent="0.25">
      <c r="L1263" s="147">
        <f ca="1"/>
        <v>46502</v>
      </c>
      <c r="M1263" s="92">
        <f t="shared" ca="1" si="49"/>
        <v>6.25</v>
      </c>
      <c r="N1263" s="143">
        <f ca="1">(PRODUCT($O$5:$O1263)-1)*36000/_xlfn.DAYS(L1263, $C$2)</f>
        <v>9.4567353480337459</v>
      </c>
      <c r="O1263" s="149">
        <f t="shared" ca="1" si="50"/>
        <v>1.000173611111111</v>
      </c>
    </row>
    <row r="1264" spans="12:15" x14ac:dyDescent="0.25">
      <c r="L1264" s="147">
        <f ca="1"/>
        <v>46503</v>
      </c>
      <c r="M1264" s="92">
        <f t="shared" ca="1" si="49"/>
        <v>6.25</v>
      </c>
      <c r="N1264" s="143">
        <f ca="1">(PRODUCT($O$5:$O1264)-1)*36000/_xlfn.DAYS(L1264, $C$2)</f>
        <v>9.4558308112996272</v>
      </c>
      <c r="O1264" s="149">
        <f t="shared" ca="1" si="50"/>
        <v>1.000173611111111</v>
      </c>
    </row>
    <row r="1265" spans="12:15" x14ac:dyDescent="0.25">
      <c r="L1265" s="147">
        <f ca="1"/>
        <v>46504</v>
      </c>
      <c r="M1265" s="92">
        <f t="shared" ca="1" si="49"/>
        <v>6.25</v>
      </c>
      <c r="N1265" s="143">
        <f ca="1">(PRODUCT($O$5:$O1265)-1)*36000/_xlfn.DAYS(L1265, $C$2)</f>
        <v>9.4549288542644714</v>
      </c>
      <c r="O1265" s="149">
        <f t="shared" ca="1" si="50"/>
        <v>1.000173611111111</v>
      </c>
    </row>
    <row r="1266" spans="12:15" x14ac:dyDescent="0.25">
      <c r="L1266" s="147">
        <f ca="1"/>
        <v>46505</v>
      </c>
      <c r="M1266" s="92">
        <f t="shared" ca="1" si="49"/>
        <v>6.25</v>
      </c>
      <c r="N1266" s="143">
        <f ca="1">(PRODUCT($O$5:$O1266)-1)*36000/_xlfn.DAYS(L1266, $C$2)</f>
        <v>9.4540294709945059</v>
      </c>
      <c r="O1266" s="149">
        <f t="shared" ca="1" si="50"/>
        <v>1.000173611111111</v>
      </c>
    </row>
    <row r="1267" spans="12:15" x14ac:dyDescent="0.25">
      <c r="L1267" s="147">
        <f ca="1"/>
        <v>46506</v>
      </c>
      <c r="M1267" s="92">
        <f t="shared" ca="1" si="49"/>
        <v>6.25</v>
      </c>
      <c r="N1267" s="143">
        <f ca="1">(PRODUCT($O$5:$O1267)-1)*36000/_xlfn.DAYS(L1267, $C$2)</f>
        <v>9.4531326555747928</v>
      </c>
      <c r="O1267" s="149">
        <f t="shared" ca="1" si="50"/>
        <v>1.000173611111111</v>
      </c>
    </row>
    <row r="1268" spans="12:15" x14ac:dyDescent="0.25">
      <c r="L1268" s="147">
        <f ca="1"/>
        <v>46507</v>
      </c>
      <c r="M1268" s="92">
        <f t="shared" ca="1" si="49"/>
        <v>6.25</v>
      </c>
      <c r="N1268" s="143">
        <f ca="1">(PRODUCT($O$5:$O1268)-1)*36000/_xlfn.DAYS(L1268, $C$2)</f>
        <v>9.4522384021091455</v>
      </c>
      <c r="O1268" s="149">
        <f t="shared" ca="1" si="50"/>
        <v>1.000173611111111</v>
      </c>
    </row>
    <row r="1269" spans="12:15" x14ac:dyDescent="0.25">
      <c r="L1269" s="147">
        <f ca="1"/>
        <v>46508</v>
      </c>
      <c r="M1269" s="92">
        <f t="shared" ca="1" si="49"/>
        <v>6.25</v>
      </c>
      <c r="N1269" s="143">
        <f ca="1">(PRODUCT($O$5:$O1269)-1)*36000/_xlfn.DAYS(L1269, $C$2)</f>
        <v>9.4513467047200521</v>
      </c>
      <c r="O1269" s="149">
        <f t="shared" ca="1" si="50"/>
        <v>1.000173611111111</v>
      </c>
    </row>
    <row r="1270" spans="12:15" x14ac:dyDescent="0.25">
      <c r="L1270" s="147">
        <f ca="1"/>
        <v>46509</v>
      </c>
      <c r="M1270" s="92">
        <f t="shared" ca="1" si="49"/>
        <v>6.25</v>
      </c>
      <c r="N1270" s="143">
        <f ca="1">(PRODUCT($O$5:$O1270)-1)*36000/_xlfn.DAYS(L1270, $C$2)</f>
        <v>9.4504575575486012</v>
      </c>
      <c r="O1270" s="149">
        <f t="shared" ca="1" si="50"/>
        <v>1.000173611111111</v>
      </c>
    </row>
    <row r="1271" spans="12:15" x14ac:dyDescent="0.25">
      <c r="L1271" s="147">
        <f ca="1"/>
        <v>46510</v>
      </c>
      <c r="M1271" s="92">
        <f t="shared" ca="1" si="49"/>
        <v>6.25</v>
      </c>
      <c r="N1271" s="143">
        <f ca="1">(PRODUCT($O$5:$O1271)-1)*36000/_xlfn.DAYS(L1271, $C$2)</f>
        <v>9.4495709547544315</v>
      </c>
      <c r="O1271" s="149">
        <f t="shared" ca="1" si="50"/>
        <v>1.000173611111111</v>
      </c>
    </row>
    <row r="1272" spans="12:15" x14ac:dyDescent="0.25">
      <c r="L1272" s="147">
        <f ca="1"/>
        <v>46511</v>
      </c>
      <c r="M1272" s="92">
        <f t="shared" ca="1" si="49"/>
        <v>6.25</v>
      </c>
      <c r="N1272" s="143">
        <f ca="1">(PRODUCT($O$5:$O1272)-1)*36000/_xlfn.DAYS(L1272, $C$2)</f>
        <v>9.4486868905156189</v>
      </c>
      <c r="O1272" s="149">
        <f t="shared" ca="1" si="50"/>
        <v>1.000173611111111</v>
      </c>
    </row>
    <row r="1273" spans="12:15" x14ac:dyDescent="0.25">
      <c r="L1273" s="147">
        <f ca="1"/>
        <v>46512</v>
      </c>
      <c r="M1273" s="92">
        <f t="shared" ca="1" si="49"/>
        <v>6.25</v>
      </c>
      <c r="N1273" s="143">
        <f ca="1">(PRODUCT($O$5:$O1273)-1)*36000/_xlfn.DAYS(L1273, $C$2)</f>
        <v>9.4478053590286333</v>
      </c>
      <c r="O1273" s="149">
        <f t="shared" ca="1" si="50"/>
        <v>1.000173611111111</v>
      </c>
    </row>
    <row r="1274" spans="12:15" x14ac:dyDescent="0.25">
      <c r="L1274" s="147">
        <f ca="1"/>
        <v>46513</v>
      </c>
      <c r="M1274" s="92">
        <f t="shared" ca="1" si="49"/>
        <v>6.25</v>
      </c>
      <c r="N1274" s="143">
        <f ca="1">(PRODUCT($O$5:$O1274)-1)*36000/_xlfn.DAYS(L1274, $C$2)</f>
        <v>9.4469263545082622</v>
      </c>
      <c r="O1274" s="149">
        <f t="shared" ca="1" si="50"/>
        <v>1.000173611111111</v>
      </c>
    </row>
    <row r="1275" spans="12:15" x14ac:dyDescent="0.25">
      <c r="L1275" s="147">
        <f ca="1"/>
        <v>46514</v>
      </c>
      <c r="M1275" s="92">
        <f t="shared" ca="1" si="49"/>
        <v>6.25</v>
      </c>
      <c r="N1275" s="143">
        <f ca="1">(PRODUCT($O$5:$O1275)-1)*36000/_xlfn.DAYS(L1275, $C$2)</f>
        <v>9.4460498711875296</v>
      </c>
      <c r="O1275" s="149">
        <f t="shared" ca="1" si="50"/>
        <v>1.000173611111111</v>
      </c>
    </row>
    <row r="1276" spans="12:15" x14ac:dyDescent="0.25">
      <c r="L1276" s="147">
        <f ca="1"/>
        <v>46515</v>
      </c>
      <c r="M1276" s="92">
        <f t="shared" ca="1" si="49"/>
        <v>6.25</v>
      </c>
      <c r="N1276" s="143">
        <f ca="1">(PRODUCT($O$5:$O1276)-1)*36000/_xlfn.DAYS(L1276, $C$2)</f>
        <v>9.4451759033176241</v>
      </c>
      <c r="O1276" s="149">
        <f t="shared" ca="1" si="50"/>
        <v>1.000173611111111</v>
      </c>
    </row>
    <row r="1277" spans="12:15" x14ac:dyDescent="0.25">
      <c r="L1277" s="147">
        <f ca="1"/>
        <v>46516</v>
      </c>
      <c r="M1277" s="92">
        <f t="shared" ca="1" si="49"/>
        <v>6.25</v>
      </c>
      <c r="N1277" s="143">
        <f ca="1">(PRODUCT($O$5:$O1277)-1)*36000/_xlfn.DAYS(L1277, $C$2)</f>
        <v>9.4443044451678411</v>
      </c>
      <c r="O1277" s="149">
        <f t="shared" ca="1" si="50"/>
        <v>1.000173611111111</v>
      </c>
    </row>
    <row r="1278" spans="12:15" x14ac:dyDescent="0.25">
      <c r="L1278" s="147">
        <f ca="1"/>
        <v>46517</v>
      </c>
      <c r="M1278" s="92">
        <f t="shared" ca="1" si="49"/>
        <v>6.25</v>
      </c>
      <c r="N1278" s="143">
        <f ca="1">(PRODUCT($O$5:$O1278)-1)*36000/_xlfn.DAYS(L1278, $C$2)</f>
        <v>9.4434354910255021</v>
      </c>
      <c r="O1278" s="149">
        <f t="shared" ca="1" si="50"/>
        <v>1.000173611111111</v>
      </c>
    </row>
    <row r="1279" spans="12:15" x14ac:dyDescent="0.25">
      <c r="L1279" s="147">
        <f ca="1"/>
        <v>46518</v>
      </c>
      <c r="M1279" s="92">
        <f t="shared" ca="1" si="49"/>
        <v>6.25</v>
      </c>
      <c r="N1279" s="143">
        <f ca="1">(PRODUCT($O$5:$O1279)-1)*36000/_xlfn.DAYS(L1279, $C$2)</f>
        <v>9.4425690351958771</v>
      </c>
      <c r="O1279" s="149">
        <f t="shared" ca="1" si="50"/>
        <v>1.000173611111111</v>
      </c>
    </row>
    <row r="1280" spans="12:15" x14ac:dyDescent="0.25">
      <c r="L1280" s="147">
        <f ca="1"/>
        <v>46519</v>
      </c>
      <c r="M1280" s="92">
        <f t="shared" ca="1" si="49"/>
        <v>6.25</v>
      </c>
      <c r="N1280" s="143">
        <f ca="1">(PRODUCT($O$5:$O1280)-1)*36000/_xlfn.DAYS(L1280, $C$2)</f>
        <v>9.4417050720021276</v>
      </c>
      <c r="O1280" s="149">
        <f t="shared" ca="1" si="50"/>
        <v>1.000173611111111</v>
      </c>
    </row>
    <row r="1281" spans="12:15" x14ac:dyDescent="0.25">
      <c r="L1281" s="147">
        <f ca="1"/>
        <v>46520</v>
      </c>
      <c r="M1281" s="92">
        <f t="shared" ca="1" si="49"/>
        <v>6.25</v>
      </c>
      <c r="N1281" s="143">
        <f ca="1">(PRODUCT($O$5:$O1281)-1)*36000/_xlfn.DAYS(L1281, $C$2)</f>
        <v>9.4408435957852372</v>
      </c>
      <c r="O1281" s="149">
        <f t="shared" ca="1" si="50"/>
        <v>1.000173611111111</v>
      </c>
    </row>
    <row r="1282" spans="12:15" x14ac:dyDescent="0.25">
      <c r="L1282" s="147">
        <f ca="1"/>
        <v>46521</v>
      </c>
      <c r="M1282" s="92">
        <f t="shared" ca="1" si="49"/>
        <v>6.25</v>
      </c>
      <c r="N1282" s="143">
        <f ca="1">(PRODUCT($O$5:$O1282)-1)*36000/_xlfn.DAYS(L1282, $C$2)</f>
        <v>9.4399846009039194</v>
      </c>
      <c r="O1282" s="149">
        <f t="shared" ca="1" si="50"/>
        <v>1.000173611111111</v>
      </c>
    </row>
    <row r="1283" spans="12:15" x14ac:dyDescent="0.25">
      <c r="L1283" s="147">
        <f ca="1"/>
        <v>46522</v>
      </c>
      <c r="M1283" s="92">
        <f t="shared" ca="1" si="49"/>
        <v>6.25</v>
      </c>
      <c r="N1283" s="143">
        <f ca="1">(PRODUCT($O$5:$O1283)-1)*36000/_xlfn.DAYS(L1283, $C$2)</f>
        <v>9.439128081734582</v>
      </c>
      <c r="O1283" s="149">
        <f t="shared" ca="1" si="50"/>
        <v>1.000173611111111</v>
      </c>
    </row>
    <row r="1284" spans="12:15" x14ac:dyDescent="0.25">
      <c r="L1284" s="147">
        <f ca="1"/>
        <v>46523</v>
      </c>
      <c r="M1284" s="92">
        <f t="shared" ca="1" si="49"/>
        <v>6.25</v>
      </c>
      <c r="N1284" s="143">
        <f ca="1">(PRODUCT($O$5:$O1284)-1)*36000/_xlfn.DAYS(L1284, $C$2)</f>
        <v>9.4382740326712273</v>
      </c>
      <c r="O1284" s="149">
        <f t="shared" ca="1" si="50"/>
        <v>1.000173611111111</v>
      </c>
    </row>
    <row r="1285" spans="12:15" x14ac:dyDescent="0.25">
      <c r="L1285" s="147">
        <f ca="1"/>
        <v>46524</v>
      </c>
      <c r="M1285" s="92">
        <f t="shared" ref="M1285:M1348" ca="1" si="51">IFERROR(INDEX($E$27:$H$47, MATCH(L1285, $F$27:$F$47, 0), 4), IF(ISNUMBER(M1284), M1284, $C$5))</f>
        <v>6.25</v>
      </c>
      <c r="N1285" s="143">
        <f ca="1">(PRODUCT($O$5:$O1285)-1)*36000/_xlfn.DAYS(L1285, $C$2)</f>
        <v>9.4374224481254068</v>
      </c>
      <c r="O1285" s="149">
        <f t="shared" ca="1" si="50"/>
        <v>1.000173611111111</v>
      </c>
    </row>
    <row r="1286" spans="12:15" x14ac:dyDescent="0.25">
      <c r="L1286" s="147">
        <f ca="1"/>
        <v>46525</v>
      </c>
      <c r="M1286" s="92">
        <f t="shared" ca="1" si="51"/>
        <v>6.25</v>
      </c>
      <c r="N1286" s="143">
        <f ca="1">(PRODUCT($O$5:$O1286)-1)*36000/_xlfn.DAYS(L1286, $C$2)</f>
        <v>9.4365733225261419</v>
      </c>
      <c r="O1286" s="149">
        <f t="shared" ref="O1286:O1349" ca="1" si="52">1+M1286*IFERROR(_xlfn.DAYS(L1286, L1285), _xlfn.DAYS(L1286, $C$2))/36000</f>
        <v>1.000173611111111</v>
      </c>
    </row>
    <row r="1287" spans="12:15" x14ac:dyDescent="0.25">
      <c r="L1287" s="147">
        <f ca="1"/>
        <v>46526</v>
      </c>
      <c r="M1287" s="92">
        <f t="shared" ca="1" si="51"/>
        <v>6.25</v>
      </c>
      <c r="N1287" s="143">
        <f ca="1">(PRODUCT($O$5:$O1287)-1)*36000/_xlfn.DAYS(L1287, $C$2)</f>
        <v>9.4357266503198485</v>
      </c>
      <c r="O1287" s="149">
        <f t="shared" ca="1" si="52"/>
        <v>1.000173611111111</v>
      </c>
    </row>
    <row r="1288" spans="12:15" x14ac:dyDescent="0.25">
      <c r="L1288" s="147">
        <f ca="1"/>
        <v>46527</v>
      </c>
      <c r="M1288" s="92">
        <f t="shared" ca="1" si="51"/>
        <v>6.25</v>
      </c>
      <c r="N1288" s="143">
        <f ca="1">(PRODUCT($O$5:$O1288)-1)*36000/_xlfn.DAYS(L1288, $C$2)</f>
        <v>9.434882425970283</v>
      </c>
      <c r="O1288" s="149">
        <f t="shared" ca="1" si="52"/>
        <v>1.000173611111111</v>
      </c>
    </row>
    <row r="1289" spans="12:15" x14ac:dyDescent="0.25">
      <c r="L1289" s="147">
        <f ca="1"/>
        <v>46528</v>
      </c>
      <c r="M1289" s="92">
        <f t="shared" ca="1" si="51"/>
        <v>6.25</v>
      </c>
      <c r="N1289" s="143">
        <f ca="1">(PRODUCT($O$5:$O1289)-1)*36000/_xlfn.DAYS(L1289, $C$2)</f>
        <v>9.4340406439584665</v>
      </c>
      <c r="O1289" s="149">
        <f t="shared" ca="1" si="52"/>
        <v>1.000173611111111</v>
      </c>
    </row>
    <row r="1290" spans="12:15" x14ac:dyDescent="0.25">
      <c r="L1290" s="147">
        <f ca="1"/>
        <v>46529</v>
      </c>
      <c r="M1290" s="92">
        <f t="shared" ca="1" si="51"/>
        <v>6.25</v>
      </c>
      <c r="N1290" s="143">
        <f ca="1">(PRODUCT($O$5:$O1290)-1)*36000/_xlfn.DAYS(L1290, $C$2)</f>
        <v>9.4332012987826204</v>
      </c>
      <c r="O1290" s="149">
        <f t="shared" ca="1" si="52"/>
        <v>1.000173611111111</v>
      </c>
    </row>
    <row r="1291" spans="12:15" x14ac:dyDescent="0.25">
      <c r="L1291" s="147">
        <f ca="1"/>
        <v>46530</v>
      </c>
      <c r="M1291" s="92">
        <f t="shared" ca="1" si="51"/>
        <v>6.25</v>
      </c>
      <c r="N1291" s="143">
        <f ca="1">(PRODUCT($O$5:$O1291)-1)*36000/_xlfn.DAYS(L1291, $C$2)</f>
        <v>9.4323643849581043</v>
      </c>
      <c r="O1291" s="149">
        <f t="shared" ca="1" si="52"/>
        <v>1.000173611111111</v>
      </c>
    </row>
    <row r="1292" spans="12:15" x14ac:dyDescent="0.25">
      <c r="L1292" s="147">
        <f ca="1"/>
        <v>46531</v>
      </c>
      <c r="M1292" s="92">
        <f t="shared" ca="1" si="51"/>
        <v>6.25</v>
      </c>
      <c r="N1292" s="143">
        <f ca="1">(PRODUCT($O$5:$O1292)-1)*36000/_xlfn.DAYS(L1292, $C$2)</f>
        <v>9.4315298970173451</v>
      </c>
      <c r="O1292" s="149">
        <f t="shared" ca="1" si="52"/>
        <v>1.000173611111111</v>
      </c>
    </row>
    <row r="1293" spans="12:15" x14ac:dyDescent="0.25">
      <c r="L1293" s="147">
        <f ca="1"/>
        <v>46532</v>
      </c>
      <c r="M1293" s="92">
        <f t="shared" ca="1" si="51"/>
        <v>6.25</v>
      </c>
      <c r="N1293" s="143">
        <f ca="1">(PRODUCT($O$5:$O1293)-1)*36000/_xlfn.DAYS(L1293, $C$2)</f>
        <v>9.4306978295097679</v>
      </c>
      <c r="O1293" s="149">
        <f t="shared" ca="1" si="52"/>
        <v>1.000173611111111</v>
      </c>
    </row>
    <row r="1294" spans="12:15" x14ac:dyDescent="0.25">
      <c r="L1294" s="147">
        <f ca="1"/>
        <v>46533</v>
      </c>
      <c r="M1294" s="92">
        <f t="shared" ca="1" si="51"/>
        <v>6.25</v>
      </c>
      <c r="N1294" s="143">
        <f ca="1">(PRODUCT($O$5:$O1294)-1)*36000/_xlfn.DAYS(L1294, $C$2)</f>
        <v>9.4298681770017243</v>
      </c>
      <c r="O1294" s="149">
        <f t="shared" ca="1" si="52"/>
        <v>1.000173611111111</v>
      </c>
    </row>
    <row r="1295" spans="12:15" x14ac:dyDescent="0.25">
      <c r="L1295" s="147">
        <f ca="1"/>
        <v>46534</v>
      </c>
      <c r="M1295" s="92">
        <f t="shared" ca="1" si="51"/>
        <v>6.25</v>
      </c>
      <c r="N1295" s="143">
        <f ca="1">(PRODUCT($O$5:$O1295)-1)*36000/_xlfn.DAYS(L1295, $C$2)</f>
        <v>9.4290409340764469</v>
      </c>
      <c r="O1295" s="149">
        <f t="shared" ca="1" si="52"/>
        <v>1.000173611111111</v>
      </c>
    </row>
    <row r="1296" spans="12:15" x14ac:dyDescent="0.25">
      <c r="L1296" s="147">
        <f ca="1"/>
        <v>46535</v>
      </c>
      <c r="M1296" s="92">
        <f t="shared" ca="1" si="51"/>
        <v>6.25</v>
      </c>
      <c r="N1296" s="143">
        <f ca="1">(PRODUCT($O$5:$O1296)-1)*36000/_xlfn.DAYS(L1296, $C$2)</f>
        <v>9.4282160953339709</v>
      </c>
      <c r="O1296" s="149">
        <f t="shared" ca="1" si="52"/>
        <v>1.000173611111111</v>
      </c>
    </row>
    <row r="1297" spans="12:15" x14ac:dyDescent="0.25">
      <c r="L1297" s="147">
        <f ca="1"/>
        <v>46536</v>
      </c>
      <c r="M1297" s="92">
        <f t="shared" ca="1" si="51"/>
        <v>6.25</v>
      </c>
      <c r="N1297" s="143">
        <f ca="1">(PRODUCT($O$5:$O1297)-1)*36000/_xlfn.DAYS(L1297, $C$2)</f>
        <v>9.4273936553910662</v>
      </c>
      <c r="O1297" s="149">
        <f t="shared" ca="1" si="52"/>
        <v>1.000173611111111</v>
      </c>
    </row>
    <row r="1298" spans="12:15" x14ac:dyDescent="0.25">
      <c r="L1298" s="147">
        <f ca="1"/>
        <v>46537</v>
      </c>
      <c r="M1298" s="92">
        <f t="shared" ca="1" si="51"/>
        <v>6.25</v>
      </c>
      <c r="N1298" s="143">
        <f ca="1">(PRODUCT($O$5:$O1298)-1)*36000/_xlfn.DAYS(L1298, $C$2)</f>
        <v>9.4265736088811778</v>
      </c>
      <c r="O1298" s="149">
        <f t="shared" ca="1" si="52"/>
        <v>1.000173611111111</v>
      </c>
    </row>
    <row r="1299" spans="12:15" x14ac:dyDescent="0.25">
      <c r="L1299" s="147">
        <f ca="1"/>
        <v>46538</v>
      </c>
      <c r="M1299" s="92">
        <f t="shared" ca="1" si="51"/>
        <v>6.25</v>
      </c>
      <c r="N1299" s="143">
        <f ca="1">(PRODUCT($O$5:$O1299)-1)*36000/_xlfn.DAYS(L1299, $C$2)</f>
        <v>9.4257559504543664</v>
      </c>
      <c r="O1299" s="149">
        <f t="shared" ca="1" si="52"/>
        <v>1.000173611111111</v>
      </c>
    </row>
    <row r="1300" spans="12:15" x14ac:dyDescent="0.25">
      <c r="L1300" s="147">
        <f ca="1"/>
        <v>46539</v>
      </c>
      <c r="M1300" s="92">
        <f t="shared" ca="1" si="51"/>
        <v>6.25</v>
      </c>
      <c r="N1300" s="143">
        <f ca="1">(PRODUCT($O$5:$O1300)-1)*36000/_xlfn.DAYS(L1300, $C$2)</f>
        <v>9.4249406747772273</v>
      </c>
      <c r="O1300" s="149">
        <f t="shared" ca="1" si="52"/>
        <v>1.000173611111111</v>
      </c>
    </row>
    <row r="1301" spans="12:15" x14ac:dyDescent="0.25">
      <c r="L1301" s="147">
        <f ca="1"/>
        <v>46540</v>
      </c>
      <c r="M1301" s="92">
        <f t="shared" ca="1" si="51"/>
        <v>6.25</v>
      </c>
      <c r="N1301" s="143">
        <f ca="1">(PRODUCT($O$5:$O1301)-1)*36000/_xlfn.DAYS(L1301, $C$2)</f>
        <v>9.4241277765328491</v>
      </c>
      <c r="O1301" s="149">
        <f t="shared" ca="1" si="52"/>
        <v>1.000173611111111</v>
      </c>
    </row>
    <row r="1302" spans="12:15" x14ac:dyDescent="0.25">
      <c r="L1302" s="147">
        <f ca="1"/>
        <v>46541</v>
      </c>
      <c r="M1302" s="92">
        <f t="shared" ca="1" si="51"/>
        <v>6.25</v>
      </c>
      <c r="N1302" s="143">
        <f ca="1">(PRODUCT($O$5:$O1302)-1)*36000/_xlfn.DAYS(L1302, $C$2)</f>
        <v>9.4233172504207374</v>
      </c>
      <c r="O1302" s="149">
        <f t="shared" ca="1" si="52"/>
        <v>1.000173611111111</v>
      </c>
    </row>
    <row r="1303" spans="12:15" x14ac:dyDescent="0.25">
      <c r="L1303" s="147">
        <f ca="1"/>
        <v>46542</v>
      </c>
      <c r="M1303" s="92">
        <f t="shared" ca="1" si="51"/>
        <v>6.25</v>
      </c>
      <c r="N1303" s="143">
        <f ca="1">(PRODUCT($O$5:$O1303)-1)*36000/_xlfn.DAYS(L1303, $C$2)</f>
        <v>9.4225090911567477</v>
      </c>
      <c r="O1303" s="149">
        <f t="shared" ca="1" si="52"/>
        <v>1.000173611111111</v>
      </c>
    </row>
    <row r="1304" spans="12:15" x14ac:dyDescent="0.25">
      <c r="L1304" s="147">
        <f ca="1"/>
        <v>46543</v>
      </c>
      <c r="M1304" s="92">
        <f t="shared" ca="1" si="51"/>
        <v>6.25</v>
      </c>
      <c r="N1304" s="143">
        <f ca="1">(PRODUCT($O$5:$O1304)-1)*36000/_xlfn.DAYS(L1304, $C$2)</f>
        <v>9.4217032934730316</v>
      </c>
      <c r="O1304" s="149">
        <f t="shared" ca="1" si="52"/>
        <v>1.000173611111111</v>
      </c>
    </row>
    <row r="1305" spans="12:15" x14ac:dyDescent="0.25">
      <c r="L1305" s="147">
        <f ca="1"/>
        <v>46544</v>
      </c>
      <c r="M1305" s="92">
        <f t="shared" ca="1" si="51"/>
        <v>6.25</v>
      </c>
      <c r="N1305" s="143">
        <f ca="1">(PRODUCT($O$5:$O1305)-1)*36000/_xlfn.DAYS(L1305, $C$2)</f>
        <v>9.4208998521179659</v>
      </c>
      <c r="O1305" s="149">
        <f t="shared" ca="1" si="52"/>
        <v>1.000173611111111</v>
      </c>
    </row>
    <row r="1306" spans="12:15" x14ac:dyDescent="0.25">
      <c r="L1306" s="147">
        <f ca="1"/>
        <v>46545</v>
      </c>
      <c r="M1306" s="92">
        <f t="shared" ca="1" si="51"/>
        <v>6.25</v>
      </c>
      <c r="N1306" s="143">
        <f ca="1">(PRODUCT($O$5:$O1306)-1)*36000/_xlfn.DAYS(L1306, $C$2)</f>
        <v>9.4200987618561047</v>
      </c>
      <c r="O1306" s="149">
        <f t="shared" ca="1" si="52"/>
        <v>1.000173611111111</v>
      </c>
    </row>
    <row r="1307" spans="12:15" x14ac:dyDescent="0.25">
      <c r="L1307" s="147">
        <f ca="1"/>
        <v>46546</v>
      </c>
      <c r="M1307" s="92">
        <f t="shared" ca="1" si="51"/>
        <v>6.25</v>
      </c>
      <c r="N1307" s="143">
        <f ca="1">(PRODUCT($O$5:$O1307)-1)*36000/_xlfn.DAYS(L1307, $C$2)</f>
        <v>9.419300017468105</v>
      </c>
      <c r="O1307" s="149">
        <f t="shared" ca="1" si="52"/>
        <v>1.000173611111111</v>
      </c>
    </row>
    <row r="1308" spans="12:15" x14ac:dyDescent="0.25">
      <c r="L1308" s="147">
        <f ca="1"/>
        <v>46547</v>
      </c>
      <c r="M1308" s="92">
        <f t="shared" ca="1" si="51"/>
        <v>6.25</v>
      </c>
      <c r="N1308" s="143">
        <f ca="1">(PRODUCT($O$5:$O1308)-1)*36000/_xlfn.DAYS(L1308, $C$2)</f>
        <v>9.4185036137506604</v>
      </c>
      <c r="O1308" s="149">
        <f t="shared" ca="1" si="52"/>
        <v>1.000173611111111</v>
      </c>
    </row>
    <row r="1309" spans="12:15" x14ac:dyDescent="0.25">
      <c r="L1309" s="147">
        <f ca="1"/>
        <v>46548</v>
      </c>
      <c r="M1309" s="92">
        <f t="shared" ca="1" si="51"/>
        <v>6.25</v>
      </c>
      <c r="N1309" s="143">
        <f ca="1">(PRODUCT($O$5:$O1309)-1)*36000/_xlfn.DAYS(L1309, $C$2)</f>
        <v>9.4177095455164501</v>
      </c>
      <c r="O1309" s="149">
        <f t="shared" ca="1" si="52"/>
        <v>1.000173611111111</v>
      </c>
    </row>
    <row r="1310" spans="12:15" x14ac:dyDescent="0.25">
      <c r="L1310" s="147">
        <f ca="1"/>
        <v>46549</v>
      </c>
      <c r="M1310" s="92">
        <f t="shared" ca="1" si="51"/>
        <v>6.25</v>
      </c>
      <c r="N1310" s="143">
        <f ca="1">(PRODUCT($O$5:$O1310)-1)*36000/_xlfn.DAYS(L1310, $C$2)</f>
        <v>9.4169178075940767</v>
      </c>
      <c r="O1310" s="149">
        <f t="shared" ca="1" si="52"/>
        <v>1.000173611111111</v>
      </c>
    </row>
    <row r="1311" spans="12:15" x14ac:dyDescent="0.25">
      <c r="L1311" s="147">
        <f ca="1"/>
        <v>46550</v>
      </c>
      <c r="M1311" s="92">
        <f t="shared" ca="1" si="51"/>
        <v>6.25</v>
      </c>
      <c r="N1311" s="143">
        <f ca="1">(PRODUCT($O$5:$O1311)-1)*36000/_xlfn.DAYS(L1311, $C$2)</f>
        <v>9.4161283948280108</v>
      </c>
      <c r="O1311" s="149">
        <f t="shared" ca="1" si="52"/>
        <v>1.000173611111111</v>
      </c>
    </row>
    <row r="1312" spans="12:15" x14ac:dyDescent="0.25">
      <c r="L1312" s="147">
        <f ca="1"/>
        <v>46551</v>
      </c>
      <c r="M1312" s="92">
        <f t="shared" ca="1" si="51"/>
        <v>6.25</v>
      </c>
      <c r="N1312" s="143">
        <f ca="1">(PRODUCT($O$5:$O1312)-1)*36000/_xlfn.DAYS(L1312, $C$2)</f>
        <v>9.4153413020785042</v>
      </c>
      <c r="O1312" s="149">
        <f t="shared" ca="1" si="52"/>
        <v>1.000173611111111</v>
      </c>
    </row>
    <row r="1313" spans="12:15" x14ac:dyDescent="0.25">
      <c r="L1313" s="147">
        <f ca="1"/>
        <v>46552</v>
      </c>
      <c r="M1313" s="92">
        <f t="shared" ca="1" si="51"/>
        <v>6.25</v>
      </c>
      <c r="N1313" s="143">
        <f ca="1">(PRODUCT($O$5:$O1313)-1)*36000/_xlfn.DAYS(L1313, $C$2)</f>
        <v>9.4145565242215632</v>
      </c>
      <c r="O1313" s="149">
        <f t="shared" ca="1" si="52"/>
        <v>1.000173611111111</v>
      </c>
    </row>
    <row r="1314" spans="12:15" x14ac:dyDescent="0.25">
      <c r="L1314" s="147">
        <f ca="1"/>
        <v>46553</v>
      </c>
      <c r="M1314" s="92">
        <f t="shared" ca="1" si="51"/>
        <v>6.25</v>
      </c>
      <c r="N1314" s="143">
        <f ca="1">(PRODUCT($O$5:$O1314)-1)*36000/_xlfn.DAYS(L1314, $C$2)</f>
        <v>9.4137740561488652</v>
      </c>
      <c r="O1314" s="149">
        <f t="shared" ca="1" si="52"/>
        <v>1.000173611111111</v>
      </c>
    </row>
    <row r="1315" spans="12:15" x14ac:dyDescent="0.25">
      <c r="L1315" s="147">
        <f ca="1"/>
        <v>46554</v>
      </c>
      <c r="M1315" s="92">
        <f t="shared" ca="1" si="51"/>
        <v>6.25</v>
      </c>
      <c r="N1315" s="143">
        <f ca="1">(PRODUCT($O$5:$O1315)-1)*36000/_xlfn.DAYS(L1315, $C$2)</f>
        <v>9.4129938927677124</v>
      </c>
      <c r="O1315" s="149">
        <f t="shared" ca="1" si="52"/>
        <v>1.000173611111111</v>
      </c>
    </row>
    <row r="1316" spans="12:15" x14ac:dyDescent="0.25">
      <c r="L1316" s="147">
        <f ca="1"/>
        <v>46555</v>
      </c>
      <c r="M1316" s="92">
        <f t="shared" ca="1" si="51"/>
        <v>6.25</v>
      </c>
      <c r="N1316" s="143">
        <f ca="1">(PRODUCT($O$5:$O1316)-1)*36000/_xlfn.DAYS(L1316, $C$2)</f>
        <v>9.412216029000966</v>
      </c>
      <c r="O1316" s="149">
        <f t="shared" ca="1" si="52"/>
        <v>1.000173611111111</v>
      </c>
    </row>
    <row r="1317" spans="12:15" x14ac:dyDescent="0.25">
      <c r="L1317" s="147">
        <f ca="1"/>
        <v>46556</v>
      </c>
      <c r="M1317" s="92">
        <f t="shared" ca="1" si="51"/>
        <v>6.25</v>
      </c>
      <c r="N1317" s="143">
        <f ca="1">(PRODUCT($O$5:$O1317)-1)*36000/_xlfn.DAYS(L1317, $C$2)</f>
        <v>9.4114404597869861</v>
      </c>
      <c r="O1317" s="149">
        <f t="shared" ca="1" si="52"/>
        <v>1.000173611111111</v>
      </c>
    </row>
    <row r="1318" spans="12:15" x14ac:dyDescent="0.25">
      <c r="L1318" s="147">
        <f ca="1"/>
        <v>46557</v>
      </c>
      <c r="M1318" s="92">
        <f t="shared" ca="1" si="51"/>
        <v>6.25</v>
      </c>
      <c r="N1318" s="143">
        <f ca="1">(PRODUCT($O$5:$O1318)-1)*36000/_xlfn.DAYS(L1318, $C$2)</f>
        <v>9.4106671800795763</v>
      </c>
      <c r="O1318" s="149">
        <f t="shared" ca="1" si="52"/>
        <v>1.000173611111111</v>
      </c>
    </row>
    <row r="1319" spans="12:15" x14ac:dyDescent="0.25">
      <c r="L1319" s="147">
        <f ca="1"/>
        <v>46558</v>
      </c>
      <c r="M1319" s="92">
        <f t="shared" ca="1" si="51"/>
        <v>6.25</v>
      </c>
      <c r="N1319" s="143">
        <f ca="1">(PRODUCT($O$5:$O1319)-1)*36000/_xlfn.DAYS(L1319, $C$2)</f>
        <v>9.4098961848479217</v>
      </c>
      <c r="O1319" s="149">
        <f t="shared" ca="1" si="52"/>
        <v>1.000173611111111</v>
      </c>
    </row>
    <row r="1320" spans="12:15" x14ac:dyDescent="0.25">
      <c r="L1320" s="147">
        <f ca="1"/>
        <v>46559</v>
      </c>
      <c r="M1320" s="92">
        <f t="shared" ca="1" si="51"/>
        <v>6.25</v>
      </c>
      <c r="N1320" s="143">
        <f ca="1">(PRODUCT($O$5:$O1320)-1)*36000/_xlfn.DAYS(L1320, $C$2)</f>
        <v>9.4091274690765303</v>
      </c>
      <c r="O1320" s="149">
        <f t="shared" ca="1" si="52"/>
        <v>1.000173611111111</v>
      </c>
    </row>
    <row r="1321" spans="12:15" x14ac:dyDescent="0.25">
      <c r="L1321" s="147">
        <f ca="1"/>
        <v>46560</v>
      </c>
      <c r="M1321" s="92">
        <f t="shared" ca="1" si="51"/>
        <v>6.25</v>
      </c>
      <c r="N1321" s="143">
        <f ca="1">(PRODUCT($O$5:$O1321)-1)*36000/_xlfn.DAYS(L1321, $C$2)</f>
        <v>9.4083610277651815</v>
      </c>
      <c r="O1321" s="149">
        <f t="shared" ca="1" si="52"/>
        <v>1.000173611111111</v>
      </c>
    </row>
    <row r="1322" spans="12:15" x14ac:dyDescent="0.25">
      <c r="L1322" s="147">
        <f ca="1"/>
        <v>46561</v>
      </c>
      <c r="M1322" s="92">
        <f t="shared" ca="1" si="51"/>
        <v>6.25</v>
      </c>
      <c r="N1322" s="143">
        <f ca="1">(PRODUCT($O$5:$O1322)-1)*36000/_xlfn.DAYS(L1322, $C$2)</f>
        <v>9.4075968559288583</v>
      </c>
      <c r="O1322" s="149">
        <f t="shared" ca="1" si="52"/>
        <v>1.000173611111111</v>
      </c>
    </row>
    <row r="1323" spans="12:15" x14ac:dyDescent="0.25">
      <c r="L1323" s="147">
        <f ca="1"/>
        <v>46562</v>
      </c>
      <c r="M1323" s="92">
        <f t="shared" ca="1" si="51"/>
        <v>6.25</v>
      </c>
      <c r="N1323" s="143">
        <f ca="1">(PRODUCT($O$5:$O1323)-1)*36000/_xlfn.DAYS(L1323, $C$2)</f>
        <v>9.4068349485976945</v>
      </c>
      <c r="O1323" s="149">
        <f t="shared" ca="1" si="52"/>
        <v>1.000173611111111</v>
      </c>
    </row>
    <row r="1324" spans="12:15" x14ac:dyDescent="0.25">
      <c r="L1324" s="147">
        <f ca="1"/>
        <v>46563</v>
      </c>
      <c r="M1324" s="92">
        <f t="shared" ca="1" si="51"/>
        <v>6.25</v>
      </c>
      <c r="N1324" s="143">
        <f ca="1">(PRODUCT($O$5:$O1324)-1)*36000/_xlfn.DAYS(L1324, $C$2)</f>
        <v>9.4060753008169247</v>
      </c>
      <c r="O1324" s="149">
        <f t="shared" ca="1" si="52"/>
        <v>1.000173611111111</v>
      </c>
    </row>
    <row r="1325" spans="12:15" x14ac:dyDescent="0.25">
      <c r="L1325" s="147">
        <f ca="1"/>
        <v>46564</v>
      </c>
      <c r="M1325" s="92">
        <f t="shared" ca="1" si="51"/>
        <v>6.25</v>
      </c>
      <c r="N1325" s="143">
        <f ca="1">(PRODUCT($O$5:$O1325)-1)*36000/_xlfn.DAYS(L1325, $C$2)</f>
        <v>9.4053179076468112</v>
      </c>
      <c r="O1325" s="149">
        <f t="shared" ca="1" si="52"/>
        <v>1.000173611111111</v>
      </c>
    </row>
    <row r="1326" spans="12:15" x14ac:dyDescent="0.25">
      <c r="L1326" s="147">
        <f ca="1"/>
        <v>46565</v>
      </c>
      <c r="M1326" s="92">
        <f t="shared" ca="1" si="51"/>
        <v>6.25</v>
      </c>
      <c r="N1326" s="143">
        <f ca="1">(PRODUCT($O$5:$O1326)-1)*36000/_xlfn.DAYS(L1326, $C$2)</f>
        <v>9.404562764162602</v>
      </c>
      <c r="O1326" s="149">
        <f t="shared" ca="1" si="52"/>
        <v>1.000173611111111</v>
      </c>
    </row>
    <row r="1327" spans="12:15" x14ac:dyDescent="0.25">
      <c r="L1327" s="147">
        <f ca="1"/>
        <v>46566</v>
      </c>
      <c r="M1327" s="92">
        <f t="shared" ca="1" si="51"/>
        <v>6.25</v>
      </c>
      <c r="N1327" s="143">
        <f ca="1">(PRODUCT($O$5:$O1327)-1)*36000/_xlfn.DAYS(L1327, $C$2)</f>
        <v>9.4038098654544662</v>
      </c>
      <c r="O1327" s="149">
        <f t="shared" ca="1" si="52"/>
        <v>1.000173611111111</v>
      </c>
    </row>
    <row r="1328" spans="12:15" x14ac:dyDescent="0.25">
      <c r="L1328" s="147">
        <f ca="1"/>
        <v>46567</v>
      </c>
      <c r="M1328" s="92">
        <f t="shared" ca="1" si="51"/>
        <v>6.25</v>
      </c>
      <c r="N1328" s="143">
        <f ca="1">(PRODUCT($O$5:$O1328)-1)*36000/_xlfn.DAYS(L1328, $C$2)</f>
        <v>9.4030592066274394</v>
      </c>
      <c r="O1328" s="149">
        <f t="shared" ca="1" si="52"/>
        <v>1.000173611111111</v>
      </c>
    </row>
    <row r="1329" spans="12:15" x14ac:dyDescent="0.25">
      <c r="L1329" s="147">
        <f ca="1"/>
        <v>46568</v>
      </c>
      <c r="M1329" s="92">
        <f t="shared" ca="1" si="51"/>
        <v>6.25</v>
      </c>
      <c r="N1329" s="143">
        <f ca="1">(PRODUCT($O$5:$O1329)-1)*36000/_xlfn.DAYS(L1329, $C$2)</f>
        <v>9.4023107828013615</v>
      </c>
      <c r="O1329" s="149">
        <f t="shared" ca="1" si="52"/>
        <v>1.000173611111111</v>
      </c>
    </row>
    <row r="1330" spans="12:15" x14ac:dyDescent="0.25">
      <c r="L1330" s="147">
        <f ca="1"/>
        <v>46569</v>
      </c>
      <c r="M1330" s="92">
        <f t="shared" ca="1" si="51"/>
        <v>6.25</v>
      </c>
      <c r="N1330" s="143">
        <f ca="1">(PRODUCT($O$5:$O1330)-1)*36000/_xlfn.DAYS(L1330, $C$2)</f>
        <v>9.4015645891108388</v>
      </c>
      <c r="O1330" s="149">
        <f t="shared" ca="1" si="52"/>
        <v>1.000173611111111</v>
      </c>
    </row>
    <row r="1331" spans="12:15" x14ac:dyDescent="0.25">
      <c r="L1331" s="147">
        <f ca="1"/>
        <v>46570</v>
      </c>
      <c r="M1331" s="92">
        <f t="shared" ca="1" si="51"/>
        <v>6.25</v>
      </c>
      <c r="N1331" s="143">
        <f ca="1">(PRODUCT($O$5:$O1331)-1)*36000/_xlfn.DAYS(L1331, $C$2)</f>
        <v>9.4008206207051632</v>
      </c>
      <c r="O1331" s="149">
        <f t="shared" ca="1" si="52"/>
        <v>1.000173611111111</v>
      </c>
    </row>
    <row r="1332" spans="12:15" x14ac:dyDescent="0.25">
      <c r="L1332" s="147">
        <f ca="1"/>
        <v>46571</v>
      </c>
      <c r="M1332" s="92">
        <f t="shared" ca="1" si="51"/>
        <v>6.25</v>
      </c>
      <c r="N1332" s="143">
        <f ca="1">(PRODUCT($O$5:$O1332)-1)*36000/_xlfn.DAYS(L1332, $C$2)</f>
        <v>9.4000788727482831</v>
      </c>
      <c r="O1332" s="149">
        <f t="shared" ca="1" si="52"/>
        <v>1.000173611111111</v>
      </c>
    </row>
    <row r="1333" spans="12:15" x14ac:dyDescent="0.25">
      <c r="L1333" s="147">
        <f ca="1"/>
        <v>46572</v>
      </c>
      <c r="M1333" s="92">
        <f t="shared" ca="1" si="51"/>
        <v>6.25</v>
      </c>
      <c r="N1333" s="143">
        <f ca="1">(PRODUCT($O$5:$O1333)-1)*36000/_xlfn.DAYS(L1333, $C$2)</f>
        <v>9.3993393404187238</v>
      </c>
      <c r="O1333" s="149">
        <f t="shared" ca="1" si="52"/>
        <v>1.000173611111111</v>
      </c>
    </row>
    <row r="1334" spans="12:15" x14ac:dyDescent="0.25">
      <c r="L1334" s="147">
        <f ca="1"/>
        <v>46573</v>
      </c>
      <c r="M1334" s="92">
        <f t="shared" ca="1" si="51"/>
        <v>6.25</v>
      </c>
      <c r="N1334" s="143">
        <f ca="1">(PRODUCT($O$5:$O1334)-1)*36000/_xlfn.DAYS(L1334, $C$2)</f>
        <v>9.3986020189095552</v>
      </c>
      <c r="O1334" s="149">
        <f t="shared" ca="1" si="52"/>
        <v>1.000173611111111</v>
      </c>
    </row>
    <row r="1335" spans="12:15" x14ac:dyDescent="0.25">
      <c r="L1335" s="147">
        <f ca="1"/>
        <v>46574</v>
      </c>
      <c r="M1335" s="92">
        <f t="shared" ca="1" si="51"/>
        <v>6.25</v>
      </c>
      <c r="N1335" s="143">
        <f ca="1">(PRODUCT($O$5:$O1335)-1)*36000/_xlfn.DAYS(L1335, $C$2)</f>
        <v>9.3978669034283211</v>
      </c>
      <c r="O1335" s="149">
        <f t="shared" ca="1" si="52"/>
        <v>1.000173611111111</v>
      </c>
    </row>
    <row r="1336" spans="12:15" x14ac:dyDescent="0.25">
      <c r="L1336" s="147">
        <f ca="1"/>
        <v>46575</v>
      </c>
      <c r="M1336" s="92">
        <f t="shared" ca="1" si="51"/>
        <v>6.25</v>
      </c>
      <c r="N1336" s="143">
        <f ca="1">(PRODUCT($O$5:$O1336)-1)*36000/_xlfn.DAYS(L1336, $C$2)</f>
        <v>9.3971339891969894</v>
      </c>
      <c r="O1336" s="149">
        <f t="shared" ca="1" si="52"/>
        <v>1.000173611111111</v>
      </c>
    </row>
    <row r="1337" spans="12:15" x14ac:dyDescent="0.25">
      <c r="L1337" s="147">
        <f ca="1"/>
        <v>46576</v>
      </c>
      <c r="M1337" s="92">
        <f t="shared" ca="1" si="51"/>
        <v>6.25</v>
      </c>
      <c r="N1337" s="143">
        <f ca="1">(PRODUCT($O$5:$O1337)-1)*36000/_xlfn.DAYS(L1337, $C$2)</f>
        <v>9.3964032714519021</v>
      </c>
      <c r="O1337" s="149">
        <f t="shared" ca="1" si="52"/>
        <v>1.000173611111111</v>
      </c>
    </row>
    <row r="1338" spans="12:15" x14ac:dyDescent="0.25">
      <c r="L1338" s="147">
        <f ca="1"/>
        <v>46577</v>
      </c>
      <c r="M1338" s="92">
        <f t="shared" ca="1" si="51"/>
        <v>6.25</v>
      </c>
      <c r="N1338" s="143">
        <f ca="1">(PRODUCT($O$5:$O1338)-1)*36000/_xlfn.DAYS(L1338, $C$2)</f>
        <v>9.3956747454437153</v>
      </c>
      <c r="O1338" s="149">
        <f t="shared" ca="1" si="52"/>
        <v>1.000173611111111</v>
      </c>
    </row>
    <row r="1339" spans="12:15" x14ac:dyDescent="0.25">
      <c r="L1339" s="147">
        <f ca="1"/>
        <v>46578</v>
      </c>
      <c r="M1339" s="92">
        <f t="shared" ca="1" si="51"/>
        <v>6.25</v>
      </c>
      <c r="N1339" s="143">
        <f ca="1">(PRODUCT($O$5:$O1339)-1)*36000/_xlfn.DAYS(L1339, $C$2)</f>
        <v>9.394948406437349</v>
      </c>
      <c r="O1339" s="149">
        <f t="shared" ca="1" si="52"/>
        <v>1.000173611111111</v>
      </c>
    </row>
    <row r="1340" spans="12:15" x14ac:dyDescent="0.25">
      <c r="L1340" s="147">
        <f ca="1"/>
        <v>46579</v>
      </c>
      <c r="M1340" s="92">
        <f t="shared" ca="1" si="51"/>
        <v>6.25</v>
      </c>
      <c r="N1340" s="143">
        <f ca="1">(PRODUCT($O$5:$O1340)-1)*36000/_xlfn.DAYS(L1340, $C$2)</f>
        <v>9.3942242497119324</v>
      </c>
      <c r="O1340" s="149">
        <f t="shared" ca="1" si="52"/>
        <v>1.000173611111111</v>
      </c>
    </row>
    <row r="1341" spans="12:15" x14ac:dyDescent="0.25">
      <c r="L1341" s="147">
        <f ca="1"/>
        <v>46580</v>
      </c>
      <c r="M1341" s="92">
        <f t="shared" ca="1" si="51"/>
        <v>6.25</v>
      </c>
      <c r="N1341" s="143">
        <f ca="1">(PRODUCT($O$5:$O1341)-1)*36000/_xlfn.DAYS(L1341, $C$2)</f>
        <v>9.3935022705607523</v>
      </c>
      <c r="O1341" s="149">
        <f t="shared" ca="1" si="52"/>
        <v>1.000173611111111</v>
      </c>
    </row>
    <row r="1342" spans="12:15" x14ac:dyDescent="0.25">
      <c r="L1342" s="147">
        <f ca="1"/>
        <v>46581</v>
      </c>
      <c r="M1342" s="92">
        <f t="shared" ca="1" si="51"/>
        <v>6.25</v>
      </c>
      <c r="N1342" s="143">
        <f ca="1">(PRODUCT($O$5:$O1342)-1)*36000/_xlfn.DAYS(L1342, $C$2)</f>
        <v>9.3927824642911997</v>
      </c>
      <c r="O1342" s="149">
        <f t="shared" ca="1" si="52"/>
        <v>1.000173611111111</v>
      </c>
    </row>
    <row r="1343" spans="12:15" x14ac:dyDescent="0.25">
      <c r="L1343" s="147">
        <f ca="1"/>
        <v>46582</v>
      </c>
      <c r="M1343" s="92">
        <f t="shared" ca="1" si="51"/>
        <v>6.25</v>
      </c>
      <c r="N1343" s="143">
        <f ca="1">(PRODUCT($O$5:$O1343)-1)*36000/_xlfn.DAYS(L1343, $C$2)</f>
        <v>9.3920648262247131</v>
      </c>
      <c r="O1343" s="149">
        <f t="shared" ca="1" si="52"/>
        <v>1.000173611111111</v>
      </c>
    </row>
    <row r="1344" spans="12:15" x14ac:dyDescent="0.25">
      <c r="L1344" s="147">
        <f ca="1"/>
        <v>46583</v>
      </c>
      <c r="M1344" s="92">
        <f t="shared" ca="1" si="51"/>
        <v>6.25</v>
      </c>
      <c r="N1344" s="143">
        <f ca="1">(PRODUCT($O$5:$O1344)-1)*36000/_xlfn.DAYS(L1344, $C$2)</f>
        <v>9.3913493516967304</v>
      </c>
      <c r="O1344" s="149">
        <f t="shared" ca="1" si="52"/>
        <v>1.000173611111111</v>
      </c>
    </row>
    <row r="1345" spans="12:15" x14ac:dyDescent="0.25">
      <c r="L1345" s="147">
        <f ca="1"/>
        <v>46584</v>
      </c>
      <c r="M1345" s="92">
        <f t="shared" ca="1" si="51"/>
        <v>6.25</v>
      </c>
      <c r="N1345" s="143">
        <f ca="1">(PRODUCT($O$5:$O1345)-1)*36000/_xlfn.DAYS(L1345, $C$2)</f>
        <v>9.3906360360566481</v>
      </c>
      <c r="O1345" s="149">
        <f t="shared" ca="1" si="52"/>
        <v>1.000173611111111</v>
      </c>
    </row>
    <row r="1346" spans="12:15" x14ac:dyDescent="0.25">
      <c r="L1346" s="147">
        <f ca="1"/>
        <v>46585</v>
      </c>
      <c r="M1346" s="92">
        <f t="shared" ca="1" si="51"/>
        <v>6.25</v>
      </c>
      <c r="N1346" s="143">
        <f ca="1">(PRODUCT($O$5:$O1346)-1)*36000/_xlfn.DAYS(L1346, $C$2)</f>
        <v>9.3899248746677397</v>
      </c>
      <c r="O1346" s="149">
        <f t="shared" ca="1" si="52"/>
        <v>1.000173611111111</v>
      </c>
    </row>
    <row r="1347" spans="12:15" x14ac:dyDescent="0.25">
      <c r="L1347" s="147">
        <f ca="1"/>
        <v>46586</v>
      </c>
      <c r="M1347" s="92">
        <f t="shared" ca="1" si="51"/>
        <v>6.25</v>
      </c>
      <c r="N1347" s="143">
        <f ca="1">(PRODUCT($O$5:$O1347)-1)*36000/_xlfn.DAYS(L1347, $C$2)</f>
        <v>9.3892158629071325</v>
      </c>
      <c r="O1347" s="149">
        <f t="shared" ca="1" si="52"/>
        <v>1.000173611111111</v>
      </c>
    </row>
    <row r="1348" spans="12:15" x14ac:dyDescent="0.25">
      <c r="L1348" s="147">
        <f ca="1"/>
        <v>46587</v>
      </c>
      <c r="M1348" s="92">
        <f t="shared" ca="1" si="51"/>
        <v>6.25</v>
      </c>
      <c r="N1348" s="143">
        <f ca="1">(PRODUCT($O$5:$O1348)-1)*36000/_xlfn.DAYS(L1348, $C$2)</f>
        <v>9.3885089961657382</v>
      </c>
      <c r="O1348" s="149">
        <f t="shared" ca="1" si="52"/>
        <v>1.000173611111111</v>
      </c>
    </row>
    <row r="1349" spans="12:15" x14ac:dyDescent="0.25">
      <c r="L1349" s="147">
        <f ca="1"/>
        <v>46588</v>
      </c>
      <c r="M1349" s="92">
        <f t="shared" ref="M1349:M1412" ca="1" si="53">IFERROR(INDEX($E$27:$H$47, MATCH(L1349, $F$27:$F$47, 0), 4), IF(ISNUMBER(M1348), M1348, $C$5))</f>
        <v>6.25</v>
      </c>
      <c r="N1349" s="143">
        <f ca="1">(PRODUCT($O$5:$O1349)-1)*36000/_xlfn.DAYS(L1349, $C$2)</f>
        <v>9.3878042698482194</v>
      </c>
      <c r="O1349" s="149">
        <f t="shared" ca="1" si="52"/>
        <v>1.000173611111111</v>
      </c>
    </row>
    <row r="1350" spans="12:15" x14ac:dyDescent="0.25">
      <c r="L1350" s="147">
        <f ca="1"/>
        <v>46589</v>
      </c>
      <c r="M1350" s="92">
        <f t="shared" ca="1" si="53"/>
        <v>6.25</v>
      </c>
      <c r="N1350" s="143">
        <f ca="1">(PRODUCT($O$5:$O1350)-1)*36000/_xlfn.DAYS(L1350, $C$2)</f>
        <v>9.3871016793729201</v>
      </c>
      <c r="O1350" s="149">
        <f t="shared" ref="O1350:O1413" ca="1" si="54">1+M1350*IFERROR(_xlfn.DAYS(L1350, L1349), _xlfn.DAYS(L1350, $C$2))/36000</f>
        <v>1.000173611111111</v>
      </c>
    </row>
    <row r="1351" spans="12:15" x14ac:dyDescent="0.25">
      <c r="L1351" s="147">
        <f ca="1"/>
        <v>46590</v>
      </c>
      <c r="M1351" s="92">
        <f t="shared" ca="1" si="53"/>
        <v>6.25</v>
      </c>
      <c r="N1351" s="143">
        <f ca="1">(PRODUCT($O$5:$O1351)-1)*36000/_xlfn.DAYS(L1351, $C$2)</f>
        <v>9.3864012201718197</v>
      </c>
      <c r="O1351" s="149">
        <f t="shared" ca="1" si="54"/>
        <v>1.000173611111111</v>
      </c>
    </row>
    <row r="1352" spans="12:15" x14ac:dyDescent="0.25">
      <c r="L1352" s="147">
        <f ca="1"/>
        <v>46591</v>
      </c>
      <c r="M1352" s="92">
        <f t="shared" ca="1" si="53"/>
        <v>6.25</v>
      </c>
      <c r="N1352" s="143">
        <f ca="1">(PRODUCT($O$5:$O1352)-1)*36000/_xlfn.DAYS(L1352, $C$2)</f>
        <v>9.385702887690492</v>
      </c>
      <c r="O1352" s="149">
        <f t="shared" ca="1" si="54"/>
        <v>1.000173611111111</v>
      </c>
    </row>
    <row r="1353" spans="12:15" x14ac:dyDescent="0.25">
      <c r="L1353" s="147">
        <f ca="1"/>
        <v>46592</v>
      </c>
      <c r="M1353" s="92">
        <f t="shared" ca="1" si="53"/>
        <v>6.25</v>
      </c>
      <c r="N1353" s="143">
        <f ca="1">(PRODUCT($O$5:$O1353)-1)*36000/_xlfn.DAYS(L1353, $C$2)</f>
        <v>9.3850066773880396</v>
      </c>
      <c r="O1353" s="149">
        <f t="shared" ca="1" si="54"/>
        <v>1.000173611111111</v>
      </c>
    </row>
    <row r="1354" spans="12:15" x14ac:dyDescent="0.25">
      <c r="L1354" s="147">
        <f ca="1"/>
        <v>46593</v>
      </c>
      <c r="M1354" s="92">
        <f t="shared" ca="1" si="53"/>
        <v>6.25</v>
      </c>
      <c r="N1354" s="143">
        <f ca="1">(PRODUCT($O$5:$O1354)-1)*36000/_xlfn.DAYS(L1354, $C$2)</f>
        <v>9.3843125847370654</v>
      </c>
      <c r="O1354" s="149">
        <f t="shared" ca="1" si="54"/>
        <v>1.000173611111111</v>
      </c>
    </row>
    <row r="1355" spans="12:15" x14ac:dyDescent="0.25">
      <c r="L1355" s="147">
        <f ca="1"/>
        <v>46594</v>
      </c>
      <c r="M1355" s="92">
        <f t="shared" ca="1" si="53"/>
        <v>6.25</v>
      </c>
      <c r="N1355" s="143">
        <f ca="1">(PRODUCT($O$5:$O1355)-1)*36000/_xlfn.DAYS(L1355, $C$2)</f>
        <v>9.3836206052235998</v>
      </c>
      <c r="O1355" s="149">
        <f t="shared" ca="1" si="54"/>
        <v>1.000173611111111</v>
      </c>
    </row>
    <row r="1356" spans="12:15" x14ac:dyDescent="0.25">
      <c r="L1356" s="147">
        <f ca="1"/>
        <v>46595</v>
      </c>
      <c r="M1356" s="92">
        <f t="shared" ca="1" si="53"/>
        <v>6.25</v>
      </c>
      <c r="N1356" s="143">
        <f ca="1">(PRODUCT($O$5:$O1356)-1)*36000/_xlfn.DAYS(L1356, $C$2)</f>
        <v>9.3829307343470614</v>
      </c>
      <c r="O1356" s="149">
        <f t="shared" ca="1" si="54"/>
        <v>1.000173611111111</v>
      </c>
    </row>
    <row r="1357" spans="12:15" x14ac:dyDescent="0.25">
      <c r="L1357" s="147">
        <f ca="1"/>
        <v>46596</v>
      </c>
      <c r="M1357" s="92">
        <f t="shared" ca="1" si="53"/>
        <v>6.25</v>
      </c>
      <c r="N1357" s="143">
        <f ca="1">(PRODUCT($O$5:$O1357)-1)*36000/_xlfn.DAYS(L1357, $C$2)</f>
        <v>9.3822429676202113</v>
      </c>
      <c r="O1357" s="149">
        <f t="shared" ca="1" si="54"/>
        <v>1.000173611111111</v>
      </c>
    </row>
    <row r="1358" spans="12:15" x14ac:dyDescent="0.25">
      <c r="L1358" s="147">
        <f ca="1"/>
        <v>46597</v>
      </c>
      <c r="M1358" s="92">
        <f t="shared" ca="1" si="53"/>
        <v>6.25</v>
      </c>
      <c r="N1358" s="143">
        <f ca="1">(PRODUCT($O$5:$O1358)-1)*36000/_xlfn.DAYS(L1358, $C$2)</f>
        <v>9.3815573005690958</v>
      </c>
      <c r="O1358" s="149">
        <f t="shared" ca="1" si="54"/>
        <v>1.000173611111111</v>
      </c>
    </row>
    <row r="1359" spans="12:15" x14ac:dyDescent="0.25">
      <c r="L1359" s="147">
        <f ca="1"/>
        <v>46598</v>
      </c>
      <c r="M1359" s="92">
        <f t="shared" ca="1" si="53"/>
        <v>6.25</v>
      </c>
      <c r="N1359" s="143">
        <f ca="1">(PRODUCT($O$5:$O1359)-1)*36000/_xlfn.DAYS(L1359, $C$2)</f>
        <v>9.380873728733004</v>
      </c>
      <c r="O1359" s="149">
        <f t="shared" ca="1" si="54"/>
        <v>1.000173611111111</v>
      </c>
    </row>
    <row r="1360" spans="12:15" x14ac:dyDescent="0.25">
      <c r="L1360" s="147">
        <f ca="1"/>
        <v>46599</v>
      </c>
      <c r="M1360" s="92">
        <f t="shared" ca="1" si="53"/>
        <v>6.25</v>
      </c>
      <c r="N1360" s="143">
        <f ca="1">(PRODUCT($O$5:$O1360)-1)*36000/_xlfn.DAYS(L1360, $C$2)</f>
        <v>9.3801922476644144</v>
      </c>
      <c r="O1360" s="149">
        <f t="shared" ca="1" si="54"/>
        <v>1.000173611111111</v>
      </c>
    </row>
    <row r="1361" spans="12:15" x14ac:dyDescent="0.25">
      <c r="L1361" s="147">
        <f ca="1"/>
        <v>46600</v>
      </c>
      <c r="M1361" s="92">
        <f t="shared" ca="1" si="53"/>
        <v>6.25</v>
      </c>
      <c r="N1361" s="143">
        <f ca="1">(PRODUCT($O$5:$O1361)-1)*36000/_xlfn.DAYS(L1361, $C$2)</f>
        <v>9.3795128529289489</v>
      </c>
      <c r="O1361" s="149">
        <f t="shared" ca="1" si="54"/>
        <v>1.000173611111111</v>
      </c>
    </row>
    <row r="1362" spans="12:15" x14ac:dyDescent="0.25">
      <c r="L1362" s="147">
        <f ca="1"/>
        <v>46601</v>
      </c>
      <c r="M1362" s="92">
        <f t="shared" ca="1" si="53"/>
        <v>6.25</v>
      </c>
      <c r="N1362" s="143">
        <f ca="1">(PRODUCT($O$5:$O1362)-1)*36000/_xlfn.DAYS(L1362, $C$2)</f>
        <v>9.3788355401053138</v>
      </c>
      <c r="O1362" s="149">
        <f t="shared" ca="1" si="54"/>
        <v>1.000173611111111</v>
      </c>
    </row>
    <row r="1363" spans="12:15" x14ac:dyDescent="0.25">
      <c r="L1363" s="147">
        <f ca="1"/>
        <v>46602</v>
      </c>
      <c r="M1363" s="92">
        <f t="shared" ca="1" si="53"/>
        <v>6.25</v>
      </c>
      <c r="N1363" s="143">
        <f ca="1">(PRODUCT($O$5:$O1363)-1)*36000/_xlfn.DAYS(L1363, $C$2)</f>
        <v>9.3781603047852791</v>
      </c>
      <c r="O1363" s="149">
        <f t="shared" ca="1" si="54"/>
        <v>1.000173611111111</v>
      </c>
    </row>
    <row r="1364" spans="12:15" x14ac:dyDescent="0.25">
      <c r="L1364" s="147">
        <f ca="1"/>
        <v>46603</v>
      </c>
      <c r="M1364" s="92">
        <f t="shared" ca="1" si="53"/>
        <v>6.25</v>
      </c>
      <c r="N1364" s="143">
        <f ca="1">(PRODUCT($O$5:$O1364)-1)*36000/_xlfn.DAYS(L1364, $C$2)</f>
        <v>9.3774871425736066</v>
      </c>
      <c r="O1364" s="149">
        <f t="shared" ca="1" si="54"/>
        <v>1.000173611111111</v>
      </c>
    </row>
    <row r="1365" spans="12:15" x14ac:dyDescent="0.25">
      <c r="L1365" s="147">
        <f ca="1"/>
        <v>46604</v>
      </c>
      <c r="M1365" s="92">
        <f t="shared" ca="1" si="53"/>
        <v>6.25</v>
      </c>
      <c r="N1365" s="143">
        <f ca="1">(PRODUCT($O$5:$O1365)-1)*36000/_xlfn.DAYS(L1365, $C$2)</f>
        <v>9.3768160490879993</v>
      </c>
      <c r="O1365" s="149">
        <f t="shared" ca="1" si="54"/>
        <v>1.000173611111111</v>
      </c>
    </row>
    <row r="1366" spans="12:15" x14ac:dyDescent="0.25">
      <c r="L1366" s="147">
        <f ca="1"/>
        <v>46605</v>
      </c>
      <c r="M1366" s="92">
        <f t="shared" ca="1" si="53"/>
        <v>6.25</v>
      </c>
      <c r="N1366" s="143">
        <f ca="1">(PRODUCT($O$5:$O1366)-1)*36000/_xlfn.DAYS(L1366, $C$2)</f>
        <v>9.3761470199590686</v>
      </c>
      <c r="O1366" s="149">
        <f t="shared" ca="1" si="54"/>
        <v>1.000173611111111</v>
      </c>
    </row>
    <row r="1367" spans="12:15" x14ac:dyDescent="0.25">
      <c r="L1367" s="147">
        <f ca="1"/>
        <v>46606</v>
      </c>
      <c r="M1367" s="92">
        <f t="shared" ca="1" si="53"/>
        <v>6.25</v>
      </c>
      <c r="N1367" s="143">
        <f ca="1">(PRODUCT($O$5:$O1367)-1)*36000/_xlfn.DAYS(L1367, $C$2)</f>
        <v>9.3754800508302836</v>
      </c>
      <c r="O1367" s="149">
        <f t="shared" ca="1" si="54"/>
        <v>1.000173611111111</v>
      </c>
    </row>
    <row r="1368" spans="12:15" x14ac:dyDescent="0.25">
      <c r="L1368" s="147">
        <f ca="1"/>
        <v>46607</v>
      </c>
      <c r="M1368" s="92">
        <f t="shared" ca="1" si="53"/>
        <v>6.25</v>
      </c>
      <c r="N1368" s="143">
        <f ca="1">(PRODUCT($O$5:$O1368)-1)*36000/_xlfn.DAYS(L1368, $C$2)</f>
        <v>9.3748151373579205</v>
      </c>
      <c r="O1368" s="149">
        <f t="shared" ca="1" si="54"/>
        <v>1.000173611111111</v>
      </c>
    </row>
    <row r="1369" spans="12:15" x14ac:dyDescent="0.25">
      <c r="L1369" s="147">
        <f ca="1"/>
        <v>46608</v>
      </c>
      <c r="M1369" s="92">
        <f t="shared" ca="1" si="53"/>
        <v>6.25</v>
      </c>
      <c r="N1369" s="143">
        <f ca="1">(PRODUCT($O$5:$O1369)-1)*36000/_xlfn.DAYS(L1369, $C$2)</f>
        <v>9.3741522752110154</v>
      </c>
      <c r="O1369" s="149">
        <f t="shared" ca="1" si="54"/>
        <v>1.000173611111111</v>
      </c>
    </row>
    <row r="1370" spans="12:15" x14ac:dyDescent="0.25">
      <c r="L1370" s="147">
        <f ca="1"/>
        <v>46609</v>
      </c>
      <c r="M1370" s="92">
        <f t="shared" ca="1" si="53"/>
        <v>6.25</v>
      </c>
      <c r="N1370" s="143">
        <f ca="1">(PRODUCT($O$5:$O1370)-1)*36000/_xlfn.DAYS(L1370, $C$2)</f>
        <v>9.3734914600713122</v>
      </c>
      <c r="O1370" s="149">
        <f t="shared" ca="1" si="54"/>
        <v>1.000173611111111</v>
      </c>
    </row>
    <row r="1371" spans="12:15" x14ac:dyDescent="0.25">
      <c r="L1371" s="147">
        <f ca="1"/>
        <v>46610</v>
      </c>
      <c r="M1371" s="92">
        <f t="shared" ca="1" si="53"/>
        <v>6.25</v>
      </c>
      <c r="N1371" s="143">
        <f ca="1">(PRODUCT($O$5:$O1371)-1)*36000/_xlfn.DAYS(L1371, $C$2)</f>
        <v>9.37283268763324</v>
      </c>
      <c r="O1371" s="149">
        <f t="shared" ca="1" si="54"/>
        <v>1.000173611111111</v>
      </c>
    </row>
    <row r="1372" spans="12:15" x14ac:dyDescent="0.25">
      <c r="L1372" s="147">
        <f ca="1"/>
        <v>46611</v>
      </c>
      <c r="M1372" s="92">
        <f t="shared" ca="1" si="53"/>
        <v>6.25</v>
      </c>
      <c r="N1372" s="143">
        <f ca="1">(PRODUCT($O$5:$O1372)-1)*36000/_xlfn.DAYS(L1372, $C$2)</f>
        <v>9.3721759536038398</v>
      </c>
      <c r="O1372" s="149">
        <f t="shared" ca="1" si="54"/>
        <v>1.000173611111111</v>
      </c>
    </row>
    <row r="1373" spans="12:15" x14ac:dyDescent="0.25">
      <c r="L1373" s="147">
        <f ca="1"/>
        <v>46612</v>
      </c>
      <c r="M1373" s="92">
        <f t="shared" ca="1" si="53"/>
        <v>6.25</v>
      </c>
      <c r="N1373" s="143">
        <f ca="1">(PRODUCT($O$5:$O1373)-1)*36000/_xlfn.DAYS(L1373, $C$2)</f>
        <v>9.3715212537027259</v>
      </c>
      <c r="O1373" s="149">
        <f t="shared" ca="1" si="54"/>
        <v>1.000173611111111</v>
      </c>
    </row>
    <row r="1374" spans="12:15" x14ac:dyDescent="0.25">
      <c r="L1374" s="147">
        <f ca="1"/>
        <v>46613</v>
      </c>
      <c r="M1374" s="92">
        <f t="shared" ca="1" si="53"/>
        <v>6.25</v>
      </c>
      <c r="N1374" s="143">
        <f ca="1">(PRODUCT($O$5:$O1374)-1)*36000/_xlfn.DAYS(L1374, $C$2)</f>
        <v>9.3708685836620429</v>
      </c>
      <c r="O1374" s="149">
        <f t="shared" ca="1" si="54"/>
        <v>1.000173611111111</v>
      </c>
    </row>
    <row r="1375" spans="12:15" x14ac:dyDescent="0.25">
      <c r="L1375" s="147">
        <f ca="1"/>
        <v>46614</v>
      </c>
      <c r="M1375" s="92">
        <f t="shared" ca="1" si="53"/>
        <v>6.25</v>
      </c>
      <c r="N1375" s="143">
        <f ca="1">(PRODUCT($O$5:$O1375)-1)*36000/_xlfn.DAYS(L1375, $C$2)</f>
        <v>9.3702179392264249</v>
      </c>
      <c r="O1375" s="149">
        <f t="shared" ca="1" si="54"/>
        <v>1.000173611111111</v>
      </c>
    </row>
    <row r="1376" spans="12:15" x14ac:dyDescent="0.25">
      <c r="L1376" s="147">
        <f ca="1"/>
        <v>46615</v>
      </c>
      <c r="M1376" s="92">
        <f t="shared" ca="1" si="53"/>
        <v>6.25</v>
      </c>
      <c r="N1376" s="143">
        <f ca="1">(PRODUCT($O$5:$O1376)-1)*36000/_xlfn.DAYS(L1376, $C$2)</f>
        <v>9.3695693161529405</v>
      </c>
      <c r="O1376" s="149">
        <f t="shared" ca="1" si="54"/>
        <v>1.000173611111111</v>
      </c>
    </row>
    <row r="1377" spans="12:15" x14ac:dyDescent="0.25">
      <c r="L1377" s="147">
        <f ca="1"/>
        <v>46616</v>
      </c>
      <c r="M1377" s="92">
        <f t="shared" ca="1" si="53"/>
        <v>6.25</v>
      </c>
      <c r="N1377" s="143">
        <f ca="1">(PRODUCT($O$5:$O1377)-1)*36000/_xlfn.DAYS(L1377, $C$2)</f>
        <v>9.3689227102110522</v>
      </c>
      <c r="O1377" s="149">
        <f t="shared" ca="1" si="54"/>
        <v>1.000173611111111</v>
      </c>
    </row>
    <row r="1378" spans="12:15" x14ac:dyDescent="0.25">
      <c r="L1378" s="147">
        <f ca="1"/>
        <v>46617</v>
      </c>
      <c r="M1378" s="92">
        <f t="shared" ca="1" si="53"/>
        <v>6.25</v>
      </c>
      <c r="N1378" s="143">
        <f ca="1">(PRODUCT($O$5:$O1378)-1)*36000/_xlfn.DAYS(L1378, $C$2)</f>
        <v>9.3682781171825713</v>
      </c>
      <c r="O1378" s="149">
        <f t="shared" ca="1" si="54"/>
        <v>1.000173611111111</v>
      </c>
    </row>
    <row r="1379" spans="12:15" x14ac:dyDescent="0.25">
      <c r="L1379" s="147">
        <f ca="1"/>
        <v>46618</v>
      </c>
      <c r="M1379" s="92">
        <f t="shared" ca="1" si="53"/>
        <v>6.25</v>
      </c>
      <c r="N1379" s="143">
        <f ca="1">(PRODUCT($O$5:$O1379)-1)*36000/_xlfn.DAYS(L1379, $C$2)</f>
        <v>9.3676355328616143</v>
      </c>
      <c r="O1379" s="149">
        <f t="shared" ca="1" si="54"/>
        <v>1.000173611111111</v>
      </c>
    </row>
    <row r="1380" spans="12:15" x14ac:dyDescent="0.25">
      <c r="L1380" s="147">
        <f ca="1"/>
        <v>46619</v>
      </c>
      <c r="M1380" s="92">
        <f t="shared" ca="1" si="53"/>
        <v>6.25</v>
      </c>
      <c r="N1380" s="143">
        <f ca="1">(PRODUCT($O$5:$O1380)-1)*36000/_xlfn.DAYS(L1380, $C$2)</f>
        <v>9.3669949530545527</v>
      </c>
      <c r="O1380" s="149">
        <f t="shared" ca="1" si="54"/>
        <v>1.000173611111111</v>
      </c>
    </row>
    <row r="1381" spans="12:15" x14ac:dyDescent="0.25">
      <c r="L1381" s="147">
        <f ca="1"/>
        <v>46620</v>
      </c>
      <c r="M1381" s="92">
        <f t="shared" ca="1" si="53"/>
        <v>6.25</v>
      </c>
      <c r="N1381" s="143">
        <f ca="1">(PRODUCT($O$5:$O1381)-1)*36000/_xlfn.DAYS(L1381, $C$2)</f>
        <v>9.3663563735799737</v>
      </c>
      <c r="O1381" s="149">
        <f t="shared" ca="1" si="54"/>
        <v>1.000173611111111</v>
      </c>
    </row>
    <row r="1382" spans="12:15" x14ac:dyDescent="0.25">
      <c r="L1382" s="147">
        <f ca="1"/>
        <v>46621</v>
      </c>
      <c r="M1382" s="92">
        <f t="shared" ca="1" si="53"/>
        <v>6.25</v>
      </c>
      <c r="N1382" s="143">
        <f ca="1">(PRODUCT($O$5:$O1382)-1)*36000/_xlfn.DAYS(L1382, $C$2)</f>
        <v>9.3657197902686367</v>
      </c>
      <c r="O1382" s="149">
        <f t="shared" ca="1" si="54"/>
        <v>1.000173611111111</v>
      </c>
    </row>
    <row r="1383" spans="12:15" x14ac:dyDescent="0.25">
      <c r="L1383" s="147">
        <f ca="1"/>
        <v>46622</v>
      </c>
      <c r="M1383" s="92">
        <f t="shared" ca="1" si="53"/>
        <v>6.25</v>
      </c>
      <c r="N1383" s="143">
        <f ca="1">(PRODUCT($O$5:$O1383)-1)*36000/_xlfn.DAYS(L1383, $C$2)</f>
        <v>9.3650851989634187</v>
      </c>
      <c r="O1383" s="149">
        <f t="shared" ca="1" si="54"/>
        <v>1.000173611111111</v>
      </c>
    </row>
    <row r="1384" spans="12:15" x14ac:dyDescent="0.25">
      <c r="L1384" s="147">
        <f ca="1"/>
        <v>46623</v>
      </c>
      <c r="M1384" s="92">
        <f t="shared" ca="1" si="53"/>
        <v>6.25</v>
      </c>
      <c r="N1384" s="143">
        <f ca="1">(PRODUCT($O$5:$O1384)-1)*36000/_xlfn.DAYS(L1384, $C$2)</f>
        <v>9.3644525955192908</v>
      </c>
      <c r="O1384" s="149">
        <f t="shared" ca="1" si="54"/>
        <v>1.000173611111111</v>
      </c>
    </row>
    <row r="1385" spans="12:15" x14ac:dyDescent="0.25">
      <c r="L1385" s="147">
        <f ca="1"/>
        <v>46624</v>
      </c>
      <c r="M1385" s="92">
        <f t="shared" ca="1" si="53"/>
        <v>6.25</v>
      </c>
      <c r="N1385" s="143">
        <f ca="1">(PRODUCT($O$5:$O1385)-1)*36000/_xlfn.DAYS(L1385, $C$2)</f>
        <v>9.363821975803253</v>
      </c>
      <c r="O1385" s="149">
        <f t="shared" ca="1" si="54"/>
        <v>1.000173611111111</v>
      </c>
    </row>
    <row r="1386" spans="12:15" x14ac:dyDescent="0.25">
      <c r="L1386" s="147">
        <f ca="1"/>
        <v>46625</v>
      </c>
      <c r="M1386" s="92">
        <f t="shared" ca="1" si="53"/>
        <v>6.25</v>
      </c>
      <c r="N1386" s="143">
        <f ca="1">(PRODUCT($O$5:$O1386)-1)*36000/_xlfn.DAYS(L1386, $C$2)</f>
        <v>9.3631933356943016</v>
      </c>
      <c r="O1386" s="149">
        <f t="shared" ca="1" si="54"/>
        <v>1.000173611111111</v>
      </c>
    </row>
    <row r="1387" spans="12:15" x14ac:dyDescent="0.25">
      <c r="L1387" s="147">
        <f ca="1"/>
        <v>46626</v>
      </c>
      <c r="M1387" s="92">
        <f t="shared" ca="1" si="53"/>
        <v>6.25</v>
      </c>
      <c r="N1387" s="143">
        <f ca="1">(PRODUCT($O$5:$O1387)-1)*36000/_xlfn.DAYS(L1387, $C$2)</f>
        <v>9.3625666710833872</v>
      </c>
      <c r="O1387" s="149">
        <f t="shared" ca="1" si="54"/>
        <v>1.000173611111111</v>
      </c>
    </row>
    <row r="1388" spans="12:15" x14ac:dyDescent="0.25">
      <c r="L1388" s="147">
        <f ca="1"/>
        <v>46627</v>
      </c>
      <c r="M1388" s="92">
        <f t="shared" ca="1" si="53"/>
        <v>6.25</v>
      </c>
      <c r="N1388" s="143">
        <f ca="1">(PRODUCT($O$5:$O1388)-1)*36000/_xlfn.DAYS(L1388, $C$2)</f>
        <v>9.3619419778733697</v>
      </c>
      <c r="O1388" s="149">
        <f t="shared" ca="1" si="54"/>
        <v>1.000173611111111</v>
      </c>
    </row>
    <row r="1389" spans="12:15" x14ac:dyDescent="0.25">
      <c r="L1389" s="147">
        <f ca="1"/>
        <v>46628</v>
      </c>
      <c r="M1389" s="92">
        <f t="shared" ca="1" si="53"/>
        <v>6.25</v>
      </c>
      <c r="N1389" s="143">
        <f ca="1">(PRODUCT($O$5:$O1389)-1)*36000/_xlfn.DAYS(L1389, $C$2)</f>
        <v>9.3613192519789639</v>
      </c>
      <c r="O1389" s="149">
        <f t="shared" ca="1" si="54"/>
        <v>1.000173611111111</v>
      </c>
    </row>
    <row r="1390" spans="12:15" x14ac:dyDescent="0.25">
      <c r="L1390" s="147">
        <f ca="1"/>
        <v>46629</v>
      </c>
      <c r="M1390" s="92">
        <f t="shared" ca="1" si="53"/>
        <v>6.25</v>
      </c>
      <c r="N1390" s="143">
        <f ca="1">(PRODUCT($O$5:$O1390)-1)*36000/_xlfn.DAYS(L1390, $C$2)</f>
        <v>9.3606984893267189</v>
      </c>
      <c r="O1390" s="149">
        <f t="shared" ca="1" si="54"/>
        <v>1.000173611111111</v>
      </c>
    </row>
    <row r="1391" spans="12:15" x14ac:dyDescent="0.25">
      <c r="L1391" s="147">
        <f ca="1"/>
        <v>46630</v>
      </c>
      <c r="M1391" s="92">
        <f t="shared" ca="1" si="53"/>
        <v>6.25</v>
      </c>
      <c r="N1391" s="143">
        <f ca="1">(PRODUCT($O$5:$O1391)-1)*36000/_xlfn.DAYS(L1391, $C$2)</f>
        <v>9.360079685854954</v>
      </c>
      <c r="O1391" s="149">
        <f t="shared" ca="1" si="54"/>
        <v>1.000173611111111</v>
      </c>
    </row>
    <row r="1392" spans="12:15" x14ac:dyDescent="0.25">
      <c r="L1392" s="147">
        <f ca="1"/>
        <v>46631</v>
      </c>
      <c r="M1392" s="92">
        <f t="shared" ca="1" si="53"/>
        <v>6.25</v>
      </c>
      <c r="N1392" s="143">
        <f ca="1">(PRODUCT($O$5:$O1392)-1)*36000/_xlfn.DAYS(L1392, $C$2)</f>
        <v>9.3594628375137301</v>
      </c>
      <c r="O1392" s="149">
        <f t="shared" ca="1" si="54"/>
        <v>1.000173611111111</v>
      </c>
    </row>
    <row r="1393" spans="12:15" x14ac:dyDescent="0.25">
      <c r="L1393" s="147">
        <f ca="1"/>
        <v>46632</v>
      </c>
      <c r="M1393" s="92">
        <f t="shared" ca="1" si="53"/>
        <v>6.25</v>
      </c>
      <c r="N1393" s="143">
        <f ca="1">(PRODUCT($O$5:$O1393)-1)*36000/_xlfn.DAYS(L1393, $C$2)</f>
        <v>9.3588479402648055</v>
      </c>
      <c r="O1393" s="149">
        <f t="shared" ca="1" si="54"/>
        <v>1.000173611111111</v>
      </c>
    </row>
    <row r="1394" spans="12:15" x14ac:dyDescent="0.25">
      <c r="L1394" s="147">
        <f ca="1"/>
        <v>46633</v>
      </c>
      <c r="M1394" s="92">
        <f t="shared" ca="1" si="53"/>
        <v>6.25</v>
      </c>
      <c r="N1394" s="143">
        <f ca="1">(PRODUCT($O$5:$O1394)-1)*36000/_xlfn.DAYS(L1394, $C$2)</f>
        <v>9.3582349900815878</v>
      </c>
      <c r="O1394" s="149">
        <f t="shared" ca="1" si="54"/>
        <v>1.000173611111111</v>
      </c>
    </row>
    <row r="1395" spans="12:15" x14ac:dyDescent="0.25">
      <c r="L1395" s="147">
        <f ca="1"/>
        <v>46634</v>
      </c>
      <c r="M1395" s="92">
        <f t="shared" ca="1" si="53"/>
        <v>6.25</v>
      </c>
      <c r="N1395" s="143">
        <f ca="1">(PRODUCT($O$5:$O1395)-1)*36000/_xlfn.DAYS(L1395, $C$2)</f>
        <v>9.3576239829490984</v>
      </c>
      <c r="O1395" s="149">
        <f t="shared" ca="1" si="54"/>
        <v>1.000173611111111</v>
      </c>
    </row>
    <row r="1396" spans="12:15" x14ac:dyDescent="0.25">
      <c r="L1396" s="147">
        <f ca="1"/>
        <v>46635</v>
      </c>
      <c r="M1396" s="92">
        <f t="shared" ca="1" si="53"/>
        <v>6.25</v>
      </c>
      <c r="N1396" s="143">
        <f ca="1">(PRODUCT($O$5:$O1396)-1)*36000/_xlfn.DAYS(L1396, $C$2)</f>
        <v>9.3570149148639192</v>
      </c>
      <c r="O1396" s="149">
        <f t="shared" ca="1" si="54"/>
        <v>1.000173611111111</v>
      </c>
    </row>
    <row r="1397" spans="12:15" x14ac:dyDescent="0.25">
      <c r="L1397" s="147">
        <f ca="1"/>
        <v>46636</v>
      </c>
      <c r="M1397" s="92">
        <f t="shared" ca="1" si="53"/>
        <v>6.25</v>
      </c>
      <c r="N1397" s="143">
        <f ca="1">(PRODUCT($O$5:$O1397)-1)*36000/_xlfn.DAYS(L1397, $C$2)</f>
        <v>9.3564077818341662</v>
      </c>
      <c r="O1397" s="149">
        <f t="shared" ca="1" si="54"/>
        <v>1.000173611111111</v>
      </c>
    </row>
    <row r="1398" spans="12:15" x14ac:dyDescent="0.25">
      <c r="L1398" s="147">
        <f ca="1"/>
        <v>46637</v>
      </c>
      <c r="M1398" s="92">
        <f t="shared" ca="1" si="53"/>
        <v>6.25</v>
      </c>
      <c r="N1398" s="143">
        <f ca="1">(PRODUCT($O$5:$O1398)-1)*36000/_xlfn.DAYS(L1398, $C$2)</f>
        <v>9.3558025798794464</v>
      </c>
      <c r="O1398" s="149">
        <f t="shared" ca="1" si="54"/>
        <v>1.000173611111111</v>
      </c>
    </row>
    <row r="1399" spans="12:15" x14ac:dyDescent="0.25">
      <c r="L1399" s="147">
        <f ca="1"/>
        <v>46638</v>
      </c>
      <c r="M1399" s="92">
        <f t="shared" ca="1" si="53"/>
        <v>6.25</v>
      </c>
      <c r="N1399" s="143">
        <f ca="1">(PRODUCT($O$5:$O1399)-1)*36000/_xlfn.DAYS(L1399, $C$2)</f>
        <v>9.3551993050308084</v>
      </c>
      <c r="O1399" s="149">
        <f t="shared" ca="1" si="54"/>
        <v>1.000173611111111</v>
      </c>
    </row>
    <row r="1400" spans="12:15" x14ac:dyDescent="0.25">
      <c r="L1400" s="147">
        <f ca="1"/>
        <v>46639</v>
      </c>
      <c r="M1400" s="92">
        <f t="shared" ca="1" si="53"/>
        <v>6.25</v>
      </c>
      <c r="N1400" s="143">
        <f ca="1">(PRODUCT($O$5:$O1400)-1)*36000/_xlfn.DAYS(L1400, $C$2)</f>
        <v>9.3545979533307033</v>
      </c>
      <c r="O1400" s="149">
        <f t="shared" ca="1" si="54"/>
        <v>1.000173611111111</v>
      </c>
    </row>
    <row r="1401" spans="12:15" x14ac:dyDescent="0.25">
      <c r="L1401" s="147">
        <f ca="1"/>
        <v>46640</v>
      </c>
      <c r="M1401" s="92">
        <f t="shared" ca="1" si="53"/>
        <v>6.25</v>
      </c>
      <c r="N1401" s="143">
        <f ca="1">(PRODUCT($O$5:$O1401)-1)*36000/_xlfn.DAYS(L1401, $C$2)</f>
        <v>9.3539985208329455</v>
      </c>
      <c r="O1401" s="149">
        <f t="shared" ca="1" si="54"/>
        <v>1.000173611111111</v>
      </c>
    </row>
    <row r="1402" spans="12:15" x14ac:dyDescent="0.25">
      <c r="L1402" s="147">
        <f ca="1"/>
        <v>46641</v>
      </c>
      <c r="M1402" s="92">
        <f t="shared" ca="1" si="53"/>
        <v>6.25</v>
      </c>
      <c r="N1402" s="143">
        <f ca="1">(PRODUCT($O$5:$O1402)-1)*36000/_xlfn.DAYS(L1402, $C$2)</f>
        <v>9.3534010036026736</v>
      </c>
      <c r="O1402" s="149">
        <f t="shared" ca="1" si="54"/>
        <v>1.000173611111111</v>
      </c>
    </row>
    <row r="1403" spans="12:15" x14ac:dyDescent="0.25">
      <c r="L1403" s="147">
        <f ca="1"/>
        <v>46642</v>
      </c>
      <c r="M1403" s="92">
        <f t="shared" ca="1" si="53"/>
        <v>6.25</v>
      </c>
      <c r="N1403" s="143">
        <f ca="1">(PRODUCT($O$5:$O1403)-1)*36000/_xlfn.DAYS(L1403, $C$2)</f>
        <v>9.3528053977163097</v>
      </c>
      <c r="O1403" s="149">
        <f t="shared" ca="1" si="54"/>
        <v>1.000173611111111</v>
      </c>
    </row>
    <row r="1404" spans="12:15" x14ac:dyDescent="0.25">
      <c r="L1404" s="147">
        <f ca="1"/>
        <v>46643</v>
      </c>
      <c r="M1404" s="92">
        <f t="shared" ca="1" si="53"/>
        <v>6.25</v>
      </c>
      <c r="N1404" s="143">
        <f ca="1">(PRODUCT($O$5:$O1404)-1)*36000/_xlfn.DAYS(L1404, $C$2)</f>
        <v>9.3522116992615167</v>
      </c>
      <c r="O1404" s="149">
        <f t="shared" ca="1" si="54"/>
        <v>1.000173611111111</v>
      </c>
    </row>
    <row r="1405" spans="12:15" x14ac:dyDescent="0.25">
      <c r="L1405" s="147">
        <f ca="1"/>
        <v>46644</v>
      </c>
      <c r="M1405" s="92">
        <f t="shared" ca="1" si="53"/>
        <v>6.25</v>
      </c>
      <c r="N1405" s="143">
        <f ca="1">(PRODUCT($O$5:$O1405)-1)*36000/_xlfn.DAYS(L1405, $C$2)</f>
        <v>9.3516199043371557</v>
      </c>
      <c r="O1405" s="149">
        <f t="shared" ca="1" si="54"/>
        <v>1.000173611111111</v>
      </c>
    </row>
    <row r="1406" spans="12:15" x14ac:dyDescent="0.25">
      <c r="L1406" s="147">
        <f ca="1"/>
        <v>46645</v>
      </c>
      <c r="M1406" s="92">
        <f t="shared" ca="1" si="53"/>
        <v>6.25</v>
      </c>
      <c r="N1406" s="143">
        <f ca="1">(PRODUCT($O$5:$O1406)-1)*36000/_xlfn.DAYS(L1406, $C$2)</f>
        <v>9.3510300090532574</v>
      </c>
      <c r="O1406" s="149">
        <f t="shared" ca="1" si="54"/>
        <v>1.000173611111111</v>
      </c>
    </row>
    <row r="1407" spans="12:15" x14ac:dyDescent="0.25">
      <c r="L1407" s="147">
        <f ca="1"/>
        <v>46646</v>
      </c>
      <c r="M1407" s="92">
        <f t="shared" ca="1" si="53"/>
        <v>6.25</v>
      </c>
      <c r="N1407" s="143">
        <f ca="1">(PRODUCT($O$5:$O1407)-1)*36000/_xlfn.DAYS(L1407, $C$2)</f>
        <v>9.3504420095309726</v>
      </c>
      <c r="O1407" s="149">
        <f t="shared" ca="1" si="54"/>
        <v>1.000173611111111</v>
      </c>
    </row>
    <row r="1408" spans="12:15" x14ac:dyDescent="0.25">
      <c r="L1408" s="147">
        <f ca="1"/>
        <v>46647</v>
      </c>
      <c r="M1408" s="92">
        <f t="shared" ca="1" si="53"/>
        <v>6.25</v>
      </c>
      <c r="N1408" s="143">
        <f ca="1">(PRODUCT($O$5:$O1408)-1)*36000/_xlfn.DAYS(L1408, $C$2)</f>
        <v>9.3498559019025258</v>
      </c>
      <c r="O1408" s="149">
        <f t="shared" ca="1" si="54"/>
        <v>1.000173611111111</v>
      </c>
    </row>
    <row r="1409" spans="12:15" x14ac:dyDescent="0.25">
      <c r="L1409" s="147">
        <f ca="1"/>
        <v>46648</v>
      </c>
      <c r="M1409" s="92">
        <f t="shared" ca="1" si="53"/>
        <v>6.25</v>
      </c>
      <c r="N1409" s="143">
        <f ca="1">(PRODUCT($O$5:$O1409)-1)*36000/_xlfn.DAYS(L1409, $C$2)</f>
        <v>9.3492716823111994</v>
      </c>
      <c r="O1409" s="149">
        <f t="shared" ca="1" si="54"/>
        <v>1.000173611111111</v>
      </c>
    </row>
    <row r="1410" spans="12:15" x14ac:dyDescent="0.25">
      <c r="L1410" s="147">
        <f ca="1"/>
        <v>46649</v>
      </c>
      <c r="M1410" s="92">
        <f t="shared" ca="1" si="53"/>
        <v>6.25</v>
      </c>
      <c r="N1410" s="143">
        <f ca="1">(PRODUCT($O$5:$O1410)-1)*36000/_xlfn.DAYS(L1410, $C$2)</f>
        <v>9.3486893469112662</v>
      </c>
      <c r="O1410" s="149">
        <f t="shared" ca="1" si="54"/>
        <v>1.000173611111111</v>
      </c>
    </row>
    <row r="1411" spans="12:15" x14ac:dyDescent="0.25">
      <c r="L1411" s="147">
        <f ca="1"/>
        <v>46650</v>
      </c>
      <c r="M1411" s="92">
        <f t="shared" ca="1" si="53"/>
        <v>6.25</v>
      </c>
      <c r="N1411" s="143">
        <f ca="1">(PRODUCT($O$5:$O1411)-1)*36000/_xlfn.DAYS(L1411, $C$2)</f>
        <v>9.3481088918679678</v>
      </c>
      <c r="O1411" s="149">
        <f t="shared" ca="1" si="54"/>
        <v>1.000173611111111</v>
      </c>
    </row>
    <row r="1412" spans="12:15" x14ac:dyDescent="0.25">
      <c r="L1412" s="147">
        <f ca="1"/>
        <v>46651</v>
      </c>
      <c r="M1412" s="92">
        <f t="shared" ca="1" si="53"/>
        <v>6.25</v>
      </c>
      <c r="N1412" s="143">
        <f ca="1">(PRODUCT($O$5:$O1412)-1)*36000/_xlfn.DAYS(L1412, $C$2)</f>
        <v>9.3475303133574794</v>
      </c>
      <c r="O1412" s="149">
        <f t="shared" ca="1" si="54"/>
        <v>1.000173611111111</v>
      </c>
    </row>
    <row r="1413" spans="12:15" x14ac:dyDescent="0.25">
      <c r="L1413" s="147">
        <f ca="1"/>
        <v>46652</v>
      </c>
      <c r="M1413" s="92">
        <f t="shared" ref="M1413:M1476" ca="1" si="55">IFERROR(INDEX($E$27:$H$47, MATCH(L1413, $F$27:$F$47, 0), 4), IF(ISNUMBER(M1412), M1412, $C$5))</f>
        <v>6.25</v>
      </c>
      <c r="N1413" s="143">
        <f ca="1">(PRODUCT($O$5:$O1413)-1)*36000/_xlfn.DAYS(L1413, $C$2)</f>
        <v>9.3469536075668564</v>
      </c>
      <c r="O1413" s="149">
        <f t="shared" ca="1" si="54"/>
        <v>1.000173611111111</v>
      </c>
    </row>
    <row r="1414" spans="12:15" x14ac:dyDescent="0.25">
      <c r="L1414" s="147">
        <f ca="1"/>
        <v>46653</v>
      </c>
      <c r="M1414" s="92">
        <f t="shared" ca="1" si="55"/>
        <v>6.25</v>
      </c>
      <c r="N1414" s="143">
        <f ca="1">(PRODUCT($O$5:$O1414)-1)*36000/_xlfn.DAYS(L1414, $C$2)</f>
        <v>9.3463787706940042</v>
      </c>
      <c r="O1414" s="149">
        <f t="shared" ref="O1414:O1477" ca="1" si="56">1+M1414*IFERROR(_xlfn.DAYS(L1414, L1413), _xlfn.DAYS(L1414, $C$2))/36000</f>
        <v>1.000173611111111</v>
      </c>
    </row>
    <row r="1415" spans="12:15" x14ac:dyDescent="0.25">
      <c r="L1415" s="147">
        <f ca="1"/>
        <v>46654</v>
      </c>
      <c r="M1415" s="92">
        <f t="shared" ca="1" si="55"/>
        <v>6.25</v>
      </c>
      <c r="N1415" s="143">
        <f ca="1">(PRODUCT($O$5:$O1415)-1)*36000/_xlfn.DAYS(L1415, $C$2)</f>
        <v>9.3458057989476391</v>
      </c>
      <c r="O1415" s="149">
        <f t="shared" ca="1" si="56"/>
        <v>1.000173611111111</v>
      </c>
    </row>
    <row r="1416" spans="12:15" x14ac:dyDescent="0.25">
      <c r="L1416" s="147">
        <f ca="1"/>
        <v>46655</v>
      </c>
      <c r="M1416" s="92">
        <f t="shared" ca="1" si="55"/>
        <v>6.25</v>
      </c>
      <c r="N1416" s="143">
        <f ca="1">(PRODUCT($O$5:$O1416)-1)*36000/_xlfn.DAYS(L1416, $C$2)</f>
        <v>9.345234688547249</v>
      </c>
      <c r="O1416" s="149">
        <f t="shared" ca="1" si="56"/>
        <v>1.000173611111111</v>
      </c>
    </row>
    <row r="1417" spans="12:15" x14ac:dyDescent="0.25">
      <c r="L1417" s="147">
        <f ca="1"/>
        <v>46656</v>
      </c>
      <c r="M1417" s="92">
        <f t="shared" ca="1" si="55"/>
        <v>6.25</v>
      </c>
      <c r="N1417" s="143">
        <f ca="1">(PRODUCT($O$5:$O1417)-1)*36000/_xlfn.DAYS(L1417, $C$2)</f>
        <v>9.3446654357230496</v>
      </c>
      <c r="O1417" s="149">
        <f t="shared" ca="1" si="56"/>
        <v>1.000173611111111</v>
      </c>
    </row>
    <row r="1418" spans="12:15" x14ac:dyDescent="0.25">
      <c r="L1418" s="147">
        <f ca="1"/>
        <v>46657</v>
      </c>
      <c r="M1418" s="92">
        <f t="shared" ca="1" si="55"/>
        <v>6.25</v>
      </c>
      <c r="N1418" s="143">
        <f ca="1">(PRODUCT($O$5:$O1418)-1)*36000/_xlfn.DAYS(L1418, $C$2)</f>
        <v>9.3440980367159607</v>
      </c>
      <c r="O1418" s="149">
        <f t="shared" ca="1" si="56"/>
        <v>1.000173611111111</v>
      </c>
    </row>
    <row r="1419" spans="12:15" x14ac:dyDescent="0.25">
      <c r="L1419" s="147">
        <f ca="1"/>
        <v>46658</v>
      </c>
      <c r="M1419" s="92">
        <f t="shared" ca="1" si="55"/>
        <v>6.25</v>
      </c>
      <c r="N1419" s="143">
        <f ca="1">(PRODUCT($O$5:$O1419)-1)*36000/_xlfn.DAYS(L1419, $C$2)</f>
        <v>9.343532487777555</v>
      </c>
      <c r="O1419" s="149">
        <f t="shared" ca="1" si="56"/>
        <v>1.000173611111111</v>
      </c>
    </row>
    <row r="1420" spans="12:15" x14ac:dyDescent="0.25">
      <c r="L1420" s="147">
        <f ca="1"/>
        <v>46659</v>
      </c>
      <c r="M1420" s="92">
        <f t="shared" ca="1" si="55"/>
        <v>6.25</v>
      </c>
      <c r="N1420" s="143">
        <f ca="1">(PRODUCT($O$5:$O1420)-1)*36000/_xlfn.DAYS(L1420, $C$2)</f>
        <v>9.3429687851700258</v>
      </c>
      <c r="O1420" s="149">
        <f t="shared" ca="1" si="56"/>
        <v>1.000173611111111</v>
      </c>
    </row>
    <row r="1421" spans="12:15" x14ac:dyDescent="0.25">
      <c r="L1421" s="147">
        <f ca="1"/>
        <v>46660</v>
      </c>
      <c r="M1421" s="92">
        <f t="shared" ca="1" si="55"/>
        <v>6.25</v>
      </c>
      <c r="N1421" s="143">
        <f ca="1">(PRODUCT($O$5:$O1421)-1)*36000/_xlfn.DAYS(L1421, $C$2)</f>
        <v>9.3424069251661539</v>
      </c>
      <c r="O1421" s="149">
        <f t="shared" ca="1" si="56"/>
        <v>1.000173611111111</v>
      </c>
    </row>
    <row r="1422" spans="12:15" x14ac:dyDescent="0.25">
      <c r="L1422" s="147">
        <f ca="1"/>
        <v>46661</v>
      </c>
      <c r="M1422" s="92">
        <f t="shared" ca="1" si="55"/>
        <v>6.25</v>
      </c>
      <c r="N1422" s="143">
        <f ca="1">(PRODUCT($O$5:$O1422)-1)*36000/_xlfn.DAYS(L1422, $C$2)</f>
        <v>9.3418469040492642</v>
      </c>
      <c r="O1422" s="149">
        <f t="shared" ca="1" si="56"/>
        <v>1.000173611111111</v>
      </c>
    </row>
    <row r="1423" spans="12:15" x14ac:dyDescent="0.25">
      <c r="L1423" s="147">
        <f ca="1"/>
        <v>46662</v>
      </c>
      <c r="M1423" s="92">
        <f t="shared" ca="1" si="55"/>
        <v>6.25</v>
      </c>
      <c r="N1423" s="143">
        <f ca="1">(PRODUCT($O$5:$O1423)-1)*36000/_xlfn.DAYS(L1423, $C$2)</f>
        <v>9.3412887181131854</v>
      </c>
      <c r="O1423" s="149">
        <f t="shared" ca="1" si="56"/>
        <v>1.000173611111111</v>
      </c>
    </row>
    <row r="1424" spans="12:15" x14ac:dyDescent="0.25">
      <c r="L1424" s="147">
        <f ca="1"/>
        <v>46663</v>
      </c>
      <c r="M1424" s="92">
        <f t="shared" ca="1" si="55"/>
        <v>6.25</v>
      </c>
      <c r="N1424" s="143">
        <f ca="1">(PRODUCT($O$5:$O1424)-1)*36000/_xlfn.DAYS(L1424, $C$2)</f>
        <v>9.3407323636622195</v>
      </c>
      <c r="O1424" s="149">
        <f t="shared" ca="1" si="56"/>
        <v>1.000173611111111</v>
      </c>
    </row>
    <row r="1425" spans="12:15" x14ac:dyDescent="0.25">
      <c r="L1425" s="147">
        <f ca="1"/>
        <v>46664</v>
      </c>
      <c r="M1425" s="92">
        <f t="shared" ca="1" si="55"/>
        <v>6.25</v>
      </c>
      <c r="N1425" s="143">
        <f ca="1">(PRODUCT($O$5:$O1425)-1)*36000/_xlfn.DAYS(L1425, $C$2)</f>
        <v>9.3401778370111064</v>
      </c>
      <c r="O1425" s="149">
        <f t="shared" ca="1" si="56"/>
        <v>1.000173611111111</v>
      </c>
    </row>
    <row r="1426" spans="12:15" x14ac:dyDescent="0.25">
      <c r="L1426" s="147">
        <f ca="1"/>
        <v>46665</v>
      </c>
      <c r="M1426" s="92">
        <f t="shared" ca="1" si="55"/>
        <v>6.25</v>
      </c>
      <c r="N1426" s="143">
        <f ca="1">(PRODUCT($O$5:$O1426)-1)*36000/_xlfn.DAYS(L1426, $C$2)</f>
        <v>9.3396251344849759</v>
      </c>
      <c r="O1426" s="149">
        <f t="shared" ca="1" si="56"/>
        <v>1.000173611111111</v>
      </c>
    </row>
    <row r="1427" spans="12:15" x14ac:dyDescent="0.25">
      <c r="L1427" s="147">
        <f ca="1"/>
        <v>46666</v>
      </c>
      <c r="M1427" s="92">
        <f t="shared" ca="1" si="55"/>
        <v>6.25</v>
      </c>
      <c r="N1427" s="143">
        <f ca="1">(PRODUCT($O$5:$O1427)-1)*36000/_xlfn.DAYS(L1427, $C$2)</f>
        <v>9.3390742524193318</v>
      </c>
      <c r="O1427" s="149">
        <f t="shared" ca="1" si="56"/>
        <v>1.000173611111111</v>
      </c>
    </row>
    <row r="1428" spans="12:15" x14ac:dyDescent="0.25">
      <c r="L1428" s="147">
        <f ca="1"/>
        <v>46667</v>
      </c>
      <c r="M1428" s="92">
        <f t="shared" ca="1" si="55"/>
        <v>6.25</v>
      </c>
      <c r="N1428" s="143">
        <f ca="1">(PRODUCT($O$5:$O1428)-1)*36000/_xlfn.DAYS(L1428, $C$2)</f>
        <v>9.3385251871599912</v>
      </c>
      <c r="O1428" s="149">
        <f t="shared" ca="1" si="56"/>
        <v>1.000173611111111</v>
      </c>
    </row>
    <row r="1429" spans="12:15" x14ac:dyDescent="0.25">
      <c r="L1429" s="147">
        <f ca="1"/>
        <v>46668</v>
      </c>
      <c r="M1429" s="92">
        <f t="shared" ca="1" si="55"/>
        <v>6.25</v>
      </c>
      <c r="N1429" s="143">
        <f ca="1">(PRODUCT($O$5:$O1429)-1)*36000/_xlfn.DAYS(L1429, $C$2)</f>
        <v>9.3379779350630692</v>
      </c>
      <c r="O1429" s="149">
        <f t="shared" ca="1" si="56"/>
        <v>1.000173611111111</v>
      </c>
    </row>
    <row r="1430" spans="12:15" x14ac:dyDescent="0.25">
      <c r="L1430" s="147">
        <f ca="1"/>
        <v>46669</v>
      </c>
      <c r="M1430" s="92">
        <f t="shared" ca="1" si="55"/>
        <v>6.25</v>
      </c>
      <c r="N1430" s="143">
        <f ca="1">(PRODUCT($O$5:$O1430)-1)*36000/_xlfn.DAYS(L1430, $C$2)</f>
        <v>9.3374324924949264</v>
      </c>
      <c r="O1430" s="149">
        <f t="shared" ca="1" si="56"/>
        <v>1.000173611111111</v>
      </c>
    </row>
    <row r="1431" spans="12:15" x14ac:dyDescent="0.25">
      <c r="L1431" s="147">
        <f ca="1"/>
        <v>46670</v>
      </c>
      <c r="M1431" s="92">
        <f t="shared" ca="1" si="55"/>
        <v>6.25</v>
      </c>
      <c r="N1431" s="143">
        <f ca="1">(PRODUCT($O$5:$O1431)-1)*36000/_xlfn.DAYS(L1431, $C$2)</f>
        <v>9.336888855832143</v>
      </c>
      <c r="O1431" s="149">
        <f t="shared" ca="1" si="56"/>
        <v>1.000173611111111</v>
      </c>
    </row>
    <row r="1432" spans="12:15" x14ac:dyDescent="0.25">
      <c r="L1432" s="147">
        <f ca="1"/>
        <v>46671</v>
      </c>
      <c r="M1432" s="92">
        <f t="shared" ca="1" si="55"/>
        <v>6.25</v>
      </c>
      <c r="N1432" s="143">
        <f ca="1">(PRODUCT($O$5:$O1432)-1)*36000/_xlfn.DAYS(L1432, $C$2)</f>
        <v>9.3363470214614761</v>
      </c>
      <c r="O1432" s="149">
        <f t="shared" ca="1" si="56"/>
        <v>1.000173611111111</v>
      </c>
    </row>
    <row r="1433" spans="12:15" x14ac:dyDescent="0.25">
      <c r="L1433" s="147">
        <f ca="1"/>
        <v>46672</v>
      </c>
      <c r="M1433" s="92">
        <f t="shared" ca="1" si="55"/>
        <v>6.25</v>
      </c>
      <c r="N1433" s="143">
        <f ca="1">(PRODUCT($O$5:$O1433)-1)*36000/_xlfn.DAYS(L1433, $C$2)</f>
        <v>9.3358069857798363</v>
      </c>
      <c r="O1433" s="149">
        <f t="shared" ca="1" si="56"/>
        <v>1.000173611111111</v>
      </c>
    </row>
    <row r="1434" spans="12:15" x14ac:dyDescent="0.25">
      <c r="L1434" s="147">
        <f ca="1"/>
        <v>46673</v>
      </c>
      <c r="M1434" s="92">
        <f t="shared" ca="1" si="55"/>
        <v>6.25</v>
      </c>
      <c r="N1434" s="143">
        <f ca="1">(PRODUCT($O$5:$O1434)-1)*36000/_xlfn.DAYS(L1434, $C$2)</f>
        <v>9.3352687451942415</v>
      </c>
      <c r="O1434" s="149">
        <f t="shared" ca="1" si="56"/>
        <v>1.000173611111111</v>
      </c>
    </row>
    <row r="1435" spans="12:15" x14ac:dyDescent="0.25">
      <c r="L1435" s="147">
        <f ca="1"/>
        <v>46674</v>
      </c>
      <c r="M1435" s="92">
        <f t="shared" ca="1" si="55"/>
        <v>6.25</v>
      </c>
      <c r="N1435" s="143">
        <f ca="1">(PRODUCT($O$5:$O1435)-1)*36000/_xlfn.DAYS(L1435, $C$2)</f>
        <v>9.3347322961217802</v>
      </c>
      <c r="O1435" s="149">
        <f t="shared" ca="1" si="56"/>
        <v>1.000173611111111</v>
      </c>
    </row>
    <row r="1436" spans="12:15" x14ac:dyDescent="0.25">
      <c r="L1436" s="147">
        <f ca="1"/>
        <v>46675</v>
      </c>
      <c r="M1436" s="92">
        <f t="shared" ca="1" si="55"/>
        <v>6.25</v>
      </c>
      <c r="N1436" s="143">
        <f ca="1">(PRODUCT($O$5:$O1436)-1)*36000/_xlfn.DAYS(L1436, $C$2)</f>
        <v>9.3341976349895823</v>
      </c>
      <c r="O1436" s="149">
        <f t="shared" ca="1" si="56"/>
        <v>1.000173611111111</v>
      </c>
    </row>
    <row r="1437" spans="12:15" x14ac:dyDescent="0.25">
      <c r="L1437" s="147">
        <f ca="1"/>
        <v>46676</v>
      </c>
      <c r="M1437" s="92">
        <f t="shared" ca="1" si="55"/>
        <v>6.25</v>
      </c>
      <c r="N1437" s="143">
        <f ca="1">(PRODUCT($O$5:$O1437)-1)*36000/_xlfn.DAYS(L1437, $C$2)</f>
        <v>9.3336647582347805</v>
      </c>
      <c r="O1437" s="149">
        <f t="shared" ca="1" si="56"/>
        <v>1.000173611111111</v>
      </c>
    </row>
    <row r="1438" spans="12:15" x14ac:dyDescent="0.25">
      <c r="L1438" s="147">
        <f ca="1"/>
        <v>46677</v>
      </c>
      <c r="M1438" s="92">
        <f t="shared" ca="1" si="55"/>
        <v>6.25</v>
      </c>
      <c r="N1438" s="143">
        <f ca="1">(PRODUCT($O$5:$O1438)-1)*36000/_xlfn.DAYS(L1438, $C$2)</f>
        <v>9.3331336623044834</v>
      </c>
      <c r="O1438" s="149">
        <f t="shared" ca="1" si="56"/>
        <v>1.000173611111111</v>
      </c>
    </row>
    <row r="1439" spans="12:15" x14ac:dyDescent="0.25">
      <c r="L1439" s="147">
        <f ca="1"/>
        <v>46678</v>
      </c>
      <c r="M1439" s="92">
        <f t="shared" ca="1" si="55"/>
        <v>6.25</v>
      </c>
      <c r="N1439" s="143">
        <f ca="1">(PRODUCT($O$5:$O1439)-1)*36000/_xlfn.DAYS(L1439, $C$2)</f>
        <v>9.332604343655726</v>
      </c>
      <c r="O1439" s="149">
        <f t="shared" ca="1" si="56"/>
        <v>1.000173611111111</v>
      </c>
    </row>
    <row r="1440" spans="12:15" x14ac:dyDescent="0.25">
      <c r="L1440" s="147">
        <f ca="1"/>
        <v>46679</v>
      </c>
      <c r="M1440" s="92">
        <f t="shared" ca="1" si="55"/>
        <v>6.25</v>
      </c>
      <c r="N1440" s="143">
        <f ca="1">(PRODUCT($O$5:$O1440)-1)*36000/_xlfn.DAYS(L1440, $C$2)</f>
        <v>9.3320767987554554</v>
      </c>
      <c r="O1440" s="149">
        <f t="shared" ca="1" si="56"/>
        <v>1.000173611111111</v>
      </c>
    </row>
    <row r="1441" spans="12:15" x14ac:dyDescent="0.25">
      <c r="L1441" s="147">
        <f ca="1"/>
        <v>46680</v>
      </c>
      <c r="M1441" s="92">
        <f t="shared" ca="1" si="55"/>
        <v>6.25</v>
      </c>
      <c r="N1441" s="143">
        <f ca="1">(PRODUCT($O$5:$O1441)-1)*36000/_xlfn.DAYS(L1441, $C$2)</f>
        <v>9.3315510240804631</v>
      </c>
      <c r="O1441" s="149">
        <f t="shared" ca="1" si="56"/>
        <v>1.000173611111111</v>
      </c>
    </row>
    <row r="1442" spans="12:15" x14ac:dyDescent="0.25">
      <c r="L1442" s="147">
        <f ca="1"/>
        <v>46681</v>
      </c>
      <c r="M1442" s="92">
        <f t="shared" ca="1" si="55"/>
        <v>6.25</v>
      </c>
      <c r="N1442" s="143">
        <f ca="1">(PRODUCT($O$5:$O1442)-1)*36000/_xlfn.DAYS(L1442, $C$2)</f>
        <v>9.3310270161173996</v>
      </c>
      <c r="O1442" s="149">
        <f t="shared" ca="1" si="56"/>
        <v>1.000173611111111</v>
      </c>
    </row>
    <row r="1443" spans="12:15" x14ac:dyDescent="0.25">
      <c r="L1443" s="147">
        <f ca="1"/>
        <v>46682</v>
      </c>
      <c r="M1443" s="92">
        <f t="shared" ca="1" si="55"/>
        <v>6.25</v>
      </c>
      <c r="N1443" s="143">
        <f ca="1">(PRODUCT($O$5:$O1443)-1)*36000/_xlfn.DAYS(L1443, $C$2)</f>
        <v>9.3305047713626923</v>
      </c>
      <c r="O1443" s="149">
        <f t="shared" ca="1" si="56"/>
        <v>1.000173611111111</v>
      </c>
    </row>
    <row r="1444" spans="12:15" x14ac:dyDescent="0.25">
      <c r="L1444" s="147">
        <f ca="1"/>
        <v>46683</v>
      </c>
      <c r="M1444" s="92">
        <f t="shared" ca="1" si="55"/>
        <v>6.25</v>
      </c>
      <c r="N1444" s="143">
        <f ca="1">(PRODUCT($O$5:$O1444)-1)*36000/_xlfn.DAYS(L1444, $C$2)</f>
        <v>9.3299842863225351</v>
      </c>
      <c r="O1444" s="149">
        <f t="shared" ca="1" si="56"/>
        <v>1.000173611111111</v>
      </c>
    </row>
    <row r="1445" spans="12:15" x14ac:dyDescent="0.25">
      <c r="L1445" s="147">
        <f ca="1"/>
        <v>46684</v>
      </c>
      <c r="M1445" s="92">
        <f t="shared" ca="1" si="55"/>
        <v>6.25</v>
      </c>
      <c r="N1445" s="143">
        <f ca="1">(PRODUCT($O$5:$O1445)-1)*36000/_xlfn.DAYS(L1445, $C$2)</f>
        <v>9.3294655575128544</v>
      </c>
      <c r="O1445" s="149">
        <f t="shared" ca="1" si="56"/>
        <v>1.000173611111111</v>
      </c>
    </row>
    <row r="1446" spans="12:15" x14ac:dyDescent="0.25">
      <c r="L1446" s="147">
        <f ca="1"/>
        <v>46685</v>
      </c>
      <c r="M1446" s="92">
        <f t="shared" ca="1" si="55"/>
        <v>6.25</v>
      </c>
      <c r="N1446" s="143">
        <f ca="1">(PRODUCT($O$5:$O1446)-1)*36000/_xlfn.DAYS(L1446, $C$2)</f>
        <v>9.3289485814592759</v>
      </c>
      <c r="O1446" s="149">
        <f t="shared" ca="1" si="56"/>
        <v>1.000173611111111</v>
      </c>
    </row>
    <row r="1447" spans="12:15" x14ac:dyDescent="0.25">
      <c r="L1447" s="147">
        <f ca="1"/>
        <v>46686</v>
      </c>
      <c r="M1447" s="92">
        <f t="shared" ca="1" si="55"/>
        <v>6.25</v>
      </c>
      <c r="N1447" s="143">
        <f ca="1">(PRODUCT($O$5:$O1447)-1)*36000/_xlfn.DAYS(L1447, $C$2)</f>
        <v>9.3284333546970846</v>
      </c>
      <c r="O1447" s="149">
        <f t="shared" ca="1" si="56"/>
        <v>1.000173611111111</v>
      </c>
    </row>
    <row r="1448" spans="12:15" x14ac:dyDescent="0.25">
      <c r="L1448" s="147">
        <f ca="1"/>
        <v>46687</v>
      </c>
      <c r="M1448" s="92">
        <f t="shared" ca="1" si="55"/>
        <v>6.25</v>
      </c>
      <c r="N1448" s="143">
        <f ca="1">(PRODUCT($O$5:$O1448)-1)*36000/_xlfn.DAYS(L1448, $C$2)</f>
        <v>9.3279198737711919</v>
      </c>
      <c r="O1448" s="149">
        <f t="shared" ca="1" si="56"/>
        <v>1.000173611111111</v>
      </c>
    </row>
    <row r="1449" spans="12:15" x14ac:dyDescent="0.25">
      <c r="L1449" s="147">
        <f ca="1"/>
        <v>46688</v>
      </c>
      <c r="M1449" s="92">
        <f t="shared" ca="1" si="55"/>
        <v>6.25</v>
      </c>
      <c r="N1449" s="143">
        <f ca="1">(PRODUCT($O$5:$O1449)-1)*36000/_xlfn.DAYS(L1449, $C$2)</f>
        <v>9.3274081352361069</v>
      </c>
      <c r="O1449" s="149">
        <f t="shared" ca="1" si="56"/>
        <v>1.000173611111111</v>
      </c>
    </row>
    <row r="1450" spans="12:15" x14ac:dyDescent="0.25">
      <c r="L1450" s="147">
        <f ca="1"/>
        <v>46689</v>
      </c>
      <c r="M1450" s="92">
        <f t="shared" ca="1" si="55"/>
        <v>6.25</v>
      </c>
      <c r="N1450" s="143">
        <f ca="1">(PRODUCT($O$5:$O1450)-1)*36000/_xlfn.DAYS(L1450, $C$2)</f>
        <v>9.3268981356558971</v>
      </c>
      <c r="O1450" s="149">
        <f t="shared" ca="1" si="56"/>
        <v>1.000173611111111</v>
      </c>
    </row>
    <row r="1451" spans="12:15" x14ac:dyDescent="0.25">
      <c r="L1451" s="147">
        <f ca="1"/>
        <v>46690</v>
      </c>
      <c r="M1451" s="92">
        <f t="shared" ca="1" si="55"/>
        <v>6.25</v>
      </c>
      <c r="N1451" s="143">
        <f ca="1">(PRODUCT($O$5:$O1451)-1)*36000/_xlfn.DAYS(L1451, $C$2)</f>
        <v>9.3263898716041655</v>
      </c>
      <c r="O1451" s="149">
        <f t="shared" ca="1" si="56"/>
        <v>1.000173611111111</v>
      </c>
    </row>
    <row r="1452" spans="12:15" x14ac:dyDescent="0.25">
      <c r="L1452" s="147">
        <f ca="1"/>
        <v>46691</v>
      </c>
      <c r="M1452" s="92">
        <f t="shared" ca="1" si="55"/>
        <v>6.25</v>
      </c>
      <c r="N1452" s="143">
        <f ca="1">(PRODUCT($O$5:$O1452)-1)*36000/_xlfn.DAYS(L1452, $C$2)</f>
        <v>9.3258833396640064</v>
      </c>
      <c r="O1452" s="149">
        <f t="shared" ca="1" si="56"/>
        <v>1.000173611111111</v>
      </c>
    </row>
    <row r="1453" spans="12:15" x14ac:dyDescent="0.25">
      <c r="L1453" s="147">
        <f ca="1"/>
        <v>46692</v>
      </c>
      <c r="M1453" s="92">
        <f t="shared" ca="1" si="55"/>
        <v>6.25</v>
      </c>
      <c r="N1453" s="143">
        <f ca="1">(PRODUCT($O$5:$O1453)-1)*36000/_xlfn.DAYS(L1453, $C$2)</f>
        <v>9.3253785364279782</v>
      </c>
      <c r="O1453" s="149">
        <f t="shared" ca="1" si="56"/>
        <v>1.000173611111111</v>
      </c>
    </row>
    <row r="1454" spans="12:15" x14ac:dyDescent="0.25">
      <c r="L1454" s="147">
        <f ca="1"/>
        <v>46693</v>
      </c>
      <c r="M1454" s="92">
        <f t="shared" ca="1" si="55"/>
        <v>6.25</v>
      </c>
      <c r="N1454" s="143">
        <f ca="1">(PRODUCT($O$5:$O1454)-1)*36000/_xlfn.DAYS(L1454, $C$2)</f>
        <v>9.324875458498072</v>
      </c>
      <c r="O1454" s="149">
        <f t="shared" ca="1" si="56"/>
        <v>1.000173611111111</v>
      </c>
    </row>
    <row r="1455" spans="12:15" x14ac:dyDescent="0.25">
      <c r="L1455" s="147">
        <f ca="1"/>
        <v>46694</v>
      </c>
      <c r="M1455" s="92">
        <f t="shared" ca="1" si="55"/>
        <v>6.25</v>
      </c>
      <c r="N1455" s="143">
        <f ca="1">(PRODUCT($O$5:$O1455)-1)*36000/_xlfn.DAYS(L1455, $C$2)</f>
        <v>9.3243741024856757</v>
      </c>
      <c r="O1455" s="149">
        <f t="shared" ca="1" si="56"/>
        <v>1.000173611111111</v>
      </c>
    </row>
    <row r="1456" spans="12:15" x14ac:dyDescent="0.25">
      <c r="L1456" s="147">
        <f ca="1"/>
        <v>46695</v>
      </c>
      <c r="M1456" s="92">
        <f t="shared" ca="1" si="55"/>
        <v>6.25</v>
      </c>
      <c r="N1456" s="143">
        <f ca="1">(PRODUCT($O$5:$O1456)-1)*36000/_xlfn.DAYS(L1456, $C$2)</f>
        <v>9.3238744650115422</v>
      </c>
      <c r="O1456" s="149">
        <f t="shared" ca="1" si="56"/>
        <v>1.000173611111111</v>
      </c>
    </row>
    <row r="1457" spans="12:15" x14ac:dyDescent="0.25">
      <c r="L1457" s="147">
        <f ca="1"/>
        <v>46696</v>
      </c>
      <c r="M1457" s="92">
        <f t="shared" ca="1" si="55"/>
        <v>6.25</v>
      </c>
      <c r="N1457" s="143">
        <f ca="1">(PRODUCT($O$5:$O1457)-1)*36000/_xlfn.DAYS(L1457, $C$2)</f>
        <v>9.3233765427057644</v>
      </c>
      <c r="O1457" s="149">
        <f t="shared" ca="1" si="56"/>
        <v>1.000173611111111</v>
      </c>
    </row>
    <row r="1458" spans="12:15" x14ac:dyDescent="0.25">
      <c r="L1458" s="147">
        <f ca="1"/>
        <v>46697</v>
      </c>
      <c r="M1458" s="92">
        <f t="shared" ca="1" si="55"/>
        <v>6.25</v>
      </c>
      <c r="N1458" s="143">
        <f ca="1">(PRODUCT($O$5:$O1458)-1)*36000/_xlfn.DAYS(L1458, $C$2)</f>
        <v>9.3228803322077312</v>
      </c>
      <c r="O1458" s="149">
        <f t="shared" ca="1" si="56"/>
        <v>1.000173611111111</v>
      </c>
    </row>
    <row r="1459" spans="12:15" x14ac:dyDescent="0.25">
      <c r="L1459" s="147">
        <f ca="1"/>
        <v>46698</v>
      </c>
      <c r="M1459" s="92">
        <f t="shared" ca="1" si="55"/>
        <v>6.25</v>
      </c>
      <c r="N1459" s="143">
        <f ca="1">(PRODUCT($O$5:$O1459)-1)*36000/_xlfn.DAYS(L1459, $C$2)</f>
        <v>9.3223858301660982</v>
      </c>
      <c r="O1459" s="149">
        <f t="shared" ca="1" si="56"/>
        <v>1.000173611111111</v>
      </c>
    </row>
    <row r="1460" spans="12:15" x14ac:dyDescent="0.25">
      <c r="L1460" s="147">
        <f ca="1"/>
        <v>46699</v>
      </c>
      <c r="M1460" s="92">
        <f t="shared" ca="1" si="55"/>
        <v>6.25</v>
      </c>
      <c r="N1460" s="143">
        <f ca="1">(PRODUCT($O$5:$O1460)-1)*36000/_xlfn.DAYS(L1460, $C$2)</f>
        <v>9.3218930332387657</v>
      </c>
      <c r="O1460" s="149">
        <f t="shared" ca="1" si="56"/>
        <v>1.000173611111111</v>
      </c>
    </row>
    <row r="1461" spans="12:15" x14ac:dyDescent="0.25">
      <c r="L1461" s="147">
        <f ca="1"/>
        <v>46700</v>
      </c>
      <c r="M1461" s="92">
        <f t="shared" ca="1" si="55"/>
        <v>6.25</v>
      </c>
      <c r="N1461" s="143">
        <f ca="1">(PRODUCT($O$5:$O1461)-1)*36000/_xlfn.DAYS(L1461, $C$2)</f>
        <v>9.3214019380928352</v>
      </c>
      <c r="O1461" s="149">
        <f t="shared" ca="1" si="56"/>
        <v>1.000173611111111</v>
      </c>
    </row>
    <row r="1462" spans="12:15" x14ac:dyDescent="0.25">
      <c r="L1462" s="147">
        <f ca="1"/>
        <v>46701</v>
      </c>
      <c r="M1462" s="92">
        <f t="shared" ca="1" si="55"/>
        <v>6.25</v>
      </c>
      <c r="N1462" s="143">
        <f ca="1">(PRODUCT($O$5:$O1462)-1)*36000/_xlfn.DAYS(L1462, $C$2)</f>
        <v>9.3209125414045886</v>
      </c>
      <c r="O1462" s="149">
        <f t="shared" ca="1" si="56"/>
        <v>1.000173611111111</v>
      </c>
    </row>
    <row r="1463" spans="12:15" x14ac:dyDescent="0.25">
      <c r="L1463" s="147">
        <f ca="1"/>
        <v>46702</v>
      </c>
      <c r="M1463" s="92">
        <f t="shared" ca="1" si="55"/>
        <v>6.25</v>
      </c>
      <c r="N1463" s="143">
        <f ca="1">(PRODUCT($O$5:$O1463)-1)*36000/_xlfn.DAYS(L1463, $C$2)</f>
        <v>9.3204248398594469</v>
      </c>
      <c r="O1463" s="149">
        <f t="shared" ca="1" si="56"/>
        <v>1.000173611111111</v>
      </c>
    </row>
    <row r="1464" spans="12:15" x14ac:dyDescent="0.25">
      <c r="L1464" s="147">
        <f ca="1"/>
        <v>46703</v>
      </c>
      <c r="M1464" s="92">
        <f t="shared" ca="1" si="55"/>
        <v>6.25</v>
      </c>
      <c r="N1464" s="143">
        <f ca="1">(PRODUCT($O$5:$O1464)-1)*36000/_xlfn.DAYS(L1464, $C$2)</f>
        <v>9.3199388301519406</v>
      </c>
      <c r="O1464" s="149">
        <f t="shared" ca="1" si="56"/>
        <v>1.000173611111111</v>
      </c>
    </row>
    <row r="1465" spans="12:15" x14ac:dyDescent="0.25">
      <c r="L1465" s="147">
        <f ca="1"/>
        <v>46704</v>
      </c>
      <c r="M1465" s="92">
        <f t="shared" ca="1" si="55"/>
        <v>6.25</v>
      </c>
      <c r="N1465" s="143">
        <f ca="1">(PRODUCT($O$5:$O1465)-1)*36000/_xlfn.DAYS(L1465, $C$2)</f>
        <v>9.3194545089856842</v>
      </c>
      <c r="O1465" s="149">
        <f t="shared" ca="1" si="56"/>
        <v>1.000173611111111</v>
      </c>
    </row>
    <row r="1466" spans="12:15" x14ac:dyDescent="0.25">
      <c r="L1466" s="147">
        <f ca="1"/>
        <v>46705</v>
      </c>
      <c r="M1466" s="92">
        <f t="shared" ca="1" si="55"/>
        <v>6.25</v>
      </c>
      <c r="N1466" s="143">
        <f ca="1">(PRODUCT($O$5:$O1466)-1)*36000/_xlfn.DAYS(L1466, $C$2)</f>
        <v>9.3189718730733428</v>
      </c>
      <c r="O1466" s="149">
        <f t="shared" ca="1" si="56"/>
        <v>1.000173611111111</v>
      </c>
    </row>
    <row r="1467" spans="12:15" x14ac:dyDescent="0.25">
      <c r="L1467" s="147">
        <f ca="1"/>
        <v>46706</v>
      </c>
      <c r="M1467" s="92">
        <f t="shared" ca="1" si="55"/>
        <v>6.25</v>
      </c>
      <c r="N1467" s="143">
        <f ca="1">(PRODUCT($O$5:$O1467)-1)*36000/_xlfn.DAYS(L1467, $C$2)</f>
        <v>9.318490919136595</v>
      </c>
      <c r="O1467" s="149">
        <f t="shared" ca="1" si="56"/>
        <v>1.000173611111111</v>
      </c>
    </row>
    <row r="1468" spans="12:15" x14ac:dyDescent="0.25">
      <c r="L1468" s="147">
        <f ca="1"/>
        <v>46707</v>
      </c>
      <c r="M1468" s="92">
        <f t="shared" ca="1" si="55"/>
        <v>6.25</v>
      </c>
      <c r="N1468" s="143">
        <f ca="1">(PRODUCT($O$5:$O1468)-1)*36000/_xlfn.DAYS(L1468, $C$2)</f>
        <v>9.3180116439061145</v>
      </c>
      <c r="O1468" s="149">
        <f t="shared" ca="1" si="56"/>
        <v>1.000173611111111</v>
      </c>
    </row>
    <row r="1469" spans="12:15" x14ac:dyDescent="0.25">
      <c r="L1469" s="147">
        <f ca="1"/>
        <v>46708</v>
      </c>
      <c r="M1469" s="92">
        <f t="shared" ca="1" si="55"/>
        <v>6.25</v>
      </c>
      <c r="N1469" s="143">
        <f ca="1">(PRODUCT($O$5:$O1469)-1)*36000/_xlfn.DAYS(L1469, $C$2)</f>
        <v>9.3175340441215262</v>
      </c>
      <c r="O1469" s="149">
        <f t="shared" ca="1" si="56"/>
        <v>1.000173611111111</v>
      </c>
    </row>
    <row r="1470" spans="12:15" x14ac:dyDescent="0.25">
      <c r="L1470" s="147">
        <f ca="1"/>
        <v>46709</v>
      </c>
      <c r="M1470" s="92">
        <f t="shared" ca="1" si="55"/>
        <v>6.25</v>
      </c>
      <c r="N1470" s="143">
        <f ca="1">(PRODUCT($O$5:$O1470)-1)*36000/_xlfn.DAYS(L1470, $C$2)</f>
        <v>9.3170581165313884</v>
      </c>
      <c r="O1470" s="149">
        <f t="shared" ca="1" si="56"/>
        <v>1.000173611111111</v>
      </c>
    </row>
    <row r="1471" spans="12:15" x14ac:dyDescent="0.25">
      <c r="L1471" s="147">
        <f ca="1"/>
        <v>46710</v>
      </c>
      <c r="M1471" s="92">
        <f t="shared" ca="1" si="55"/>
        <v>6.25</v>
      </c>
      <c r="N1471" s="143">
        <f ca="1">(PRODUCT($O$5:$O1471)-1)*36000/_xlfn.DAYS(L1471, $C$2)</f>
        <v>9.3165838578931517</v>
      </c>
      <c r="O1471" s="149">
        <f t="shared" ca="1" si="56"/>
        <v>1.000173611111111</v>
      </c>
    </row>
    <row r="1472" spans="12:15" x14ac:dyDescent="0.25">
      <c r="L1472" s="147">
        <f ca="1"/>
        <v>46711</v>
      </c>
      <c r="M1472" s="92">
        <f t="shared" ca="1" si="55"/>
        <v>6.25</v>
      </c>
      <c r="N1472" s="143">
        <f ca="1">(PRODUCT($O$5:$O1472)-1)*36000/_xlfn.DAYS(L1472, $C$2)</f>
        <v>9.3161112649731308</v>
      </c>
      <c r="O1472" s="149">
        <f t="shared" ca="1" si="56"/>
        <v>1.000173611111111</v>
      </c>
    </row>
    <row r="1473" spans="12:15" x14ac:dyDescent="0.25">
      <c r="L1473" s="147">
        <f ca="1"/>
        <v>46712</v>
      </c>
      <c r="M1473" s="92">
        <f t="shared" ca="1" si="55"/>
        <v>6.25</v>
      </c>
      <c r="N1473" s="143">
        <f ca="1">(PRODUCT($O$5:$O1473)-1)*36000/_xlfn.DAYS(L1473, $C$2)</f>
        <v>9.3156403345464813</v>
      </c>
      <c r="O1473" s="149">
        <f t="shared" ca="1" si="56"/>
        <v>1.000173611111111</v>
      </c>
    </row>
    <row r="1474" spans="12:15" x14ac:dyDescent="0.25">
      <c r="L1474" s="147">
        <f ca="1"/>
        <v>46713</v>
      </c>
      <c r="M1474" s="92">
        <f t="shared" ca="1" si="55"/>
        <v>6.25</v>
      </c>
      <c r="N1474" s="143">
        <f ca="1">(PRODUCT($O$5:$O1474)-1)*36000/_xlfn.DAYS(L1474, $C$2)</f>
        <v>9.3151710633971536</v>
      </c>
      <c r="O1474" s="149">
        <f t="shared" ca="1" si="56"/>
        <v>1.000173611111111</v>
      </c>
    </row>
    <row r="1475" spans="12:15" x14ac:dyDescent="0.25">
      <c r="L1475" s="147">
        <f ca="1"/>
        <v>46714</v>
      </c>
      <c r="M1475" s="92">
        <f t="shared" ca="1" si="55"/>
        <v>6.25</v>
      </c>
      <c r="N1475" s="143">
        <f ca="1">(PRODUCT($O$5:$O1475)-1)*36000/_xlfn.DAYS(L1475, $C$2)</f>
        <v>9.3147034483178892</v>
      </c>
      <c r="O1475" s="149">
        <f t="shared" ca="1" si="56"/>
        <v>1.000173611111111</v>
      </c>
    </row>
    <row r="1476" spans="12:15" x14ac:dyDescent="0.25">
      <c r="L1476" s="147">
        <f ca="1"/>
        <v>46715</v>
      </c>
      <c r="M1476" s="92">
        <f t="shared" ca="1" si="55"/>
        <v>6.25</v>
      </c>
      <c r="N1476" s="143">
        <f ca="1">(PRODUCT($O$5:$O1476)-1)*36000/_xlfn.DAYS(L1476, $C$2)</f>
        <v>9.314237486110164</v>
      </c>
      <c r="O1476" s="149">
        <f t="shared" ca="1" si="56"/>
        <v>1.000173611111111</v>
      </c>
    </row>
    <row r="1477" spans="12:15" x14ac:dyDescent="0.25">
      <c r="L1477" s="147">
        <f ca="1"/>
        <v>46716</v>
      </c>
      <c r="M1477" s="92">
        <f t="shared" ref="M1477:M1540" ca="1" si="57">IFERROR(INDEX($E$27:$H$47, MATCH(L1477, $F$27:$F$47, 0), 4), IF(ISNUMBER(M1476), M1476, $C$5))</f>
        <v>6.25</v>
      </c>
      <c r="N1477" s="143">
        <f ca="1">(PRODUCT($O$5:$O1477)-1)*36000/_xlfn.DAYS(L1477, $C$2)</f>
        <v>9.3137731735841811</v>
      </c>
      <c r="O1477" s="149">
        <f t="shared" ca="1" si="56"/>
        <v>1.000173611111111</v>
      </c>
    </row>
    <row r="1478" spans="12:15" x14ac:dyDescent="0.25">
      <c r="L1478" s="147">
        <f ca="1"/>
        <v>46717</v>
      </c>
      <c r="M1478" s="92">
        <f t="shared" ca="1" si="57"/>
        <v>6.25</v>
      </c>
      <c r="N1478" s="143">
        <f ca="1">(PRODUCT($O$5:$O1478)-1)*36000/_xlfn.DAYS(L1478, $C$2)</f>
        <v>9.3133105075588194</v>
      </c>
      <c r="O1478" s="149">
        <f t="shared" ref="O1478:O1541" ca="1" si="58">1+M1478*IFERROR(_xlfn.DAYS(L1478, L1477), _xlfn.DAYS(L1478, $C$2))/36000</f>
        <v>1.000173611111111</v>
      </c>
    </row>
    <row r="1479" spans="12:15" x14ac:dyDescent="0.25">
      <c r="L1479" s="147">
        <f ca="1"/>
        <v>46718</v>
      </c>
      <c r="M1479" s="92">
        <f t="shared" ca="1" si="57"/>
        <v>6.25</v>
      </c>
      <c r="N1479" s="143">
        <f ca="1">(PRODUCT($O$5:$O1479)-1)*36000/_xlfn.DAYS(L1479, $C$2)</f>
        <v>9.3128494848616192</v>
      </c>
      <c r="O1479" s="149">
        <f t="shared" ca="1" si="58"/>
        <v>1.000173611111111</v>
      </c>
    </row>
    <row r="1480" spans="12:15" x14ac:dyDescent="0.25">
      <c r="L1480" s="147">
        <f ca="1"/>
        <v>46719</v>
      </c>
      <c r="M1480" s="92">
        <f t="shared" ca="1" si="57"/>
        <v>6.25</v>
      </c>
      <c r="N1480" s="143">
        <f ca="1">(PRODUCT($O$5:$O1480)-1)*36000/_xlfn.DAYS(L1480, $C$2)</f>
        <v>9.312390102328747</v>
      </c>
      <c r="O1480" s="149">
        <f t="shared" ca="1" si="58"/>
        <v>1.000173611111111</v>
      </c>
    </row>
    <row r="1481" spans="12:15" x14ac:dyDescent="0.25">
      <c r="L1481" s="147">
        <f ca="1"/>
        <v>46720</v>
      </c>
      <c r="M1481" s="92">
        <f t="shared" ca="1" si="57"/>
        <v>6.25</v>
      </c>
      <c r="N1481" s="143">
        <f ca="1">(PRODUCT($O$5:$O1481)-1)*36000/_xlfn.DAYS(L1481, $C$2)</f>
        <v>9.3119323568049737</v>
      </c>
      <c r="O1481" s="149">
        <f t="shared" ca="1" si="58"/>
        <v>1.000173611111111</v>
      </c>
    </row>
    <row r="1482" spans="12:15" x14ac:dyDescent="0.25">
      <c r="L1482" s="147">
        <f ca="1"/>
        <v>46721</v>
      </c>
      <c r="M1482" s="92">
        <f t="shared" ca="1" si="57"/>
        <v>6.25</v>
      </c>
      <c r="N1482" s="143">
        <f ca="1">(PRODUCT($O$5:$O1482)-1)*36000/_xlfn.DAYS(L1482, $C$2)</f>
        <v>9.3114762451436395</v>
      </c>
      <c r="O1482" s="149">
        <f t="shared" ca="1" si="58"/>
        <v>1.000173611111111</v>
      </c>
    </row>
    <row r="1483" spans="12:15" x14ac:dyDescent="0.25">
      <c r="L1483" s="147">
        <f ca="1"/>
        <v>46722</v>
      </c>
      <c r="M1483" s="92">
        <f t="shared" ca="1" si="57"/>
        <v>6.25</v>
      </c>
      <c r="N1483" s="143">
        <f ca="1">(PRODUCT($O$5:$O1483)-1)*36000/_xlfn.DAYS(L1483, $C$2)</f>
        <v>9.3110217642066164</v>
      </c>
      <c r="O1483" s="149">
        <f t="shared" ca="1" si="58"/>
        <v>1.000173611111111</v>
      </c>
    </row>
    <row r="1484" spans="12:15" x14ac:dyDescent="0.25">
      <c r="L1484" s="147">
        <f ca="1"/>
        <v>46723</v>
      </c>
      <c r="M1484" s="92">
        <f t="shared" ca="1" si="57"/>
        <v>6.25</v>
      </c>
      <c r="N1484" s="143">
        <f ca="1">(PRODUCT($O$5:$O1484)-1)*36000/_xlfn.DAYS(L1484, $C$2)</f>
        <v>9.3105689108642959</v>
      </c>
      <c r="O1484" s="149">
        <f t="shared" ca="1" si="58"/>
        <v>1.000173611111111</v>
      </c>
    </row>
    <row r="1485" spans="12:15" x14ac:dyDescent="0.25">
      <c r="L1485" s="147">
        <f ca="1"/>
        <v>46724</v>
      </c>
      <c r="M1485" s="92">
        <f t="shared" ca="1" si="57"/>
        <v>6.25</v>
      </c>
      <c r="N1485" s="143">
        <f ca="1">(PRODUCT($O$5:$O1485)-1)*36000/_xlfn.DAYS(L1485, $C$2)</f>
        <v>9.3101176819955551</v>
      </c>
      <c r="O1485" s="149">
        <f t="shared" ca="1" si="58"/>
        <v>1.000173611111111</v>
      </c>
    </row>
    <row r="1486" spans="12:15" x14ac:dyDescent="0.25">
      <c r="L1486" s="147">
        <f ca="1"/>
        <v>46725</v>
      </c>
      <c r="M1486" s="92">
        <f t="shared" ca="1" si="57"/>
        <v>6.25</v>
      </c>
      <c r="N1486" s="143">
        <f ca="1">(PRODUCT($O$5:$O1486)-1)*36000/_xlfn.DAYS(L1486, $C$2)</f>
        <v>9.3096680744877194</v>
      </c>
      <c r="O1486" s="149">
        <f t="shared" ca="1" si="58"/>
        <v>1.000173611111111</v>
      </c>
    </row>
    <row r="1487" spans="12:15" x14ac:dyDescent="0.25">
      <c r="L1487" s="147">
        <f ca="1"/>
        <v>46726</v>
      </c>
      <c r="M1487" s="92">
        <f t="shared" ca="1" si="57"/>
        <v>6.25</v>
      </c>
      <c r="N1487" s="143">
        <f ca="1">(PRODUCT($O$5:$O1487)-1)*36000/_xlfn.DAYS(L1487, $C$2)</f>
        <v>9.3092200852365448</v>
      </c>
      <c r="O1487" s="149">
        <f t="shared" ca="1" si="58"/>
        <v>1.000173611111111</v>
      </c>
    </row>
    <row r="1488" spans="12:15" x14ac:dyDescent="0.25">
      <c r="L1488" s="147">
        <f ca="1"/>
        <v>46727</v>
      </c>
      <c r="M1488" s="92">
        <f t="shared" ca="1" si="57"/>
        <v>6.25</v>
      </c>
      <c r="N1488" s="143">
        <f ca="1">(PRODUCT($O$5:$O1488)-1)*36000/_xlfn.DAYS(L1488, $C$2)</f>
        <v>9.3087737111461788</v>
      </c>
      <c r="O1488" s="149">
        <f t="shared" ca="1" si="58"/>
        <v>1.000173611111111</v>
      </c>
    </row>
    <row r="1489" spans="12:15" x14ac:dyDescent="0.25">
      <c r="L1489" s="147">
        <f ca="1"/>
        <v>46728</v>
      </c>
      <c r="M1489" s="92">
        <f t="shared" ca="1" si="57"/>
        <v>6.25</v>
      </c>
      <c r="N1489" s="143">
        <f ca="1">(PRODUCT($O$5:$O1489)-1)*36000/_xlfn.DAYS(L1489, $C$2)</f>
        <v>9.3083289491291463</v>
      </c>
      <c r="O1489" s="149">
        <f t="shared" ca="1" si="58"/>
        <v>1.000173611111111</v>
      </c>
    </row>
    <row r="1490" spans="12:15" x14ac:dyDescent="0.25">
      <c r="L1490" s="147">
        <f ca="1"/>
        <v>46729</v>
      </c>
      <c r="M1490" s="92">
        <f t="shared" ca="1" si="57"/>
        <v>6.25</v>
      </c>
      <c r="N1490" s="143">
        <f ca="1">(PRODUCT($O$5:$O1490)-1)*36000/_xlfn.DAYS(L1490, $C$2)</f>
        <v>9.3078857961063068</v>
      </c>
      <c r="O1490" s="149">
        <f t="shared" ca="1" si="58"/>
        <v>1.000173611111111</v>
      </c>
    </row>
    <row r="1491" spans="12:15" x14ac:dyDescent="0.25">
      <c r="L1491" s="147">
        <f ca="1"/>
        <v>46730</v>
      </c>
      <c r="M1491" s="92">
        <f t="shared" ca="1" si="57"/>
        <v>6.25</v>
      </c>
      <c r="N1491" s="143">
        <f ca="1">(PRODUCT($O$5:$O1491)-1)*36000/_xlfn.DAYS(L1491, $C$2)</f>
        <v>9.3074442490068421</v>
      </c>
      <c r="O1491" s="149">
        <f t="shared" ca="1" si="58"/>
        <v>1.000173611111111</v>
      </c>
    </row>
    <row r="1492" spans="12:15" x14ac:dyDescent="0.25">
      <c r="L1492" s="147">
        <f ca="1"/>
        <v>46731</v>
      </c>
      <c r="M1492" s="92">
        <f t="shared" ca="1" si="57"/>
        <v>6.25</v>
      </c>
      <c r="N1492" s="143">
        <f ca="1">(PRODUCT($O$5:$O1492)-1)*36000/_xlfn.DAYS(L1492, $C$2)</f>
        <v>9.3070043047682063</v>
      </c>
      <c r="O1492" s="149">
        <f t="shared" ca="1" si="58"/>
        <v>1.000173611111111</v>
      </c>
    </row>
    <row r="1493" spans="12:15" x14ac:dyDescent="0.25">
      <c r="L1493" s="147">
        <f ca="1"/>
        <v>46732</v>
      </c>
      <c r="M1493" s="92">
        <f t="shared" ca="1" si="57"/>
        <v>6.25</v>
      </c>
      <c r="N1493" s="143">
        <f ca="1">(PRODUCT($O$5:$O1493)-1)*36000/_xlfn.DAYS(L1493, $C$2)</f>
        <v>9.3065659603361226</v>
      </c>
      <c r="O1493" s="149">
        <f t="shared" ca="1" si="58"/>
        <v>1.000173611111111</v>
      </c>
    </row>
    <row r="1494" spans="12:15" x14ac:dyDescent="0.25">
      <c r="L1494" s="147">
        <f ca="1"/>
        <v>46733</v>
      </c>
      <c r="M1494" s="92">
        <f t="shared" ca="1" si="57"/>
        <v>6.25</v>
      </c>
      <c r="N1494" s="143">
        <f ca="1">(PRODUCT($O$5:$O1494)-1)*36000/_xlfn.DAYS(L1494, $C$2)</f>
        <v>9.3061292126645352</v>
      </c>
      <c r="O1494" s="149">
        <f t="shared" ca="1" si="58"/>
        <v>1.000173611111111</v>
      </c>
    </row>
    <row r="1495" spans="12:15" x14ac:dyDescent="0.25">
      <c r="L1495" s="147">
        <f ca="1"/>
        <v>46734</v>
      </c>
      <c r="M1495" s="92">
        <f t="shared" ca="1" si="57"/>
        <v>6.25</v>
      </c>
      <c r="N1495" s="143">
        <f ca="1">(PRODUCT($O$5:$O1495)-1)*36000/_xlfn.DAYS(L1495, $C$2)</f>
        <v>9.3056940587155985</v>
      </c>
      <c r="O1495" s="149">
        <f t="shared" ca="1" si="58"/>
        <v>1.000173611111111</v>
      </c>
    </row>
    <row r="1496" spans="12:15" x14ac:dyDescent="0.25">
      <c r="L1496" s="147">
        <f ca="1"/>
        <v>46735</v>
      </c>
      <c r="M1496" s="92">
        <f t="shared" ca="1" si="57"/>
        <v>6.25</v>
      </c>
      <c r="N1496" s="143">
        <f ca="1">(PRODUCT($O$5:$O1496)-1)*36000/_xlfn.DAYS(L1496, $C$2)</f>
        <v>9.3052604954596365</v>
      </c>
      <c r="O1496" s="149">
        <f t="shared" ca="1" si="58"/>
        <v>1.000173611111111</v>
      </c>
    </row>
    <row r="1497" spans="12:15" x14ac:dyDescent="0.25">
      <c r="L1497" s="147">
        <f ca="1"/>
        <v>46736</v>
      </c>
      <c r="M1497" s="92">
        <f t="shared" ca="1" si="57"/>
        <v>6.25</v>
      </c>
      <c r="N1497" s="143">
        <f ca="1">(PRODUCT($O$5:$O1497)-1)*36000/_xlfn.DAYS(L1497, $C$2)</f>
        <v>9.304828519875123</v>
      </c>
      <c r="O1497" s="149">
        <f t="shared" ca="1" si="58"/>
        <v>1.000173611111111</v>
      </c>
    </row>
    <row r="1498" spans="12:15" x14ac:dyDescent="0.25">
      <c r="L1498" s="147">
        <f ca="1"/>
        <v>46737</v>
      </c>
      <c r="M1498" s="92">
        <f t="shared" ca="1" si="57"/>
        <v>6.25</v>
      </c>
      <c r="N1498" s="143">
        <f ca="1">(PRODUCT($O$5:$O1498)-1)*36000/_xlfn.DAYS(L1498, $C$2)</f>
        <v>9.3043981289486499</v>
      </c>
      <c r="O1498" s="149">
        <f t="shared" ca="1" si="58"/>
        <v>1.000173611111111</v>
      </c>
    </row>
    <row r="1499" spans="12:15" x14ac:dyDescent="0.25">
      <c r="L1499" s="147">
        <f ca="1"/>
        <v>46738</v>
      </c>
      <c r="M1499" s="92">
        <f t="shared" ca="1" si="57"/>
        <v>6.25</v>
      </c>
      <c r="N1499" s="143">
        <f ca="1">(PRODUCT($O$5:$O1499)-1)*36000/_xlfn.DAYS(L1499, $C$2)</f>
        <v>9.3039693196748967</v>
      </c>
      <c r="O1499" s="149">
        <f t="shared" ca="1" si="58"/>
        <v>1.000173611111111</v>
      </c>
    </row>
    <row r="1500" spans="12:15" x14ac:dyDescent="0.25">
      <c r="L1500" s="147">
        <f ca="1"/>
        <v>46739</v>
      </c>
      <c r="M1500" s="92">
        <f t="shared" ca="1" si="57"/>
        <v>6.25</v>
      </c>
      <c r="N1500" s="143">
        <f ca="1">(PRODUCT($O$5:$O1500)-1)*36000/_xlfn.DAYS(L1500, $C$2)</f>
        <v>9.3035420890566272</v>
      </c>
      <c r="O1500" s="149">
        <f t="shared" ca="1" si="58"/>
        <v>1.000173611111111</v>
      </c>
    </row>
    <row r="1501" spans="12:15" x14ac:dyDescent="0.25">
      <c r="L1501" s="147">
        <f ca="1"/>
        <v>46740</v>
      </c>
      <c r="M1501" s="92">
        <f t="shared" ca="1" si="57"/>
        <v>6.25</v>
      </c>
      <c r="N1501" s="143">
        <f ca="1">(PRODUCT($O$5:$O1501)-1)*36000/_xlfn.DAYS(L1501, $C$2)</f>
        <v>9.30311643410462</v>
      </c>
      <c r="O1501" s="149">
        <f t="shared" ca="1" si="58"/>
        <v>1.000173611111111</v>
      </c>
    </row>
    <row r="1502" spans="12:15" x14ac:dyDescent="0.25">
      <c r="L1502" s="147">
        <f ca="1"/>
        <v>46741</v>
      </c>
      <c r="M1502" s="92">
        <f t="shared" ca="1" si="57"/>
        <v>6.25</v>
      </c>
      <c r="N1502" s="143">
        <f ca="1">(PRODUCT($O$5:$O1502)-1)*36000/_xlfn.DAYS(L1502, $C$2)</f>
        <v>9.3026923518376847</v>
      </c>
      <c r="O1502" s="149">
        <f t="shared" ca="1" si="58"/>
        <v>1.000173611111111</v>
      </c>
    </row>
    <row r="1503" spans="12:15" x14ac:dyDescent="0.25">
      <c r="L1503" s="147">
        <f ca="1"/>
        <v>46742</v>
      </c>
      <c r="M1503" s="92">
        <f t="shared" ca="1" si="57"/>
        <v>6.25</v>
      </c>
      <c r="N1503" s="143">
        <f ca="1">(PRODUCT($O$5:$O1503)-1)*36000/_xlfn.DAYS(L1503, $C$2)</f>
        <v>9.3022698392826051</v>
      </c>
      <c r="O1503" s="149">
        <f t="shared" ca="1" si="58"/>
        <v>1.000173611111111</v>
      </c>
    </row>
    <row r="1504" spans="12:15" x14ac:dyDescent="0.25">
      <c r="L1504" s="147">
        <f ca="1"/>
        <v>46743</v>
      </c>
      <c r="M1504" s="92">
        <f t="shared" ca="1" si="57"/>
        <v>6.25</v>
      </c>
      <c r="N1504" s="143">
        <f ca="1">(PRODUCT($O$5:$O1504)-1)*36000/_xlfn.DAYS(L1504, $C$2)</f>
        <v>9.3018488934741335</v>
      </c>
      <c r="O1504" s="149">
        <f t="shared" ca="1" si="58"/>
        <v>1.000173611111111</v>
      </c>
    </row>
    <row r="1505" spans="12:15" x14ac:dyDescent="0.25">
      <c r="L1505" s="147">
        <f ca="1"/>
        <v>46744</v>
      </c>
      <c r="M1505" s="92">
        <f t="shared" ca="1" si="57"/>
        <v>6.25</v>
      </c>
      <c r="N1505" s="143">
        <f ca="1">(PRODUCT($O$5:$O1505)-1)*36000/_xlfn.DAYS(L1505, $C$2)</f>
        <v>9.301429511454943</v>
      </c>
      <c r="O1505" s="149">
        <f t="shared" ca="1" si="58"/>
        <v>1.000173611111111</v>
      </c>
    </row>
    <row r="1506" spans="12:15" x14ac:dyDescent="0.25">
      <c r="L1506" s="147">
        <f ca="1"/>
        <v>46745</v>
      </c>
      <c r="M1506" s="92">
        <f t="shared" ca="1" si="57"/>
        <v>6.25</v>
      </c>
      <c r="N1506" s="143">
        <f ca="1">(PRODUCT($O$5:$O1506)-1)*36000/_xlfn.DAYS(L1506, $C$2)</f>
        <v>9.3010116902756241</v>
      </c>
      <c r="O1506" s="149">
        <f t="shared" ca="1" si="58"/>
        <v>1.000173611111111</v>
      </c>
    </row>
    <row r="1507" spans="12:15" x14ac:dyDescent="0.25">
      <c r="L1507" s="147">
        <f ca="1"/>
        <v>46746</v>
      </c>
      <c r="M1507" s="92">
        <f t="shared" ca="1" si="57"/>
        <v>6.25</v>
      </c>
      <c r="N1507" s="143">
        <f ca="1">(PRODUCT($O$5:$O1507)-1)*36000/_xlfn.DAYS(L1507, $C$2)</f>
        <v>9.3005954269946383</v>
      </c>
      <c r="O1507" s="149">
        <f t="shared" ca="1" si="58"/>
        <v>1.000173611111111</v>
      </c>
    </row>
    <row r="1508" spans="12:15" x14ac:dyDescent="0.25">
      <c r="L1508" s="147">
        <f ca="1"/>
        <v>46747</v>
      </c>
      <c r="M1508" s="92">
        <f t="shared" ca="1" si="57"/>
        <v>6.25</v>
      </c>
      <c r="N1508" s="143">
        <f ca="1">(PRODUCT($O$5:$O1508)-1)*36000/_xlfn.DAYS(L1508, $C$2)</f>
        <v>9.3001807186783054</v>
      </c>
      <c r="O1508" s="149">
        <f t="shared" ca="1" si="58"/>
        <v>1.000173611111111</v>
      </c>
    </row>
    <row r="1509" spans="12:15" x14ac:dyDescent="0.25">
      <c r="L1509" s="147">
        <f ca="1"/>
        <v>46748</v>
      </c>
      <c r="M1509" s="92">
        <f t="shared" ca="1" si="57"/>
        <v>6.25</v>
      </c>
      <c r="N1509" s="143">
        <f ca="1">(PRODUCT($O$5:$O1509)-1)*36000/_xlfn.DAYS(L1509, $C$2)</f>
        <v>9.2997675624007687</v>
      </c>
      <c r="O1509" s="149">
        <f t="shared" ca="1" si="58"/>
        <v>1.000173611111111</v>
      </c>
    </row>
    <row r="1510" spans="12:15" x14ac:dyDescent="0.25">
      <c r="L1510" s="147">
        <f ca="1"/>
        <v>46749</v>
      </c>
      <c r="M1510" s="92">
        <f t="shared" ca="1" si="57"/>
        <v>6.25</v>
      </c>
      <c r="N1510" s="143">
        <f ca="1">(PRODUCT($O$5:$O1510)-1)*36000/_xlfn.DAYS(L1510, $C$2)</f>
        <v>9.2993559552439748</v>
      </c>
      <c r="O1510" s="149">
        <f t="shared" ca="1" si="58"/>
        <v>1.000173611111111</v>
      </c>
    </row>
    <row r="1511" spans="12:15" x14ac:dyDescent="0.25">
      <c r="L1511" s="147">
        <f ca="1"/>
        <v>46750</v>
      </c>
      <c r="M1511" s="92">
        <f t="shared" ca="1" si="57"/>
        <v>6.25</v>
      </c>
      <c r="N1511" s="143">
        <f ca="1">(PRODUCT($O$5:$O1511)-1)*36000/_xlfn.DAYS(L1511, $C$2)</f>
        <v>9.2989458942976455</v>
      </c>
      <c r="O1511" s="149">
        <f t="shared" ca="1" si="58"/>
        <v>1.000173611111111</v>
      </c>
    </row>
    <row r="1512" spans="12:15" x14ac:dyDescent="0.25">
      <c r="L1512" s="147">
        <f ca="1"/>
        <v>46751</v>
      </c>
      <c r="M1512" s="92">
        <f t="shared" ca="1" si="57"/>
        <v>6.25</v>
      </c>
      <c r="N1512" s="143">
        <f ca="1">(PRODUCT($O$5:$O1512)-1)*36000/_xlfn.DAYS(L1512, $C$2)</f>
        <v>9.2985373766592545</v>
      </c>
      <c r="O1512" s="149">
        <f t="shared" ca="1" si="58"/>
        <v>1.000173611111111</v>
      </c>
    </row>
    <row r="1513" spans="12:15" x14ac:dyDescent="0.25">
      <c r="L1513" s="147">
        <f ca="1"/>
        <v>46752</v>
      </c>
      <c r="M1513" s="92">
        <f t="shared" ca="1" si="57"/>
        <v>6.25</v>
      </c>
      <c r="N1513" s="143">
        <f ca="1">(PRODUCT($O$5:$O1513)-1)*36000/_xlfn.DAYS(L1513, $C$2)</f>
        <v>9.2981303994339974</v>
      </c>
      <c r="O1513" s="149">
        <f t="shared" ca="1" si="58"/>
        <v>1.000173611111111</v>
      </c>
    </row>
    <row r="1514" spans="12:15" x14ac:dyDescent="0.25">
      <c r="L1514" s="147">
        <f ca="1"/>
        <v>46753</v>
      </c>
      <c r="M1514" s="92">
        <f t="shared" ca="1" si="57"/>
        <v>6.25</v>
      </c>
      <c r="N1514" s="143">
        <f ca="1">(PRODUCT($O$5:$O1514)-1)*36000/_xlfn.DAYS(L1514, $C$2)</f>
        <v>9.2977249597347704</v>
      </c>
      <c r="O1514" s="149">
        <f t="shared" ca="1" si="58"/>
        <v>1.000173611111111</v>
      </c>
    </row>
    <row r="1515" spans="12:15" x14ac:dyDescent="0.25">
      <c r="L1515" s="147">
        <f ca="1"/>
        <v>46754</v>
      </c>
      <c r="M1515" s="92">
        <f t="shared" ca="1" si="57"/>
        <v>6.25</v>
      </c>
      <c r="N1515" s="143">
        <f ca="1">(PRODUCT($O$5:$O1515)-1)*36000/_xlfn.DAYS(L1515, $C$2)</f>
        <v>9.2973210546821345</v>
      </c>
      <c r="O1515" s="149">
        <f t="shared" ca="1" si="58"/>
        <v>1.000173611111111</v>
      </c>
    </row>
    <row r="1516" spans="12:15" x14ac:dyDescent="0.25">
      <c r="L1516" s="147">
        <f ca="1"/>
        <v>46755</v>
      </c>
      <c r="M1516" s="92">
        <f t="shared" ca="1" si="57"/>
        <v>6.25</v>
      </c>
      <c r="N1516" s="143">
        <f ca="1">(PRODUCT($O$5:$O1516)-1)*36000/_xlfn.DAYS(L1516, $C$2)</f>
        <v>9.2969186814043123</v>
      </c>
      <c r="O1516" s="149">
        <f t="shared" ca="1" si="58"/>
        <v>1.000173611111111</v>
      </c>
    </row>
    <row r="1517" spans="12:15" x14ac:dyDescent="0.25">
      <c r="L1517" s="147">
        <f ca="1"/>
        <v>46756</v>
      </c>
      <c r="M1517" s="92">
        <f t="shared" ca="1" si="57"/>
        <v>6.25</v>
      </c>
      <c r="N1517" s="143">
        <f ca="1">(PRODUCT($O$5:$O1517)-1)*36000/_xlfn.DAYS(L1517, $C$2)</f>
        <v>9.2965178370371326</v>
      </c>
      <c r="O1517" s="149">
        <f t="shared" ca="1" si="58"/>
        <v>1.000173611111111</v>
      </c>
    </row>
    <row r="1518" spans="12:15" x14ac:dyDescent="0.25">
      <c r="L1518" s="147">
        <f ca="1"/>
        <v>46757</v>
      </c>
      <c r="M1518" s="92">
        <f t="shared" ca="1" si="57"/>
        <v>6.25</v>
      </c>
      <c r="N1518" s="143">
        <f ca="1">(PRODUCT($O$5:$O1518)-1)*36000/_xlfn.DAYS(L1518, $C$2)</f>
        <v>9.2961185187240343</v>
      </c>
      <c r="O1518" s="149">
        <f t="shared" ca="1" si="58"/>
        <v>1.000173611111111</v>
      </c>
    </row>
    <row r="1519" spans="12:15" x14ac:dyDescent="0.25">
      <c r="L1519" s="147">
        <f ca="1"/>
        <v>46758</v>
      </c>
      <c r="M1519" s="92">
        <f t="shared" ca="1" si="57"/>
        <v>6.25</v>
      </c>
      <c r="N1519" s="143">
        <f ca="1">(PRODUCT($O$5:$O1519)-1)*36000/_xlfn.DAYS(L1519, $C$2)</f>
        <v>9.2957207236160251</v>
      </c>
      <c r="O1519" s="149">
        <f t="shared" ca="1" si="58"/>
        <v>1.000173611111111</v>
      </c>
    </row>
    <row r="1520" spans="12:15" x14ac:dyDescent="0.25">
      <c r="L1520" s="147">
        <f ca="1"/>
        <v>46759</v>
      </c>
      <c r="M1520" s="92">
        <f t="shared" ca="1" si="57"/>
        <v>6.25</v>
      </c>
      <c r="N1520" s="143">
        <f ca="1">(PRODUCT($O$5:$O1520)-1)*36000/_xlfn.DAYS(L1520, $C$2)</f>
        <v>9.2953244488716553</v>
      </c>
      <c r="O1520" s="149">
        <f t="shared" ca="1" si="58"/>
        <v>1.000173611111111</v>
      </c>
    </row>
    <row r="1521" spans="12:15" x14ac:dyDescent="0.25">
      <c r="L1521" s="147">
        <f ca="1"/>
        <v>46760</v>
      </c>
      <c r="M1521" s="92">
        <f t="shared" ca="1" si="57"/>
        <v>6.25</v>
      </c>
      <c r="N1521" s="143">
        <f ca="1">(PRODUCT($O$5:$O1521)-1)*36000/_xlfn.DAYS(L1521, $C$2)</f>
        <v>9.294929691657007</v>
      </c>
      <c r="O1521" s="149">
        <f t="shared" ca="1" si="58"/>
        <v>1.000173611111111</v>
      </c>
    </row>
    <row r="1522" spans="12:15" x14ac:dyDescent="0.25">
      <c r="L1522" s="147">
        <f ca="1"/>
        <v>46761</v>
      </c>
      <c r="M1522" s="92">
        <f t="shared" ca="1" si="57"/>
        <v>6.25</v>
      </c>
      <c r="N1522" s="143">
        <f ca="1">(PRODUCT($O$5:$O1522)-1)*36000/_xlfn.DAYS(L1522, $C$2)</f>
        <v>9.2945364491456459</v>
      </c>
      <c r="O1522" s="149">
        <f t="shared" ca="1" si="58"/>
        <v>1.000173611111111</v>
      </c>
    </row>
    <row r="1523" spans="12:15" x14ac:dyDescent="0.25">
      <c r="L1523" s="147">
        <f ca="1"/>
        <v>46762</v>
      </c>
      <c r="M1523" s="92">
        <f t="shared" ca="1" si="57"/>
        <v>6.25</v>
      </c>
      <c r="N1523" s="143">
        <f ca="1">(PRODUCT($O$5:$O1523)-1)*36000/_xlfn.DAYS(L1523, $C$2)</f>
        <v>9.2941447185186234</v>
      </c>
      <c r="O1523" s="149">
        <f t="shared" ca="1" si="58"/>
        <v>1.000173611111111</v>
      </c>
    </row>
    <row r="1524" spans="12:15" x14ac:dyDescent="0.25">
      <c r="L1524" s="147">
        <f ca="1"/>
        <v>46763</v>
      </c>
      <c r="M1524" s="92">
        <f t="shared" ca="1" si="57"/>
        <v>6.25</v>
      </c>
      <c r="N1524" s="143">
        <f ca="1">(PRODUCT($O$5:$O1524)-1)*36000/_xlfn.DAYS(L1524, $C$2)</f>
        <v>9.2937544969644303</v>
      </c>
      <c r="O1524" s="149">
        <f t="shared" ca="1" si="58"/>
        <v>1.000173611111111</v>
      </c>
    </row>
    <row r="1525" spans="12:15" x14ac:dyDescent="0.25">
      <c r="L1525" s="147">
        <f ca="1"/>
        <v>46764</v>
      </c>
      <c r="M1525" s="92">
        <f t="shared" ca="1" si="57"/>
        <v>6.25</v>
      </c>
      <c r="N1525" s="143">
        <f ca="1">(PRODUCT($O$5:$O1525)-1)*36000/_xlfn.DAYS(L1525, $C$2)</f>
        <v>9.2933657816789861</v>
      </c>
      <c r="O1525" s="149">
        <f t="shared" ca="1" si="58"/>
        <v>1.000173611111111</v>
      </c>
    </row>
    <row r="1526" spans="12:15" x14ac:dyDescent="0.25">
      <c r="L1526" s="147">
        <f ca="1"/>
        <v>46765</v>
      </c>
      <c r="M1526" s="92">
        <f t="shared" ca="1" si="57"/>
        <v>6.25</v>
      </c>
      <c r="N1526" s="143">
        <f ca="1">(PRODUCT($O$5:$O1526)-1)*36000/_xlfn.DAYS(L1526, $C$2)</f>
        <v>9.2929785698656069</v>
      </c>
      <c r="O1526" s="149">
        <f t="shared" ca="1" si="58"/>
        <v>1.000173611111111</v>
      </c>
    </row>
    <row r="1527" spans="12:15" x14ac:dyDescent="0.25">
      <c r="L1527" s="147">
        <f ca="1"/>
        <v>46766</v>
      </c>
      <c r="M1527" s="92">
        <f t="shared" ca="1" si="57"/>
        <v>6.25</v>
      </c>
      <c r="N1527" s="143">
        <f ca="1">(PRODUCT($O$5:$O1527)-1)*36000/_xlfn.DAYS(L1527, $C$2)</f>
        <v>9.292592858734988</v>
      </c>
      <c r="O1527" s="149">
        <f t="shared" ca="1" si="58"/>
        <v>1.000173611111111</v>
      </c>
    </row>
    <row r="1528" spans="12:15" x14ac:dyDescent="0.25">
      <c r="L1528" s="147">
        <f ca="1"/>
        <v>46767</v>
      </c>
      <c r="M1528" s="92">
        <f t="shared" ca="1" si="57"/>
        <v>6.25</v>
      </c>
      <c r="N1528" s="143">
        <f ca="1">(PRODUCT($O$5:$O1528)-1)*36000/_xlfn.DAYS(L1528, $C$2)</f>
        <v>9.2922086455051751</v>
      </c>
      <c r="O1528" s="149">
        <f t="shared" ca="1" si="58"/>
        <v>1.000173611111111</v>
      </c>
    </row>
    <row r="1529" spans="12:15" x14ac:dyDescent="0.25">
      <c r="L1529" s="147">
        <f ca="1"/>
        <v>46768</v>
      </c>
      <c r="M1529" s="92">
        <f t="shared" ca="1" si="57"/>
        <v>6.25</v>
      </c>
      <c r="N1529" s="143">
        <f ca="1">(PRODUCT($O$5:$O1529)-1)*36000/_xlfn.DAYS(L1529, $C$2)</f>
        <v>9.2918259274015362</v>
      </c>
      <c r="O1529" s="149">
        <f t="shared" ca="1" si="58"/>
        <v>1.000173611111111</v>
      </c>
    </row>
    <row r="1530" spans="12:15" x14ac:dyDescent="0.25">
      <c r="L1530" s="147">
        <f ca="1"/>
        <v>46769</v>
      </c>
      <c r="M1530" s="92">
        <f t="shared" ca="1" si="57"/>
        <v>6.25</v>
      </c>
      <c r="N1530" s="143">
        <f ca="1">(PRODUCT($O$5:$O1530)-1)*36000/_xlfn.DAYS(L1530, $C$2)</f>
        <v>9.2914447016567401</v>
      </c>
      <c r="O1530" s="149">
        <f t="shared" ca="1" si="58"/>
        <v>1.000173611111111</v>
      </c>
    </row>
    <row r="1531" spans="12:15" x14ac:dyDescent="0.25">
      <c r="L1531" s="147">
        <f ca="1"/>
        <v>46770</v>
      </c>
      <c r="M1531" s="92">
        <f t="shared" ca="1" si="57"/>
        <v>6.25</v>
      </c>
      <c r="N1531" s="143">
        <f ca="1">(PRODUCT($O$5:$O1531)-1)*36000/_xlfn.DAYS(L1531, $C$2)</f>
        <v>9.2910649655107456</v>
      </c>
      <c r="O1531" s="149">
        <f t="shared" ca="1" si="58"/>
        <v>1.000173611111111</v>
      </c>
    </row>
    <row r="1532" spans="12:15" x14ac:dyDescent="0.25">
      <c r="L1532" s="147">
        <f ca="1"/>
        <v>46771</v>
      </c>
      <c r="M1532" s="92">
        <f t="shared" ca="1" si="57"/>
        <v>6.25</v>
      </c>
      <c r="N1532" s="143">
        <f ca="1">(PRODUCT($O$5:$O1532)-1)*36000/_xlfn.DAYS(L1532, $C$2)</f>
        <v>9.290686716210752</v>
      </c>
      <c r="O1532" s="149">
        <f t="shared" ca="1" si="58"/>
        <v>1.000173611111111</v>
      </c>
    </row>
    <row r="1533" spans="12:15" x14ac:dyDescent="0.25">
      <c r="L1533" s="147">
        <f ca="1"/>
        <v>46772</v>
      </c>
      <c r="M1533" s="92">
        <f t="shared" ca="1" si="57"/>
        <v>6.25</v>
      </c>
      <c r="N1533" s="143">
        <f ca="1">(PRODUCT($O$5:$O1533)-1)*36000/_xlfn.DAYS(L1533, $C$2)</f>
        <v>9.2903099510112046</v>
      </c>
      <c r="O1533" s="149">
        <f t="shared" ca="1" si="58"/>
        <v>1.000173611111111</v>
      </c>
    </row>
    <row r="1534" spans="12:15" x14ac:dyDescent="0.25">
      <c r="L1534" s="147">
        <f ca="1"/>
        <v>46773</v>
      </c>
      <c r="M1534" s="92">
        <f t="shared" ca="1" si="57"/>
        <v>6.25</v>
      </c>
      <c r="N1534" s="143">
        <f ca="1">(PRODUCT($O$5:$O1534)-1)*36000/_xlfn.DAYS(L1534, $C$2)</f>
        <v>9.2899346671737444</v>
      </c>
      <c r="O1534" s="149">
        <f t="shared" ca="1" si="58"/>
        <v>1.000173611111111</v>
      </c>
    </row>
    <row r="1535" spans="12:15" x14ac:dyDescent="0.25">
      <c r="L1535" s="147">
        <f ca="1"/>
        <v>46774</v>
      </c>
      <c r="M1535" s="92">
        <f t="shared" ca="1" si="57"/>
        <v>6.25</v>
      </c>
      <c r="N1535" s="143">
        <f ca="1">(PRODUCT($O$5:$O1535)-1)*36000/_xlfn.DAYS(L1535, $C$2)</f>
        <v>9.289560861967205</v>
      </c>
      <c r="O1535" s="149">
        <f t="shared" ca="1" si="58"/>
        <v>1.000173611111111</v>
      </c>
    </row>
    <row r="1536" spans="12:15" x14ac:dyDescent="0.25">
      <c r="L1536" s="147">
        <f ca="1"/>
        <v>46775</v>
      </c>
      <c r="M1536" s="92">
        <f t="shared" ca="1" si="57"/>
        <v>6.25</v>
      </c>
      <c r="N1536" s="143">
        <f ca="1">(PRODUCT($O$5:$O1536)-1)*36000/_xlfn.DAYS(L1536, $C$2)</f>
        <v>9.2891885326675752</v>
      </c>
      <c r="O1536" s="149">
        <f t="shared" ca="1" si="58"/>
        <v>1.000173611111111</v>
      </c>
    </row>
    <row r="1537" spans="12:15" x14ac:dyDescent="0.25">
      <c r="L1537" s="147">
        <f ca="1"/>
        <v>46776</v>
      </c>
      <c r="M1537" s="92">
        <f t="shared" ca="1" si="57"/>
        <v>6.25</v>
      </c>
      <c r="N1537" s="143">
        <f ca="1">(PRODUCT($O$5:$O1537)-1)*36000/_xlfn.DAYS(L1537, $C$2)</f>
        <v>9.2888176765579846</v>
      </c>
      <c r="O1537" s="149">
        <f t="shared" ca="1" si="58"/>
        <v>1.000173611111111</v>
      </c>
    </row>
    <row r="1538" spans="12:15" x14ac:dyDescent="0.25">
      <c r="L1538" s="147">
        <f ca="1"/>
        <v>46777</v>
      </c>
      <c r="M1538" s="92">
        <f t="shared" ca="1" si="57"/>
        <v>6.25</v>
      </c>
      <c r="N1538" s="143">
        <f ca="1">(PRODUCT($O$5:$O1538)-1)*36000/_xlfn.DAYS(L1538, $C$2)</f>
        <v>9.288448290928681</v>
      </c>
      <c r="O1538" s="149">
        <f t="shared" ca="1" si="58"/>
        <v>1.000173611111111</v>
      </c>
    </row>
    <row r="1539" spans="12:15" x14ac:dyDescent="0.25">
      <c r="L1539" s="147">
        <f ca="1"/>
        <v>46778</v>
      </c>
      <c r="M1539" s="92">
        <f t="shared" ca="1" si="57"/>
        <v>6.25</v>
      </c>
      <c r="N1539" s="143">
        <f ca="1">(PRODUCT($O$5:$O1539)-1)*36000/_xlfn.DAYS(L1539, $C$2)</f>
        <v>9.2880803730769941</v>
      </c>
      <c r="O1539" s="149">
        <f t="shared" ca="1" si="58"/>
        <v>1.000173611111111</v>
      </c>
    </row>
    <row r="1540" spans="12:15" x14ac:dyDescent="0.25">
      <c r="L1540" s="147">
        <f ca="1"/>
        <v>46779</v>
      </c>
      <c r="M1540" s="92">
        <f t="shared" ca="1" si="57"/>
        <v>6.25</v>
      </c>
      <c r="N1540" s="143">
        <f ca="1">(PRODUCT($O$5:$O1540)-1)*36000/_xlfn.DAYS(L1540, $C$2)</f>
        <v>9.2877139203073238</v>
      </c>
      <c r="O1540" s="149">
        <f t="shared" ca="1" si="58"/>
        <v>1.000173611111111</v>
      </c>
    </row>
    <row r="1541" spans="12:15" x14ac:dyDescent="0.25">
      <c r="L1541" s="147">
        <f ca="1"/>
        <v>46780</v>
      </c>
      <c r="M1541" s="92">
        <f t="shared" ref="M1541:M1604" ca="1" si="59">IFERROR(INDEX($E$27:$H$47, MATCH(L1541, $F$27:$F$47, 0), 4), IF(ISNUMBER(M1540), M1540, $C$5))</f>
        <v>6.25</v>
      </c>
      <c r="N1541" s="143">
        <f ca="1">(PRODUCT($O$5:$O1541)-1)*36000/_xlfn.DAYS(L1541, $C$2)</f>
        <v>9.2873489299311167</v>
      </c>
      <c r="O1541" s="149">
        <f t="shared" ca="1" si="58"/>
        <v>1.000173611111111</v>
      </c>
    </row>
    <row r="1542" spans="12:15" x14ac:dyDescent="0.25">
      <c r="L1542" s="147">
        <f ca="1"/>
        <v>46781</v>
      </c>
      <c r="M1542" s="92">
        <f t="shared" ca="1" si="59"/>
        <v>6.25</v>
      </c>
      <c r="N1542" s="143">
        <f ca="1">(PRODUCT($O$5:$O1542)-1)*36000/_xlfn.DAYS(L1542, $C$2)</f>
        <v>9.2869853992668414</v>
      </c>
      <c r="O1542" s="149">
        <f t="shared" ref="O1542:O1605" ca="1" si="60">1+M1542*IFERROR(_xlfn.DAYS(L1542, L1541), _xlfn.DAYS(L1542, $C$2))/36000</f>
        <v>1.000173611111111</v>
      </c>
    </row>
    <row r="1543" spans="12:15" x14ac:dyDescent="0.25">
      <c r="L1543" s="147">
        <f ca="1"/>
        <v>46782</v>
      </c>
      <c r="M1543" s="92">
        <f t="shared" ca="1" si="59"/>
        <v>6.25</v>
      </c>
      <c r="N1543" s="143">
        <f ca="1">(PRODUCT($O$5:$O1543)-1)*36000/_xlfn.DAYS(L1543, $C$2)</f>
        <v>9.2866233256399688</v>
      </c>
      <c r="O1543" s="149">
        <f t="shared" ca="1" si="60"/>
        <v>1.000173611111111</v>
      </c>
    </row>
    <row r="1544" spans="12:15" x14ac:dyDescent="0.25">
      <c r="L1544" s="147">
        <f ca="1"/>
        <v>46783</v>
      </c>
      <c r="M1544" s="92">
        <f t="shared" ca="1" si="59"/>
        <v>6.25</v>
      </c>
      <c r="N1544" s="143">
        <f ca="1">(PRODUCT($O$5:$O1544)-1)*36000/_xlfn.DAYS(L1544, $C$2)</f>
        <v>9.2862627063829386</v>
      </c>
      <c r="O1544" s="149">
        <f t="shared" ca="1" si="60"/>
        <v>1.000173611111111</v>
      </c>
    </row>
    <row r="1545" spans="12:15" x14ac:dyDescent="0.25">
      <c r="L1545" s="147">
        <f ca="1"/>
        <v>46784</v>
      </c>
      <c r="M1545" s="92">
        <f t="shared" ca="1" si="59"/>
        <v>6.25</v>
      </c>
      <c r="N1545" s="143">
        <f ca="1">(PRODUCT($O$5:$O1545)-1)*36000/_xlfn.DAYS(L1545, $C$2)</f>
        <v>9.2859035388351536</v>
      </c>
      <c r="O1545" s="149">
        <f t="shared" ca="1" si="60"/>
        <v>1.000173611111111</v>
      </c>
    </row>
    <row r="1546" spans="12:15" x14ac:dyDescent="0.25">
      <c r="L1546" s="147">
        <f ca="1"/>
        <v>46785</v>
      </c>
      <c r="M1546" s="92">
        <f t="shared" ca="1" si="59"/>
        <v>6.25</v>
      </c>
      <c r="N1546" s="143">
        <f ca="1">(PRODUCT($O$5:$O1546)-1)*36000/_xlfn.DAYS(L1546, $C$2)</f>
        <v>9.2855458203429393</v>
      </c>
      <c r="O1546" s="149">
        <f t="shared" ca="1" si="60"/>
        <v>1.000173611111111</v>
      </c>
    </row>
    <row r="1547" spans="12:15" x14ac:dyDescent="0.25">
      <c r="L1547" s="147">
        <f ca="1"/>
        <v>46786</v>
      </c>
      <c r="M1547" s="92">
        <f t="shared" ca="1" si="59"/>
        <v>6.25</v>
      </c>
      <c r="N1547" s="143">
        <f ca="1">(PRODUCT($O$5:$O1547)-1)*36000/_xlfn.DAYS(L1547, $C$2)</f>
        <v>9.2851895482595346</v>
      </c>
      <c r="O1547" s="149">
        <f t="shared" ca="1" si="60"/>
        <v>1.000173611111111</v>
      </c>
    </row>
    <row r="1548" spans="12:15" x14ac:dyDescent="0.25">
      <c r="L1548" s="147">
        <f ca="1"/>
        <v>46787</v>
      </c>
      <c r="M1548" s="92">
        <f t="shared" ca="1" si="59"/>
        <v>6.25</v>
      </c>
      <c r="N1548" s="143">
        <f ca="1">(PRODUCT($O$5:$O1548)-1)*36000/_xlfn.DAYS(L1548, $C$2)</f>
        <v>9.2848347199450636</v>
      </c>
      <c r="O1548" s="149">
        <f t="shared" ca="1" si="60"/>
        <v>1.000173611111111</v>
      </c>
    </row>
    <row r="1549" spans="12:15" x14ac:dyDescent="0.25">
      <c r="L1549" s="147">
        <f ca="1"/>
        <v>46788</v>
      </c>
      <c r="M1549" s="92">
        <f t="shared" ca="1" si="59"/>
        <v>6.25</v>
      </c>
      <c r="N1549" s="143">
        <f ca="1">(PRODUCT($O$5:$O1549)-1)*36000/_xlfn.DAYS(L1549, $C$2)</f>
        <v>9.2844813327665161</v>
      </c>
      <c r="O1549" s="149">
        <f t="shared" ca="1" si="60"/>
        <v>1.000173611111111</v>
      </c>
    </row>
    <row r="1550" spans="12:15" x14ac:dyDescent="0.25">
      <c r="L1550" s="147">
        <f ca="1"/>
        <v>46789</v>
      </c>
      <c r="M1550" s="92">
        <f t="shared" ca="1" si="59"/>
        <v>6.25</v>
      </c>
      <c r="N1550" s="143">
        <f ca="1">(PRODUCT($O$5:$O1550)-1)*36000/_xlfn.DAYS(L1550, $C$2)</f>
        <v>9.2841293840977244</v>
      </c>
      <c r="O1550" s="149">
        <f t="shared" ca="1" si="60"/>
        <v>1.000173611111111</v>
      </c>
    </row>
    <row r="1551" spans="12:15" x14ac:dyDescent="0.25">
      <c r="L1551" s="147">
        <f ca="1"/>
        <v>46790</v>
      </c>
      <c r="M1551" s="92">
        <f t="shared" ca="1" si="59"/>
        <v>6.25</v>
      </c>
      <c r="N1551" s="143">
        <f ca="1">(PRODUCT($O$5:$O1551)-1)*36000/_xlfn.DAYS(L1551, $C$2)</f>
        <v>9.2837788713193401</v>
      </c>
      <c r="O1551" s="149">
        <f t="shared" ca="1" si="60"/>
        <v>1.000173611111111</v>
      </c>
    </row>
    <row r="1552" spans="12:15" x14ac:dyDescent="0.25">
      <c r="L1552" s="147">
        <f ca="1"/>
        <v>46791</v>
      </c>
      <c r="M1552" s="92">
        <f t="shared" ca="1" si="59"/>
        <v>6.25</v>
      </c>
      <c r="N1552" s="143">
        <f ca="1">(PRODUCT($O$5:$O1552)-1)*36000/_xlfn.DAYS(L1552, $C$2)</f>
        <v>9.2834297918188078</v>
      </c>
      <c r="O1552" s="149">
        <f t="shared" ca="1" si="60"/>
        <v>1.000173611111111</v>
      </c>
    </row>
    <row r="1553" spans="12:15" x14ac:dyDescent="0.25">
      <c r="L1553" s="147">
        <f ca="1"/>
        <v>46792</v>
      </c>
      <c r="M1553" s="92">
        <f t="shared" ca="1" si="59"/>
        <v>6.25</v>
      </c>
      <c r="N1553" s="143">
        <f ca="1">(PRODUCT($O$5:$O1553)-1)*36000/_xlfn.DAYS(L1553, $C$2)</f>
        <v>9.2830821429903576</v>
      </c>
      <c r="O1553" s="149">
        <f t="shared" ca="1" si="60"/>
        <v>1.000173611111111</v>
      </c>
    </row>
    <row r="1554" spans="12:15" x14ac:dyDescent="0.25">
      <c r="L1554" s="147">
        <f ca="1"/>
        <v>46793</v>
      </c>
      <c r="M1554" s="92">
        <f t="shared" ca="1" si="59"/>
        <v>6.25</v>
      </c>
      <c r="N1554" s="143">
        <f ca="1">(PRODUCT($O$5:$O1554)-1)*36000/_xlfn.DAYS(L1554, $C$2)</f>
        <v>9.2827359222349664</v>
      </c>
      <c r="O1554" s="149">
        <f t="shared" ca="1" si="60"/>
        <v>1.000173611111111</v>
      </c>
    </row>
    <row r="1555" spans="12:15" x14ac:dyDescent="0.25">
      <c r="L1555" s="147">
        <f ca="1"/>
        <v>46794</v>
      </c>
      <c r="M1555" s="92">
        <f t="shared" ca="1" si="59"/>
        <v>6.25</v>
      </c>
      <c r="N1555" s="143">
        <f ca="1">(PRODUCT($O$5:$O1555)-1)*36000/_xlfn.DAYS(L1555, $C$2)</f>
        <v>9.2823911269603414</v>
      </c>
      <c r="O1555" s="149">
        <f t="shared" ca="1" si="60"/>
        <v>1.000173611111111</v>
      </c>
    </row>
    <row r="1556" spans="12:15" x14ac:dyDescent="0.25">
      <c r="L1556" s="147">
        <f ca="1"/>
        <v>46795</v>
      </c>
      <c r="M1556" s="92">
        <f t="shared" ca="1" si="59"/>
        <v>6.25</v>
      </c>
      <c r="N1556" s="143">
        <f ca="1">(PRODUCT($O$5:$O1556)-1)*36000/_xlfn.DAYS(L1556, $C$2)</f>
        <v>9.2820477545809066</v>
      </c>
      <c r="O1556" s="149">
        <f t="shared" ca="1" si="60"/>
        <v>1.000173611111111</v>
      </c>
    </row>
    <row r="1557" spans="12:15" x14ac:dyDescent="0.25">
      <c r="L1557" s="147">
        <f ca="1"/>
        <v>46796</v>
      </c>
      <c r="M1557" s="92">
        <f t="shared" ca="1" si="59"/>
        <v>6.25</v>
      </c>
      <c r="N1557" s="143">
        <f ca="1">(PRODUCT($O$5:$O1557)-1)*36000/_xlfn.DAYS(L1557, $C$2)</f>
        <v>9.2817058025177737</v>
      </c>
      <c r="O1557" s="149">
        <f t="shared" ca="1" si="60"/>
        <v>1.000173611111111</v>
      </c>
    </row>
    <row r="1558" spans="12:15" x14ac:dyDescent="0.25">
      <c r="L1558" s="147">
        <f ca="1"/>
        <v>46797</v>
      </c>
      <c r="M1558" s="92">
        <f t="shared" ca="1" si="59"/>
        <v>6.25</v>
      </c>
      <c r="N1558" s="143">
        <f ca="1">(PRODUCT($O$5:$O1558)-1)*36000/_xlfn.DAYS(L1558, $C$2)</f>
        <v>9.2813652681987193</v>
      </c>
      <c r="O1558" s="149">
        <f t="shared" ca="1" si="60"/>
        <v>1.000173611111111</v>
      </c>
    </row>
    <row r="1559" spans="12:15" x14ac:dyDescent="0.25">
      <c r="L1559" s="147">
        <f ca="1"/>
        <v>46798</v>
      </c>
      <c r="M1559" s="92">
        <f t="shared" ca="1" si="59"/>
        <v>6.25</v>
      </c>
      <c r="N1559" s="143">
        <f ca="1">(PRODUCT($O$5:$O1559)-1)*36000/_xlfn.DAYS(L1559, $C$2)</f>
        <v>9.2810261490581727</v>
      </c>
      <c r="O1559" s="149">
        <f t="shared" ca="1" si="60"/>
        <v>1.000173611111111</v>
      </c>
    </row>
    <row r="1560" spans="12:15" x14ac:dyDescent="0.25">
      <c r="L1560" s="147">
        <f ca="1"/>
        <v>46799</v>
      </c>
      <c r="M1560" s="92">
        <f t="shared" ca="1" si="59"/>
        <v>6.25</v>
      </c>
      <c r="N1560" s="143">
        <f ca="1">(PRODUCT($O$5:$O1560)-1)*36000/_xlfn.DAYS(L1560, $C$2)</f>
        <v>9.2806884425371798</v>
      </c>
      <c r="O1560" s="149">
        <f t="shared" ca="1" si="60"/>
        <v>1.000173611111111</v>
      </c>
    </row>
    <row r="1561" spans="12:15" x14ac:dyDescent="0.25">
      <c r="L1561" s="147">
        <f ca="1"/>
        <v>46800</v>
      </c>
      <c r="M1561" s="92">
        <f t="shared" ca="1" si="59"/>
        <v>6.25</v>
      </c>
      <c r="N1561" s="143">
        <f ca="1">(PRODUCT($O$5:$O1561)-1)*36000/_xlfn.DAYS(L1561, $C$2)</f>
        <v>9.2803521460833895</v>
      </c>
      <c r="O1561" s="149">
        <f t="shared" ca="1" si="60"/>
        <v>1.000173611111111</v>
      </c>
    </row>
    <row r="1562" spans="12:15" x14ac:dyDescent="0.25">
      <c r="L1562" s="147">
        <f ca="1"/>
        <v>46801</v>
      </c>
      <c r="M1562" s="92">
        <f t="shared" ca="1" si="59"/>
        <v>6.25</v>
      </c>
      <c r="N1562" s="143">
        <f ca="1">(PRODUCT($O$5:$O1562)-1)*36000/_xlfn.DAYS(L1562, $C$2)</f>
        <v>9.2800172571510426</v>
      </c>
      <c r="O1562" s="149">
        <f t="shared" ca="1" si="60"/>
        <v>1.000173611111111</v>
      </c>
    </row>
    <row r="1563" spans="12:15" x14ac:dyDescent="0.25">
      <c r="L1563" s="147">
        <f ca="1"/>
        <v>46802</v>
      </c>
      <c r="M1563" s="92">
        <f t="shared" ca="1" si="59"/>
        <v>6.25</v>
      </c>
      <c r="N1563" s="143">
        <f ca="1">(PRODUCT($O$5:$O1563)-1)*36000/_xlfn.DAYS(L1563, $C$2)</f>
        <v>9.2796837732009276</v>
      </c>
      <c r="O1563" s="149">
        <f t="shared" ca="1" si="60"/>
        <v>1.000173611111111</v>
      </c>
    </row>
    <row r="1564" spans="12:15" x14ac:dyDescent="0.25">
      <c r="L1564" s="147">
        <f ca="1"/>
        <v>46803</v>
      </c>
      <c r="M1564" s="92">
        <f t="shared" ca="1" si="59"/>
        <v>6.25</v>
      </c>
      <c r="N1564" s="143">
        <f ca="1">(PRODUCT($O$5:$O1564)-1)*36000/_xlfn.DAYS(L1564, $C$2)</f>
        <v>9.2793516917003895</v>
      </c>
      <c r="O1564" s="149">
        <f t="shared" ca="1" si="60"/>
        <v>1.000173611111111</v>
      </c>
    </row>
    <row r="1565" spans="12:15" x14ac:dyDescent="0.25">
      <c r="L1565" s="147">
        <f ca="1"/>
        <v>46804</v>
      </c>
      <c r="M1565" s="92">
        <f t="shared" ca="1" si="59"/>
        <v>6.25</v>
      </c>
      <c r="N1565" s="143">
        <f ca="1">(PRODUCT($O$5:$O1565)-1)*36000/_xlfn.DAYS(L1565, $C$2)</f>
        <v>9.2790210101232784</v>
      </c>
      <c r="O1565" s="149">
        <f t="shared" ca="1" si="60"/>
        <v>1.000173611111111</v>
      </c>
    </row>
    <row r="1566" spans="12:15" x14ac:dyDescent="0.25">
      <c r="L1566" s="147">
        <f ca="1"/>
        <v>46805</v>
      </c>
      <c r="M1566" s="92">
        <f t="shared" ca="1" si="59"/>
        <v>6.25</v>
      </c>
      <c r="N1566" s="143">
        <f ca="1">(PRODUCT($O$5:$O1566)-1)*36000/_xlfn.DAYS(L1566, $C$2)</f>
        <v>9.2786917259499528</v>
      </c>
      <c r="O1566" s="149">
        <f t="shared" ca="1" si="60"/>
        <v>1.000173611111111</v>
      </c>
    </row>
    <row r="1567" spans="12:15" x14ac:dyDescent="0.25">
      <c r="L1567" s="147">
        <f ca="1"/>
        <v>46806</v>
      </c>
      <c r="M1567" s="92">
        <f t="shared" ca="1" si="59"/>
        <v>6.25</v>
      </c>
      <c r="N1567" s="143">
        <f ca="1">(PRODUCT($O$5:$O1567)-1)*36000/_xlfn.DAYS(L1567, $C$2)</f>
        <v>9.2783638366672392</v>
      </c>
      <c r="O1567" s="149">
        <f t="shared" ca="1" si="60"/>
        <v>1.000173611111111</v>
      </c>
    </row>
    <row r="1568" spans="12:15" x14ac:dyDescent="0.25">
      <c r="L1568" s="147">
        <f ca="1"/>
        <v>46807</v>
      </c>
      <c r="M1568" s="92">
        <f t="shared" ca="1" si="59"/>
        <v>6.25</v>
      </c>
      <c r="N1568" s="143">
        <f ca="1">(PRODUCT($O$5:$O1568)-1)*36000/_xlfn.DAYS(L1568, $C$2)</f>
        <v>9.2780373397684262</v>
      </c>
      <c r="O1568" s="149">
        <f t="shared" ca="1" si="60"/>
        <v>1.000173611111111</v>
      </c>
    </row>
    <row r="1569" spans="12:15" x14ac:dyDescent="0.25">
      <c r="L1569" s="147">
        <f ca="1"/>
        <v>46808</v>
      </c>
      <c r="M1569" s="92">
        <f t="shared" ca="1" si="59"/>
        <v>6.25</v>
      </c>
      <c r="N1569" s="143">
        <f ca="1">(PRODUCT($O$5:$O1569)-1)*36000/_xlfn.DAYS(L1569, $C$2)</f>
        <v>9.2777122327532418</v>
      </c>
      <c r="O1569" s="149">
        <f t="shared" ca="1" si="60"/>
        <v>1.000173611111111</v>
      </c>
    </row>
    <row r="1570" spans="12:15" x14ac:dyDescent="0.25">
      <c r="L1570" s="147">
        <f ca="1"/>
        <v>46809</v>
      </c>
      <c r="M1570" s="92">
        <f t="shared" ca="1" si="59"/>
        <v>6.25</v>
      </c>
      <c r="N1570" s="143">
        <f ca="1">(PRODUCT($O$5:$O1570)-1)*36000/_xlfn.DAYS(L1570, $C$2)</f>
        <v>9.2773885131278249</v>
      </c>
      <c r="O1570" s="149">
        <f t="shared" ca="1" si="60"/>
        <v>1.000173611111111</v>
      </c>
    </row>
    <row r="1571" spans="12:15" x14ac:dyDescent="0.25">
      <c r="L1571" s="147">
        <f ca="1"/>
        <v>46810</v>
      </c>
      <c r="M1571" s="92">
        <f t="shared" ca="1" si="59"/>
        <v>6.25</v>
      </c>
      <c r="N1571" s="143">
        <f ca="1">(PRODUCT($O$5:$O1571)-1)*36000/_xlfn.DAYS(L1571, $C$2)</f>
        <v>9.2770661784047075</v>
      </c>
      <c r="O1571" s="149">
        <f t="shared" ca="1" si="60"/>
        <v>1.000173611111111</v>
      </c>
    </row>
    <row r="1572" spans="12:15" x14ac:dyDescent="0.25">
      <c r="L1572" s="147">
        <f ca="1"/>
        <v>46811</v>
      </c>
      <c r="M1572" s="92">
        <f t="shared" ca="1" si="59"/>
        <v>6.25</v>
      </c>
      <c r="N1572" s="143">
        <f ca="1">(PRODUCT($O$5:$O1572)-1)*36000/_xlfn.DAYS(L1572, $C$2)</f>
        <v>9.2767452261028023</v>
      </c>
      <c r="O1572" s="149">
        <f t="shared" ca="1" si="60"/>
        <v>1.000173611111111</v>
      </c>
    </row>
    <row r="1573" spans="12:15" x14ac:dyDescent="0.25">
      <c r="L1573" s="147">
        <f ca="1"/>
        <v>46812</v>
      </c>
      <c r="M1573" s="92">
        <f t="shared" ca="1" si="59"/>
        <v>6.25</v>
      </c>
      <c r="N1573" s="143">
        <f ca="1">(PRODUCT($O$5:$O1573)-1)*36000/_xlfn.DAYS(L1573, $C$2)</f>
        <v>9.2764256537473706</v>
      </c>
      <c r="O1573" s="149">
        <f t="shared" ca="1" si="60"/>
        <v>1.000173611111111</v>
      </c>
    </row>
    <row r="1574" spans="12:15" x14ac:dyDescent="0.25">
      <c r="L1574" s="147">
        <f ca="1"/>
        <v>46813</v>
      </c>
      <c r="M1574" s="92">
        <f t="shared" ca="1" si="59"/>
        <v>6.25</v>
      </c>
      <c r="N1574" s="143">
        <f ca="1">(PRODUCT($O$5:$O1574)-1)*36000/_xlfn.DAYS(L1574, $C$2)</f>
        <v>9.276107458870019</v>
      </c>
      <c r="O1574" s="149">
        <f t="shared" ca="1" si="60"/>
        <v>1.000173611111111</v>
      </c>
    </row>
    <row r="1575" spans="12:15" x14ac:dyDescent="0.25">
      <c r="L1575" s="147">
        <f ca="1"/>
        <v>46814</v>
      </c>
      <c r="M1575" s="92">
        <f t="shared" ca="1" si="59"/>
        <v>6.25</v>
      </c>
      <c r="N1575" s="143">
        <f ca="1">(PRODUCT($O$5:$O1575)-1)*36000/_xlfn.DAYS(L1575, $C$2)</f>
        <v>9.2757906390086564</v>
      </c>
      <c r="O1575" s="149">
        <f t="shared" ca="1" si="60"/>
        <v>1.000173611111111</v>
      </c>
    </row>
    <row r="1576" spans="12:15" x14ac:dyDescent="0.25">
      <c r="L1576" s="147">
        <f ca="1"/>
        <v>46815</v>
      </c>
      <c r="M1576" s="92">
        <f t="shared" ca="1" si="59"/>
        <v>6.25</v>
      </c>
      <c r="N1576" s="143">
        <f ca="1">(PRODUCT($O$5:$O1576)-1)*36000/_xlfn.DAYS(L1576, $C$2)</f>
        <v>9.2754751917074856</v>
      </c>
      <c r="O1576" s="149">
        <f t="shared" ca="1" si="60"/>
        <v>1.000173611111111</v>
      </c>
    </row>
    <row r="1577" spans="12:15" x14ac:dyDescent="0.25">
      <c r="L1577" s="147">
        <f ca="1"/>
        <v>46816</v>
      </c>
      <c r="M1577" s="92">
        <f t="shared" ca="1" si="59"/>
        <v>6.25</v>
      </c>
      <c r="N1577" s="143">
        <f ca="1">(PRODUCT($O$5:$O1577)-1)*36000/_xlfn.DAYS(L1577, $C$2)</f>
        <v>9.2751611145169939</v>
      </c>
      <c r="O1577" s="149">
        <f t="shared" ca="1" si="60"/>
        <v>1.000173611111111</v>
      </c>
    </row>
    <row r="1578" spans="12:15" x14ac:dyDescent="0.25">
      <c r="L1578" s="147">
        <f ca="1"/>
        <v>46817</v>
      </c>
      <c r="M1578" s="92">
        <f t="shared" ca="1" si="59"/>
        <v>6.25</v>
      </c>
      <c r="N1578" s="143">
        <f ca="1">(PRODUCT($O$5:$O1578)-1)*36000/_xlfn.DAYS(L1578, $C$2)</f>
        <v>9.2748484049939179</v>
      </c>
      <c r="O1578" s="149">
        <f t="shared" ca="1" si="60"/>
        <v>1.000173611111111</v>
      </c>
    </row>
    <row r="1579" spans="12:15" x14ac:dyDescent="0.25">
      <c r="L1579" s="147">
        <f ca="1"/>
        <v>46818</v>
      </c>
      <c r="M1579" s="92">
        <f t="shared" ca="1" si="59"/>
        <v>6.25</v>
      </c>
      <c r="N1579" s="143">
        <f ca="1">(PRODUCT($O$5:$O1579)-1)*36000/_xlfn.DAYS(L1579, $C$2)</f>
        <v>9.2745370607012241</v>
      </c>
      <c r="O1579" s="149">
        <f t="shared" ca="1" si="60"/>
        <v>1.000173611111111</v>
      </c>
    </row>
    <row r="1580" spans="12:15" x14ac:dyDescent="0.25">
      <c r="L1580" s="147">
        <f ca="1"/>
        <v>46819</v>
      </c>
      <c r="M1580" s="92">
        <f t="shared" ca="1" si="59"/>
        <v>6.25</v>
      </c>
      <c r="N1580" s="143">
        <f ca="1">(PRODUCT($O$5:$O1580)-1)*36000/_xlfn.DAYS(L1580, $C$2)</f>
        <v>9.2742270792080976</v>
      </c>
      <c r="O1580" s="149">
        <f t="shared" ca="1" si="60"/>
        <v>1.000173611111111</v>
      </c>
    </row>
    <row r="1581" spans="12:15" x14ac:dyDescent="0.25">
      <c r="L1581" s="147">
        <f ca="1"/>
        <v>46820</v>
      </c>
      <c r="M1581" s="92">
        <f t="shared" ca="1" si="59"/>
        <v>6.25</v>
      </c>
      <c r="N1581" s="143">
        <f ca="1">(PRODUCT($O$5:$O1581)-1)*36000/_xlfn.DAYS(L1581, $C$2)</f>
        <v>9.2739184580899146</v>
      </c>
      <c r="O1581" s="149">
        <f t="shared" ca="1" si="60"/>
        <v>1.000173611111111</v>
      </c>
    </row>
    <row r="1582" spans="12:15" x14ac:dyDescent="0.25">
      <c r="L1582" s="147">
        <f ca="1"/>
        <v>46821</v>
      </c>
      <c r="M1582" s="92">
        <f t="shared" ca="1" si="59"/>
        <v>6.25</v>
      </c>
      <c r="N1582" s="143">
        <f ca="1">(PRODUCT($O$5:$O1582)-1)*36000/_xlfn.DAYS(L1582, $C$2)</f>
        <v>9.2736111949282307</v>
      </c>
      <c r="O1582" s="149">
        <f t="shared" ca="1" si="60"/>
        <v>1.000173611111111</v>
      </c>
    </row>
    <row r="1583" spans="12:15" x14ac:dyDescent="0.25">
      <c r="L1583" s="147">
        <f ca="1"/>
        <v>46822</v>
      </c>
      <c r="M1583" s="92">
        <f t="shared" ca="1" si="59"/>
        <v>6.25</v>
      </c>
      <c r="N1583" s="143">
        <f ca="1">(PRODUCT($O$5:$O1583)-1)*36000/_xlfn.DAYS(L1583, $C$2)</f>
        <v>9.2733052873107571</v>
      </c>
      <c r="O1583" s="149">
        <f t="shared" ca="1" si="60"/>
        <v>1.000173611111111</v>
      </c>
    </row>
    <row r="1584" spans="12:15" x14ac:dyDescent="0.25">
      <c r="L1584" s="147">
        <f ca="1"/>
        <v>46823</v>
      </c>
      <c r="M1584" s="92">
        <f t="shared" ca="1" si="59"/>
        <v>6.25</v>
      </c>
      <c r="N1584" s="143">
        <f ca="1">(PRODUCT($O$5:$O1584)-1)*36000/_xlfn.DAYS(L1584, $C$2)</f>
        <v>9.273000732831342</v>
      </c>
      <c r="O1584" s="149">
        <f t="shared" ca="1" si="60"/>
        <v>1.000173611111111</v>
      </c>
    </row>
    <row r="1585" spans="12:15" x14ac:dyDescent="0.25">
      <c r="L1585" s="147">
        <f ca="1"/>
        <v>46824</v>
      </c>
      <c r="M1585" s="92">
        <f t="shared" ca="1" si="59"/>
        <v>6.25</v>
      </c>
      <c r="N1585" s="143">
        <f ca="1">(PRODUCT($O$5:$O1585)-1)*36000/_xlfn.DAYS(L1585, $C$2)</f>
        <v>9.2726975290899478</v>
      </c>
      <c r="O1585" s="149">
        <f t="shared" ca="1" si="60"/>
        <v>1.000173611111111</v>
      </c>
    </row>
    <row r="1586" spans="12:15" x14ac:dyDescent="0.25">
      <c r="L1586" s="147">
        <f ca="1"/>
        <v>46825</v>
      </c>
      <c r="M1586" s="92">
        <f t="shared" ca="1" si="59"/>
        <v>6.25</v>
      </c>
      <c r="N1586" s="143">
        <f ca="1">(PRODUCT($O$5:$O1586)-1)*36000/_xlfn.DAYS(L1586, $C$2)</f>
        <v>9.2723956736926265</v>
      </c>
      <c r="O1586" s="149">
        <f t="shared" ca="1" si="60"/>
        <v>1.000173611111111</v>
      </c>
    </row>
    <row r="1587" spans="12:15" x14ac:dyDescent="0.25">
      <c r="L1587" s="147">
        <f ca="1"/>
        <v>46826</v>
      </c>
      <c r="M1587" s="92">
        <f t="shared" ca="1" si="59"/>
        <v>6.25</v>
      </c>
      <c r="N1587" s="143">
        <f ca="1">(PRODUCT($O$5:$O1587)-1)*36000/_xlfn.DAYS(L1587, $C$2)</f>
        <v>9.2720951642515264</v>
      </c>
      <c r="O1587" s="149">
        <f t="shared" ca="1" si="60"/>
        <v>1.000173611111111</v>
      </c>
    </row>
    <row r="1588" spans="12:15" x14ac:dyDescent="0.25">
      <c r="L1588" s="147">
        <f ca="1"/>
        <v>46827</v>
      </c>
      <c r="M1588" s="92">
        <f t="shared" ca="1" si="59"/>
        <v>6.25</v>
      </c>
      <c r="N1588" s="143">
        <f ca="1">(PRODUCT($O$5:$O1588)-1)*36000/_xlfn.DAYS(L1588, $C$2)</f>
        <v>9.2717959983848406</v>
      </c>
      <c r="O1588" s="149">
        <f t="shared" ca="1" si="60"/>
        <v>1.000173611111111</v>
      </c>
    </row>
    <row r="1589" spans="12:15" x14ac:dyDescent="0.25">
      <c r="L1589" s="147">
        <f ca="1"/>
        <v>46828</v>
      </c>
      <c r="M1589" s="92">
        <f t="shared" ca="1" si="59"/>
        <v>6.25</v>
      </c>
      <c r="N1589" s="143">
        <f ca="1">(PRODUCT($O$5:$O1589)-1)*36000/_xlfn.DAYS(L1589, $C$2)</f>
        <v>9.2714981737168056</v>
      </c>
      <c r="O1589" s="149">
        <f t="shared" ca="1" si="60"/>
        <v>1.000173611111111</v>
      </c>
    </row>
    <row r="1590" spans="12:15" x14ac:dyDescent="0.25">
      <c r="L1590" s="147">
        <f ca="1"/>
        <v>46829</v>
      </c>
      <c r="M1590" s="92">
        <f t="shared" ca="1" si="59"/>
        <v>6.25</v>
      </c>
      <c r="N1590" s="143">
        <f ca="1">(PRODUCT($O$5:$O1590)-1)*36000/_xlfn.DAYS(L1590, $C$2)</f>
        <v>9.2712016878776815</v>
      </c>
      <c r="O1590" s="149">
        <f t="shared" ca="1" si="60"/>
        <v>1.000173611111111</v>
      </c>
    </row>
    <row r="1591" spans="12:15" x14ac:dyDescent="0.25">
      <c r="L1591" s="147">
        <f ca="1"/>
        <v>46830</v>
      </c>
      <c r="M1591" s="92">
        <f t="shared" ca="1" si="59"/>
        <v>6.25</v>
      </c>
      <c r="N1591" s="143">
        <f ca="1">(PRODUCT($O$5:$O1591)-1)*36000/_xlfn.DAYS(L1591, $C$2)</f>
        <v>9.2709065385037306</v>
      </c>
      <c r="O1591" s="149">
        <f t="shared" ca="1" si="60"/>
        <v>1.000173611111111</v>
      </c>
    </row>
    <row r="1592" spans="12:15" x14ac:dyDescent="0.25">
      <c r="L1592" s="147">
        <f ca="1"/>
        <v>46831</v>
      </c>
      <c r="M1592" s="92">
        <f t="shared" ca="1" si="59"/>
        <v>6.25</v>
      </c>
      <c r="N1592" s="143">
        <f ca="1">(PRODUCT($O$5:$O1592)-1)*36000/_xlfn.DAYS(L1592, $C$2)</f>
        <v>9.2706127232371873</v>
      </c>
      <c r="O1592" s="149">
        <f t="shared" ca="1" si="60"/>
        <v>1.000173611111111</v>
      </c>
    </row>
    <row r="1593" spans="12:15" x14ac:dyDescent="0.25">
      <c r="L1593" s="147">
        <f ca="1"/>
        <v>46832</v>
      </c>
      <c r="M1593" s="92">
        <f t="shared" ca="1" si="59"/>
        <v>6.25</v>
      </c>
      <c r="N1593" s="143">
        <f ca="1">(PRODUCT($O$5:$O1593)-1)*36000/_xlfn.DAYS(L1593, $C$2)</f>
        <v>9.270320239726269</v>
      </c>
      <c r="O1593" s="149">
        <f t="shared" ca="1" si="60"/>
        <v>1.000173611111111</v>
      </c>
    </row>
    <row r="1594" spans="12:15" x14ac:dyDescent="0.25">
      <c r="L1594" s="147">
        <f ca="1"/>
        <v>46833</v>
      </c>
      <c r="M1594" s="92">
        <f t="shared" ca="1" si="59"/>
        <v>6.25</v>
      </c>
      <c r="N1594" s="143">
        <f ca="1">(PRODUCT($O$5:$O1594)-1)*36000/_xlfn.DAYS(L1594, $C$2)</f>
        <v>9.2700290856251275</v>
      </c>
      <c r="O1594" s="149">
        <f t="shared" ca="1" si="60"/>
        <v>1.000173611111111</v>
      </c>
    </row>
    <row r="1595" spans="12:15" x14ac:dyDescent="0.25">
      <c r="L1595" s="147">
        <f ca="1"/>
        <v>46834</v>
      </c>
      <c r="M1595" s="92">
        <f t="shared" ca="1" si="59"/>
        <v>6.25</v>
      </c>
      <c r="N1595" s="143">
        <f ca="1">(PRODUCT($O$5:$O1595)-1)*36000/_xlfn.DAYS(L1595, $C$2)</f>
        <v>9.2697392585938321</v>
      </c>
      <c r="O1595" s="149">
        <f t="shared" ca="1" si="60"/>
        <v>1.000173611111111</v>
      </c>
    </row>
    <row r="1596" spans="12:15" x14ac:dyDescent="0.25">
      <c r="L1596" s="147">
        <f ca="1"/>
        <v>46835</v>
      </c>
      <c r="M1596" s="92">
        <f t="shared" ca="1" si="59"/>
        <v>6.25</v>
      </c>
      <c r="N1596" s="143">
        <f ca="1">(PRODUCT($O$5:$O1596)-1)*36000/_xlfn.DAYS(L1596, $C$2)</f>
        <v>9.2694507562983848</v>
      </c>
      <c r="O1596" s="149">
        <f t="shared" ca="1" si="60"/>
        <v>1.000173611111111</v>
      </c>
    </row>
    <row r="1597" spans="12:15" x14ac:dyDescent="0.25">
      <c r="L1597" s="147">
        <f ca="1"/>
        <v>46836</v>
      </c>
      <c r="M1597" s="92">
        <f t="shared" ca="1" si="59"/>
        <v>6.25</v>
      </c>
      <c r="N1597" s="143">
        <f ca="1">(PRODUCT($O$5:$O1597)-1)*36000/_xlfn.DAYS(L1597, $C$2)</f>
        <v>9.2691635764106515</v>
      </c>
      <c r="O1597" s="149">
        <f t="shared" ca="1" si="60"/>
        <v>1.000173611111111</v>
      </c>
    </row>
    <row r="1598" spans="12:15" x14ac:dyDescent="0.25">
      <c r="L1598" s="147">
        <f ca="1"/>
        <v>46837</v>
      </c>
      <c r="M1598" s="92">
        <f t="shared" ca="1" si="59"/>
        <v>6.25</v>
      </c>
      <c r="N1598" s="143">
        <f ca="1">(PRODUCT($O$5:$O1598)-1)*36000/_xlfn.DAYS(L1598, $C$2)</f>
        <v>9.2688777166083867</v>
      </c>
      <c r="O1598" s="149">
        <f t="shared" ca="1" si="60"/>
        <v>1.000173611111111</v>
      </c>
    </row>
    <row r="1599" spans="12:15" x14ac:dyDescent="0.25">
      <c r="L1599" s="147">
        <f ca="1"/>
        <v>46838</v>
      </c>
      <c r="M1599" s="92">
        <f t="shared" ca="1" si="59"/>
        <v>6.25</v>
      </c>
      <c r="N1599" s="143">
        <f ca="1">(PRODUCT($O$5:$O1599)-1)*36000/_xlfn.DAYS(L1599, $C$2)</f>
        <v>9.2685931745751855</v>
      </c>
      <c r="O1599" s="149">
        <f t="shared" ca="1" si="60"/>
        <v>1.000173611111111</v>
      </c>
    </row>
    <row r="1600" spans="12:15" x14ac:dyDescent="0.25">
      <c r="L1600" s="147">
        <f ca="1"/>
        <v>46839</v>
      </c>
      <c r="M1600" s="92">
        <f t="shared" ca="1" si="59"/>
        <v>6.25</v>
      </c>
      <c r="N1600" s="143">
        <f ca="1">(PRODUCT($O$5:$O1600)-1)*36000/_xlfn.DAYS(L1600, $C$2)</f>
        <v>9.2683099480004856</v>
      </c>
      <c r="O1600" s="149">
        <f t="shared" ca="1" si="60"/>
        <v>1.000173611111111</v>
      </c>
    </row>
    <row r="1601" spans="12:15" x14ac:dyDescent="0.25">
      <c r="L1601" s="147">
        <f ca="1"/>
        <v>46840</v>
      </c>
      <c r="M1601" s="92">
        <f t="shared" ca="1" si="59"/>
        <v>6.25</v>
      </c>
      <c r="N1601" s="143">
        <f ca="1">(PRODUCT($O$5:$O1601)-1)*36000/_xlfn.DAYS(L1601, $C$2)</f>
        <v>9.2680280345795403</v>
      </c>
      <c r="O1601" s="149">
        <f t="shared" ca="1" si="60"/>
        <v>1.000173611111111</v>
      </c>
    </row>
    <row r="1602" spans="12:15" x14ac:dyDescent="0.25">
      <c r="L1602" s="147">
        <f ca="1"/>
        <v>46841</v>
      </c>
      <c r="M1602" s="92">
        <f t="shared" ca="1" si="59"/>
        <v>6.25</v>
      </c>
      <c r="N1602" s="143">
        <f ca="1">(PRODUCT($O$5:$O1602)-1)*36000/_xlfn.DAYS(L1602, $C$2)</f>
        <v>9.267747432013401</v>
      </c>
      <c r="O1602" s="149">
        <f t="shared" ca="1" si="60"/>
        <v>1.000173611111111</v>
      </c>
    </row>
    <row r="1603" spans="12:15" x14ac:dyDescent="0.25">
      <c r="L1603" s="147">
        <f ca="1"/>
        <v>46842</v>
      </c>
      <c r="M1603" s="92">
        <f t="shared" ca="1" si="59"/>
        <v>6.25</v>
      </c>
      <c r="N1603" s="143">
        <f ca="1">(PRODUCT($O$5:$O1603)-1)*36000/_xlfn.DAYS(L1603, $C$2)</f>
        <v>9.2674681380088959</v>
      </c>
      <c r="O1603" s="149">
        <f t="shared" ca="1" si="60"/>
        <v>1.000173611111111</v>
      </c>
    </row>
    <row r="1604" spans="12:15" x14ac:dyDescent="0.25">
      <c r="L1604" s="147">
        <f ca="1"/>
        <v>46843</v>
      </c>
      <c r="M1604" s="92">
        <f t="shared" ca="1" si="59"/>
        <v>6.25</v>
      </c>
      <c r="N1604" s="143">
        <f ca="1">(PRODUCT($O$5:$O1604)-1)*36000/_xlfn.DAYS(L1604, $C$2)</f>
        <v>9.2671901502786156</v>
      </c>
      <c r="O1604" s="149">
        <f t="shared" ca="1" si="60"/>
        <v>1.000173611111111</v>
      </c>
    </row>
    <row r="1605" spans="12:15" x14ac:dyDescent="0.25">
      <c r="L1605" s="147">
        <f ca="1"/>
        <v>46844</v>
      </c>
      <c r="M1605" s="92">
        <f t="shared" ref="M1605:M1668" ca="1" si="61">IFERROR(INDEX($E$27:$H$47, MATCH(L1605, $F$27:$F$47, 0), 4), IF(ISNUMBER(M1604), M1604, $C$5))</f>
        <v>6.25</v>
      </c>
      <c r="N1605" s="143">
        <f ca="1">(PRODUCT($O$5:$O1605)-1)*36000/_xlfn.DAYS(L1605, $C$2)</f>
        <v>9.2669134665408954</v>
      </c>
      <c r="O1605" s="149">
        <f t="shared" ca="1" si="60"/>
        <v>1.000173611111111</v>
      </c>
    </row>
    <row r="1606" spans="12:15" x14ac:dyDescent="0.25">
      <c r="L1606" s="147">
        <f ca="1"/>
        <v>46845</v>
      </c>
      <c r="M1606" s="92">
        <f t="shared" ca="1" si="61"/>
        <v>6.25</v>
      </c>
      <c r="N1606" s="143">
        <f ca="1">(PRODUCT($O$5:$O1606)-1)*36000/_xlfn.DAYS(L1606, $C$2)</f>
        <v>9.2666380845197924</v>
      </c>
      <c r="O1606" s="149">
        <f t="shared" ref="O1606:O1669" ca="1" si="62">1+M1606*IFERROR(_xlfn.DAYS(L1606, L1605), _xlfn.DAYS(L1606, $C$2))/36000</f>
        <v>1.000173611111111</v>
      </c>
    </row>
    <row r="1607" spans="12:15" x14ac:dyDescent="0.25">
      <c r="L1607" s="147">
        <f ca="1"/>
        <v>46846</v>
      </c>
      <c r="M1607" s="92">
        <f t="shared" ca="1" si="61"/>
        <v>6.25</v>
      </c>
      <c r="N1607" s="143">
        <f ca="1">(PRODUCT($O$5:$O1607)-1)*36000/_xlfn.DAYS(L1607, $C$2)</f>
        <v>9.2663640019450799</v>
      </c>
      <c r="O1607" s="149">
        <f t="shared" ca="1" si="62"/>
        <v>1.000173611111111</v>
      </c>
    </row>
    <row r="1608" spans="12:15" x14ac:dyDescent="0.25">
      <c r="L1608" s="147">
        <f ca="1"/>
        <v>46847</v>
      </c>
      <c r="M1608" s="92">
        <f t="shared" ca="1" si="61"/>
        <v>6.25</v>
      </c>
      <c r="N1608" s="143">
        <f ca="1">(PRODUCT($O$5:$O1608)-1)*36000/_xlfn.DAYS(L1608, $C$2)</f>
        <v>9.266091216552212</v>
      </c>
      <c r="O1608" s="149">
        <f t="shared" ca="1" si="62"/>
        <v>1.000173611111111</v>
      </c>
    </row>
    <row r="1609" spans="12:15" x14ac:dyDescent="0.25">
      <c r="L1609" s="147">
        <f ca="1"/>
        <v>46848</v>
      </c>
      <c r="M1609" s="92">
        <f t="shared" ca="1" si="61"/>
        <v>6.25</v>
      </c>
      <c r="N1609" s="143">
        <f ca="1">(PRODUCT($O$5:$O1609)-1)*36000/_xlfn.DAYS(L1609, $C$2)</f>
        <v>9.2658197260823272</v>
      </c>
      <c r="O1609" s="149">
        <f t="shared" ca="1" si="62"/>
        <v>1.000173611111111</v>
      </c>
    </row>
    <row r="1610" spans="12:15" x14ac:dyDescent="0.25">
      <c r="L1610" s="147">
        <f ca="1"/>
        <v>46849</v>
      </c>
      <c r="M1610" s="92">
        <f t="shared" ca="1" si="61"/>
        <v>6.25</v>
      </c>
      <c r="N1610" s="143">
        <f ca="1">(PRODUCT($O$5:$O1610)-1)*36000/_xlfn.DAYS(L1610, $C$2)</f>
        <v>9.265549528282202</v>
      </c>
      <c r="O1610" s="149">
        <f t="shared" ca="1" si="62"/>
        <v>1.000173611111111</v>
      </c>
    </row>
    <row r="1611" spans="12:15" x14ac:dyDescent="0.25">
      <c r="L1611" s="147">
        <f ca="1"/>
        <v>46850</v>
      </c>
      <c r="M1611" s="92">
        <f t="shared" ca="1" si="61"/>
        <v>6.25</v>
      </c>
      <c r="N1611" s="143">
        <f ca="1">(PRODUCT($O$5:$O1611)-1)*36000/_xlfn.DAYS(L1611, $C$2)</f>
        <v>9.2652806209042691</v>
      </c>
      <c r="O1611" s="149">
        <f t="shared" ca="1" si="62"/>
        <v>1.000173611111111</v>
      </c>
    </row>
    <row r="1612" spans="12:15" x14ac:dyDescent="0.25">
      <c r="L1612" s="147">
        <f ca="1"/>
        <v>46851</v>
      </c>
      <c r="M1612" s="92">
        <f t="shared" ca="1" si="61"/>
        <v>6.25</v>
      </c>
      <c r="N1612" s="143">
        <f ca="1">(PRODUCT($O$5:$O1612)-1)*36000/_xlfn.DAYS(L1612, $C$2)</f>
        <v>9.2650130017065653</v>
      </c>
      <c r="O1612" s="149">
        <f t="shared" ca="1" si="62"/>
        <v>1.000173611111111</v>
      </c>
    </row>
    <row r="1613" spans="12:15" x14ac:dyDescent="0.25">
      <c r="L1613" s="147">
        <f ca="1"/>
        <v>46852</v>
      </c>
      <c r="M1613" s="92">
        <f t="shared" ca="1" si="61"/>
        <v>6.25</v>
      </c>
      <c r="N1613" s="143">
        <f ca="1">(PRODUCT($O$5:$O1613)-1)*36000/_xlfn.DAYS(L1613, $C$2)</f>
        <v>9.2647466684527444</v>
      </c>
      <c r="O1613" s="149">
        <f t="shared" ca="1" si="62"/>
        <v>1.000173611111111</v>
      </c>
    </row>
    <row r="1614" spans="12:15" x14ac:dyDescent="0.25">
      <c r="L1614" s="147">
        <f ca="1"/>
        <v>46853</v>
      </c>
      <c r="M1614" s="92">
        <f t="shared" ca="1" si="61"/>
        <v>6.25</v>
      </c>
      <c r="N1614" s="143">
        <f ca="1">(PRODUCT($O$5:$O1614)-1)*36000/_xlfn.DAYS(L1614, $C$2)</f>
        <v>9.2644816189120291</v>
      </c>
      <c r="O1614" s="149">
        <f t="shared" ca="1" si="62"/>
        <v>1.000173611111111</v>
      </c>
    </row>
    <row r="1615" spans="12:15" x14ac:dyDescent="0.25">
      <c r="L1615" s="147">
        <f ca="1"/>
        <v>46854</v>
      </c>
      <c r="M1615" s="92">
        <f t="shared" ca="1" si="61"/>
        <v>6.25</v>
      </c>
      <c r="N1615" s="143">
        <f ca="1">(PRODUCT($O$5:$O1615)-1)*36000/_xlfn.DAYS(L1615, $C$2)</f>
        <v>9.2642178508592234</v>
      </c>
      <c r="O1615" s="149">
        <f t="shared" ca="1" si="62"/>
        <v>1.000173611111111</v>
      </c>
    </row>
    <row r="1616" spans="12:15" x14ac:dyDescent="0.25">
      <c r="L1616" s="147">
        <f ca="1"/>
        <v>46855</v>
      </c>
      <c r="M1616" s="92">
        <f t="shared" ca="1" si="61"/>
        <v>6.25</v>
      </c>
      <c r="N1616" s="143">
        <f ca="1">(PRODUCT($O$5:$O1616)-1)*36000/_xlfn.DAYS(L1616, $C$2)</f>
        <v>9.2639553620746664</v>
      </c>
      <c r="O1616" s="149">
        <f t="shared" ca="1" si="62"/>
        <v>1.000173611111111</v>
      </c>
    </row>
    <row r="1617" spans="12:15" x14ac:dyDescent="0.25">
      <c r="L1617" s="147">
        <f ca="1"/>
        <v>46856</v>
      </c>
      <c r="M1617" s="92">
        <f t="shared" ca="1" si="61"/>
        <v>6.25</v>
      </c>
      <c r="N1617" s="143">
        <f ca="1">(PRODUCT($O$5:$O1617)-1)*36000/_xlfn.DAYS(L1617, $C$2)</f>
        <v>9.2636941503442465</v>
      </c>
      <c r="O1617" s="149">
        <f t="shared" ca="1" si="62"/>
        <v>1.000173611111111</v>
      </c>
    </row>
    <row r="1618" spans="12:15" x14ac:dyDescent="0.25">
      <c r="L1618" s="147">
        <f ca="1"/>
        <v>46857</v>
      </c>
      <c r="M1618" s="92">
        <f t="shared" ca="1" si="61"/>
        <v>6.25</v>
      </c>
      <c r="N1618" s="143">
        <f ca="1">(PRODUCT($O$5:$O1618)-1)*36000/_xlfn.DAYS(L1618, $C$2)</f>
        <v>9.2634342134593606</v>
      </c>
      <c r="O1618" s="149">
        <f t="shared" ca="1" si="62"/>
        <v>1.000173611111111</v>
      </c>
    </row>
    <row r="1619" spans="12:15" x14ac:dyDescent="0.25">
      <c r="L1619" s="147">
        <f ca="1"/>
        <v>46858</v>
      </c>
      <c r="M1619" s="92">
        <f t="shared" ca="1" si="61"/>
        <v>6.25</v>
      </c>
      <c r="N1619" s="143">
        <f ca="1">(PRODUCT($O$5:$O1619)-1)*36000/_xlfn.DAYS(L1619, $C$2)</f>
        <v>9.263175549216907</v>
      </c>
      <c r="O1619" s="149">
        <f t="shared" ca="1" si="62"/>
        <v>1.000173611111111</v>
      </c>
    </row>
    <row r="1620" spans="12:15" x14ac:dyDescent="0.25">
      <c r="L1620" s="147">
        <f ca="1"/>
        <v>46859</v>
      </c>
      <c r="M1620" s="92">
        <f t="shared" ca="1" si="61"/>
        <v>6.25</v>
      </c>
      <c r="N1620" s="143">
        <f ca="1">(PRODUCT($O$5:$O1620)-1)*36000/_xlfn.DAYS(L1620, $C$2)</f>
        <v>9.262918155419257</v>
      </c>
      <c r="O1620" s="149">
        <f t="shared" ca="1" si="62"/>
        <v>1.000173611111111</v>
      </c>
    </row>
    <row r="1621" spans="12:15" x14ac:dyDescent="0.25">
      <c r="L1621" s="147">
        <f ca="1"/>
        <v>46860</v>
      </c>
      <c r="M1621" s="92">
        <f t="shared" ca="1" si="61"/>
        <v>6.25</v>
      </c>
      <c r="N1621" s="143">
        <f ca="1">(PRODUCT($O$5:$O1621)-1)*36000/_xlfn.DAYS(L1621, $C$2)</f>
        <v>9.2626620298742566</v>
      </c>
      <c r="O1621" s="149">
        <f t="shared" ca="1" si="62"/>
        <v>1.000173611111111</v>
      </c>
    </row>
    <row r="1622" spans="12:15" x14ac:dyDescent="0.25">
      <c r="L1622" s="147">
        <f ca="1"/>
        <v>46861</v>
      </c>
      <c r="M1622" s="92">
        <f t="shared" ca="1" si="61"/>
        <v>6.25</v>
      </c>
      <c r="N1622" s="143">
        <f ca="1">(PRODUCT($O$5:$O1622)-1)*36000/_xlfn.DAYS(L1622, $C$2)</f>
        <v>9.262407170395198</v>
      </c>
      <c r="O1622" s="149">
        <f t="shared" ca="1" si="62"/>
        <v>1.000173611111111</v>
      </c>
    </row>
    <row r="1623" spans="12:15" x14ac:dyDescent="0.25">
      <c r="L1623" s="147">
        <f ca="1"/>
        <v>46862</v>
      </c>
      <c r="M1623" s="92">
        <f t="shared" ca="1" si="61"/>
        <v>6.25</v>
      </c>
      <c r="N1623" s="143">
        <f ca="1">(PRODUCT($O$5:$O1623)-1)*36000/_xlfn.DAYS(L1623, $C$2)</f>
        <v>9.2621535748008004</v>
      </c>
      <c r="O1623" s="149">
        <f t="shared" ca="1" si="62"/>
        <v>1.000173611111111</v>
      </c>
    </row>
    <row r="1624" spans="12:15" x14ac:dyDescent="0.25">
      <c r="L1624" s="147">
        <f ca="1"/>
        <v>46863</v>
      </c>
      <c r="M1624" s="92">
        <f t="shared" ca="1" si="61"/>
        <v>6.25</v>
      </c>
      <c r="N1624" s="143">
        <f ca="1">(PRODUCT($O$5:$O1624)-1)*36000/_xlfn.DAYS(L1624, $C$2)</f>
        <v>9.2619012409152042</v>
      </c>
      <c r="O1624" s="149">
        <f t="shared" ca="1" si="62"/>
        <v>1.000173611111111</v>
      </c>
    </row>
    <row r="1625" spans="12:15" x14ac:dyDescent="0.25">
      <c r="L1625" s="147">
        <f ca="1"/>
        <v>46864</v>
      </c>
      <c r="M1625" s="92">
        <f t="shared" ca="1" si="61"/>
        <v>6.25</v>
      </c>
      <c r="N1625" s="143">
        <f ca="1">(PRODUCT($O$5:$O1625)-1)*36000/_xlfn.DAYS(L1625, $C$2)</f>
        <v>9.2616501665679394</v>
      </c>
      <c r="O1625" s="149">
        <f t="shared" ca="1" si="62"/>
        <v>1.000173611111111</v>
      </c>
    </row>
    <row r="1626" spans="12:15" x14ac:dyDescent="0.25">
      <c r="L1626" s="147">
        <f ca="1"/>
        <v>46865</v>
      </c>
      <c r="M1626" s="92">
        <f t="shared" ca="1" si="61"/>
        <v>6.25</v>
      </c>
      <c r="N1626" s="143">
        <f ca="1">(PRODUCT($O$5:$O1626)-1)*36000/_xlfn.DAYS(L1626, $C$2)</f>
        <v>9.261400349593929</v>
      </c>
      <c r="O1626" s="149">
        <f t="shared" ca="1" si="62"/>
        <v>1.000173611111111</v>
      </c>
    </row>
    <row r="1627" spans="12:15" x14ac:dyDescent="0.25">
      <c r="L1627" s="147">
        <f ca="1"/>
        <v>46866</v>
      </c>
      <c r="M1627" s="92">
        <f t="shared" ca="1" si="61"/>
        <v>6.25</v>
      </c>
      <c r="N1627" s="143">
        <f ca="1">(PRODUCT($O$5:$O1627)-1)*36000/_xlfn.DAYS(L1627, $C$2)</f>
        <v>9.2611517878334446</v>
      </c>
      <c r="O1627" s="149">
        <f t="shared" ca="1" si="62"/>
        <v>1.000173611111111</v>
      </c>
    </row>
    <row r="1628" spans="12:15" x14ac:dyDescent="0.25">
      <c r="L1628" s="147">
        <f ca="1"/>
        <v>46867</v>
      </c>
      <c r="M1628" s="92">
        <f t="shared" ca="1" si="61"/>
        <v>6.25</v>
      </c>
      <c r="N1628" s="143">
        <f ca="1">(PRODUCT($O$5:$O1628)-1)*36000/_xlfn.DAYS(L1628, $C$2)</f>
        <v>9.2609044791321171</v>
      </c>
      <c r="O1628" s="149">
        <f t="shared" ca="1" si="62"/>
        <v>1.000173611111111</v>
      </c>
    </row>
    <row r="1629" spans="12:15" x14ac:dyDescent="0.25">
      <c r="L1629" s="147">
        <f ca="1"/>
        <v>46868</v>
      </c>
      <c r="M1629" s="92">
        <f t="shared" ca="1" si="61"/>
        <v>6.25</v>
      </c>
      <c r="N1629" s="143">
        <f ca="1">(PRODUCT($O$5:$O1629)-1)*36000/_xlfn.DAYS(L1629, $C$2)</f>
        <v>9.2606584213409082</v>
      </c>
      <c r="O1629" s="149">
        <f t="shared" ca="1" si="62"/>
        <v>1.000173611111111</v>
      </c>
    </row>
    <row r="1630" spans="12:15" x14ac:dyDescent="0.25">
      <c r="L1630" s="147">
        <f ca="1"/>
        <v>46869</v>
      </c>
      <c r="M1630" s="92">
        <f t="shared" ca="1" si="61"/>
        <v>6.25</v>
      </c>
      <c r="N1630" s="143">
        <f ca="1">(PRODUCT($O$5:$O1630)-1)*36000/_xlfn.DAYS(L1630, $C$2)</f>
        <v>9.2604136123160909</v>
      </c>
      <c r="O1630" s="149">
        <f t="shared" ca="1" si="62"/>
        <v>1.000173611111111</v>
      </c>
    </row>
    <row r="1631" spans="12:15" x14ac:dyDescent="0.25">
      <c r="L1631" s="147">
        <f ca="1"/>
        <v>46870</v>
      </c>
      <c r="M1631" s="92">
        <f t="shared" ca="1" si="61"/>
        <v>6.25</v>
      </c>
      <c r="N1631" s="143">
        <f ca="1">(PRODUCT($O$5:$O1631)-1)*36000/_xlfn.DAYS(L1631, $C$2)</f>
        <v>9.260170049919239</v>
      </c>
      <c r="O1631" s="149">
        <f t="shared" ca="1" si="62"/>
        <v>1.000173611111111</v>
      </c>
    </row>
    <row r="1632" spans="12:15" x14ac:dyDescent="0.25">
      <c r="L1632" s="147">
        <f ca="1"/>
        <v>46871</v>
      </c>
      <c r="M1632" s="92">
        <f t="shared" ca="1" si="61"/>
        <v>6.25</v>
      </c>
      <c r="N1632" s="143">
        <f ca="1">(PRODUCT($O$5:$O1632)-1)*36000/_xlfn.DAYS(L1632, $C$2)</f>
        <v>9.2599277320172089</v>
      </c>
      <c r="O1632" s="149">
        <f t="shared" ca="1" si="62"/>
        <v>1.000173611111111</v>
      </c>
    </row>
    <row r="1633" spans="12:15" x14ac:dyDescent="0.25">
      <c r="L1633" s="147">
        <f ca="1"/>
        <v>46872</v>
      </c>
      <c r="M1633" s="92">
        <f t="shared" ca="1" si="61"/>
        <v>6.25</v>
      </c>
      <c r="N1633" s="143">
        <f ca="1">(PRODUCT($O$5:$O1633)-1)*36000/_xlfn.DAYS(L1633, $C$2)</f>
        <v>9.2596866564821223</v>
      </c>
      <c r="O1633" s="149">
        <f t="shared" ca="1" si="62"/>
        <v>1.000173611111111</v>
      </c>
    </row>
    <row r="1634" spans="12:15" x14ac:dyDescent="0.25">
      <c r="L1634" s="147">
        <f ca="1"/>
        <v>46873</v>
      </c>
      <c r="M1634" s="92">
        <f t="shared" ca="1" si="61"/>
        <v>6.25</v>
      </c>
      <c r="N1634" s="143">
        <f ca="1">(PRODUCT($O$5:$O1634)-1)*36000/_xlfn.DAYS(L1634, $C$2)</f>
        <v>9.2594468211913572</v>
      </c>
      <c r="O1634" s="149">
        <f t="shared" ca="1" si="62"/>
        <v>1.000173611111111</v>
      </c>
    </row>
    <row r="1635" spans="12:15" x14ac:dyDescent="0.25">
      <c r="L1635" s="147">
        <f ca="1"/>
        <v>46874</v>
      </c>
      <c r="M1635" s="92">
        <f t="shared" ca="1" si="61"/>
        <v>6.25</v>
      </c>
      <c r="N1635" s="143">
        <f ca="1">(PRODUCT($O$5:$O1635)-1)*36000/_xlfn.DAYS(L1635, $C$2)</f>
        <v>9.2592082240275122</v>
      </c>
      <c r="O1635" s="149">
        <f t="shared" ca="1" si="62"/>
        <v>1.000173611111111</v>
      </c>
    </row>
    <row r="1636" spans="12:15" x14ac:dyDescent="0.25">
      <c r="L1636" s="147">
        <f ca="1"/>
        <v>46875</v>
      </c>
      <c r="M1636" s="92">
        <f t="shared" ca="1" si="61"/>
        <v>6.25</v>
      </c>
      <c r="N1636" s="143">
        <f ca="1">(PRODUCT($O$5:$O1636)-1)*36000/_xlfn.DAYS(L1636, $C$2)</f>
        <v>9.2589708628784209</v>
      </c>
      <c r="O1636" s="149">
        <f t="shared" ca="1" si="62"/>
        <v>1.000173611111111</v>
      </c>
    </row>
    <row r="1637" spans="12:15" x14ac:dyDescent="0.25">
      <c r="L1637" s="147">
        <f ca="1"/>
        <v>46876</v>
      </c>
      <c r="M1637" s="92">
        <f t="shared" ca="1" si="61"/>
        <v>6.25</v>
      </c>
      <c r="N1637" s="143">
        <f ca="1">(PRODUCT($O$5:$O1637)-1)*36000/_xlfn.DAYS(L1637, $C$2)</f>
        <v>9.2587347356371037</v>
      </c>
      <c r="O1637" s="149">
        <f t="shared" ca="1" si="62"/>
        <v>1.000173611111111</v>
      </c>
    </row>
    <row r="1638" spans="12:15" x14ac:dyDescent="0.25">
      <c r="L1638" s="147">
        <f ca="1"/>
        <v>46877</v>
      </c>
      <c r="M1638" s="92">
        <f t="shared" ca="1" si="61"/>
        <v>6.25</v>
      </c>
      <c r="N1638" s="143">
        <f ca="1">(PRODUCT($O$5:$O1638)-1)*36000/_xlfn.DAYS(L1638, $C$2)</f>
        <v>9.2584998402017824</v>
      </c>
      <c r="O1638" s="149">
        <f t="shared" ca="1" si="62"/>
        <v>1.000173611111111</v>
      </c>
    </row>
    <row r="1639" spans="12:15" x14ac:dyDescent="0.25">
      <c r="L1639" s="147">
        <f ca="1"/>
        <v>46878</v>
      </c>
      <c r="M1639" s="92">
        <f t="shared" ca="1" si="61"/>
        <v>6.25</v>
      </c>
      <c r="N1639" s="143">
        <f ca="1">(PRODUCT($O$5:$O1639)-1)*36000/_xlfn.DAYS(L1639, $C$2)</f>
        <v>9.2582661744758354</v>
      </c>
      <c r="O1639" s="149">
        <f t="shared" ca="1" si="62"/>
        <v>1.000173611111111</v>
      </c>
    </row>
    <row r="1640" spans="12:15" x14ac:dyDescent="0.25">
      <c r="L1640" s="147">
        <f ca="1"/>
        <v>46879</v>
      </c>
      <c r="M1640" s="92">
        <f t="shared" ca="1" si="61"/>
        <v>6.25</v>
      </c>
      <c r="N1640" s="143">
        <f ca="1">(PRODUCT($O$5:$O1640)-1)*36000/_xlfn.DAYS(L1640, $C$2)</f>
        <v>9.2580337363678016</v>
      </c>
      <c r="O1640" s="149">
        <f t="shared" ca="1" si="62"/>
        <v>1.000173611111111</v>
      </c>
    </row>
    <row r="1641" spans="12:15" x14ac:dyDescent="0.25">
      <c r="L1641" s="147">
        <f ca="1"/>
        <v>46880</v>
      </c>
      <c r="M1641" s="92">
        <f t="shared" ca="1" si="61"/>
        <v>6.25</v>
      </c>
      <c r="N1641" s="143">
        <f ca="1">(PRODUCT($O$5:$O1641)-1)*36000/_xlfn.DAYS(L1641, $C$2)</f>
        <v>9.257802523791355</v>
      </c>
      <c r="O1641" s="149">
        <f t="shared" ca="1" si="62"/>
        <v>1.000173611111111</v>
      </c>
    </row>
    <row r="1642" spans="12:15" x14ac:dyDescent="0.25">
      <c r="L1642" s="147">
        <f ca="1"/>
        <v>46881</v>
      </c>
      <c r="M1642" s="92">
        <f t="shared" ca="1" si="61"/>
        <v>6.25</v>
      </c>
      <c r="N1642" s="143">
        <f ca="1">(PRODUCT($O$5:$O1642)-1)*36000/_xlfn.DAYS(L1642, $C$2)</f>
        <v>9.2575725346653037</v>
      </c>
      <c r="O1642" s="149">
        <f t="shared" ca="1" si="62"/>
        <v>1.000173611111111</v>
      </c>
    </row>
    <row r="1643" spans="12:15" x14ac:dyDescent="0.25">
      <c r="L1643" s="147">
        <f ca="1"/>
        <v>46882</v>
      </c>
      <c r="M1643" s="92">
        <f t="shared" ca="1" si="61"/>
        <v>6.25</v>
      </c>
      <c r="N1643" s="143">
        <f ca="1">(PRODUCT($O$5:$O1643)-1)*36000/_xlfn.DAYS(L1643, $C$2)</f>
        <v>9.2573437669135483</v>
      </c>
      <c r="O1643" s="149">
        <f t="shared" ca="1" si="62"/>
        <v>1.000173611111111</v>
      </c>
    </row>
    <row r="1644" spans="12:15" x14ac:dyDescent="0.25">
      <c r="L1644" s="147">
        <f ca="1"/>
        <v>46883</v>
      </c>
      <c r="M1644" s="92">
        <f t="shared" ca="1" si="61"/>
        <v>6.25</v>
      </c>
      <c r="N1644" s="143">
        <f ca="1">(PRODUCT($O$5:$O1644)-1)*36000/_xlfn.DAYS(L1644, $C$2)</f>
        <v>9.2571162184650966</v>
      </c>
      <c r="O1644" s="149">
        <f t="shared" ca="1" si="62"/>
        <v>1.000173611111111</v>
      </c>
    </row>
    <row r="1645" spans="12:15" x14ac:dyDescent="0.25">
      <c r="L1645" s="147">
        <f ca="1"/>
        <v>46884</v>
      </c>
      <c r="M1645" s="92">
        <f t="shared" ca="1" si="61"/>
        <v>6.25</v>
      </c>
      <c r="N1645" s="143">
        <f ca="1">(PRODUCT($O$5:$O1645)-1)*36000/_xlfn.DAYS(L1645, $C$2)</f>
        <v>9.2568898872540206</v>
      </c>
      <c r="O1645" s="149">
        <f t="shared" ca="1" si="62"/>
        <v>1.000173611111111</v>
      </c>
    </row>
    <row r="1646" spans="12:15" x14ac:dyDescent="0.25">
      <c r="L1646" s="147">
        <f ca="1"/>
        <v>46885</v>
      </c>
      <c r="M1646" s="92">
        <f t="shared" ca="1" si="61"/>
        <v>6.25</v>
      </c>
      <c r="N1646" s="143">
        <f ca="1">(PRODUCT($O$5:$O1646)-1)*36000/_xlfn.DAYS(L1646, $C$2)</f>
        <v>9.2566647712194552</v>
      </c>
      <c r="O1646" s="149">
        <f t="shared" ca="1" si="62"/>
        <v>1.000173611111111</v>
      </c>
    </row>
    <row r="1647" spans="12:15" x14ac:dyDescent="0.25">
      <c r="L1647" s="147">
        <f ca="1"/>
        <v>46886</v>
      </c>
      <c r="M1647" s="92">
        <f t="shared" ca="1" si="61"/>
        <v>6.25</v>
      </c>
      <c r="N1647" s="143">
        <f ca="1">(PRODUCT($O$5:$O1647)-1)*36000/_xlfn.DAYS(L1647, $C$2)</f>
        <v>9.2564408683055888</v>
      </c>
      <c r="O1647" s="149">
        <f t="shared" ca="1" si="62"/>
        <v>1.000173611111111</v>
      </c>
    </row>
    <row r="1648" spans="12:15" x14ac:dyDescent="0.25">
      <c r="L1648" s="147">
        <f ca="1"/>
        <v>46887</v>
      </c>
      <c r="M1648" s="92">
        <f t="shared" ca="1" si="61"/>
        <v>6.25</v>
      </c>
      <c r="N1648" s="143">
        <f ca="1">(PRODUCT($O$5:$O1648)-1)*36000/_xlfn.DAYS(L1648, $C$2)</f>
        <v>9.2562181764616298</v>
      </c>
      <c r="O1648" s="149">
        <f t="shared" ca="1" si="62"/>
        <v>1.000173611111111</v>
      </c>
    </row>
    <row r="1649" spans="12:15" x14ac:dyDescent="0.25">
      <c r="L1649" s="147">
        <f ca="1"/>
        <v>46888</v>
      </c>
      <c r="M1649" s="92">
        <f t="shared" ca="1" si="61"/>
        <v>6.25</v>
      </c>
      <c r="N1649" s="143">
        <f ca="1">(PRODUCT($O$5:$O1649)-1)*36000/_xlfn.DAYS(L1649, $C$2)</f>
        <v>9.2559966936418103</v>
      </c>
      <c r="O1649" s="149">
        <f t="shared" ca="1" si="62"/>
        <v>1.000173611111111</v>
      </c>
    </row>
    <row r="1650" spans="12:15" x14ac:dyDescent="0.25">
      <c r="L1650" s="147">
        <f ca="1"/>
        <v>46889</v>
      </c>
      <c r="M1650" s="92">
        <f t="shared" ca="1" si="61"/>
        <v>6.25</v>
      </c>
      <c r="N1650" s="143">
        <f ca="1">(PRODUCT($O$5:$O1650)-1)*36000/_xlfn.DAYS(L1650, $C$2)</f>
        <v>9.255776417805361</v>
      </c>
      <c r="O1650" s="149">
        <f t="shared" ca="1" si="62"/>
        <v>1.000173611111111</v>
      </c>
    </row>
    <row r="1651" spans="12:15" x14ac:dyDescent="0.25">
      <c r="L1651" s="147">
        <f ca="1"/>
        <v>46890</v>
      </c>
      <c r="M1651" s="92">
        <f t="shared" ca="1" si="61"/>
        <v>6.25</v>
      </c>
      <c r="N1651" s="143">
        <f ca="1">(PRODUCT($O$5:$O1651)-1)*36000/_xlfn.DAYS(L1651, $C$2)</f>
        <v>9.2555573469164862</v>
      </c>
      <c r="O1651" s="149">
        <f t="shared" ca="1" si="62"/>
        <v>1.000173611111111</v>
      </c>
    </row>
    <row r="1652" spans="12:15" x14ac:dyDescent="0.25">
      <c r="L1652" s="147">
        <f ca="1"/>
        <v>46891</v>
      </c>
      <c r="M1652" s="92">
        <f t="shared" ca="1" si="61"/>
        <v>6.25</v>
      </c>
      <c r="N1652" s="143">
        <f ca="1">(PRODUCT($O$5:$O1652)-1)*36000/_xlfn.DAYS(L1652, $C$2)</f>
        <v>9.2553394789443786</v>
      </c>
      <c r="O1652" s="149">
        <f t="shared" ca="1" si="62"/>
        <v>1.000173611111111</v>
      </c>
    </row>
    <row r="1653" spans="12:15" x14ac:dyDescent="0.25">
      <c r="L1653" s="147">
        <f ca="1"/>
        <v>46892</v>
      </c>
      <c r="M1653" s="92">
        <f t="shared" ca="1" si="61"/>
        <v>6.25</v>
      </c>
      <c r="N1653" s="143">
        <f ca="1">(PRODUCT($O$5:$O1653)-1)*36000/_xlfn.DAYS(L1653, $C$2)</f>
        <v>9.2551228118631652</v>
      </c>
      <c r="O1653" s="149">
        <f t="shared" ca="1" si="62"/>
        <v>1.000173611111111</v>
      </c>
    </row>
    <row r="1654" spans="12:15" x14ac:dyDescent="0.25">
      <c r="L1654" s="147">
        <f ca="1"/>
        <v>46893</v>
      </c>
      <c r="M1654" s="92">
        <f t="shared" ca="1" si="61"/>
        <v>6.25</v>
      </c>
      <c r="N1654" s="143">
        <f ca="1">(PRODUCT($O$5:$O1654)-1)*36000/_xlfn.DAYS(L1654, $C$2)</f>
        <v>9.2549073436519258</v>
      </c>
      <c r="O1654" s="149">
        <f t="shared" ca="1" si="62"/>
        <v>1.000173611111111</v>
      </c>
    </row>
    <row r="1655" spans="12:15" x14ac:dyDescent="0.25">
      <c r="L1655" s="147">
        <f ca="1"/>
        <v>46894</v>
      </c>
      <c r="M1655" s="92">
        <f t="shared" ca="1" si="61"/>
        <v>6.25</v>
      </c>
      <c r="N1655" s="143">
        <f ca="1">(PRODUCT($O$5:$O1655)-1)*36000/_xlfn.DAYS(L1655, $C$2)</f>
        <v>9.2546930722946659</v>
      </c>
      <c r="O1655" s="149">
        <f t="shared" ca="1" si="62"/>
        <v>1.000173611111111</v>
      </c>
    </row>
    <row r="1656" spans="12:15" x14ac:dyDescent="0.25">
      <c r="L1656" s="147">
        <f ca="1"/>
        <v>46895</v>
      </c>
      <c r="M1656" s="92">
        <f t="shared" ca="1" si="61"/>
        <v>6.25</v>
      </c>
      <c r="N1656" s="143">
        <f ca="1">(PRODUCT($O$5:$O1656)-1)*36000/_xlfn.DAYS(L1656, $C$2)</f>
        <v>9.2544799957802883</v>
      </c>
      <c r="O1656" s="149">
        <f t="shared" ca="1" si="62"/>
        <v>1.000173611111111</v>
      </c>
    </row>
    <row r="1657" spans="12:15" x14ac:dyDescent="0.25">
      <c r="L1657" s="147">
        <f ca="1"/>
        <v>46896</v>
      </c>
      <c r="M1657" s="92">
        <f t="shared" ca="1" si="61"/>
        <v>6.25</v>
      </c>
      <c r="N1657" s="143">
        <f ca="1">(PRODUCT($O$5:$O1657)-1)*36000/_xlfn.DAYS(L1657, $C$2)</f>
        <v>9.2542681121026025</v>
      </c>
      <c r="O1657" s="149">
        <f t="shared" ca="1" si="62"/>
        <v>1.000173611111111</v>
      </c>
    </row>
    <row r="1658" spans="12:15" x14ac:dyDescent="0.25">
      <c r="L1658" s="147">
        <f ca="1"/>
        <v>46897</v>
      </c>
      <c r="M1658" s="92">
        <f t="shared" ca="1" si="61"/>
        <v>6.25</v>
      </c>
      <c r="N1658" s="143">
        <f ca="1">(PRODUCT($O$5:$O1658)-1)*36000/_xlfn.DAYS(L1658, $C$2)</f>
        <v>9.2540574192602918</v>
      </c>
      <c r="O1658" s="149">
        <f t="shared" ca="1" si="62"/>
        <v>1.000173611111111</v>
      </c>
    </row>
    <row r="1659" spans="12:15" x14ac:dyDescent="0.25">
      <c r="L1659" s="147">
        <f ca="1"/>
        <v>46898</v>
      </c>
      <c r="M1659" s="92">
        <f t="shared" ca="1" si="61"/>
        <v>6.25</v>
      </c>
      <c r="N1659" s="143">
        <f ca="1">(PRODUCT($O$5:$O1659)-1)*36000/_xlfn.DAYS(L1659, $C$2)</f>
        <v>9.2538479152569035</v>
      </c>
      <c r="O1659" s="149">
        <f t="shared" ca="1" si="62"/>
        <v>1.000173611111111</v>
      </c>
    </row>
    <row r="1660" spans="12:15" x14ac:dyDescent="0.25">
      <c r="L1660" s="147">
        <f ca="1"/>
        <v>46899</v>
      </c>
      <c r="M1660" s="92">
        <f t="shared" ca="1" si="61"/>
        <v>6.25</v>
      </c>
      <c r="N1660" s="143">
        <f ca="1">(PRODUCT($O$5:$O1660)-1)*36000/_xlfn.DAYS(L1660, $C$2)</f>
        <v>9.2536395981008397</v>
      </c>
      <c r="O1660" s="149">
        <f t="shared" ca="1" si="62"/>
        <v>1.000173611111111</v>
      </c>
    </row>
    <row r="1661" spans="12:15" x14ac:dyDescent="0.25">
      <c r="L1661" s="147">
        <f ca="1"/>
        <v>46900</v>
      </c>
      <c r="M1661" s="92">
        <f t="shared" ca="1" si="61"/>
        <v>6.25</v>
      </c>
      <c r="N1661" s="143">
        <f ca="1">(PRODUCT($O$5:$O1661)-1)*36000/_xlfn.DAYS(L1661, $C$2)</f>
        <v>9.2534324658053322</v>
      </c>
      <c r="O1661" s="149">
        <f t="shared" ca="1" si="62"/>
        <v>1.000173611111111</v>
      </c>
    </row>
    <row r="1662" spans="12:15" x14ac:dyDescent="0.25">
      <c r="L1662" s="147">
        <f ca="1"/>
        <v>46901</v>
      </c>
      <c r="M1662" s="92">
        <f t="shared" ca="1" si="61"/>
        <v>6.25</v>
      </c>
      <c r="N1662" s="143">
        <f ca="1">(PRODUCT($O$5:$O1662)-1)*36000/_xlfn.DAYS(L1662, $C$2)</f>
        <v>9.2532265163884446</v>
      </c>
      <c r="O1662" s="149">
        <f t="shared" ca="1" si="62"/>
        <v>1.000173611111111</v>
      </c>
    </row>
    <row r="1663" spans="12:15" x14ac:dyDescent="0.25">
      <c r="L1663" s="147">
        <f ca="1"/>
        <v>46902</v>
      </c>
      <c r="M1663" s="92">
        <f t="shared" ca="1" si="61"/>
        <v>6.25</v>
      </c>
      <c r="N1663" s="143">
        <f ca="1">(PRODUCT($O$5:$O1663)-1)*36000/_xlfn.DAYS(L1663, $C$2)</f>
        <v>9.2530217478730385</v>
      </c>
      <c r="O1663" s="149">
        <f t="shared" ca="1" si="62"/>
        <v>1.000173611111111</v>
      </c>
    </row>
    <row r="1664" spans="12:15" x14ac:dyDescent="0.25">
      <c r="L1664" s="147">
        <f ca="1"/>
        <v>46903</v>
      </c>
      <c r="M1664" s="92">
        <f t="shared" ca="1" si="61"/>
        <v>6.25</v>
      </c>
      <c r="N1664" s="143">
        <f ca="1">(PRODUCT($O$5:$O1664)-1)*36000/_xlfn.DAYS(L1664, $C$2)</f>
        <v>9.2528181582867717</v>
      </c>
      <c r="O1664" s="149">
        <f t="shared" ca="1" si="62"/>
        <v>1.000173611111111</v>
      </c>
    </row>
    <row r="1665" spans="12:15" x14ac:dyDescent="0.25">
      <c r="L1665" s="147">
        <f ca="1"/>
        <v>46904</v>
      </c>
      <c r="M1665" s="92">
        <f t="shared" ca="1" si="61"/>
        <v>6.25</v>
      </c>
      <c r="N1665" s="143">
        <f ca="1">(PRODUCT($O$5:$O1665)-1)*36000/_xlfn.DAYS(L1665, $C$2)</f>
        <v>9.2526157456620766</v>
      </c>
      <c r="O1665" s="149">
        <f t="shared" ca="1" si="62"/>
        <v>1.000173611111111</v>
      </c>
    </row>
    <row r="1666" spans="12:15" x14ac:dyDescent="0.25">
      <c r="L1666" s="147">
        <f ca="1"/>
        <v>46905</v>
      </c>
      <c r="M1666" s="92">
        <f t="shared" ca="1" si="61"/>
        <v>6.25</v>
      </c>
      <c r="N1666" s="143">
        <f ca="1">(PRODUCT($O$5:$O1666)-1)*36000/_xlfn.DAYS(L1666, $C$2)</f>
        <v>9.2524145080361517</v>
      </c>
      <c r="O1666" s="149">
        <f t="shared" ca="1" si="62"/>
        <v>1.000173611111111</v>
      </c>
    </row>
    <row r="1667" spans="12:15" x14ac:dyDescent="0.25">
      <c r="L1667" s="147">
        <f ca="1"/>
        <v>46906</v>
      </c>
      <c r="M1667" s="92">
        <f t="shared" ca="1" si="61"/>
        <v>6.25</v>
      </c>
      <c r="N1667" s="143">
        <f ca="1">(PRODUCT($O$5:$O1667)-1)*36000/_xlfn.DAYS(L1667, $C$2)</f>
        <v>9.2522144434509421</v>
      </c>
      <c r="O1667" s="149">
        <f t="shared" ca="1" si="62"/>
        <v>1.000173611111111</v>
      </c>
    </row>
    <row r="1668" spans="12:15" x14ac:dyDescent="0.25">
      <c r="L1668" s="147">
        <f ca="1"/>
        <v>46907</v>
      </c>
      <c r="M1668" s="92">
        <f t="shared" ca="1" si="61"/>
        <v>6.25</v>
      </c>
      <c r="N1668" s="143">
        <f ca="1">(PRODUCT($O$5:$O1668)-1)*36000/_xlfn.DAYS(L1668, $C$2)</f>
        <v>9.2520155499531338</v>
      </c>
      <c r="O1668" s="149">
        <f t="shared" ca="1" si="62"/>
        <v>1.000173611111111</v>
      </c>
    </row>
    <row r="1669" spans="12:15" x14ac:dyDescent="0.25">
      <c r="L1669" s="147">
        <f ca="1"/>
        <v>46908</v>
      </c>
      <c r="M1669" s="92">
        <f t="shared" ref="M1669:M1732" ca="1" si="63">IFERROR(INDEX($E$27:$H$47, MATCH(L1669, $F$27:$F$47, 0), 4), IF(ISNUMBER(M1668), M1668, $C$5))</f>
        <v>6.25</v>
      </c>
      <c r="N1669" s="143">
        <f ca="1">(PRODUCT($O$5:$O1669)-1)*36000/_xlfn.DAYS(L1669, $C$2)</f>
        <v>9.2518178255941237</v>
      </c>
      <c r="O1669" s="149">
        <f t="shared" ca="1" si="62"/>
        <v>1.000173611111111</v>
      </c>
    </row>
    <row r="1670" spans="12:15" x14ac:dyDescent="0.25">
      <c r="L1670" s="147">
        <f ca="1"/>
        <v>46909</v>
      </c>
      <c r="M1670" s="92">
        <f t="shared" ca="1" si="63"/>
        <v>6.25</v>
      </c>
      <c r="N1670" s="143">
        <f ca="1">(PRODUCT($O$5:$O1670)-1)*36000/_xlfn.DAYS(L1670, $C$2)</f>
        <v>9.2516212684300232</v>
      </c>
      <c r="O1670" s="149">
        <f t="shared" ref="O1670:O1733" ca="1" si="64">1+M1670*IFERROR(_xlfn.DAYS(L1670, L1669), _xlfn.DAYS(L1670, $C$2))/36000</f>
        <v>1.000173611111111</v>
      </c>
    </row>
    <row r="1671" spans="12:15" x14ac:dyDescent="0.25">
      <c r="L1671" s="147">
        <f ca="1"/>
        <v>46910</v>
      </c>
      <c r="M1671" s="92">
        <f t="shared" ca="1" si="63"/>
        <v>6.25</v>
      </c>
      <c r="N1671" s="143">
        <f ca="1">(PRODUCT($O$5:$O1671)-1)*36000/_xlfn.DAYS(L1671, $C$2)</f>
        <v>9.2514258765216351</v>
      </c>
      <c r="O1671" s="149">
        <f t="shared" ca="1" si="64"/>
        <v>1.000173611111111</v>
      </c>
    </row>
    <row r="1672" spans="12:15" x14ac:dyDescent="0.25">
      <c r="L1672" s="147">
        <f ca="1"/>
        <v>46911</v>
      </c>
      <c r="M1672" s="92">
        <f t="shared" ca="1" si="63"/>
        <v>6.25</v>
      </c>
      <c r="N1672" s="143">
        <f ca="1">(PRODUCT($O$5:$O1672)-1)*36000/_xlfn.DAYS(L1672, $C$2)</f>
        <v>9.251231647934441</v>
      </c>
      <c r="O1672" s="149">
        <f t="shared" ca="1" si="64"/>
        <v>1.000173611111111</v>
      </c>
    </row>
    <row r="1673" spans="12:15" x14ac:dyDescent="0.25">
      <c r="L1673" s="147">
        <f ca="1"/>
        <v>46912</v>
      </c>
      <c r="M1673" s="92">
        <f t="shared" ca="1" si="63"/>
        <v>6.25</v>
      </c>
      <c r="N1673" s="143">
        <f ca="1">(PRODUCT($O$5:$O1673)-1)*36000/_xlfn.DAYS(L1673, $C$2)</f>
        <v>9.251038580738582</v>
      </c>
      <c r="O1673" s="149">
        <f t="shared" ca="1" si="64"/>
        <v>1.000173611111111</v>
      </c>
    </row>
    <row r="1674" spans="12:15" x14ac:dyDescent="0.25">
      <c r="L1674" s="147">
        <f ca="1"/>
        <v>46913</v>
      </c>
      <c r="M1674" s="92">
        <f t="shared" ca="1" si="63"/>
        <v>6.25</v>
      </c>
      <c r="N1674" s="143">
        <f ca="1">(PRODUCT($O$5:$O1674)-1)*36000/_xlfn.DAYS(L1674, $C$2)</f>
        <v>9.2508466730088532</v>
      </c>
      <c r="O1674" s="149">
        <f t="shared" ca="1" si="64"/>
        <v>1.000173611111111</v>
      </c>
    </row>
    <row r="1675" spans="12:15" x14ac:dyDescent="0.25">
      <c r="L1675" s="147">
        <f ca="1"/>
        <v>46914</v>
      </c>
      <c r="M1675" s="92">
        <f t="shared" ca="1" si="63"/>
        <v>6.25</v>
      </c>
      <c r="N1675" s="143">
        <f ca="1">(PRODUCT($O$5:$O1675)-1)*36000/_xlfn.DAYS(L1675, $C$2)</f>
        <v>9.2506559228246807</v>
      </c>
      <c r="O1675" s="149">
        <f t="shared" ca="1" si="64"/>
        <v>1.000173611111111</v>
      </c>
    </row>
    <row r="1676" spans="12:15" x14ac:dyDescent="0.25">
      <c r="L1676" s="147">
        <f ca="1"/>
        <v>46915</v>
      </c>
      <c r="M1676" s="92">
        <f t="shared" ca="1" si="63"/>
        <v>6.25</v>
      </c>
      <c r="N1676" s="143">
        <f ca="1">(PRODUCT($O$5:$O1676)-1)*36000/_xlfn.DAYS(L1676, $C$2)</f>
        <v>9.2504663282701252</v>
      </c>
      <c r="O1676" s="149">
        <f t="shared" ca="1" si="64"/>
        <v>1.000173611111111</v>
      </c>
    </row>
    <row r="1677" spans="12:15" x14ac:dyDescent="0.25">
      <c r="L1677" s="147">
        <f ca="1"/>
        <v>46916</v>
      </c>
      <c r="M1677" s="92">
        <f t="shared" ca="1" si="63"/>
        <v>6.25</v>
      </c>
      <c r="N1677" s="143">
        <f ca="1">(PRODUCT($O$5:$O1677)-1)*36000/_xlfn.DAYS(L1677, $C$2)</f>
        <v>9.250277887433846</v>
      </c>
      <c r="O1677" s="149">
        <f t="shared" ca="1" si="64"/>
        <v>1.000173611111111</v>
      </c>
    </row>
    <row r="1678" spans="12:15" x14ac:dyDescent="0.25">
      <c r="L1678" s="147">
        <f ca="1"/>
        <v>46917</v>
      </c>
      <c r="M1678" s="92">
        <f t="shared" ca="1" si="63"/>
        <v>6.25</v>
      </c>
      <c r="N1678" s="143">
        <f ca="1">(PRODUCT($O$5:$O1678)-1)*36000/_xlfn.DAYS(L1678, $C$2)</f>
        <v>9.2500905984090966</v>
      </c>
      <c r="O1678" s="149">
        <f t="shared" ca="1" si="64"/>
        <v>1.000173611111111</v>
      </c>
    </row>
    <row r="1679" spans="12:15" x14ac:dyDescent="0.25">
      <c r="L1679" s="147">
        <f ca="1"/>
        <v>46918</v>
      </c>
      <c r="M1679" s="92">
        <f t="shared" ca="1" si="63"/>
        <v>6.25</v>
      </c>
      <c r="N1679" s="143">
        <f ca="1">(PRODUCT($O$5:$O1679)-1)*36000/_xlfn.DAYS(L1679, $C$2)</f>
        <v>9.2499044592937238</v>
      </c>
      <c r="O1679" s="149">
        <f t="shared" ca="1" si="64"/>
        <v>1.000173611111111</v>
      </c>
    </row>
    <row r="1680" spans="12:15" x14ac:dyDescent="0.25">
      <c r="L1680" s="147">
        <f ca="1"/>
        <v>46919</v>
      </c>
      <c r="M1680" s="92">
        <f t="shared" ca="1" si="63"/>
        <v>6.25</v>
      </c>
      <c r="N1680" s="143">
        <f ca="1">(PRODUCT($O$5:$O1680)-1)*36000/_xlfn.DAYS(L1680, $C$2)</f>
        <v>9.2497194681901309</v>
      </c>
      <c r="O1680" s="149">
        <f t="shared" ca="1" si="64"/>
        <v>1.000173611111111</v>
      </c>
    </row>
    <row r="1681" spans="12:15" x14ac:dyDescent="0.25">
      <c r="L1681" s="147">
        <f ca="1"/>
        <v>46920</v>
      </c>
      <c r="M1681" s="92">
        <f t="shared" ca="1" si="63"/>
        <v>6.25</v>
      </c>
      <c r="N1681" s="143">
        <f ca="1">(PRODUCT($O$5:$O1681)-1)*36000/_xlfn.DAYS(L1681, $C$2)</f>
        <v>9.2495356232052739</v>
      </c>
      <c r="O1681" s="149">
        <f t="shared" ca="1" si="64"/>
        <v>1.000173611111111</v>
      </c>
    </row>
    <row r="1682" spans="12:15" x14ac:dyDescent="0.25">
      <c r="L1682" s="147">
        <f ca="1"/>
        <v>46921</v>
      </c>
      <c r="M1682" s="92">
        <f t="shared" ca="1" si="63"/>
        <v>6.25</v>
      </c>
      <c r="N1682" s="143">
        <f ca="1">(PRODUCT($O$5:$O1682)-1)*36000/_xlfn.DAYS(L1682, $C$2)</f>
        <v>9.2493529224506581</v>
      </c>
      <c r="O1682" s="149">
        <f t="shared" ca="1" si="64"/>
        <v>1.000173611111111</v>
      </c>
    </row>
    <row r="1683" spans="12:15" x14ac:dyDescent="0.25">
      <c r="L1683" s="147">
        <f ca="1"/>
        <v>46922</v>
      </c>
      <c r="M1683" s="92">
        <f t="shared" ca="1" si="63"/>
        <v>6.25</v>
      </c>
      <c r="N1683" s="143">
        <f ca="1">(PRODUCT($O$5:$O1683)-1)*36000/_xlfn.DAYS(L1683, $C$2)</f>
        <v>9.2491713640423114</v>
      </c>
      <c r="O1683" s="149">
        <f t="shared" ca="1" si="64"/>
        <v>1.000173611111111</v>
      </c>
    </row>
    <row r="1684" spans="12:15" x14ac:dyDescent="0.25">
      <c r="L1684" s="147">
        <f ca="1"/>
        <v>46923</v>
      </c>
      <c r="M1684" s="92">
        <f t="shared" ca="1" si="63"/>
        <v>6.25</v>
      </c>
      <c r="N1684" s="143">
        <f ca="1">(PRODUCT($O$5:$O1684)-1)*36000/_xlfn.DAYS(L1684, $C$2)</f>
        <v>9.248990946100772</v>
      </c>
      <c r="O1684" s="149">
        <f t="shared" ca="1" si="64"/>
        <v>1.000173611111111</v>
      </c>
    </row>
    <row r="1685" spans="12:15" x14ac:dyDescent="0.25">
      <c r="L1685" s="147">
        <f ca="1"/>
        <v>46924</v>
      </c>
      <c r="M1685" s="92">
        <f t="shared" ca="1" si="63"/>
        <v>6.25</v>
      </c>
      <c r="N1685" s="143">
        <f ca="1">(PRODUCT($O$5:$O1685)-1)*36000/_xlfn.DAYS(L1685, $C$2)</f>
        <v>9.2488116667510827</v>
      </c>
      <c r="O1685" s="149">
        <f t="shared" ca="1" si="64"/>
        <v>1.000173611111111</v>
      </c>
    </row>
    <row r="1686" spans="12:15" x14ac:dyDescent="0.25">
      <c r="L1686" s="147">
        <f ca="1"/>
        <v>46925</v>
      </c>
      <c r="M1686" s="92">
        <f t="shared" ca="1" si="63"/>
        <v>6.25</v>
      </c>
      <c r="N1686" s="143">
        <f ca="1">(PRODUCT($O$5:$O1686)-1)*36000/_xlfn.DAYS(L1686, $C$2)</f>
        <v>9.2486335241227735</v>
      </c>
      <c r="O1686" s="149">
        <f t="shared" ca="1" si="64"/>
        <v>1.000173611111111</v>
      </c>
    </row>
    <row r="1687" spans="12:15" x14ac:dyDescent="0.25">
      <c r="L1687" s="147">
        <f ca="1"/>
        <v>46926</v>
      </c>
      <c r="M1687" s="92">
        <f t="shared" ca="1" si="63"/>
        <v>6.25</v>
      </c>
      <c r="N1687" s="143">
        <f ca="1">(PRODUCT($O$5:$O1687)-1)*36000/_xlfn.DAYS(L1687, $C$2)</f>
        <v>9.2484565163498438</v>
      </c>
      <c r="O1687" s="149">
        <f t="shared" ca="1" si="64"/>
        <v>1.000173611111111</v>
      </c>
    </row>
    <row r="1688" spans="12:15" x14ac:dyDescent="0.25">
      <c r="L1688" s="147">
        <f ca="1"/>
        <v>46927</v>
      </c>
      <c r="M1688" s="92">
        <f t="shared" ca="1" si="63"/>
        <v>6.25</v>
      </c>
      <c r="N1688" s="143">
        <f ca="1">(PRODUCT($O$5:$O1688)-1)*36000/_xlfn.DAYS(L1688, $C$2)</f>
        <v>9.248280641570755</v>
      </c>
      <c r="O1688" s="149">
        <f t="shared" ca="1" si="64"/>
        <v>1.000173611111111</v>
      </c>
    </row>
    <row r="1689" spans="12:15" x14ac:dyDescent="0.25">
      <c r="L1689" s="147">
        <f ca="1"/>
        <v>46928</v>
      </c>
      <c r="M1689" s="92">
        <f t="shared" ca="1" si="63"/>
        <v>6.25</v>
      </c>
      <c r="N1689" s="143">
        <f ca="1">(PRODUCT($O$5:$O1689)-1)*36000/_xlfn.DAYS(L1689, $C$2)</f>
        <v>9.2481058979284185</v>
      </c>
      <c r="O1689" s="149">
        <f t="shared" ca="1" si="64"/>
        <v>1.000173611111111</v>
      </c>
    </row>
    <row r="1690" spans="12:15" x14ac:dyDescent="0.25">
      <c r="L1690" s="147">
        <f ca="1"/>
        <v>46929</v>
      </c>
      <c r="M1690" s="92">
        <f t="shared" ca="1" si="63"/>
        <v>6.25</v>
      </c>
      <c r="N1690" s="143">
        <f ca="1">(PRODUCT($O$5:$O1690)-1)*36000/_xlfn.DAYS(L1690, $C$2)</f>
        <v>9.2479322835701723</v>
      </c>
      <c r="O1690" s="149">
        <f t="shared" ca="1" si="64"/>
        <v>1.000173611111111</v>
      </c>
    </row>
    <row r="1691" spans="12:15" x14ac:dyDescent="0.25">
      <c r="L1691" s="147">
        <f ca="1"/>
        <v>46930</v>
      </c>
      <c r="M1691" s="92">
        <f t="shared" ca="1" si="63"/>
        <v>6.25</v>
      </c>
      <c r="N1691" s="143">
        <f ca="1">(PRODUCT($O$5:$O1691)-1)*36000/_xlfn.DAYS(L1691, $C$2)</f>
        <v>9.2477597966477809</v>
      </c>
      <c r="O1691" s="149">
        <f t="shared" ca="1" si="64"/>
        <v>1.000173611111111</v>
      </c>
    </row>
    <row r="1692" spans="12:15" x14ac:dyDescent="0.25">
      <c r="L1692" s="147">
        <f ca="1"/>
        <v>46931</v>
      </c>
      <c r="M1692" s="92">
        <f t="shared" ca="1" si="63"/>
        <v>6.25</v>
      </c>
      <c r="N1692" s="143">
        <f ca="1">(PRODUCT($O$5:$O1692)-1)*36000/_xlfn.DAYS(L1692, $C$2)</f>
        <v>9.2475884353174163</v>
      </c>
      <c r="O1692" s="149">
        <f t="shared" ca="1" si="64"/>
        <v>1.000173611111111</v>
      </c>
    </row>
    <row r="1693" spans="12:15" x14ac:dyDescent="0.25">
      <c r="L1693" s="147">
        <f ca="1"/>
        <v>46932</v>
      </c>
      <c r="M1693" s="92">
        <f t="shared" ca="1" si="63"/>
        <v>6.25</v>
      </c>
      <c r="N1693" s="143">
        <f ca="1">(PRODUCT($O$5:$O1693)-1)*36000/_xlfn.DAYS(L1693, $C$2)</f>
        <v>9.247418197739643</v>
      </c>
      <c r="O1693" s="149">
        <f t="shared" ca="1" si="64"/>
        <v>1.000173611111111</v>
      </c>
    </row>
    <row r="1694" spans="12:15" x14ac:dyDescent="0.25">
      <c r="L1694" s="147">
        <f ca="1"/>
        <v>46933</v>
      </c>
      <c r="M1694" s="92">
        <f t="shared" ca="1" si="63"/>
        <v>6.25</v>
      </c>
      <c r="N1694" s="143">
        <f ca="1">(PRODUCT($O$5:$O1694)-1)*36000/_xlfn.DAYS(L1694, $C$2)</f>
        <v>9.2472490820794029</v>
      </c>
      <c r="O1694" s="149">
        <f t="shared" ca="1" si="64"/>
        <v>1.000173611111111</v>
      </c>
    </row>
    <row r="1695" spans="12:15" x14ac:dyDescent="0.25">
      <c r="L1695" s="147">
        <f ca="1"/>
        <v>46934</v>
      </c>
      <c r="M1695" s="92">
        <f t="shared" ca="1" si="63"/>
        <v>6.25</v>
      </c>
      <c r="N1695" s="143">
        <f ca="1">(PRODUCT($O$5:$O1695)-1)*36000/_xlfn.DAYS(L1695, $C$2)</f>
        <v>9.2470810865060162</v>
      </c>
      <c r="O1695" s="149">
        <f t="shared" ca="1" si="64"/>
        <v>1.000173611111111</v>
      </c>
    </row>
    <row r="1696" spans="12:15" x14ac:dyDescent="0.25">
      <c r="L1696" s="147">
        <f ca="1"/>
        <v>46935</v>
      </c>
      <c r="M1696" s="92">
        <f t="shared" ca="1" si="63"/>
        <v>6.25</v>
      </c>
      <c r="N1696" s="143">
        <f ca="1">(PRODUCT($O$5:$O1696)-1)*36000/_xlfn.DAYS(L1696, $C$2)</f>
        <v>9.2469142091931502</v>
      </c>
      <c r="O1696" s="149">
        <f t="shared" ca="1" si="64"/>
        <v>1.000173611111111</v>
      </c>
    </row>
    <row r="1697" spans="12:15" x14ac:dyDescent="0.25">
      <c r="L1697" s="147">
        <f ca="1"/>
        <v>46936</v>
      </c>
      <c r="M1697" s="92">
        <f t="shared" ca="1" si="63"/>
        <v>6.25</v>
      </c>
      <c r="N1697" s="143">
        <f ca="1">(PRODUCT($O$5:$O1697)-1)*36000/_xlfn.DAYS(L1697, $C$2)</f>
        <v>9.2467484483188169</v>
      </c>
      <c r="O1697" s="149">
        <f t="shared" ca="1" si="64"/>
        <v>1.000173611111111</v>
      </c>
    </row>
    <row r="1698" spans="12:15" x14ac:dyDescent="0.25">
      <c r="L1698" s="147">
        <f ca="1"/>
        <v>46937</v>
      </c>
      <c r="M1698" s="92">
        <f t="shared" ca="1" si="63"/>
        <v>6.25</v>
      </c>
      <c r="N1698" s="143">
        <f ca="1">(PRODUCT($O$5:$O1698)-1)*36000/_xlfn.DAYS(L1698, $C$2)</f>
        <v>9.2465838020653575</v>
      </c>
      <c r="O1698" s="149">
        <f t="shared" ca="1" si="64"/>
        <v>1.000173611111111</v>
      </c>
    </row>
    <row r="1699" spans="12:15" x14ac:dyDescent="0.25">
      <c r="L1699" s="147">
        <f ca="1"/>
        <v>46938</v>
      </c>
      <c r="M1699" s="92">
        <f t="shared" ca="1" si="63"/>
        <v>6.25</v>
      </c>
      <c r="N1699" s="143">
        <f ca="1">(PRODUCT($O$5:$O1699)-1)*36000/_xlfn.DAYS(L1699, $C$2)</f>
        <v>9.2464202686194366</v>
      </c>
      <c r="O1699" s="149">
        <f t="shared" ca="1" si="64"/>
        <v>1.000173611111111</v>
      </c>
    </row>
    <row r="1700" spans="12:15" x14ac:dyDescent="0.25">
      <c r="L1700" s="147">
        <f ca="1"/>
        <v>46939</v>
      </c>
      <c r="M1700" s="92">
        <f t="shared" ca="1" si="63"/>
        <v>6.25</v>
      </c>
      <c r="N1700" s="143">
        <f ca="1">(PRODUCT($O$5:$O1700)-1)*36000/_xlfn.DAYS(L1700, $C$2)</f>
        <v>9.2462578461720142</v>
      </c>
      <c r="O1700" s="149">
        <f t="shared" ca="1" si="64"/>
        <v>1.000173611111111</v>
      </c>
    </row>
    <row r="1701" spans="12:15" x14ac:dyDescent="0.25">
      <c r="L1701" s="147">
        <f ca="1"/>
        <v>46940</v>
      </c>
      <c r="M1701" s="92">
        <f t="shared" ca="1" si="63"/>
        <v>6.25</v>
      </c>
      <c r="N1701" s="143">
        <f ca="1">(PRODUCT($O$5:$O1701)-1)*36000/_xlfn.DAYS(L1701, $C$2)</f>
        <v>9.2460965329183473</v>
      </c>
      <c r="O1701" s="149">
        <f t="shared" ca="1" si="64"/>
        <v>1.000173611111111</v>
      </c>
    </row>
    <row r="1702" spans="12:15" x14ac:dyDescent="0.25">
      <c r="L1702" s="147">
        <f ca="1"/>
        <v>46941</v>
      </c>
      <c r="M1702" s="92">
        <f t="shared" ca="1" si="63"/>
        <v>6.25</v>
      </c>
      <c r="N1702" s="143">
        <f ca="1">(PRODUCT($O$5:$O1702)-1)*36000/_xlfn.DAYS(L1702, $C$2)</f>
        <v>9.245936327057974</v>
      </c>
      <c r="O1702" s="149">
        <f t="shared" ca="1" si="64"/>
        <v>1.000173611111111</v>
      </c>
    </row>
    <row r="1703" spans="12:15" x14ac:dyDescent="0.25">
      <c r="L1703" s="147">
        <f ca="1"/>
        <v>46942</v>
      </c>
      <c r="M1703" s="92">
        <f t="shared" ca="1" si="63"/>
        <v>6.25</v>
      </c>
      <c r="N1703" s="143">
        <f ca="1">(PRODUCT($O$5:$O1703)-1)*36000/_xlfn.DAYS(L1703, $C$2)</f>
        <v>9.2457772267946936</v>
      </c>
      <c r="O1703" s="149">
        <f t="shared" ca="1" si="64"/>
        <v>1.000173611111111</v>
      </c>
    </row>
    <row r="1704" spans="12:15" x14ac:dyDescent="0.25">
      <c r="L1704" s="147">
        <f ca="1"/>
        <v>46943</v>
      </c>
      <c r="M1704" s="92">
        <f t="shared" ca="1" si="63"/>
        <v>6.25</v>
      </c>
      <c r="N1704" s="143">
        <f ca="1">(PRODUCT($O$5:$O1704)-1)*36000/_xlfn.DAYS(L1704, $C$2)</f>
        <v>9.2456192303365619</v>
      </c>
      <c r="O1704" s="149">
        <f t="shared" ca="1" si="64"/>
        <v>1.000173611111111</v>
      </c>
    </row>
    <row r="1705" spans="12:15" x14ac:dyDescent="0.25">
      <c r="L1705" s="147">
        <f ca="1"/>
        <v>46944</v>
      </c>
      <c r="M1705" s="92">
        <f t="shared" ca="1" si="63"/>
        <v>6.25</v>
      </c>
      <c r="N1705" s="143">
        <f ca="1">(PRODUCT($O$5:$O1705)-1)*36000/_xlfn.DAYS(L1705, $C$2)</f>
        <v>9.2454623358958745</v>
      </c>
      <c r="O1705" s="149">
        <f t="shared" ca="1" si="64"/>
        <v>1.000173611111111</v>
      </c>
    </row>
    <row r="1706" spans="12:15" x14ac:dyDescent="0.25">
      <c r="L1706" s="147">
        <f ca="1"/>
        <v>46945</v>
      </c>
      <c r="M1706" s="92">
        <f t="shared" ca="1" si="63"/>
        <v>6.25</v>
      </c>
      <c r="N1706" s="143">
        <f ca="1">(PRODUCT($O$5:$O1706)-1)*36000/_xlfn.DAYS(L1706, $C$2)</f>
        <v>9.2453065416891569</v>
      </c>
      <c r="O1706" s="149">
        <f t="shared" ca="1" si="64"/>
        <v>1.000173611111111</v>
      </c>
    </row>
    <row r="1707" spans="12:15" x14ac:dyDescent="0.25">
      <c r="L1707" s="147">
        <f ca="1"/>
        <v>46946</v>
      </c>
      <c r="M1707" s="92">
        <f t="shared" ca="1" si="63"/>
        <v>6.25</v>
      </c>
      <c r="N1707" s="143">
        <f ca="1">(PRODUCT($O$5:$O1707)-1)*36000/_xlfn.DAYS(L1707, $C$2)</f>
        <v>9.2451518459371567</v>
      </c>
      <c r="O1707" s="149">
        <f t="shared" ca="1" si="64"/>
        <v>1.000173611111111</v>
      </c>
    </row>
    <row r="1708" spans="12:15" x14ac:dyDescent="0.25">
      <c r="L1708" s="147">
        <f ca="1"/>
        <v>46947</v>
      </c>
      <c r="M1708" s="92">
        <f t="shared" ca="1" si="63"/>
        <v>6.25</v>
      </c>
      <c r="N1708" s="143">
        <f ca="1">(PRODUCT($O$5:$O1708)-1)*36000/_xlfn.DAYS(L1708, $C$2)</f>
        <v>9.244998246864812</v>
      </c>
      <c r="O1708" s="149">
        <f t="shared" ca="1" si="64"/>
        <v>1.000173611111111</v>
      </c>
    </row>
    <row r="1709" spans="12:15" x14ac:dyDescent="0.25">
      <c r="L1709" s="147">
        <f ca="1"/>
        <v>46948</v>
      </c>
      <c r="M1709" s="92">
        <f t="shared" ca="1" si="63"/>
        <v>6.25</v>
      </c>
      <c r="N1709" s="143">
        <f ca="1">(PRODUCT($O$5:$O1709)-1)*36000/_xlfn.DAYS(L1709, $C$2)</f>
        <v>9.2448457427012709</v>
      </c>
      <c r="O1709" s="149">
        <f t="shared" ca="1" si="64"/>
        <v>1.000173611111111</v>
      </c>
    </row>
    <row r="1710" spans="12:15" x14ac:dyDescent="0.25">
      <c r="L1710" s="147">
        <f ca="1"/>
        <v>46949</v>
      </c>
      <c r="M1710" s="92">
        <f t="shared" ca="1" si="63"/>
        <v>6.25</v>
      </c>
      <c r="N1710" s="143">
        <f ca="1">(PRODUCT($O$5:$O1710)-1)*36000/_xlfn.DAYS(L1710, $C$2)</f>
        <v>9.2446943316798471</v>
      </c>
      <c r="O1710" s="149">
        <f t="shared" ca="1" si="64"/>
        <v>1.000173611111111</v>
      </c>
    </row>
    <row r="1711" spans="12:15" x14ac:dyDescent="0.25">
      <c r="L1711" s="147">
        <f ca="1"/>
        <v>46950</v>
      </c>
      <c r="M1711" s="92">
        <f t="shared" ca="1" si="63"/>
        <v>6.25</v>
      </c>
      <c r="N1711" s="143">
        <f ca="1">(PRODUCT($O$5:$O1711)-1)*36000/_xlfn.DAYS(L1711, $C$2)</f>
        <v>9.2445440120380287</v>
      </c>
      <c r="O1711" s="149">
        <f t="shared" ca="1" si="64"/>
        <v>1.000173611111111</v>
      </c>
    </row>
    <row r="1712" spans="12:15" x14ac:dyDescent="0.25">
      <c r="L1712" s="147">
        <f ca="1"/>
        <v>46951</v>
      </c>
      <c r="M1712" s="92">
        <f t="shared" ca="1" si="63"/>
        <v>6.25</v>
      </c>
      <c r="N1712" s="143">
        <f ca="1">(PRODUCT($O$5:$O1712)-1)*36000/_xlfn.DAYS(L1712, $C$2)</f>
        <v>9.2443947820174515</v>
      </c>
      <c r="O1712" s="149">
        <f t="shared" ca="1" si="64"/>
        <v>1.000173611111111</v>
      </c>
    </row>
    <row r="1713" spans="12:15" x14ac:dyDescent="0.25">
      <c r="L1713" s="147">
        <f ca="1"/>
        <v>46952</v>
      </c>
      <c r="M1713" s="92">
        <f t="shared" ca="1" si="63"/>
        <v>6.25</v>
      </c>
      <c r="N1713" s="143">
        <f ca="1">(PRODUCT($O$5:$O1713)-1)*36000/_xlfn.DAYS(L1713, $C$2)</f>
        <v>9.244246639863908</v>
      </c>
      <c r="O1713" s="149">
        <f t="shared" ca="1" si="64"/>
        <v>1.000173611111111</v>
      </c>
    </row>
    <row r="1714" spans="12:15" x14ac:dyDescent="0.25">
      <c r="L1714" s="147">
        <f ca="1"/>
        <v>46953</v>
      </c>
      <c r="M1714" s="92">
        <f t="shared" ca="1" si="63"/>
        <v>6.25</v>
      </c>
      <c r="N1714" s="143">
        <f ca="1">(PRODUCT($O$5:$O1714)-1)*36000/_xlfn.DAYS(L1714, $C$2)</f>
        <v>9.2440995838273032</v>
      </c>
      <c r="O1714" s="149">
        <f t="shared" ca="1" si="64"/>
        <v>1.000173611111111</v>
      </c>
    </row>
    <row r="1715" spans="12:15" x14ac:dyDescent="0.25">
      <c r="L1715" s="147">
        <f ca="1"/>
        <v>46954</v>
      </c>
      <c r="M1715" s="92">
        <f t="shared" ca="1" si="63"/>
        <v>6.25</v>
      </c>
      <c r="N1715" s="143">
        <f ca="1">(PRODUCT($O$5:$O1715)-1)*36000/_xlfn.DAYS(L1715, $C$2)</f>
        <v>9.2439536121616808</v>
      </c>
      <c r="O1715" s="149">
        <f t="shared" ca="1" si="64"/>
        <v>1.000173611111111</v>
      </c>
    </row>
    <row r="1716" spans="12:15" x14ac:dyDescent="0.25">
      <c r="L1716" s="147">
        <f ca="1"/>
        <v>46955</v>
      </c>
      <c r="M1716" s="92">
        <f t="shared" ca="1" si="63"/>
        <v>6.25</v>
      </c>
      <c r="N1716" s="143">
        <f ca="1">(PRODUCT($O$5:$O1716)-1)*36000/_xlfn.DAYS(L1716, $C$2)</f>
        <v>9.2438087231251735</v>
      </c>
      <c r="O1716" s="149">
        <f t="shared" ca="1" si="64"/>
        <v>1.000173611111111</v>
      </c>
    </row>
    <row r="1717" spans="12:15" x14ac:dyDescent="0.25">
      <c r="L1717" s="147">
        <f ca="1"/>
        <v>46956</v>
      </c>
      <c r="M1717" s="92">
        <f t="shared" ca="1" si="63"/>
        <v>6.25</v>
      </c>
      <c r="N1717" s="143">
        <f ca="1">(PRODUCT($O$5:$O1717)-1)*36000/_xlfn.DAYS(L1717, $C$2)</f>
        <v>9.2436649149800232</v>
      </c>
      <c r="O1717" s="149">
        <f t="shared" ca="1" si="64"/>
        <v>1.000173611111111</v>
      </c>
    </row>
    <row r="1718" spans="12:15" x14ac:dyDescent="0.25">
      <c r="L1718" s="147">
        <f ca="1"/>
        <v>46957</v>
      </c>
      <c r="M1718" s="92">
        <f t="shared" ca="1" si="63"/>
        <v>6.25</v>
      </c>
      <c r="N1718" s="143">
        <f ca="1">(PRODUCT($O$5:$O1718)-1)*36000/_xlfn.DAYS(L1718, $C$2)</f>
        <v>9.2435221859925445</v>
      </c>
      <c r="O1718" s="149">
        <f t="shared" ca="1" si="64"/>
        <v>1.000173611111111</v>
      </c>
    </row>
    <row r="1719" spans="12:15" x14ac:dyDescent="0.25">
      <c r="L1719" s="147">
        <f ca="1"/>
        <v>46958</v>
      </c>
      <c r="M1719" s="92">
        <f t="shared" ca="1" si="63"/>
        <v>6.25</v>
      </c>
      <c r="N1719" s="143">
        <f ca="1">(PRODUCT($O$5:$O1719)-1)*36000/_xlfn.DAYS(L1719, $C$2)</f>
        <v>9.243380534433129</v>
      </c>
      <c r="O1719" s="149">
        <f t="shared" ca="1" si="64"/>
        <v>1.000173611111111</v>
      </c>
    </row>
    <row r="1720" spans="12:15" x14ac:dyDescent="0.25">
      <c r="L1720" s="147">
        <f ca="1"/>
        <v>46959</v>
      </c>
      <c r="M1720" s="92">
        <f t="shared" ca="1" si="63"/>
        <v>6.25</v>
      </c>
      <c r="N1720" s="143">
        <f ca="1">(PRODUCT($O$5:$O1720)-1)*36000/_xlfn.DAYS(L1720, $C$2)</f>
        <v>9.2432399585762202</v>
      </c>
      <c r="O1720" s="149">
        <f t="shared" ca="1" si="64"/>
        <v>1.000173611111111</v>
      </c>
    </row>
    <row r="1721" spans="12:15" x14ac:dyDescent="0.25">
      <c r="L1721" s="147">
        <f ca="1"/>
        <v>46960</v>
      </c>
      <c r="M1721" s="92">
        <f t="shared" ca="1" si="63"/>
        <v>6.25</v>
      </c>
      <c r="N1721" s="143">
        <f ca="1">(PRODUCT($O$5:$O1721)-1)*36000/_xlfn.DAYS(L1721, $C$2)</f>
        <v>9.2431004567003203</v>
      </c>
      <c r="O1721" s="149">
        <f t="shared" ca="1" si="64"/>
        <v>1.000173611111111</v>
      </c>
    </row>
    <row r="1722" spans="12:15" x14ac:dyDescent="0.25">
      <c r="L1722" s="147">
        <f ca="1"/>
        <v>46961</v>
      </c>
      <c r="M1722" s="92">
        <f t="shared" ca="1" si="63"/>
        <v>6.25</v>
      </c>
      <c r="N1722" s="143">
        <f ca="1">(PRODUCT($O$5:$O1722)-1)*36000/_xlfn.DAYS(L1722, $C$2)</f>
        <v>9.2429620270879589</v>
      </c>
      <c r="O1722" s="149">
        <f t="shared" ca="1" si="64"/>
        <v>1.000173611111111</v>
      </c>
    </row>
    <row r="1723" spans="12:15" x14ac:dyDescent="0.25">
      <c r="L1723" s="147">
        <f ca="1"/>
        <v>46962</v>
      </c>
      <c r="M1723" s="92">
        <f t="shared" ca="1" si="63"/>
        <v>6.25</v>
      </c>
      <c r="N1723" s="143">
        <f ca="1">(PRODUCT($O$5:$O1723)-1)*36000/_xlfn.DAYS(L1723, $C$2)</f>
        <v>9.2428246680256905</v>
      </c>
      <c r="O1723" s="149">
        <f t="shared" ca="1" si="64"/>
        <v>1.000173611111111</v>
      </c>
    </row>
    <row r="1724" spans="12:15" x14ac:dyDescent="0.25">
      <c r="L1724" s="147">
        <f ca="1"/>
        <v>46963</v>
      </c>
      <c r="M1724" s="92">
        <f t="shared" ca="1" si="63"/>
        <v>6.25</v>
      </c>
      <c r="N1724" s="143">
        <f ca="1">(PRODUCT($O$5:$O1724)-1)*36000/_xlfn.DAYS(L1724, $C$2)</f>
        <v>9.2426883778040843</v>
      </c>
      <c r="O1724" s="149">
        <f t="shared" ca="1" si="64"/>
        <v>1.000173611111111</v>
      </c>
    </row>
    <row r="1725" spans="12:15" x14ac:dyDescent="0.25">
      <c r="L1725" s="147">
        <f ca="1"/>
        <v>46964</v>
      </c>
      <c r="M1725" s="92">
        <f t="shared" ca="1" si="63"/>
        <v>6.25</v>
      </c>
      <c r="N1725" s="143">
        <f ca="1">(PRODUCT($O$5:$O1725)-1)*36000/_xlfn.DAYS(L1725, $C$2)</f>
        <v>9.2425531547177044</v>
      </c>
      <c r="O1725" s="149">
        <f t="shared" ca="1" si="64"/>
        <v>1.000173611111111</v>
      </c>
    </row>
    <row r="1726" spans="12:15" x14ac:dyDescent="0.25">
      <c r="L1726" s="147">
        <f ca="1"/>
        <v>46965</v>
      </c>
      <c r="M1726" s="92">
        <f t="shared" ca="1" si="63"/>
        <v>6.25</v>
      </c>
      <c r="N1726" s="143">
        <f ca="1">(PRODUCT($O$5:$O1726)-1)*36000/_xlfn.DAYS(L1726, $C$2)</f>
        <v>9.2424189970651103</v>
      </c>
      <c r="O1726" s="149">
        <f t="shared" ca="1" si="64"/>
        <v>1.000173611111111</v>
      </c>
    </row>
    <row r="1727" spans="12:15" x14ac:dyDescent="0.25">
      <c r="L1727" s="147">
        <f ca="1"/>
        <v>46966</v>
      </c>
      <c r="M1727" s="92">
        <f t="shared" ca="1" si="63"/>
        <v>6.25</v>
      </c>
      <c r="N1727" s="143">
        <f ca="1">(PRODUCT($O$5:$O1727)-1)*36000/_xlfn.DAYS(L1727, $C$2)</f>
        <v>9.2422859031488382</v>
      </c>
      <c r="O1727" s="149">
        <f t="shared" ca="1" si="64"/>
        <v>1.000173611111111</v>
      </c>
    </row>
    <row r="1728" spans="12:15" x14ac:dyDescent="0.25">
      <c r="L1728" s="147">
        <f ca="1"/>
        <v>46967</v>
      </c>
      <c r="M1728" s="92">
        <f t="shared" ca="1" si="63"/>
        <v>6.25</v>
      </c>
      <c r="N1728" s="143">
        <f ca="1">(PRODUCT($O$5:$O1728)-1)*36000/_xlfn.DAYS(L1728, $C$2)</f>
        <v>9.2421538712753879</v>
      </c>
      <c r="O1728" s="149">
        <f t="shared" ca="1" si="64"/>
        <v>1.000173611111111</v>
      </c>
    </row>
    <row r="1729" spans="12:15" x14ac:dyDescent="0.25">
      <c r="L1729" s="147">
        <f ca="1"/>
        <v>46968</v>
      </c>
      <c r="M1729" s="92">
        <f t="shared" ca="1" si="63"/>
        <v>6.25</v>
      </c>
      <c r="N1729" s="143">
        <f ca="1">(PRODUCT($O$5:$O1729)-1)*36000/_xlfn.DAYS(L1729, $C$2)</f>
        <v>9.2420228997552112</v>
      </c>
      <c r="O1729" s="149">
        <f t="shared" ca="1" si="64"/>
        <v>1.000173611111111</v>
      </c>
    </row>
    <row r="1730" spans="12:15" x14ac:dyDescent="0.25">
      <c r="L1730" s="147">
        <f ca="1"/>
        <v>46969</v>
      </c>
      <c r="M1730" s="92">
        <f t="shared" ca="1" si="63"/>
        <v>6.25</v>
      </c>
      <c r="N1730" s="143">
        <f ca="1">(PRODUCT($O$5:$O1730)-1)*36000/_xlfn.DAYS(L1730, $C$2)</f>
        <v>9.2418929869027036</v>
      </c>
      <c r="O1730" s="149">
        <f t="shared" ca="1" si="64"/>
        <v>1.000173611111111</v>
      </c>
    </row>
    <row r="1731" spans="12:15" x14ac:dyDescent="0.25">
      <c r="L1731" s="147">
        <f ca="1"/>
        <v>46970</v>
      </c>
      <c r="M1731" s="92">
        <f t="shared" ca="1" si="63"/>
        <v>6.25</v>
      </c>
      <c r="N1731" s="143">
        <f ca="1">(PRODUCT($O$5:$O1731)-1)*36000/_xlfn.DAYS(L1731, $C$2)</f>
        <v>9.2417641310361986</v>
      </c>
      <c r="O1731" s="149">
        <f t="shared" ca="1" si="64"/>
        <v>1.000173611111111</v>
      </c>
    </row>
    <row r="1732" spans="12:15" x14ac:dyDescent="0.25">
      <c r="L1732" s="147">
        <f ca="1"/>
        <v>46971</v>
      </c>
      <c r="M1732" s="92">
        <f t="shared" ca="1" si="63"/>
        <v>6.25</v>
      </c>
      <c r="N1732" s="143">
        <f ca="1">(PRODUCT($O$5:$O1732)-1)*36000/_xlfn.DAYS(L1732, $C$2)</f>
        <v>9.2416363304779434</v>
      </c>
      <c r="O1732" s="149">
        <f t="shared" ca="1" si="64"/>
        <v>1.000173611111111</v>
      </c>
    </row>
    <row r="1733" spans="12:15" x14ac:dyDescent="0.25">
      <c r="L1733" s="147">
        <f ca="1"/>
        <v>46972</v>
      </c>
      <c r="M1733" s="92">
        <f t="shared" ref="M1733:M1796" ca="1" si="65">IFERROR(INDEX($E$27:$H$47, MATCH(L1733, $F$27:$F$47, 0), 4), IF(ISNUMBER(M1732), M1732, $C$5))</f>
        <v>6.25</v>
      </c>
      <c r="N1733" s="143">
        <f ca="1">(PRODUCT($O$5:$O1733)-1)*36000/_xlfn.DAYS(L1733, $C$2)</f>
        <v>9.241509583554091</v>
      </c>
      <c r="O1733" s="149">
        <f t="shared" ca="1" si="64"/>
        <v>1.000173611111111</v>
      </c>
    </row>
    <row r="1734" spans="12:15" x14ac:dyDescent="0.25">
      <c r="L1734" s="147">
        <f ca="1"/>
        <v>46973</v>
      </c>
      <c r="M1734" s="92">
        <f t="shared" ca="1" si="65"/>
        <v>6.25</v>
      </c>
      <c r="N1734" s="143">
        <f ca="1">(PRODUCT($O$5:$O1734)-1)*36000/_xlfn.DAYS(L1734, $C$2)</f>
        <v>9.2413838885947008</v>
      </c>
      <c r="O1734" s="149">
        <f t="shared" ref="O1734:O1797" ca="1" si="66">1+M1734*IFERROR(_xlfn.DAYS(L1734, L1733), _xlfn.DAYS(L1734, $C$2))/36000</f>
        <v>1.000173611111111</v>
      </c>
    </row>
    <row r="1735" spans="12:15" x14ac:dyDescent="0.25">
      <c r="L1735" s="147">
        <f ca="1"/>
        <v>46974</v>
      </c>
      <c r="M1735" s="92">
        <f t="shared" ca="1" si="65"/>
        <v>6.25</v>
      </c>
      <c r="N1735" s="143">
        <f ca="1">(PRODUCT($O$5:$O1735)-1)*36000/_xlfn.DAYS(L1735, $C$2)</f>
        <v>9.24125924393371</v>
      </c>
      <c r="O1735" s="149">
        <f t="shared" ca="1" si="66"/>
        <v>1.000173611111111</v>
      </c>
    </row>
    <row r="1736" spans="12:15" x14ac:dyDescent="0.25">
      <c r="L1736" s="147">
        <f ca="1"/>
        <v>46975</v>
      </c>
      <c r="M1736" s="92">
        <f t="shared" ca="1" si="65"/>
        <v>6.25</v>
      </c>
      <c r="N1736" s="143">
        <f ca="1">(PRODUCT($O$5:$O1736)-1)*36000/_xlfn.DAYS(L1736, $C$2)</f>
        <v>9.2411356479089406</v>
      </c>
      <c r="O1736" s="149">
        <f t="shared" ca="1" si="66"/>
        <v>1.000173611111111</v>
      </c>
    </row>
    <row r="1737" spans="12:15" x14ac:dyDescent="0.25">
      <c r="L1737" s="147">
        <f ca="1"/>
        <v>46976</v>
      </c>
      <c r="M1737" s="92">
        <f t="shared" ca="1" si="65"/>
        <v>6.25</v>
      </c>
      <c r="N1737" s="143">
        <f ca="1">(PRODUCT($O$5:$O1737)-1)*36000/_xlfn.DAYS(L1737, $C$2)</f>
        <v>9.2410130988620693</v>
      </c>
      <c r="O1737" s="149">
        <f t="shared" ca="1" si="66"/>
        <v>1.000173611111111</v>
      </c>
    </row>
    <row r="1738" spans="12:15" x14ac:dyDescent="0.25">
      <c r="L1738" s="147">
        <f ca="1"/>
        <v>46977</v>
      </c>
      <c r="M1738" s="92">
        <f t="shared" ca="1" si="65"/>
        <v>6.25</v>
      </c>
      <c r="N1738" s="143">
        <f ca="1">(PRODUCT($O$5:$O1738)-1)*36000/_xlfn.DAYS(L1738, $C$2)</f>
        <v>9.2408915951386277</v>
      </c>
      <c r="O1738" s="149">
        <f t="shared" ca="1" si="66"/>
        <v>1.000173611111111</v>
      </c>
    </row>
    <row r="1739" spans="12:15" x14ac:dyDescent="0.25">
      <c r="L1739" s="147">
        <f ca="1"/>
        <v>46978</v>
      </c>
      <c r="M1739" s="92">
        <f t="shared" ca="1" si="65"/>
        <v>6.25</v>
      </c>
      <c r="N1739" s="143">
        <f ca="1">(PRODUCT($O$5:$O1739)-1)*36000/_xlfn.DAYS(L1739, $C$2)</f>
        <v>9.2407711350879875</v>
      </c>
      <c r="O1739" s="149">
        <f t="shared" ca="1" si="66"/>
        <v>1.000173611111111</v>
      </c>
    </row>
    <row r="1740" spans="12:15" x14ac:dyDescent="0.25">
      <c r="L1740" s="147">
        <f ca="1"/>
        <v>46979</v>
      </c>
      <c r="M1740" s="92">
        <f t="shared" ca="1" si="65"/>
        <v>6.25</v>
      </c>
      <c r="N1740" s="143">
        <f ca="1">(PRODUCT($O$5:$O1740)-1)*36000/_xlfn.DAYS(L1740, $C$2)</f>
        <v>9.2406517170633578</v>
      </c>
      <c r="O1740" s="149">
        <f t="shared" ca="1" si="66"/>
        <v>1.000173611111111</v>
      </c>
    </row>
    <row r="1741" spans="12:15" x14ac:dyDescent="0.25">
      <c r="L1741" s="147">
        <f ca="1"/>
        <v>46980</v>
      </c>
      <c r="M1741" s="92">
        <f t="shared" ca="1" si="65"/>
        <v>6.25</v>
      </c>
      <c r="N1741" s="143">
        <f ca="1">(PRODUCT($O$5:$O1741)-1)*36000/_xlfn.DAYS(L1741, $C$2)</f>
        <v>9.2405333394217628</v>
      </c>
      <c r="O1741" s="149">
        <f t="shared" ca="1" si="66"/>
        <v>1.000173611111111</v>
      </c>
    </row>
    <row r="1742" spans="12:15" x14ac:dyDescent="0.25">
      <c r="L1742" s="147">
        <f ca="1"/>
        <v>46981</v>
      </c>
      <c r="M1742" s="92">
        <f t="shared" ca="1" si="65"/>
        <v>6.25</v>
      </c>
      <c r="N1742" s="143">
        <f ca="1">(PRODUCT($O$5:$O1742)-1)*36000/_xlfn.DAYS(L1742, $C$2)</f>
        <v>9.2404160005240321</v>
      </c>
      <c r="O1742" s="149">
        <f t="shared" ca="1" si="66"/>
        <v>1.000173611111111</v>
      </c>
    </row>
    <row r="1743" spans="12:15" x14ac:dyDescent="0.25">
      <c r="L1743" s="147">
        <f ca="1"/>
        <v>46982</v>
      </c>
      <c r="M1743" s="92">
        <f t="shared" ca="1" si="65"/>
        <v>6.25</v>
      </c>
      <c r="N1743" s="143">
        <f ca="1">(PRODUCT($O$5:$O1743)-1)*36000/_xlfn.DAYS(L1743, $C$2)</f>
        <v>9.2402996987347965</v>
      </c>
      <c r="O1743" s="149">
        <f t="shared" ca="1" si="66"/>
        <v>1.000173611111111</v>
      </c>
    </row>
    <row r="1744" spans="12:15" x14ac:dyDescent="0.25">
      <c r="L1744" s="147">
        <f ca="1"/>
        <v>46983</v>
      </c>
      <c r="M1744" s="92">
        <f t="shared" ca="1" si="65"/>
        <v>6.25</v>
      </c>
      <c r="N1744" s="143">
        <f ca="1">(PRODUCT($O$5:$O1744)-1)*36000/_xlfn.DAYS(L1744, $C$2)</f>
        <v>9.2401844324224722</v>
      </c>
      <c r="O1744" s="149">
        <f t="shared" ca="1" si="66"/>
        <v>1.000173611111111</v>
      </c>
    </row>
    <row r="1745" spans="12:15" x14ac:dyDescent="0.25">
      <c r="L1745" s="147">
        <f ca="1"/>
        <v>46984</v>
      </c>
      <c r="M1745" s="92">
        <f t="shared" ca="1" si="65"/>
        <v>6.25</v>
      </c>
      <c r="N1745" s="143">
        <f ca="1">(PRODUCT($O$5:$O1745)-1)*36000/_xlfn.DAYS(L1745, $C$2)</f>
        <v>9.2400701999592521</v>
      </c>
      <c r="O1745" s="149">
        <f t="shared" ca="1" si="66"/>
        <v>1.000173611111111</v>
      </c>
    </row>
    <row r="1746" spans="12:15" x14ac:dyDescent="0.25">
      <c r="L1746" s="147">
        <f ca="1"/>
        <v>46985</v>
      </c>
      <c r="M1746" s="92">
        <f t="shared" ca="1" si="65"/>
        <v>6.25</v>
      </c>
      <c r="N1746" s="143">
        <f ca="1">(PRODUCT($O$5:$O1746)-1)*36000/_xlfn.DAYS(L1746, $C$2)</f>
        <v>9.2399569997210929</v>
      </c>
      <c r="O1746" s="149">
        <f t="shared" ca="1" si="66"/>
        <v>1.000173611111111</v>
      </c>
    </row>
    <row r="1747" spans="12:15" x14ac:dyDescent="0.25">
      <c r="L1747" s="147">
        <f ca="1"/>
        <v>46986</v>
      </c>
      <c r="M1747" s="92">
        <f t="shared" ca="1" si="65"/>
        <v>6.25</v>
      </c>
      <c r="N1747" s="143">
        <f ca="1">(PRODUCT($O$5:$O1747)-1)*36000/_xlfn.DAYS(L1747, $C$2)</f>
        <v>9.2398448300877085</v>
      </c>
      <c r="O1747" s="149">
        <f t="shared" ca="1" si="66"/>
        <v>1.000173611111111</v>
      </c>
    </row>
    <row r="1748" spans="12:15" x14ac:dyDescent="0.25">
      <c r="L1748" s="147">
        <f ca="1"/>
        <v>46987</v>
      </c>
      <c r="M1748" s="92">
        <f t="shared" ca="1" si="65"/>
        <v>6.25</v>
      </c>
      <c r="N1748" s="143">
        <f ca="1">(PRODUCT($O$5:$O1748)-1)*36000/_xlfn.DAYS(L1748, $C$2)</f>
        <v>9.2397336894425539</v>
      </c>
      <c r="O1748" s="149">
        <f t="shared" ca="1" si="66"/>
        <v>1.000173611111111</v>
      </c>
    </row>
    <row r="1749" spans="12:15" x14ac:dyDescent="0.25">
      <c r="L1749" s="147">
        <f ca="1"/>
        <v>46988</v>
      </c>
      <c r="M1749" s="92">
        <f t="shared" ca="1" si="65"/>
        <v>6.25</v>
      </c>
      <c r="N1749" s="143">
        <f ca="1">(PRODUCT($O$5:$O1749)-1)*36000/_xlfn.DAYS(L1749, $C$2)</f>
        <v>9.2396235761728089</v>
      </c>
      <c r="O1749" s="149">
        <f t="shared" ca="1" si="66"/>
        <v>1.000173611111111</v>
      </c>
    </row>
    <row r="1750" spans="12:15" x14ac:dyDescent="0.25">
      <c r="L1750" s="147">
        <f ca="1"/>
        <v>46989</v>
      </c>
      <c r="M1750" s="92">
        <f t="shared" ca="1" si="65"/>
        <v>6.25</v>
      </c>
      <c r="N1750" s="143">
        <f ca="1">(PRODUCT($O$5:$O1750)-1)*36000/_xlfn.DAYS(L1750, $C$2)</f>
        <v>9.2395144886693927</v>
      </c>
      <c r="O1750" s="149">
        <f t="shared" ca="1" si="66"/>
        <v>1.000173611111111</v>
      </c>
    </row>
    <row r="1751" spans="12:15" x14ac:dyDescent="0.25">
      <c r="L1751" s="147">
        <f ca="1"/>
        <v>46990</v>
      </c>
      <c r="M1751" s="92">
        <f t="shared" ca="1" si="65"/>
        <v>6.25</v>
      </c>
      <c r="N1751" s="143">
        <f ca="1">(PRODUCT($O$5:$O1751)-1)*36000/_xlfn.DAYS(L1751, $C$2)</f>
        <v>9.239406425326921</v>
      </c>
      <c r="O1751" s="149">
        <f t="shared" ca="1" si="66"/>
        <v>1.000173611111111</v>
      </c>
    </row>
    <row r="1752" spans="12:15" x14ac:dyDescent="0.25">
      <c r="L1752" s="147">
        <f ca="1"/>
        <v>46991</v>
      </c>
      <c r="M1752" s="92">
        <f t="shared" ca="1" si="65"/>
        <v>6.25</v>
      </c>
      <c r="N1752" s="143">
        <f ca="1">(PRODUCT($O$5:$O1752)-1)*36000/_xlfn.DAYS(L1752, $C$2)</f>
        <v>9.2392993845437186</v>
      </c>
      <c r="O1752" s="149">
        <f t="shared" ca="1" si="66"/>
        <v>1.000173611111111</v>
      </c>
    </row>
    <row r="1753" spans="12:15" x14ac:dyDescent="0.25">
      <c r="L1753" s="147">
        <f ca="1"/>
        <v>46992</v>
      </c>
      <c r="M1753" s="92">
        <f t="shared" ca="1" si="65"/>
        <v>6.25</v>
      </c>
      <c r="N1753" s="143">
        <f ca="1">(PRODUCT($O$5:$O1753)-1)*36000/_xlfn.DAYS(L1753, $C$2)</f>
        <v>9.2391933647217961</v>
      </c>
      <c r="O1753" s="149">
        <f t="shared" ca="1" si="66"/>
        <v>1.000173611111111</v>
      </c>
    </row>
    <row r="1754" spans="12:15" x14ac:dyDescent="0.25">
      <c r="L1754" s="147">
        <f ca="1"/>
        <v>46993</v>
      </c>
      <c r="M1754" s="92">
        <f t="shared" ca="1" si="65"/>
        <v>6.25</v>
      </c>
      <c r="N1754" s="143">
        <f ca="1">(PRODUCT($O$5:$O1754)-1)*36000/_xlfn.DAYS(L1754, $C$2)</f>
        <v>9.2390883642668449</v>
      </c>
      <c r="O1754" s="149">
        <f t="shared" ca="1" si="66"/>
        <v>1.000173611111111</v>
      </c>
    </row>
    <row r="1755" spans="12:15" x14ac:dyDescent="0.25">
      <c r="L1755" s="147">
        <f ca="1"/>
        <v>46994</v>
      </c>
      <c r="M1755" s="92">
        <f t="shared" ca="1" si="65"/>
        <v>6.25</v>
      </c>
      <c r="N1755" s="143">
        <f ca="1">(PRODUCT($O$5:$O1755)-1)*36000/_xlfn.DAYS(L1755, $C$2)</f>
        <v>9.2389843815882227</v>
      </c>
      <c r="O1755" s="149">
        <f t="shared" ca="1" si="66"/>
        <v>1.000173611111111</v>
      </c>
    </row>
    <row r="1756" spans="12:15" x14ac:dyDescent="0.25">
      <c r="L1756" s="147">
        <f ca="1"/>
        <v>46995</v>
      </c>
      <c r="M1756" s="92">
        <f t="shared" ca="1" si="65"/>
        <v>6.25</v>
      </c>
      <c r="N1756" s="143">
        <f ca="1">(PRODUCT($O$5:$O1756)-1)*36000/_xlfn.DAYS(L1756, $C$2)</f>
        <v>9.2388814150989536</v>
      </c>
      <c r="O1756" s="149">
        <f t="shared" ca="1" si="66"/>
        <v>1.000173611111111</v>
      </c>
    </row>
    <row r="1757" spans="12:15" x14ac:dyDescent="0.25">
      <c r="L1757" s="147">
        <f ca="1"/>
        <v>46996</v>
      </c>
      <c r="M1757" s="92">
        <f t="shared" ca="1" si="65"/>
        <v>6.25</v>
      </c>
      <c r="N1757" s="143">
        <f ca="1">(PRODUCT($O$5:$O1757)-1)*36000/_xlfn.DAYS(L1757, $C$2)</f>
        <v>9.2387794632157014</v>
      </c>
      <c r="O1757" s="149">
        <f t="shared" ca="1" si="66"/>
        <v>1.000173611111111</v>
      </c>
    </row>
    <row r="1758" spans="12:15" x14ac:dyDescent="0.25">
      <c r="L1758" s="147">
        <f ca="1"/>
        <v>46997</v>
      </c>
      <c r="M1758" s="92">
        <f t="shared" ca="1" si="65"/>
        <v>6.25</v>
      </c>
      <c r="N1758" s="143">
        <f ca="1">(PRODUCT($O$5:$O1758)-1)*36000/_xlfn.DAYS(L1758, $C$2)</f>
        <v>9.2386785243587681</v>
      </c>
      <c r="O1758" s="149">
        <f t="shared" ca="1" si="66"/>
        <v>1.000173611111111</v>
      </c>
    </row>
    <row r="1759" spans="12:15" x14ac:dyDescent="0.25">
      <c r="L1759" s="147">
        <f ca="1"/>
        <v>46998</v>
      </c>
      <c r="M1759" s="92">
        <f t="shared" ca="1" si="65"/>
        <v>6.25</v>
      </c>
      <c r="N1759" s="143">
        <f ca="1">(PRODUCT($O$5:$O1759)-1)*36000/_xlfn.DAYS(L1759, $C$2)</f>
        <v>9.2385785969520917</v>
      </c>
      <c r="O1759" s="149">
        <f t="shared" ca="1" si="66"/>
        <v>1.000173611111111</v>
      </c>
    </row>
    <row r="1760" spans="12:15" x14ac:dyDescent="0.25">
      <c r="L1760" s="147">
        <f ca="1"/>
        <v>46999</v>
      </c>
      <c r="M1760" s="92">
        <f t="shared" ca="1" si="65"/>
        <v>6.25</v>
      </c>
      <c r="N1760" s="143">
        <f ca="1">(PRODUCT($O$5:$O1760)-1)*36000/_xlfn.DAYS(L1760, $C$2)</f>
        <v>9.2384796794232233</v>
      </c>
      <c r="O1760" s="149">
        <f t="shared" ca="1" si="66"/>
        <v>1.000173611111111</v>
      </c>
    </row>
    <row r="1761" spans="12:15" x14ac:dyDescent="0.25">
      <c r="L1761" s="147">
        <f ca="1"/>
        <v>47000</v>
      </c>
      <c r="M1761" s="92">
        <f t="shared" ca="1" si="65"/>
        <v>6.25</v>
      </c>
      <c r="N1761" s="143">
        <f ca="1">(PRODUCT($O$5:$O1761)-1)*36000/_xlfn.DAYS(L1761, $C$2)</f>
        <v>9.2383817702033131</v>
      </c>
      <c r="O1761" s="149">
        <f t="shared" ca="1" si="66"/>
        <v>1.000173611111111</v>
      </c>
    </row>
    <row r="1762" spans="12:15" x14ac:dyDescent="0.25">
      <c r="L1762" s="147">
        <f ca="1"/>
        <v>47001</v>
      </c>
      <c r="M1762" s="92">
        <f t="shared" ca="1" si="65"/>
        <v>6.25</v>
      </c>
      <c r="N1762" s="143">
        <f ca="1">(PRODUCT($O$5:$O1762)-1)*36000/_xlfn.DAYS(L1762, $C$2)</f>
        <v>9.2382848677271188</v>
      </c>
      <c r="O1762" s="149">
        <f t="shared" ca="1" si="66"/>
        <v>1.000173611111111</v>
      </c>
    </row>
    <row r="1763" spans="12:15" x14ac:dyDescent="0.25">
      <c r="L1763" s="147">
        <f ca="1"/>
        <v>47002</v>
      </c>
      <c r="M1763" s="92">
        <f t="shared" ca="1" si="65"/>
        <v>6.25</v>
      </c>
      <c r="N1763" s="143">
        <f ca="1">(PRODUCT($O$5:$O1763)-1)*36000/_xlfn.DAYS(L1763, $C$2)</f>
        <v>9.2381889704329812</v>
      </c>
      <c r="O1763" s="149">
        <f t="shared" ca="1" si="66"/>
        <v>1.000173611111111</v>
      </c>
    </row>
    <row r="1764" spans="12:15" x14ac:dyDescent="0.25">
      <c r="L1764" s="147">
        <f ca="1"/>
        <v>47003</v>
      </c>
      <c r="M1764" s="92">
        <f t="shared" ca="1" si="65"/>
        <v>6.25</v>
      </c>
      <c r="N1764" s="143">
        <f ca="1">(PRODUCT($O$5:$O1764)-1)*36000/_xlfn.DAYS(L1764, $C$2)</f>
        <v>9.2380940767628079</v>
      </c>
      <c r="O1764" s="149">
        <f t="shared" ca="1" si="66"/>
        <v>1.000173611111111</v>
      </c>
    </row>
    <row r="1765" spans="12:15" x14ac:dyDescent="0.25">
      <c r="L1765" s="147">
        <f ca="1"/>
        <v>47004</v>
      </c>
      <c r="M1765" s="92">
        <f t="shared" ca="1" si="65"/>
        <v>6.25</v>
      </c>
      <c r="N1765" s="143">
        <f ca="1">(PRODUCT($O$5:$O1765)-1)*36000/_xlfn.DAYS(L1765, $C$2)</f>
        <v>9.2380001851620861</v>
      </c>
      <c r="O1765" s="149">
        <f t="shared" ca="1" si="66"/>
        <v>1.000173611111111</v>
      </c>
    </row>
    <row r="1766" spans="12:15" x14ac:dyDescent="0.25">
      <c r="L1766" s="147">
        <f ca="1"/>
        <v>47005</v>
      </c>
      <c r="M1766" s="92">
        <f t="shared" ca="1" si="65"/>
        <v>6.25</v>
      </c>
      <c r="N1766" s="143">
        <f ca="1">(PRODUCT($O$5:$O1766)-1)*36000/_xlfn.DAYS(L1766, $C$2)</f>
        <v>9.2379072940798554</v>
      </c>
      <c r="O1766" s="149">
        <f t="shared" ca="1" si="66"/>
        <v>1.000173611111111</v>
      </c>
    </row>
    <row r="1767" spans="12:15" x14ac:dyDescent="0.25">
      <c r="L1767" s="147">
        <f ca="1"/>
        <v>47006</v>
      </c>
      <c r="M1767" s="92">
        <f t="shared" ca="1" si="65"/>
        <v>6.25</v>
      </c>
      <c r="N1767" s="143">
        <f ca="1">(PRODUCT($O$5:$O1767)-1)*36000/_xlfn.DAYS(L1767, $C$2)</f>
        <v>9.2378154019686995</v>
      </c>
      <c r="O1767" s="149">
        <f t="shared" ca="1" si="66"/>
        <v>1.000173611111111</v>
      </c>
    </row>
    <row r="1768" spans="12:15" x14ac:dyDescent="0.25">
      <c r="L1768" s="147">
        <f ca="1"/>
        <v>47007</v>
      </c>
      <c r="M1768" s="92">
        <f t="shared" ca="1" si="65"/>
        <v>6.25</v>
      </c>
      <c r="N1768" s="143">
        <f ca="1">(PRODUCT($O$5:$O1768)-1)*36000/_xlfn.DAYS(L1768, $C$2)</f>
        <v>9.2377245072847316</v>
      </c>
      <c r="O1768" s="149">
        <f t="shared" ca="1" si="66"/>
        <v>1.000173611111111</v>
      </c>
    </row>
    <row r="1769" spans="12:15" x14ac:dyDescent="0.25">
      <c r="L1769" s="147">
        <f ca="1"/>
        <v>47008</v>
      </c>
      <c r="M1769" s="92">
        <f t="shared" ca="1" si="65"/>
        <v>6.25</v>
      </c>
      <c r="N1769" s="143">
        <f ca="1">(PRODUCT($O$5:$O1769)-1)*36000/_xlfn.DAYS(L1769, $C$2)</f>
        <v>9.2376346084876015</v>
      </c>
      <c r="O1769" s="149">
        <f t="shared" ca="1" si="66"/>
        <v>1.000173611111111</v>
      </c>
    </row>
    <row r="1770" spans="12:15" x14ac:dyDescent="0.25">
      <c r="L1770" s="147">
        <f ca="1"/>
        <v>47009</v>
      </c>
      <c r="M1770" s="92">
        <f t="shared" ca="1" si="65"/>
        <v>6.25</v>
      </c>
      <c r="N1770" s="143">
        <f ca="1">(PRODUCT($O$5:$O1770)-1)*36000/_xlfn.DAYS(L1770, $C$2)</f>
        <v>9.2375457040404694</v>
      </c>
      <c r="O1770" s="149">
        <f t="shared" ca="1" si="66"/>
        <v>1.000173611111111</v>
      </c>
    </row>
    <row r="1771" spans="12:15" x14ac:dyDescent="0.25">
      <c r="L1771" s="147">
        <f ca="1"/>
        <v>47010</v>
      </c>
      <c r="M1771" s="92">
        <f t="shared" ca="1" si="65"/>
        <v>6.25</v>
      </c>
      <c r="N1771" s="143">
        <f ca="1">(PRODUCT($O$5:$O1771)-1)*36000/_xlfn.DAYS(L1771, $C$2)</f>
        <v>9.2374577924100016</v>
      </c>
      <c r="O1771" s="149">
        <f t="shared" ca="1" si="66"/>
        <v>1.000173611111111</v>
      </c>
    </row>
    <row r="1772" spans="12:15" x14ac:dyDescent="0.25">
      <c r="L1772" s="147">
        <f ca="1"/>
        <v>47011</v>
      </c>
      <c r="M1772" s="92">
        <f t="shared" ca="1" si="65"/>
        <v>6.25</v>
      </c>
      <c r="N1772" s="143">
        <f ca="1">(PRODUCT($O$5:$O1772)-1)*36000/_xlfn.DAYS(L1772, $C$2)</f>
        <v>9.2373708720663643</v>
      </c>
      <c r="O1772" s="149">
        <f t="shared" ca="1" si="66"/>
        <v>1.000173611111111</v>
      </c>
    </row>
    <row r="1773" spans="12:15" x14ac:dyDescent="0.25">
      <c r="L1773" s="147">
        <f ca="1"/>
        <v>47012</v>
      </c>
      <c r="M1773" s="92">
        <f t="shared" ca="1" si="65"/>
        <v>6.25</v>
      </c>
      <c r="N1773" s="143">
        <f ca="1">(PRODUCT($O$5:$O1773)-1)*36000/_xlfn.DAYS(L1773, $C$2)</f>
        <v>9.2372849414831997</v>
      </c>
      <c r="O1773" s="149">
        <f t="shared" ca="1" si="66"/>
        <v>1.000173611111111</v>
      </c>
    </row>
    <row r="1774" spans="12:15" x14ac:dyDescent="0.25">
      <c r="L1774" s="147">
        <f ca="1"/>
        <v>47013</v>
      </c>
      <c r="M1774" s="92">
        <f t="shared" ca="1" si="65"/>
        <v>6.25</v>
      </c>
      <c r="N1774" s="143">
        <f ca="1">(PRODUCT($O$5:$O1774)-1)*36000/_xlfn.DAYS(L1774, $C$2)</f>
        <v>9.2371999991376335</v>
      </c>
      <c r="O1774" s="149">
        <f t="shared" ca="1" si="66"/>
        <v>1.000173611111111</v>
      </c>
    </row>
    <row r="1775" spans="12:15" x14ac:dyDescent="0.25">
      <c r="L1775" s="147">
        <f ca="1"/>
        <v>47014</v>
      </c>
      <c r="M1775" s="92">
        <f t="shared" ca="1" si="65"/>
        <v>6.25</v>
      </c>
      <c r="N1775" s="143">
        <f ca="1">(PRODUCT($O$5:$O1775)-1)*36000/_xlfn.DAYS(L1775, $C$2)</f>
        <v>9.2371160435102659</v>
      </c>
      <c r="O1775" s="149">
        <f t="shared" ca="1" si="66"/>
        <v>1.000173611111111</v>
      </c>
    </row>
    <row r="1776" spans="12:15" x14ac:dyDescent="0.25">
      <c r="L1776" s="147">
        <f ca="1"/>
        <v>47015</v>
      </c>
      <c r="M1776" s="92">
        <f t="shared" ca="1" si="65"/>
        <v>6.25</v>
      </c>
      <c r="N1776" s="143">
        <f ca="1">(PRODUCT($O$5:$O1776)-1)*36000/_xlfn.DAYS(L1776, $C$2)</f>
        <v>9.2370330730851329</v>
      </c>
      <c r="O1776" s="149">
        <f t="shared" ca="1" si="66"/>
        <v>1.000173611111111</v>
      </c>
    </row>
    <row r="1777" spans="12:15" x14ac:dyDescent="0.25">
      <c r="L1777" s="147">
        <f ca="1"/>
        <v>47016</v>
      </c>
      <c r="M1777" s="92">
        <f t="shared" ca="1" si="65"/>
        <v>6.25</v>
      </c>
      <c r="N1777" s="143">
        <f ca="1">(PRODUCT($O$5:$O1777)-1)*36000/_xlfn.DAYS(L1777, $C$2)</f>
        <v>9.2369510863497393</v>
      </c>
      <c r="O1777" s="149">
        <f t="shared" ca="1" si="66"/>
        <v>1.000173611111111</v>
      </c>
    </row>
    <row r="1778" spans="12:15" x14ac:dyDescent="0.25">
      <c r="L1778" s="147">
        <f ca="1"/>
        <v>47017</v>
      </c>
      <c r="M1778" s="92">
        <f t="shared" ca="1" si="65"/>
        <v>6.25</v>
      </c>
      <c r="N1778" s="143">
        <f ca="1">(PRODUCT($O$5:$O1778)-1)*36000/_xlfn.DAYS(L1778, $C$2)</f>
        <v>9.2368700817950113</v>
      </c>
      <c r="O1778" s="149">
        <f t="shared" ca="1" si="66"/>
        <v>1.000173611111111</v>
      </c>
    </row>
    <row r="1779" spans="12:15" x14ac:dyDescent="0.25">
      <c r="L1779" s="147">
        <f ca="1"/>
        <v>47018</v>
      </c>
      <c r="M1779" s="92">
        <f t="shared" ca="1" si="65"/>
        <v>6.25</v>
      </c>
      <c r="N1779" s="143">
        <f ca="1">(PRODUCT($O$5:$O1779)-1)*36000/_xlfn.DAYS(L1779, $C$2)</f>
        <v>9.236790057915309</v>
      </c>
      <c r="O1779" s="149">
        <f t="shared" ca="1" si="66"/>
        <v>1.000173611111111</v>
      </c>
    </row>
    <row r="1780" spans="12:15" x14ac:dyDescent="0.25">
      <c r="L1780" s="147">
        <f ca="1"/>
        <v>47019</v>
      </c>
      <c r="M1780" s="92">
        <f t="shared" ca="1" si="65"/>
        <v>6.25</v>
      </c>
      <c r="N1780" s="143">
        <f ca="1">(PRODUCT($O$5:$O1780)-1)*36000/_xlfn.DAYS(L1780, $C$2)</f>
        <v>9.2367110132084136</v>
      </c>
      <c r="O1780" s="149">
        <f t="shared" ca="1" si="66"/>
        <v>1.000173611111111</v>
      </c>
    </row>
    <row r="1781" spans="12:15" x14ac:dyDescent="0.25">
      <c r="L1781" s="147">
        <f ca="1"/>
        <v>47020</v>
      </c>
      <c r="M1781" s="92">
        <f t="shared" ca="1" si="65"/>
        <v>6.25</v>
      </c>
      <c r="N1781" s="143">
        <f ca="1">(PRODUCT($O$5:$O1781)-1)*36000/_xlfn.DAYS(L1781, $C$2)</f>
        <v>9.2366329461755079</v>
      </c>
      <c r="O1781" s="149">
        <f t="shared" ca="1" si="66"/>
        <v>1.000173611111111</v>
      </c>
    </row>
    <row r="1782" spans="12:15" x14ac:dyDescent="0.25">
      <c r="L1782" s="147">
        <f ca="1"/>
        <v>47021</v>
      </c>
      <c r="M1782" s="92">
        <f t="shared" ca="1" si="65"/>
        <v>6.25</v>
      </c>
      <c r="N1782" s="143">
        <f ca="1">(PRODUCT($O$5:$O1782)-1)*36000/_xlfn.DAYS(L1782, $C$2)</f>
        <v>9.2365558553211784</v>
      </c>
      <c r="O1782" s="149">
        <f t="shared" ca="1" si="66"/>
        <v>1.000173611111111</v>
      </c>
    </row>
    <row r="1783" spans="12:15" x14ac:dyDescent="0.25">
      <c r="L1783" s="147">
        <f ca="1"/>
        <v>47022</v>
      </c>
      <c r="M1783" s="92">
        <f t="shared" ca="1" si="65"/>
        <v>6.25</v>
      </c>
      <c r="N1783" s="143">
        <f ca="1">(PRODUCT($O$5:$O1783)-1)*36000/_xlfn.DAYS(L1783, $C$2)</f>
        <v>9.2364797391533937</v>
      </c>
      <c r="O1783" s="149">
        <f t="shared" ca="1" si="66"/>
        <v>1.000173611111111</v>
      </c>
    </row>
    <row r="1784" spans="12:15" x14ac:dyDescent="0.25">
      <c r="L1784" s="147">
        <f ca="1"/>
        <v>47023</v>
      </c>
      <c r="M1784" s="92">
        <f t="shared" ca="1" si="65"/>
        <v>6.25</v>
      </c>
      <c r="N1784" s="143">
        <f ca="1">(PRODUCT($O$5:$O1784)-1)*36000/_xlfn.DAYS(L1784, $C$2)</f>
        <v>9.2364045961835117</v>
      </c>
      <c r="O1784" s="149">
        <f t="shared" ca="1" si="66"/>
        <v>1.000173611111111</v>
      </c>
    </row>
    <row r="1785" spans="12:15" x14ac:dyDescent="0.25">
      <c r="L1785" s="147">
        <f ca="1"/>
        <v>47024</v>
      </c>
      <c r="M1785" s="92">
        <f t="shared" ca="1" si="65"/>
        <v>6.25</v>
      </c>
      <c r="N1785" s="143">
        <f ca="1">(PRODUCT($O$5:$O1785)-1)*36000/_xlfn.DAYS(L1785, $C$2)</f>
        <v>9.2363304249262548</v>
      </c>
      <c r="O1785" s="149">
        <f t="shared" ca="1" si="66"/>
        <v>1.000173611111111</v>
      </c>
    </row>
    <row r="1786" spans="12:15" x14ac:dyDescent="0.25">
      <c r="L1786" s="147">
        <f ca="1"/>
        <v>47025</v>
      </c>
      <c r="M1786" s="92">
        <f t="shared" ca="1" si="65"/>
        <v>6.25</v>
      </c>
      <c r="N1786" s="143">
        <f ca="1">(PRODUCT($O$5:$O1786)-1)*36000/_xlfn.DAYS(L1786, $C$2)</f>
        <v>9.2362572238997096</v>
      </c>
      <c r="O1786" s="149">
        <f t="shared" ca="1" si="66"/>
        <v>1.000173611111111</v>
      </c>
    </row>
    <row r="1787" spans="12:15" x14ac:dyDescent="0.25">
      <c r="L1787" s="147">
        <f ca="1"/>
        <v>47026</v>
      </c>
      <c r="M1787" s="92">
        <f t="shared" ca="1" si="65"/>
        <v>6.25</v>
      </c>
      <c r="N1787" s="143">
        <f ca="1">(PRODUCT($O$5:$O1787)-1)*36000/_xlfn.DAYS(L1787, $C$2)</f>
        <v>9.2361849916253078</v>
      </c>
      <c r="O1787" s="149">
        <f t="shared" ca="1" si="66"/>
        <v>1.000173611111111</v>
      </c>
    </row>
    <row r="1788" spans="12:15" x14ac:dyDescent="0.25">
      <c r="L1788" s="147">
        <f ca="1"/>
        <v>47027</v>
      </c>
      <c r="M1788" s="92">
        <f t="shared" ca="1" si="65"/>
        <v>6.25</v>
      </c>
      <c r="N1788" s="143">
        <f ca="1">(PRODUCT($O$5:$O1788)-1)*36000/_xlfn.DAYS(L1788, $C$2)</f>
        <v>9.2361137266278241</v>
      </c>
      <c r="O1788" s="149">
        <f t="shared" ca="1" si="66"/>
        <v>1.000173611111111</v>
      </c>
    </row>
    <row r="1789" spans="12:15" x14ac:dyDescent="0.25">
      <c r="L1789" s="147">
        <f ca="1"/>
        <v>47028</v>
      </c>
      <c r="M1789" s="92">
        <f t="shared" ca="1" si="65"/>
        <v>6.25</v>
      </c>
      <c r="N1789" s="143">
        <f ca="1">(PRODUCT($O$5:$O1789)-1)*36000/_xlfn.DAYS(L1789, $C$2)</f>
        <v>9.2360434274353729</v>
      </c>
      <c r="O1789" s="149">
        <f t="shared" ca="1" si="66"/>
        <v>1.000173611111111</v>
      </c>
    </row>
    <row r="1790" spans="12:15" x14ac:dyDescent="0.25">
      <c r="L1790" s="147">
        <f ca="1"/>
        <v>47029</v>
      </c>
      <c r="M1790" s="92">
        <f t="shared" ca="1" si="65"/>
        <v>6.25</v>
      </c>
      <c r="N1790" s="143">
        <f ca="1">(PRODUCT($O$5:$O1790)-1)*36000/_xlfn.DAYS(L1790, $C$2)</f>
        <v>9.2359740925793865</v>
      </c>
      <c r="O1790" s="149">
        <f t="shared" ca="1" si="66"/>
        <v>1.000173611111111</v>
      </c>
    </row>
    <row r="1791" spans="12:15" x14ac:dyDescent="0.25">
      <c r="L1791" s="147">
        <f ca="1"/>
        <v>47030</v>
      </c>
      <c r="M1791" s="92">
        <f t="shared" ca="1" si="65"/>
        <v>6.25</v>
      </c>
      <c r="N1791" s="143">
        <f ca="1">(PRODUCT($O$5:$O1791)-1)*36000/_xlfn.DAYS(L1791, $C$2)</f>
        <v>9.2359057205946069</v>
      </c>
      <c r="O1791" s="149">
        <f t="shared" ca="1" si="66"/>
        <v>1.000173611111111</v>
      </c>
    </row>
    <row r="1792" spans="12:15" x14ac:dyDescent="0.25">
      <c r="L1792" s="147">
        <f ca="1"/>
        <v>47031</v>
      </c>
      <c r="M1792" s="92">
        <f t="shared" ca="1" si="65"/>
        <v>6.25</v>
      </c>
      <c r="N1792" s="143">
        <f ca="1">(PRODUCT($O$5:$O1792)-1)*36000/_xlfn.DAYS(L1792, $C$2)</f>
        <v>9.2358383100190959</v>
      </c>
      <c r="O1792" s="149">
        <f t="shared" ca="1" si="66"/>
        <v>1.000173611111111</v>
      </c>
    </row>
    <row r="1793" spans="12:15" x14ac:dyDescent="0.25">
      <c r="L1793" s="147">
        <f ca="1"/>
        <v>47032</v>
      </c>
      <c r="M1793" s="92">
        <f t="shared" ca="1" si="65"/>
        <v>6.25</v>
      </c>
      <c r="N1793" s="143">
        <f ca="1">(PRODUCT($O$5:$O1793)-1)*36000/_xlfn.DAYS(L1793, $C$2)</f>
        <v>9.2357718593941911</v>
      </c>
      <c r="O1793" s="149">
        <f t="shared" ca="1" si="66"/>
        <v>1.000173611111111</v>
      </c>
    </row>
    <row r="1794" spans="12:15" x14ac:dyDescent="0.25">
      <c r="L1794" s="147">
        <f ca="1"/>
        <v>47033</v>
      </c>
      <c r="M1794" s="92">
        <f t="shared" ca="1" si="65"/>
        <v>6.25</v>
      </c>
      <c r="N1794" s="143">
        <f ca="1">(PRODUCT($O$5:$O1794)-1)*36000/_xlfn.DAYS(L1794, $C$2)</f>
        <v>9.235706367264525</v>
      </c>
      <c r="O1794" s="149">
        <f t="shared" ca="1" si="66"/>
        <v>1.000173611111111</v>
      </c>
    </row>
    <row r="1795" spans="12:15" x14ac:dyDescent="0.25">
      <c r="L1795" s="147">
        <f ca="1"/>
        <v>47034</v>
      </c>
      <c r="M1795" s="92">
        <f t="shared" ca="1" si="65"/>
        <v>6.25</v>
      </c>
      <c r="N1795" s="143">
        <f ca="1">(PRODUCT($O$5:$O1795)-1)*36000/_xlfn.DAYS(L1795, $C$2)</f>
        <v>9.2356418321780129</v>
      </c>
      <c r="O1795" s="149">
        <f t="shared" ca="1" si="66"/>
        <v>1.000173611111111</v>
      </c>
    </row>
    <row r="1796" spans="12:15" x14ac:dyDescent="0.25">
      <c r="L1796" s="147">
        <f ca="1"/>
        <v>47035</v>
      </c>
      <c r="M1796" s="92">
        <f t="shared" ca="1" si="65"/>
        <v>6.25</v>
      </c>
      <c r="N1796" s="143">
        <f ca="1">(PRODUCT($O$5:$O1796)-1)*36000/_xlfn.DAYS(L1796, $C$2)</f>
        <v>9.2355782526858317</v>
      </c>
      <c r="O1796" s="149">
        <f t="shared" ca="1" si="66"/>
        <v>1.000173611111111</v>
      </c>
    </row>
    <row r="1797" spans="12:15" x14ac:dyDescent="0.25">
      <c r="L1797" s="147">
        <f ca="1"/>
        <v>47036</v>
      </c>
      <c r="M1797" s="92">
        <f t="shared" ref="M1797:M1860" ca="1" si="67">IFERROR(INDEX($E$27:$H$47, MATCH(L1797, $F$27:$F$47, 0), 4), IF(ISNUMBER(M1796), M1796, $C$5))</f>
        <v>6.25</v>
      </c>
      <c r="N1797" s="143">
        <f ca="1">(PRODUCT($O$5:$O1797)-1)*36000/_xlfn.DAYS(L1797, $C$2)</f>
        <v>9.2355156273424157</v>
      </c>
      <c r="O1797" s="149">
        <f t="shared" ca="1" si="66"/>
        <v>1.000173611111111</v>
      </c>
    </row>
    <row r="1798" spans="12:15" x14ac:dyDescent="0.25">
      <c r="L1798" s="147">
        <f ca="1"/>
        <v>47037</v>
      </c>
      <c r="M1798" s="92">
        <f t="shared" ca="1" si="67"/>
        <v>6.25</v>
      </c>
      <c r="N1798" s="143">
        <f ca="1">(PRODUCT($O$5:$O1798)-1)*36000/_xlfn.DAYS(L1798, $C$2)</f>
        <v>9.2354539547054539</v>
      </c>
      <c r="O1798" s="149">
        <f t="shared" ref="O1798:O1861" ca="1" si="68">1+M1798*IFERROR(_xlfn.DAYS(L1798, L1797), _xlfn.DAYS(L1798, $C$2))/36000</f>
        <v>1.000173611111111</v>
      </c>
    </row>
    <row r="1799" spans="12:15" x14ac:dyDescent="0.25">
      <c r="L1799" s="147">
        <f ca="1"/>
        <v>47038</v>
      </c>
      <c r="M1799" s="92">
        <f t="shared" ca="1" si="67"/>
        <v>6.25</v>
      </c>
      <c r="N1799" s="143">
        <f ca="1">(PRODUCT($O$5:$O1799)-1)*36000/_xlfn.DAYS(L1799, $C$2)</f>
        <v>9.2353932333358699</v>
      </c>
      <c r="O1799" s="149">
        <f t="shared" ca="1" si="68"/>
        <v>1.000173611111111</v>
      </c>
    </row>
    <row r="1800" spans="12:15" x14ac:dyDescent="0.25">
      <c r="L1800" s="147">
        <f ca="1"/>
        <v>47039</v>
      </c>
      <c r="M1800" s="92">
        <f t="shared" ca="1" si="67"/>
        <v>6.25</v>
      </c>
      <c r="N1800" s="143">
        <f ca="1">(PRODUCT($O$5:$O1800)-1)*36000/_xlfn.DAYS(L1800, $C$2)</f>
        <v>9.2353334617978273</v>
      </c>
      <c r="O1800" s="149">
        <f t="shared" ca="1" si="68"/>
        <v>1.000173611111111</v>
      </c>
    </row>
    <row r="1801" spans="12:15" x14ac:dyDescent="0.25">
      <c r="L1801" s="147">
        <f ca="1"/>
        <v>47040</v>
      </c>
      <c r="M1801" s="92">
        <f t="shared" ca="1" si="67"/>
        <v>6.25</v>
      </c>
      <c r="N1801" s="143">
        <f ca="1">(PRODUCT($O$5:$O1801)-1)*36000/_xlfn.DAYS(L1801, $C$2)</f>
        <v>9.2352746386587032</v>
      </c>
      <c r="O1801" s="149">
        <f t="shared" ca="1" si="68"/>
        <v>1.000173611111111</v>
      </c>
    </row>
    <row r="1802" spans="12:15" x14ac:dyDescent="0.25">
      <c r="L1802" s="147">
        <f ca="1"/>
        <v>47041</v>
      </c>
      <c r="M1802" s="92">
        <f t="shared" ca="1" si="67"/>
        <v>6.25</v>
      </c>
      <c r="N1802" s="143">
        <f ca="1">(PRODUCT($O$5:$O1802)-1)*36000/_xlfn.DAYS(L1802, $C$2)</f>
        <v>9.2352167624890971</v>
      </c>
      <c r="O1802" s="149">
        <f t="shared" ca="1" si="68"/>
        <v>1.000173611111111</v>
      </c>
    </row>
    <row r="1803" spans="12:15" x14ac:dyDescent="0.25">
      <c r="L1803" s="147">
        <f ca="1"/>
        <v>47042</v>
      </c>
      <c r="M1803" s="92">
        <f t="shared" ca="1" si="67"/>
        <v>6.25</v>
      </c>
      <c r="N1803" s="143">
        <f ca="1">(PRODUCT($O$5:$O1803)-1)*36000/_xlfn.DAYS(L1803, $C$2)</f>
        <v>9.2351598318628039</v>
      </c>
      <c r="O1803" s="149">
        <f t="shared" ca="1" si="68"/>
        <v>1.000173611111111</v>
      </c>
    </row>
    <row r="1804" spans="12:15" x14ac:dyDescent="0.25">
      <c r="L1804" s="147">
        <f ca="1"/>
        <v>47043</v>
      </c>
      <c r="M1804" s="92">
        <f t="shared" ca="1" si="67"/>
        <v>6.25</v>
      </c>
      <c r="N1804" s="143">
        <f ca="1">(PRODUCT($O$5:$O1804)-1)*36000/_xlfn.DAYS(L1804, $C$2)</f>
        <v>9.2351038453568179</v>
      </c>
      <c r="O1804" s="149">
        <f t="shared" ca="1" si="68"/>
        <v>1.000173611111111</v>
      </c>
    </row>
    <row r="1805" spans="12:15" x14ac:dyDescent="0.25">
      <c r="L1805" s="147">
        <f ca="1"/>
        <v>47044</v>
      </c>
      <c r="M1805" s="92">
        <f t="shared" ca="1" si="67"/>
        <v>6.25</v>
      </c>
      <c r="N1805" s="143">
        <f ca="1">(PRODUCT($O$5:$O1805)-1)*36000/_xlfn.DAYS(L1805, $C$2)</f>
        <v>9.2350488015513275</v>
      </c>
      <c r="O1805" s="149">
        <f t="shared" ca="1" si="68"/>
        <v>1.000173611111111</v>
      </c>
    </row>
    <row r="1806" spans="12:15" x14ac:dyDescent="0.25">
      <c r="L1806" s="147">
        <f ca="1"/>
        <v>47045</v>
      </c>
      <c r="M1806" s="92">
        <f t="shared" ca="1" si="67"/>
        <v>6.25</v>
      </c>
      <c r="N1806" s="143">
        <f ca="1">(PRODUCT($O$5:$O1806)-1)*36000/_xlfn.DAYS(L1806, $C$2)</f>
        <v>9.2349946990296914</v>
      </c>
      <c r="O1806" s="149">
        <f t="shared" ca="1" si="68"/>
        <v>1.000173611111111</v>
      </c>
    </row>
    <row r="1807" spans="12:15" x14ac:dyDescent="0.25">
      <c r="L1807" s="147">
        <f ca="1"/>
        <v>47046</v>
      </c>
      <c r="M1807" s="92">
        <f t="shared" ca="1" si="67"/>
        <v>6.25</v>
      </c>
      <c r="N1807" s="143">
        <f ca="1">(PRODUCT($O$5:$O1807)-1)*36000/_xlfn.DAYS(L1807, $C$2)</f>
        <v>9.2349415363784395</v>
      </c>
      <c r="O1807" s="149">
        <f t="shared" ca="1" si="68"/>
        <v>1.000173611111111</v>
      </c>
    </row>
    <row r="1808" spans="12:15" x14ac:dyDescent="0.25">
      <c r="L1808" s="147">
        <f ca="1"/>
        <v>47047</v>
      </c>
      <c r="M1808" s="92">
        <f t="shared" ca="1" si="67"/>
        <v>6.25</v>
      </c>
      <c r="N1808" s="143">
        <f ca="1">(PRODUCT($O$5:$O1808)-1)*36000/_xlfn.DAYS(L1808, $C$2)</f>
        <v>9.2348893121872635</v>
      </c>
      <c r="O1808" s="149">
        <f t="shared" ca="1" si="68"/>
        <v>1.000173611111111</v>
      </c>
    </row>
    <row r="1809" spans="12:15" x14ac:dyDescent="0.25">
      <c r="L1809" s="147">
        <f ca="1"/>
        <v>47048</v>
      </c>
      <c r="M1809" s="92">
        <f t="shared" ca="1" si="67"/>
        <v>6.25</v>
      </c>
      <c r="N1809" s="143">
        <f ca="1">(PRODUCT($O$5:$O1809)-1)*36000/_xlfn.DAYS(L1809, $C$2)</f>
        <v>9.2348380250490063</v>
      </c>
      <c r="O1809" s="149">
        <f t="shared" ca="1" si="68"/>
        <v>1.000173611111111</v>
      </c>
    </row>
    <row r="1810" spans="12:15" x14ac:dyDescent="0.25">
      <c r="L1810" s="147">
        <f ca="1"/>
        <v>47049</v>
      </c>
      <c r="M1810" s="92">
        <f t="shared" ca="1" si="67"/>
        <v>6.25</v>
      </c>
      <c r="N1810" s="143">
        <f ca="1">(PRODUCT($O$5:$O1810)-1)*36000/_xlfn.DAYS(L1810, $C$2)</f>
        <v>9.2347876735596515</v>
      </c>
      <c r="O1810" s="149">
        <f t="shared" ca="1" si="68"/>
        <v>1.000173611111111</v>
      </c>
    </row>
    <row r="1811" spans="12:15" x14ac:dyDescent="0.25">
      <c r="L1811" s="147">
        <f ca="1"/>
        <v>47050</v>
      </c>
      <c r="M1811" s="92">
        <f t="shared" ca="1" si="67"/>
        <v>6.25</v>
      </c>
      <c r="N1811" s="143">
        <f ca="1">(PRODUCT($O$5:$O1811)-1)*36000/_xlfn.DAYS(L1811, $C$2)</f>
        <v>9.2347382563183213</v>
      </c>
      <c r="O1811" s="149">
        <f t="shared" ca="1" si="68"/>
        <v>1.000173611111111</v>
      </c>
    </row>
    <row r="1812" spans="12:15" x14ac:dyDescent="0.25">
      <c r="L1812" s="147">
        <f ca="1"/>
        <v>47051</v>
      </c>
      <c r="M1812" s="92">
        <f t="shared" ca="1" si="67"/>
        <v>6.25</v>
      </c>
      <c r="N1812" s="143">
        <f ca="1">(PRODUCT($O$5:$O1812)-1)*36000/_xlfn.DAYS(L1812, $C$2)</f>
        <v>9.2346897719272594</v>
      </c>
      <c r="O1812" s="149">
        <f t="shared" ca="1" si="68"/>
        <v>1.000173611111111</v>
      </c>
    </row>
    <row r="1813" spans="12:15" x14ac:dyDescent="0.25">
      <c r="L1813" s="147">
        <f ca="1"/>
        <v>47052</v>
      </c>
      <c r="M1813" s="92">
        <f t="shared" ca="1" si="67"/>
        <v>6.25</v>
      </c>
      <c r="N1813" s="143">
        <f ca="1">(PRODUCT($O$5:$O1813)-1)*36000/_xlfn.DAYS(L1813, $C$2)</f>
        <v>9.2346422189918318</v>
      </c>
      <c r="O1813" s="149">
        <f t="shared" ca="1" si="68"/>
        <v>1.000173611111111</v>
      </c>
    </row>
    <row r="1814" spans="12:15" x14ac:dyDescent="0.25">
      <c r="L1814" s="147">
        <f ca="1"/>
        <v>47053</v>
      </c>
      <c r="M1814" s="92">
        <f t="shared" ca="1" si="67"/>
        <v>6.25</v>
      </c>
      <c r="N1814" s="143">
        <f ca="1">(PRODUCT($O$5:$O1814)-1)*36000/_xlfn.DAYS(L1814, $C$2)</f>
        <v>9.23459559612051</v>
      </c>
      <c r="O1814" s="149">
        <f t="shared" ca="1" si="68"/>
        <v>1.000173611111111</v>
      </c>
    </row>
    <row r="1815" spans="12:15" x14ac:dyDescent="0.25">
      <c r="L1815" s="147">
        <f ca="1"/>
        <v>47054</v>
      </c>
      <c r="M1815" s="92">
        <f t="shared" ca="1" si="67"/>
        <v>6.25</v>
      </c>
      <c r="N1815" s="143">
        <f ca="1">(PRODUCT($O$5:$O1815)-1)*36000/_xlfn.DAYS(L1815, $C$2)</f>
        <v>9.2345499019248614</v>
      </c>
      <c r="O1815" s="149">
        <f t="shared" ca="1" si="68"/>
        <v>1.000173611111111</v>
      </c>
    </row>
    <row r="1816" spans="12:15" x14ac:dyDescent="0.25">
      <c r="L1816" s="147">
        <f ca="1"/>
        <v>47055</v>
      </c>
      <c r="M1816" s="92">
        <f t="shared" ca="1" si="67"/>
        <v>6.25</v>
      </c>
      <c r="N1816" s="143">
        <f ca="1">(PRODUCT($O$5:$O1816)-1)*36000/_xlfn.DAYS(L1816, $C$2)</f>
        <v>9.2345051350195551</v>
      </c>
      <c r="O1816" s="149">
        <f t="shared" ca="1" si="68"/>
        <v>1.000173611111111</v>
      </c>
    </row>
    <row r="1817" spans="12:15" x14ac:dyDescent="0.25">
      <c r="L1817" s="147">
        <f ca="1"/>
        <v>47056</v>
      </c>
      <c r="M1817" s="92">
        <f t="shared" ca="1" si="67"/>
        <v>6.25</v>
      </c>
      <c r="N1817" s="143">
        <f ca="1">(PRODUCT($O$5:$O1817)-1)*36000/_xlfn.DAYS(L1817, $C$2)</f>
        <v>9.2344612940223296</v>
      </c>
      <c r="O1817" s="149">
        <f t="shared" ca="1" si="68"/>
        <v>1.000173611111111</v>
      </c>
    </row>
    <row r="1818" spans="12:15" x14ac:dyDescent="0.25">
      <c r="L1818" s="147">
        <f ca="1"/>
        <v>47057</v>
      </c>
      <c r="M1818" s="92">
        <f t="shared" ca="1" si="67"/>
        <v>6.25</v>
      </c>
      <c r="N1818" s="143">
        <f ca="1">(PRODUCT($O$5:$O1818)-1)*36000/_xlfn.DAYS(L1818, $C$2)</f>
        <v>9.234418377554011</v>
      </c>
      <c r="O1818" s="149">
        <f t="shared" ca="1" si="68"/>
        <v>1.000173611111111</v>
      </c>
    </row>
    <row r="1819" spans="12:15" x14ac:dyDescent="0.25">
      <c r="L1819" s="147">
        <f ca="1"/>
        <v>47058</v>
      </c>
      <c r="M1819" s="92">
        <f t="shared" ca="1" si="67"/>
        <v>6.25</v>
      </c>
      <c r="N1819" s="143">
        <f ca="1">(PRODUCT($O$5:$O1819)-1)*36000/_xlfn.DAYS(L1819, $C$2)</f>
        <v>9.2343763842384821</v>
      </c>
      <c r="O1819" s="149">
        <f t="shared" ca="1" si="68"/>
        <v>1.000173611111111</v>
      </c>
    </row>
    <row r="1820" spans="12:15" x14ac:dyDescent="0.25">
      <c r="L1820" s="147">
        <f ca="1"/>
        <v>47059</v>
      </c>
      <c r="M1820" s="92">
        <f t="shared" ca="1" si="67"/>
        <v>6.25</v>
      </c>
      <c r="N1820" s="143">
        <f ca="1">(PRODUCT($O$5:$O1820)-1)*36000/_xlfn.DAYS(L1820, $C$2)</f>
        <v>9.2343353127026901</v>
      </c>
      <c r="O1820" s="149">
        <f t="shared" ca="1" si="68"/>
        <v>1.000173611111111</v>
      </c>
    </row>
    <row r="1821" spans="12:15" x14ac:dyDescent="0.25">
      <c r="L1821" s="147">
        <f ca="1"/>
        <v>47060</v>
      </c>
      <c r="M1821" s="92">
        <f t="shared" ca="1" si="67"/>
        <v>6.25</v>
      </c>
      <c r="N1821" s="143">
        <f ca="1">(PRODUCT($O$5:$O1821)-1)*36000/_xlfn.DAYS(L1821, $C$2)</f>
        <v>9.2342951615766253</v>
      </c>
      <c r="O1821" s="149">
        <f t="shared" ca="1" si="68"/>
        <v>1.000173611111111</v>
      </c>
    </row>
    <row r="1822" spans="12:15" x14ac:dyDescent="0.25">
      <c r="L1822" s="147">
        <f ca="1"/>
        <v>47061</v>
      </c>
      <c r="M1822" s="92">
        <f t="shared" ca="1" si="67"/>
        <v>6.25</v>
      </c>
      <c r="N1822" s="143">
        <f ca="1">(PRODUCT($O$5:$O1822)-1)*36000/_xlfn.DAYS(L1822, $C$2)</f>
        <v>9.2342559294933171</v>
      </c>
      <c r="O1822" s="149">
        <f t="shared" ca="1" si="68"/>
        <v>1.000173611111111</v>
      </c>
    </row>
    <row r="1823" spans="12:15" x14ac:dyDescent="0.25">
      <c r="L1823" s="147">
        <f ca="1"/>
        <v>47062</v>
      </c>
      <c r="M1823" s="92">
        <f t="shared" ca="1" si="67"/>
        <v>6.25</v>
      </c>
      <c r="N1823" s="143">
        <f ca="1">(PRODUCT($O$5:$O1823)-1)*36000/_xlfn.DAYS(L1823, $C$2)</f>
        <v>9.2342176150888378</v>
      </c>
      <c r="O1823" s="149">
        <f t="shared" ca="1" si="68"/>
        <v>1.000173611111111</v>
      </c>
    </row>
    <row r="1824" spans="12:15" x14ac:dyDescent="0.25">
      <c r="L1824" s="147">
        <f ca="1"/>
        <v>47063</v>
      </c>
      <c r="M1824" s="92">
        <f t="shared" ca="1" si="67"/>
        <v>6.25</v>
      </c>
      <c r="N1824" s="143">
        <f ca="1">(PRODUCT($O$5:$O1824)-1)*36000/_xlfn.DAYS(L1824, $C$2)</f>
        <v>9.2341802170022724</v>
      </c>
      <c r="O1824" s="149">
        <f t="shared" ca="1" si="68"/>
        <v>1.000173611111111</v>
      </c>
    </row>
    <row r="1825" spans="12:15" x14ac:dyDescent="0.25">
      <c r="L1825" s="147">
        <f ca="1"/>
        <v>47064</v>
      </c>
      <c r="M1825" s="92">
        <f t="shared" ca="1" si="67"/>
        <v>6.25</v>
      </c>
      <c r="N1825" s="143">
        <f ca="1">(PRODUCT($O$5:$O1825)-1)*36000/_xlfn.DAYS(L1825, $C$2)</f>
        <v>9.234143733875726</v>
      </c>
      <c r="O1825" s="149">
        <f t="shared" ca="1" si="68"/>
        <v>1.000173611111111</v>
      </c>
    </row>
    <row r="1826" spans="12:15" x14ac:dyDescent="0.25">
      <c r="L1826" s="147">
        <f ca="1"/>
        <v>47065</v>
      </c>
      <c r="M1826" s="92">
        <f t="shared" ca="1" si="67"/>
        <v>6.25</v>
      </c>
      <c r="N1826" s="143">
        <f ca="1">(PRODUCT($O$5:$O1826)-1)*36000/_xlfn.DAYS(L1826, $C$2)</f>
        <v>9.2341081643543141</v>
      </c>
      <c r="O1826" s="149">
        <f t="shared" ca="1" si="68"/>
        <v>1.000173611111111</v>
      </c>
    </row>
    <row r="1827" spans="12:15" x14ac:dyDescent="0.25">
      <c r="L1827" s="147">
        <f ca="1"/>
        <v>47066</v>
      </c>
      <c r="M1827" s="92">
        <f t="shared" ca="1" si="67"/>
        <v>6.25</v>
      </c>
      <c r="N1827" s="143">
        <f ca="1">(PRODUCT($O$5:$O1827)-1)*36000/_xlfn.DAYS(L1827, $C$2)</f>
        <v>9.2340735070861442</v>
      </c>
      <c r="O1827" s="149">
        <f t="shared" ca="1" si="68"/>
        <v>1.000173611111111</v>
      </c>
    </row>
    <row r="1828" spans="12:15" x14ac:dyDescent="0.25">
      <c r="L1828" s="147">
        <f ca="1"/>
        <v>47067</v>
      </c>
      <c r="M1828" s="92">
        <f t="shared" ca="1" si="67"/>
        <v>6.25</v>
      </c>
      <c r="N1828" s="143">
        <f ca="1">(PRODUCT($O$5:$O1828)-1)*36000/_xlfn.DAYS(L1828, $C$2)</f>
        <v>9.2340397607223252</v>
      </c>
      <c r="O1828" s="149">
        <f t="shared" ca="1" si="68"/>
        <v>1.000173611111111</v>
      </c>
    </row>
    <row r="1829" spans="12:15" x14ac:dyDescent="0.25">
      <c r="L1829" s="147">
        <f ca="1"/>
        <v>47068</v>
      </c>
      <c r="M1829" s="92">
        <f t="shared" ca="1" si="67"/>
        <v>6.25</v>
      </c>
      <c r="N1829" s="143">
        <f ca="1">(PRODUCT($O$5:$O1829)-1)*36000/_xlfn.DAYS(L1829, $C$2)</f>
        <v>9.2340069239169384</v>
      </c>
      <c r="O1829" s="149">
        <f t="shared" ca="1" si="68"/>
        <v>1.000173611111111</v>
      </c>
    </row>
    <row r="1830" spans="12:15" x14ac:dyDescent="0.25">
      <c r="L1830" s="147">
        <f ca="1"/>
        <v>47069</v>
      </c>
      <c r="M1830" s="92">
        <f t="shared" ca="1" si="67"/>
        <v>6.25</v>
      </c>
      <c r="N1830" s="143">
        <f ca="1">(PRODUCT($O$5:$O1830)-1)*36000/_xlfn.DAYS(L1830, $C$2)</f>
        <v>9.2339749953270438</v>
      </c>
      <c r="O1830" s="149">
        <f t="shared" ca="1" si="68"/>
        <v>1.000173611111111</v>
      </c>
    </row>
    <row r="1831" spans="12:15" x14ac:dyDescent="0.25">
      <c r="L1831" s="147">
        <f ca="1"/>
        <v>47070</v>
      </c>
      <c r="M1831" s="92">
        <f t="shared" ca="1" si="67"/>
        <v>6.25</v>
      </c>
      <c r="N1831" s="143">
        <f ca="1">(PRODUCT($O$5:$O1831)-1)*36000/_xlfn.DAYS(L1831, $C$2)</f>
        <v>9.2339439736126732</v>
      </c>
      <c r="O1831" s="149">
        <f t="shared" ca="1" si="68"/>
        <v>1.000173611111111</v>
      </c>
    </row>
    <row r="1832" spans="12:15" x14ac:dyDescent="0.25">
      <c r="L1832" s="147">
        <f ca="1"/>
        <v>47071</v>
      </c>
      <c r="M1832" s="92">
        <f t="shared" ca="1" si="67"/>
        <v>6.25</v>
      </c>
      <c r="N1832" s="143">
        <f ca="1">(PRODUCT($O$5:$O1832)-1)*36000/_xlfn.DAYS(L1832, $C$2)</f>
        <v>9.2339138574368054</v>
      </c>
      <c r="O1832" s="149">
        <f t="shared" ca="1" si="68"/>
        <v>1.000173611111111</v>
      </c>
    </row>
    <row r="1833" spans="12:15" x14ac:dyDescent="0.25">
      <c r="L1833" s="147">
        <f ca="1"/>
        <v>47072</v>
      </c>
      <c r="M1833" s="92">
        <f t="shared" ca="1" si="67"/>
        <v>6.25</v>
      </c>
      <c r="N1833" s="143">
        <f ca="1">(PRODUCT($O$5:$O1833)-1)*36000/_xlfn.DAYS(L1833, $C$2)</f>
        <v>9.2338846454653787</v>
      </c>
      <c r="O1833" s="149">
        <f t="shared" ca="1" si="68"/>
        <v>1.000173611111111</v>
      </c>
    </row>
    <row r="1834" spans="12:15" x14ac:dyDescent="0.25">
      <c r="L1834" s="147">
        <f ca="1"/>
        <v>47073</v>
      </c>
      <c r="M1834" s="92">
        <f t="shared" ca="1" si="67"/>
        <v>6.25</v>
      </c>
      <c r="N1834" s="143">
        <f ca="1">(PRODUCT($O$5:$O1834)-1)*36000/_xlfn.DAYS(L1834, $C$2)</f>
        <v>9.2338563363672677</v>
      </c>
      <c r="O1834" s="149">
        <f t="shared" ca="1" si="68"/>
        <v>1.000173611111111</v>
      </c>
    </row>
    <row r="1835" spans="12:15" x14ac:dyDescent="0.25">
      <c r="L1835" s="147">
        <f ca="1"/>
        <v>47074</v>
      </c>
      <c r="M1835" s="92">
        <f t="shared" ca="1" si="67"/>
        <v>6.25</v>
      </c>
      <c r="N1835" s="143">
        <f ca="1">(PRODUCT($O$5:$O1835)-1)*36000/_xlfn.DAYS(L1835, $C$2)</f>
        <v>9.2338289288142885</v>
      </c>
      <c r="O1835" s="149">
        <f t="shared" ca="1" si="68"/>
        <v>1.000173611111111</v>
      </c>
    </row>
    <row r="1836" spans="12:15" x14ac:dyDescent="0.25">
      <c r="L1836" s="147">
        <f ca="1"/>
        <v>47075</v>
      </c>
      <c r="M1836" s="92">
        <f t="shared" ca="1" si="67"/>
        <v>6.25</v>
      </c>
      <c r="N1836" s="143">
        <f ca="1">(PRODUCT($O$5:$O1836)-1)*36000/_xlfn.DAYS(L1836, $C$2)</f>
        <v>9.2338024214811796</v>
      </c>
      <c r="O1836" s="149">
        <f t="shared" ca="1" si="68"/>
        <v>1.000173611111111</v>
      </c>
    </row>
    <row r="1837" spans="12:15" x14ac:dyDescent="0.25">
      <c r="L1837" s="147">
        <f ca="1"/>
        <v>47076</v>
      </c>
      <c r="M1837" s="92">
        <f t="shared" ca="1" si="67"/>
        <v>6.25</v>
      </c>
      <c r="N1837" s="143">
        <f ca="1">(PRODUCT($O$5:$O1837)-1)*36000/_xlfn.DAYS(L1837, $C$2)</f>
        <v>9.2337768130455924</v>
      </c>
      <c r="O1837" s="149">
        <f t="shared" ca="1" si="68"/>
        <v>1.000173611111111</v>
      </c>
    </row>
    <row r="1838" spans="12:15" x14ac:dyDescent="0.25">
      <c r="L1838" s="147">
        <f ca="1"/>
        <v>47077</v>
      </c>
      <c r="M1838" s="92">
        <f t="shared" ca="1" si="67"/>
        <v>6.25</v>
      </c>
      <c r="N1838" s="143">
        <f ca="1">(PRODUCT($O$5:$O1838)-1)*36000/_xlfn.DAYS(L1838, $C$2)</f>
        <v>9.2337521021880988</v>
      </c>
      <c r="O1838" s="149">
        <f t="shared" ca="1" si="68"/>
        <v>1.000173611111111</v>
      </c>
    </row>
    <row r="1839" spans="12:15" x14ac:dyDescent="0.25">
      <c r="L1839" s="147">
        <f ca="1"/>
        <v>47078</v>
      </c>
      <c r="M1839" s="92">
        <f t="shared" ca="1" si="67"/>
        <v>6.25</v>
      </c>
      <c r="N1839" s="143">
        <f ca="1">(PRODUCT($O$5:$O1839)-1)*36000/_xlfn.DAYS(L1839, $C$2)</f>
        <v>9.2337282875921627</v>
      </c>
      <c r="O1839" s="149">
        <f t="shared" ca="1" si="68"/>
        <v>1.000173611111111</v>
      </c>
    </row>
    <row r="1840" spans="12:15" x14ac:dyDescent="0.25">
      <c r="L1840" s="147">
        <f ca="1"/>
        <v>47079</v>
      </c>
      <c r="M1840" s="92">
        <f t="shared" ca="1" si="67"/>
        <v>6.25</v>
      </c>
      <c r="N1840" s="143">
        <f ca="1">(PRODUCT($O$5:$O1840)-1)*36000/_xlfn.DAYS(L1840, $C$2)</f>
        <v>9.2337053679441485</v>
      </c>
      <c r="O1840" s="149">
        <f t="shared" ca="1" si="68"/>
        <v>1.000173611111111</v>
      </c>
    </row>
    <row r="1841" spans="12:15" x14ac:dyDescent="0.25">
      <c r="L1841" s="147">
        <f ca="1"/>
        <v>47080</v>
      </c>
      <c r="M1841" s="92">
        <f t="shared" ca="1" si="67"/>
        <v>6.25</v>
      </c>
      <c r="N1841" s="143">
        <f ca="1">(PRODUCT($O$5:$O1841)-1)*36000/_xlfn.DAYS(L1841, $C$2)</f>
        <v>9.2336833419333058</v>
      </c>
      <c r="O1841" s="149">
        <f t="shared" ca="1" si="68"/>
        <v>1.000173611111111</v>
      </c>
    </row>
    <row r="1842" spans="12:15" x14ac:dyDescent="0.25">
      <c r="L1842" s="147">
        <f ca="1"/>
        <v>47081</v>
      </c>
      <c r="M1842" s="92">
        <f t="shared" ca="1" si="67"/>
        <v>6.25</v>
      </c>
      <c r="N1842" s="143">
        <f ca="1">(PRODUCT($O$5:$O1842)-1)*36000/_xlfn.DAYS(L1842, $C$2)</f>
        <v>9.2336622082517632</v>
      </c>
      <c r="O1842" s="149">
        <f t="shared" ca="1" si="68"/>
        <v>1.000173611111111</v>
      </c>
    </row>
    <row r="1843" spans="12:15" x14ac:dyDescent="0.25">
      <c r="L1843" s="147">
        <f ca="1"/>
        <v>47082</v>
      </c>
      <c r="M1843" s="92">
        <f t="shared" ca="1" si="67"/>
        <v>6.25</v>
      </c>
      <c r="N1843" s="143">
        <f ca="1">(PRODUCT($O$5:$O1843)-1)*36000/_xlfn.DAYS(L1843, $C$2)</f>
        <v>9.2336419655945239</v>
      </c>
      <c r="O1843" s="149">
        <f t="shared" ca="1" si="68"/>
        <v>1.000173611111111</v>
      </c>
    </row>
    <row r="1844" spans="12:15" x14ac:dyDescent="0.25">
      <c r="L1844" s="147">
        <f ca="1"/>
        <v>47083</v>
      </c>
      <c r="M1844" s="92">
        <f t="shared" ca="1" si="67"/>
        <v>6.25</v>
      </c>
      <c r="N1844" s="143">
        <f ca="1">(PRODUCT($O$5:$O1844)-1)*36000/_xlfn.DAYS(L1844, $C$2)</f>
        <v>9.2336226126594454</v>
      </c>
      <c r="O1844" s="149">
        <f t="shared" ca="1" si="68"/>
        <v>1.000173611111111</v>
      </c>
    </row>
    <row r="1845" spans="12:15" x14ac:dyDescent="0.25">
      <c r="L1845" s="147">
        <f ca="1"/>
        <v>47084</v>
      </c>
      <c r="M1845" s="92">
        <f t="shared" ca="1" si="67"/>
        <v>6.25</v>
      </c>
      <c r="N1845" s="143">
        <f ca="1">(PRODUCT($O$5:$O1845)-1)*36000/_xlfn.DAYS(L1845, $C$2)</f>
        <v>9.2336041481472488</v>
      </c>
      <c r="O1845" s="149">
        <f t="shared" ca="1" si="68"/>
        <v>1.000173611111111</v>
      </c>
    </row>
    <row r="1846" spans="12:15" x14ac:dyDescent="0.25">
      <c r="L1846" s="147">
        <f ca="1"/>
        <v>47085</v>
      </c>
      <c r="M1846" s="92">
        <f t="shared" ca="1" si="67"/>
        <v>6.25</v>
      </c>
      <c r="N1846" s="143">
        <f ca="1">(PRODUCT($O$5:$O1846)-1)*36000/_xlfn.DAYS(L1846, $C$2)</f>
        <v>9.2335865707615028</v>
      </c>
      <c r="O1846" s="149">
        <f t="shared" ca="1" si="68"/>
        <v>1.000173611111111</v>
      </c>
    </row>
    <row r="1847" spans="12:15" x14ac:dyDescent="0.25">
      <c r="L1847" s="147">
        <f ca="1"/>
        <v>47086</v>
      </c>
      <c r="M1847" s="92">
        <f t="shared" ca="1" si="67"/>
        <v>6.25</v>
      </c>
      <c r="N1847" s="143">
        <f ca="1">(PRODUCT($O$5:$O1847)-1)*36000/_xlfn.DAYS(L1847, $C$2)</f>
        <v>9.2335698792086021</v>
      </c>
      <c r="O1847" s="149">
        <f t="shared" ca="1" si="68"/>
        <v>1.000173611111111</v>
      </c>
    </row>
    <row r="1848" spans="12:15" x14ac:dyDescent="0.25">
      <c r="L1848" s="147">
        <f ca="1"/>
        <v>47087</v>
      </c>
      <c r="M1848" s="92">
        <f t="shared" ca="1" si="67"/>
        <v>6.25</v>
      </c>
      <c r="N1848" s="143">
        <f ca="1">(PRODUCT($O$5:$O1848)-1)*36000/_xlfn.DAYS(L1848, $C$2)</f>
        <v>9.2335540721977907</v>
      </c>
      <c r="O1848" s="149">
        <f t="shared" ca="1" si="68"/>
        <v>1.000173611111111</v>
      </c>
    </row>
    <row r="1849" spans="12:15" x14ac:dyDescent="0.25">
      <c r="L1849" s="147">
        <f ca="1"/>
        <v>47088</v>
      </c>
      <c r="M1849" s="92">
        <f t="shared" ca="1" si="67"/>
        <v>6.25</v>
      </c>
      <c r="N1849" s="143">
        <f ca="1">(PRODUCT($O$5:$O1849)-1)*36000/_xlfn.DAYS(L1849, $C$2)</f>
        <v>9.2335391484411353</v>
      </c>
      <c r="O1849" s="149">
        <f t="shared" ca="1" si="68"/>
        <v>1.000173611111111</v>
      </c>
    </row>
    <row r="1850" spans="12:15" x14ac:dyDescent="0.25">
      <c r="L1850" s="147">
        <f ca="1"/>
        <v>47089</v>
      </c>
      <c r="M1850" s="92">
        <f t="shared" ca="1" si="67"/>
        <v>6.25</v>
      </c>
      <c r="N1850" s="143">
        <f ca="1">(PRODUCT($O$5:$O1850)-1)*36000/_xlfn.DAYS(L1850, $C$2)</f>
        <v>9.2335251066535093</v>
      </c>
      <c r="O1850" s="149">
        <f t="shared" ca="1" si="68"/>
        <v>1.000173611111111</v>
      </c>
    </row>
    <row r="1851" spans="12:15" x14ac:dyDescent="0.25">
      <c r="L1851" s="147">
        <f ca="1"/>
        <v>47090</v>
      </c>
      <c r="M1851" s="92">
        <f t="shared" ca="1" si="67"/>
        <v>6.25</v>
      </c>
      <c r="N1851" s="143">
        <f ca="1">(PRODUCT($O$5:$O1851)-1)*36000/_xlfn.DAYS(L1851, $C$2)</f>
        <v>9.2335119455526016</v>
      </c>
      <c r="O1851" s="149">
        <f t="shared" ca="1" si="68"/>
        <v>1.000173611111111</v>
      </c>
    </row>
    <row r="1852" spans="12:15" x14ac:dyDescent="0.25">
      <c r="L1852" s="147">
        <f ca="1"/>
        <v>47091</v>
      </c>
      <c r="M1852" s="92">
        <f t="shared" ca="1" si="67"/>
        <v>6.25</v>
      </c>
      <c r="N1852" s="143">
        <f ca="1">(PRODUCT($O$5:$O1852)-1)*36000/_xlfn.DAYS(L1852, $C$2)</f>
        <v>9.2334996638588986</v>
      </c>
      <c r="O1852" s="149">
        <f t="shared" ca="1" si="68"/>
        <v>1.000173611111111</v>
      </c>
    </row>
    <row r="1853" spans="12:15" x14ac:dyDescent="0.25">
      <c r="L1853" s="147">
        <f ca="1"/>
        <v>47092</v>
      </c>
      <c r="M1853" s="92">
        <f t="shared" ca="1" si="67"/>
        <v>6.25</v>
      </c>
      <c r="N1853" s="143">
        <f ca="1">(PRODUCT($O$5:$O1853)-1)*36000/_xlfn.DAYS(L1853, $C$2)</f>
        <v>9.2334882602956903</v>
      </c>
      <c r="O1853" s="149">
        <f t="shared" ca="1" si="68"/>
        <v>1.000173611111111</v>
      </c>
    </row>
    <row r="1854" spans="12:15" x14ac:dyDescent="0.25">
      <c r="L1854" s="147">
        <f ca="1"/>
        <v>47093</v>
      </c>
      <c r="M1854" s="92">
        <f t="shared" ca="1" si="67"/>
        <v>6.25</v>
      </c>
      <c r="N1854" s="143">
        <f ca="1">(PRODUCT($O$5:$O1854)-1)*36000/_xlfn.DAYS(L1854, $C$2)</f>
        <v>9.2334777335890408</v>
      </c>
      <c r="O1854" s="149">
        <f t="shared" ca="1" si="68"/>
        <v>1.000173611111111</v>
      </c>
    </row>
    <row r="1855" spans="12:15" x14ac:dyDescent="0.25">
      <c r="L1855" s="147">
        <f ca="1"/>
        <v>47094</v>
      </c>
      <c r="M1855" s="92">
        <f t="shared" ca="1" si="67"/>
        <v>6.25</v>
      </c>
      <c r="N1855" s="143">
        <f ca="1">(PRODUCT($O$5:$O1855)-1)*36000/_xlfn.DAYS(L1855, $C$2)</f>
        <v>9.2334680824678035</v>
      </c>
      <c r="O1855" s="149">
        <f t="shared" ca="1" si="68"/>
        <v>1.000173611111111</v>
      </c>
    </row>
    <row r="1856" spans="12:15" x14ac:dyDescent="0.25">
      <c r="L1856" s="147">
        <f ca="1"/>
        <v>47095</v>
      </c>
      <c r="M1856" s="92">
        <f t="shared" ca="1" si="67"/>
        <v>6.25</v>
      </c>
      <c r="N1856" s="143">
        <f ca="1">(PRODUCT($O$5:$O1856)-1)*36000/_xlfn.DAYS(L1856, $C$2)</f>
        <v>9.2334593056635956</v>
      </c>
      <c r="O1856" s="149">
        <f t="shared" ca="1" si="68"/>
        <v>1.000173611111111</v>
      </c>
    </row>
    <row r="1857" spans="12:15" x14ac:dyDescent="0.25">
      <c r="L1857" s="147">
        <f ca="1"/>
        <v>47096</v>
      </c>
      <c r="M1857" s="92">
        <f t="shared" ca="1" si="67"/>
        <v>6.25</v>
      </c>
      <c r="N1857" s="143">
        <f ca="1">(PRODUCT($O$5:$O1857)-1)*36000/_xlfn.DAYS(L1857, $C$2)</f>
        <v>9.2334514019108056</v>
      </c>
      <c r="O1857" s="149">
        <f t="shared" ca="1" si="68"/>
        <v>1.000173611111111</v>
      </c>
    </row>
    <row r="1858" spans="12:15" x14ac:dyDescent="0.25">
      <c r="L1858" s="147">
        <f ca="1"/>
        <v>47097</v>
      </c>
      <c r="M1858" s="92">
        <f t="shared" ca="1" si="67"/>
        <v>6.25</v>
      </c>
      <c r="N1858" s="143">
        <f ca="1">(PRODUCT($O$5:$O1858)-1)*36000/_xlfn.DAYS(L1858, $C$2)</f>
        <v>9.2334443699465787</v>
      </c>
      <c r="O1858" s="149">
        <f t="shared" ca="1" si="68"/>
        <v>1.000173611111111</v>
      </c>
    </row>
    <row r="1859" spans="12:15" x14ac:dyDescent="0.25">
      <c r="L1859" s="147">
        <f ca="1"/>
        <v>47098</v>
      </c>
      <c r="M1859" s="92">
        <f t="shared" ca="1" si="67"/>
        <v>6.25</v>
      </c>
      <c r="N1859" s="143">
        <f ca="1">(PRODUCT($O$5:$O1859)-1)*36000/_xlfn.DAYS(L1859, $C$2)</f>
        <v>9.2334382085107976</v>
      </c>
      <c r="O1859" s="149">
        <f t="shared" ca="1" si="68"/>
        <v>1.000173611111111</v>
      </c>
    </row>
    <row r="1860" spans="12:15" x14ac:dyDescent="0.25">
      <c r="L1860" s="147">
        <f ca="1"/>
        <v>47099</v>
      </c>
      <c r="M1860" s="92">
        <f t="shared" ca="1" si="67"/>
        <v>6.25</v>
      </c>
      <c r="N1860" s="143">
        <f ca="1">(PRODUCT($O$5:$O1860)-1)*36000/_xlfn.DAYS(L1860, $C$2)</f>
        <v>9.2334329163460946</v>
      </c>
      <c r="O1860" s="149">
        <f t="shared" ca="1" si="68"/>
        <v>1.000173611111111</v>
      </c>
    </row>
    <row r="1861" spans="12:15" x14ac:dyDescent="0.25">
      <c r="L1861" s="147">
        <f ca="1"/>
        <v>47100</v>
      </c>
      <c r="M1861" s="92">
        <f t="shared" ref="M1861:M1924" ca="1" si="69">IFERROR(INDEX($E$27:$H$47, MATCH(L1861, $F$27:$F$47, 0), 4), IF(ISNUMBER(M1860), M1860, $C$5))</f>
        <v>6.25</v>
      </c>
      <c r="N1861" s="143">
        <f ca="1">(PRODUCT($O$5:$O1861)-1)*36000/_xlfn.DAYS(L1861, $C$2)</f>
        <v>9.2334284921978416</v>
      </c>
      <c r="O1861" s="149">
        <f t="shared" ca="1" si="68"/>
        <v>1.000173611111111</v>
      </c>
    </row>
    <row r="1862" spans="12:15" x14ac:dyDescent="0.25">
      <c r="L1862" s="147">
        <f ca="1"/>
        <v>47101</v>
      </c>
      <c r="M1862" s="92">
        <f t="shared" ca="1" si="69"/>
        <v>6.25</v>
      </c>
      <c r="N1862" s="143">
        <f ca="1">(PRODUCT($O$5:$O1862)-1)*36000/_xlfn.DAYS(L1862, $C$2)</f>
        <v>9.2334249348141313</v>
      </c>
      <c r="O1862" s="149">
        <f t="shared" ref="O1862:O1925" ca="1" si="70">1+M1862*IFERROR(_xlfn.DAYS(L1862, L1861), _xlfn.DAYS(L1862, $C$2))/36000</f>
        <v>1.000173611111111</v>
      </c>
    </row>
    <row r="1863" spans="12:15" x14ac:dyDescent="0.25">
      <c r="L1863" s="147">
        <f ca="1"/>
        <v>47102</v>
      </c>
      <c r="M1863" s="92">
        <f t="shared" ca="1" si="69"/>
        <v>6.25</v>
      </c>
      <c r="N1863" s="143">
        <f ca="1">(PRODUCT($O$5:$O1863)-1)*36000/_xlfn.DAYS(L1863, $C$2)</f>
        <v>9.2334222429457764</v>
      </c>
      <c r="O1863" s="149">
        <f t="shared" ca="1" si="70"/>
        <v>1.000173611111111</v>
      </c>
    </row>
    <row r="1864" spans="12:15" x14ac:dyDescent="0.25">
      <c r="L1864" s="147">
        <f ca="1"/>
        <v>47103</v>
      </c>
      <c r="M1864" s="92">
        <f t="shared" ca="1" si="69"/>
        <v>6.25</v>
      </c>
      <c r="N1864" s="143">
        <f ca="1">(PRODUCT($O$5:$O1864)-1)*36000/_xlfn.DAYS(L1864, $C$2)</f>
        <v>9.2334204153462967</v>
      </c>
      <c r="O1864" s="149">
        <f t="shared" ca="1" si="70"/>
        <v>1.000173611111111</v>
      </c>
    </row>
    <row r="1865" spans="12:15" x14ac:dyDescent="0.25">
      <c r="L1865" s="147">
        <f ca="1"/>
        <v>47104</v>
      </c>
      <c r="M1865" s="92">
        <f t="shared" ca="1" si="69"/>
        <v>6.25</v>
      </c>
      <c r="N1865" s="143">
        <f ca="1">(PRODUCT($O$5:$O1865)-1)*36000/_xlfn.DAYS(L1865, $C$2)</f>
        <v>9.2334194507719332</v>
      </c>
      <c r="O1865" s="149">
        <f t="shared" ca="1" si="70"/>
        <v>1.000173611111111</v>
      </c>
    </row>
    <row r="1866" spans="12:15" x14ac:dyDescent="0.25">
      <c r="L1866" s="147">
        <f ca="1"/>
        <v>47105</v>
      </c>
      <c r="M1866" s="92">
        <f t="shared" ca="1" si="69"/>
        <v>6.25</v>
      </c>
      <c r="N1866" s="143">
        <f ca="1">(PRODUCT($O$5:$O1866)-1)*36000/_xlfn.DAYS(L1866, $C$2)</f>
        <v>9.2334193479816076</v>
      </c>
      <c r="O1866" s="149">
        <f t="shared" ca="1" si="70"/>
        <v>1.000173611111111</v>
      </c>
    </row>
    <row r="1867" spans="12:15" x14ac:dyDescent="0.25">
      <c r="L1867" s="147">
        <f ca="1"/>
        <v>47106</v>
      </c>
      <c r="M1867" s="92">
        <f t="shared" ca="1" si="69"/>
        <v>6.25</v>
      </c>
      <c r="N1867" s="143">
        <f ca="1">(PRODUCT($O$5:$O1867)-1)*36000/_xlfn.DAYS(L1867, $C$2)</f>
        <v>9.2334201057369363</v>
      </c>
      <c r="O1867" s="149">
        <f t="shared" ca="1" si="70"/>
        <v>1.000173611111111</v>
      </c>
    </row>
    <row r="1868" spans="12:15" x14ac:dyDescent="0.25">
      <c r="L1868" s="147">
        <f ca="1"/>
        <v>47107</v>
      </c>
      <c r="M1868" s="92">
        <f t="shared" ca="1" si="69"/>
        <v>6.25</v>
      </c>
      <c r="N1868" s="143">
        <f ca="1">(PRODUCT($O$5:$O1868)-1)*36000/_xlfn.DAYS(L1868, $C$2)</f>
        <v>9.2334217228022304</v>
      </c>
      <c r="O1868" s="149">
        <f t="shared" ca="1" si="70"/>
        <v>1.000173611111111</v>
      </c>
    </row>
    <row r="1869" spans="12:15" x14ac:dyDescent="0.25">
      <c r="L1869" s="147">
        <f ca="1"/>
        <v>47108</v>
      </c>
      <c r="M1869" s="92">
        <f t="shared" ca="1" si="69"/>
        <v>6.25</v>
      </c>
      <c r="N1869" s="143">
        <f ca="1">(PRODUCT($O$5:$O1869)-1)*36000/_xlfn.DAYS(L1869, $C$2)</f>
        <v>9.2334241979444638</v>
      </c>
      <c r="O1869" s="149">
        <f t="shared" ca="1" si="70"/>
        <v>1.000173611111111</v>
      </c>
    </row>
    <row r="1870" spans="12:15" x14ac:dyDescent="0.25">
      <c r="L1870" s="147">
        <f ca="1"/>
        <v>47109</v>
      </c>
      <c r="M1870" s="92">
        <f t="shared" ca="1" si="69"/>
        <v>6.25</v>
      </c>
      <c r="N1870" s="143">
        <f ca="1">(PRODUCT($O$5:$O1870)-1)*36000/_xlfn.DAYS(L1870, $C$2)</f>
        <v>9.2334275299332873</v>
      </c>
      <c r="O1870" s="149">
        <f t="shared" ca="1" si="70"/>
        <v>1.000173611111111</v>
      </c>
    </row>
    <row r="1871" spans="12:15" x14ac:dyDescent="0.25">
      <c r="L1871" s="147">
        <f ca="1"/>
        <v>47110</v>
      </c>
      <c r="M1871" s="92">
        <f t="shared" ca="1" si="69"/>
        <v>6.25</v>
      </c>
      <c r="N1871" s="143">
        <f ca="1">(PRODUCT($O$5:$O1871)-1)*36000/_xlfn.DAYS(L1871, $C$2)</f>
        <v>9.2334317175410074</v>
      </c>
      <c r="O1871" s="149">
        <f t="shared" ca="1" si="70"/>
        <v>1.000173611111111</v>
      </c>
    </row>
    <row r="1872" spans="12:15" x14ac:dyDescent="0.25">
      <c r="L1872" s="147">
        <f ca="1"/>
        <v>47111</v>
      </c>
      <c r="M1872" s="92">
        <f t="shared" ca="1" si="69"/>
        <v>6.25</v>
      </c>
      <c r="N1872" s="143">
        <f ca="1">(PRODUCT($O$5:$O1872)-1)*36000/_xlfn.DAYS(L1872, $C$2)</f>
        <v>9.2334367595425899</v>
      </c>
      <c r="O1872" s="149">
        <f t="shared" ca="1" si="70"/>
        <v>1.000173611111111</v>
      </c>
    </row>
    <row r="1873" spans="12:15" x14ac:dyDescent="0.25">
      <c r="L1873" s="147">
        <f ca="1"/>
        <v>47112</v>
      </c>
      <c r="M1873" s="92">
        <f t="shared" ca="1" si="69"/>
        <v>6.25</v>
      </c>
      <c r="N1873" s="143">
        <f ca="1">(PRODUCT($O$5:$O1873)-1)*36000/_xlfn.DAYS(L1873, $C$2)</f>
        <v>9.2334426547156454</v>
      </c>
      <c r="O1873" s="149">
        <f t="shared" ca="1" si="70"/>
        <v>1.000173611111111</v>
      </c>
    </row>
    <row r="1874" spans="12:15" x14ac:dyDescent="0.25">
      <c r="L1874" s="147">
        <f ca="1"/>
        <v>47113</v>
      </c>
      <c r="M1874" s="92">
        <f t="shared" ca="1" si="69"/>
        <v>6.25</v>
      </c>
      <c r="N1874" s="143">
        <f ca="1">(PRODUCT($O$5:$O1874)-1)*36000/_xlfn.DAYS(L1874, $C$2)</f>
        <v>9.2334494018404278</v>
      </c>
      <c r="O1874" s="149">
        <f t="shared" ca="1" si="70"/>
        <v>1.000173611111111</v>
      </c>
    </row>
    <row r="1875" spans="12:15" x14ac:dyDescent="0.25">
      <c r="L1875" s="147">
        <f ca="1"/>
        <v>47114</v>
      </c>
      <c r="M1875" s="92">
        <f t="shared" ca="1" si="69"/>
        <v>6.25</v>
      </c>
      <c r="N1875" s="143">
        <f ca="1">(PRODUCT($O$5:$O1875)-1)*36000/_xlfn.DAYS(L1875, $C$2)</f>
        <v>9.2334569996998255</v>
      </c>
      <c r="O1875" s="149">
        <f t="shared" ca="1" si="70"/>
        <v>1.000173611111111</v>
      </c>
    </row>
    <row r="1876" spans="12:15" x14ac:dyDescent="0.25">
      <c r="L1876" s="147">
        <f ca="1"/>
        <v>47115</v>
      </c>
      <c r="M1876" s="92">
        <f t="shared" ca="1" si="69"/>
        <v>6.25</v>
      </c>
      <c r="N1876" s="143">
        <f ca="1">(PRODUCT($O$5:$O1876)-1)*36000/_xlfn.DAYS(L1876, $C$2)</f>
        <v>9.2334654470793485</v>
      </c>
      <c r="O1876" s="149">
        <f t="shared" ca="1" si="70"/>
        <v>1.000173611111111</v>
      </c>
    </row>
    <row r="1877" spans="12:15" x14ac:dyDescent="0.25">
      <c r="L1877" s="147">
        <f ca="1"/>
        <v>47116</v>
      </c>
      <c r="M1877" s="92">
        <f t="shared" ca="1" si="69"/>
        <v>6.25</v>
      </c>
      <c r="N1877" s="143">
        <f ca="1">(PRODUCT($O$5:$O1877)-1)*36000/_xlfn.DAYS(L1877, $C$2)</f>
        <v>9.2334747427671324</v>
      </c>
      <c r="O1877" s="149">
        <f t="shared" ca="1" si="70"/>
        <v>1.000173611111111</v>
      </c>
    </row>
    <row r="1878" spans="12:15" x14ac:dyDescent="0.25">
      <c r="L1878" s="147">
        <f ca="1"/>
        <v>47117</v>
      </c>
      <c r="M1878" s="92">
        <f t="shared" ca="1" si="69"/>
        <v>6.25</v>
      </c>
      <c r="N1878" s="143">
        <f ca="1">(PRODUCT($O$5:$O1878)-1)*36000/_xlfn.DAYS(L1878, $C$2)</f>
        <v>9.2334848855539171</v>
      </c>
      <c r="O1878" s="149">
        <f t="shared" ca="1" si="70"/>
        <v>1.000173611111111</v>
      </c>
    </row>
    <row r="1879" spans="12:15" x14ac:dyDescent="0.25">
      <c r="L1879" s="147">
        <f ca="1"/>
        <v>47118</v>
      </c>
      <c r="M1879" s="92">
        <f t="shared" ca="1" si="69"/>
        <v>6.25</v>
      </c>
      <c r="N1879" s="143">
        <f ca="1">(PRODUCT($O$5:$O1879)-1)*36000/_xlfn.DAYS(L1879, $C$2)</f>
        <v>9.2334958742330553</v>
      </c>
      <c r="O1879" s="149">
        <f t="shared" ca="1" si="70"/>
        <v>1.000173611111111</v>
      </c>
    </row>
    <row r="1880" spans="12:15" x14ac:dyDescent="0.25">
      <c r="L1880" s="147">
        <f ca="1"/>
        <v>47119</v>
      </c>
      <c r="M1880" s="92">
        <f t="shared" ca="1" si="69"/>
        <v>6.25</v>
      </c>
      <c r="N1880" s="143">
        <f ca="1">(PRODUCT($O$5:$O1880)-1)*36000/_xlfn.DAYS(L1880, $C$2)</f>
        <v>9.2335077076005003</v>
      </c>
      <c r="O1880" s="149">
        <f t="shared" ca="1" si="70"/>
        <v>1.000173611111111</v>
      </c>
    </row>
    <row r="1881" spans="12:15" x14ac:dyDescent="0.25">
      <c r="L1881" s="147">
        <f ca="1"/>
        <v>47120</v>
      </c>
      <c r="M1881" s="92">
        <f t="shared" ca="1" si="69"/>
        <v>6.25</v>
      </c>
      <c r="N1881" s="143">
        <f ca="1">(PRODUCT($O$5:$O1881)-1)*36000/_xlfn.DAYS(L1881, $C$2)</f>
        <v>9.2335203844547884</v>
      </c>
      <c r="O1881" s="149">
        <f t="shared" ca="1" si="70"/>
        <v>1.000173611111111</v>
      </c>
    </row>
    <row r="1882" spans="12:15" x14ac:dyDescent="0.25">
      <c r="L1882" s="147">
        <f ca="1"/>
        <v>47121</v>
      </c>
      <c r="M1882" s="92">
        <f t="shared" ca="1" si="69"/>
        <v>6.25</v>
      </c>
      <c r="N1882" s="143">
        <f ca="1">(PRODUCT($O$5:$O1882)-1)*36000/_xlfn.DAYS(L1882, $C$2)</f>
        <v>9.2335339035970421</v>
      </c>
      <c r="O1882" s="149">
        <f t="shared" ca="1" si="70"/>
        <v>1.000173611111111</v>
      </c>
    </row>
    <row r="1883" spans="12:15" x14ac:dyDescent="0.25">
      <c r="L1883" s="147">
        <f ca="1"/>
        <v>47122</v>
      </c>
      <c r="M1883" s="92">
        <f t="shared" ca="1" si="69"/>
        <v>6.25</v>
      </c>
      <c r="N1883" s="143">
        <f ca="1">(PRODUCT($O$5:$O1883)-1)*36000/_xlfn.DAYS(L1883, $C$2)</f>
        <v>9.2335482638309703</v>
      </c>
      <c r="O1883" s="149">
        <f t="shared" ca="1" si="70"/>
        <v>1.000173611111111</v>
      </c>
    </row>
    <row r="1884" spans="12:15" x14ac:dyDescent="0.25">
      <c r="L1884" s="147">
        <f ca="1"/>
        <v>47123</v>
      </c>
      <c r="M1884" s="92">
        <f t="shared" ca="1" si="69"/>
        <v>6.25</v>
      </c>
      <c r="N1884" s="143">
        <f ca="1">(PRODUCT($O$5:$O1884)-1)*36000/_xlfn.DAYS(L1884, $C$2)</f>
        <v>9.2335634639628452</v>
      </c>
      <c r="O1884" s="149">
        <f t="shared" ca="1" si="70"/>
        <v>1.000173611111111</v>
      </c>
    </row>
    <row r="1885" spans="12:15" x14ac:dyDescent="0.25">
      <c r="L1885" s="147">
        <f ca="1"/>
        <v>47124</v>
      </c>
      <c r="M1885" s="92">
        <f t="shared" ca="1" si="69"/>
        <v>6.25</v>
      </c>
      <c r="N1885" s="143">
        <f ca="1">(PRODUCT($O$5:$O1885)-1)*36000/_xlfn.DAYS(L1885, $C$2)</f>
        <v>9.2335795028015042</v>
      </c>
      <c r="O1885" s="149">
        <f t="shared" ca="1" si="70"/>
        <v>1.000173611111111</v>
      </c>
    </row>
    <row r="1886" spans="12:15" x14ac:dyDescent="0.25">
      <c r="L1886" s="147">
        <f ca="1"/>
        <v>47125</v>
      </c>
      <c r="M1886" s="92">
        <f t="shared" ca="1" si="69"/>
        <v>6.25</v>
      </c>
      <c r="N1886" s="143">
        <f ca="1">(PRODUCT($O$5:$O1886)-1)*36000/_xlfn.DAYS(L1886, $C$2)</f>
        <v>9.233596379158346</v>
      </c>
      <c r="O1886" s="149">
        <f t="shared" ca="1" si="70"/>
        <v>1.000173611111111</v>
      </c>
    </row>
    <row r="1887" spans="12:15" x14ac:dyDescent="0.25">
      <c r="L1887" s="147">
        <f ca="1"/>
        <v>47126</v>
      </c>
      <c r="M1887" s="92">
        <f t="shared" ca="1" si="69"/>
        <v>6.25</v>
      </c>
      <c r="N1887" s="143">
        <f ca="1">(PRODUCT($O$5:$O1887)-1)*36000/_xlfn.DAYS(L1887, $C$2)</f>
        <v>9.2336140918473166</v>
      </c>
      <c r="O1887" s="149">
        <f t="shared" ca="1" si="70"/>
        <v>1.000173611111111</v>
      </c>
    </row>
    <row r="1888" spans="12:15" x14ac:dyDescent="0.25">
      <c r="L1888" s="147">
        <f ca="1"/>
        <v>47127</v>
      </c>
      <c r="M1888" s="92">
        <f t="shared" ca="1" si="69"/>
        <v>6.25</v>
      </c>
      <c r="N1888" s="143">
        <f ca="1">(PRODUCT($O$5:$O1888)-1)*36000/_xlfn.DAYS(L1888, $C$2)</f>
        <v>9.2336326396849078</v>
      </c>
      <c r="O1888" s="149">
        <f t="shared" ca="1" si="70"/>
        <v>1.000173611111111</v>
      </c>
    </row>
    <row r="1889" spans="12:15" x14ac:dyDescent="0.25">
      <c r="L1889" s="147">
        <f ca="1"/>
        <v>47128</v>
      </c>
      <c r="M1889" s="92">
        <f t="shared" ca="1" si="69"/>
        <v>6.25</v>
      </c>
      <c r="N1889" s="143">
        <f ca="1">(PRODUCT($O$5:$O1889)-1)*36000/_xlfn.DAYS(L1889, $C$2)</f>
        <v>9.2336520214901459</v>
      </c>
      <c r="O1889" s="149">
        <f t="shared" ca="1" si="70"/>
        <v>1.000173611111111</v>
      </c>
    </row>
    <row r="1890" spans="12:15" x14ac:dyDescent="0.25">
      <c r="L1890" s="147">
        <f ca="1"/>
        <v>47129</v>
      </c>
      <c r="M1890" s="92">
        <f t="shared" ca="1" si="69"/>
        <v>6.25</v>
      </c>
      <c r="N1890" s="143">
        <f ca="1">(PRODUCT($O$5:$O1890)-1)*36000/_xlfn.DAYS(L1890, $C$2)</f>
        <v>9.2336722360845904</v>
      </c>
      <c r="O1890" s="149">
        <f t="shared" ca="1" si="70"/>
        <v>1.000173611111111</v>
      </c>
    </row>
    <row r="1891" spans="12:15" x14ac:dyDescent="0.25">
      <c r="L1891" s="147">
        <f ca="1"/>
        <v>47130</v>
      </c>
      <c r="M1891" s="92">
        <f t="shared" ca="1" si="69"/>
        <v>6.25</v>
      </c>
      <c r="N1891" s="143">
        <f ca="1">(PRODUCT($O$5:$O1891)-1)*36000/_xlfn.DAYS(L1891, $C$2)</f>
        <v>9.2336932822923217</v>
      </c>
      <c r="O1891" s="149">
        <f t="shared" ca="1" si="70"/>
        <v>1.000173611111111</v>
      </c>
    </row>
    <row r="1892" spans="12:15" x14ac:dyDescent="0.25">
      <c r="L1892" s="147">
        <f ca="1"/>
        <v>47131</v>
      </c>
      <c r="M1892" s="92">
        <f t="shared" ca="1" si="69"/>
        <v>6.25</v>
      </c>
      <c r="N1892" s="143">
        <f ca="1">(PRODUCT($O$5:$O1892)-1)*36000/_xlfn.DAYS(L1892, $C$2)</f>
        <v>9.2337151589399404</v>
      </c>
      <c r="O1892" s="149">
        <f t="shared" ca="1" si="70"/>
        <v>1.000173611111111</v>
      </c>
    </row>
    <row r="1893" spans="12:15" x14ac:dyDescent="0.25">
      <c r="L1893" s="147">
        <f ca="1"/>
        <v>47132</v>
      </c>
      <c r="M1893" s="92">
        <f t="shared" ca="1" si="69"/>
        <v>6.25</v>
      </c>
      <c r="N1893" s="143">
        <f ca="1">(PRODUCT($O$5:$O1893)-1)*36000/_xlfn.DAYS(L1893, $C$2)</f>
        <v>9.233737864856554</v>
      </c>
      <c r="O1893" s="149">
        <f t="shared" ca="1" si="70"/>
        <v>1.000173611111111</v>
      </c>
    </row>
    <row r="1894" spans="12:15" x14ac:dyDescent="0.25">
      <c r="L1894" s="147">
        <f ca="1"/>
        <v>47133</v>
      </c>
      <c r="M1894" s="92">
        <f t="shared" ca="1" si="69"/>
        <v>6.25</v>
      </c>
      <c r="N1894" s="143">
        <f ca="1">(PRODUCT($O$5:$O1894)-1)*36000/_xlfn.DAYS(L1894, $C$2)</f>
        <v>9.2337613988737797</v>
      </c>
      <c r="O1894" s="149">
        <f t="shared" ca="1" si="70"/>
        <v>1.000173611111111</v>
      </c>
    </row>
    <row r="1895" spans="12:15" x14ac:dyDescent="0.25">
      <c r="L1895" s="147">
        <f ca="1"/>
        <v>47134</v>
      </c>
      <c r="M1895" s="92">
        <f t="shared" ca="1" si="69"/>
        <v>6.25</v>
      </c>
      <c r="N1895" s="143">
        <f ca="1">(PRODUCT($O$5:$O1895)-1)*36000/_xlfn.DAYS(L1895, $C$2)</f>
        <v>9.2337857598257234</v>
      </c>
      <c r="O1895" s="149">
        <f t="shared" ca="1" si="70"/>
        <v>1.000173611111111</v>
      </c>
    </row>
    <row r="1896" spans="12:15" x14ac:dyDescent="0.25">
      <c r="L1896" s="147">
        <f ca="1"/>
        <v>47135</v>
      </c>
      <c r="M1896" s="92">
        <f t="shared" ca="1" si="69"/>
        <v>6.25</v>
      </c>
      <c r="N1896" s="143">
        <f ca="1">(PRODUCT($O$5:$O1896)-1)*36000/_xlfn.DAYS(L1896, $C$2)</f>
        <v>9.2338109465489868</v>
      </c>
      <c r="O1896" s="149">
        <f t="shared" ca="1" si="70"/>
        <v>1.000173611111111</v>
      </c>
    </row>
    <row r="1897" spans="12:15" x14ac:dyDescent="0.25">
      <c r="L1897" s="147">
        <f ca="1"/>
        <v>47136</v>
      </c>
      <c r="M1897" s="92">
        <f t="shared" ca="1" si="69"/>
        <v>6.25</v>
      </c>
      <c r="N1897" s="143">
        <f ca="1">(PRODUCT($O$5:$O1897)-1)*36000/_xlfn.DAYS(L1897, $C$2)</f>
        <v>9.2338369578826569</v>
      </c>
      <c r="O1897" s="149">
        <f t="shared" ca="1" si="70"/>
        <v>1.000173611111111</v>
      </c>
    </row>
    <row r="1898" spans="12:15" x14ac:dyDescent="0.25">
      <c r="L1898" s="147">
        <f ca="1"/>
        <v>47137</v>
      </c>
      <c r="M1898" s="92">
        <f t="shared" ca="1" si="69"/>
        <v>6.25</v>
      </c>
      <c r="N1898" s="143">
        <f ca="1">(PRODUCT($O$5:$O1898)-1)*36000/_xlfn.DAYS(L1898, $C$2)</f>
        <v>9.2338637926682985</v>
      </c>
      <c r="O1898" s="149">
        <f t="shared" ca="1" si="70"/>
        <v>1.000173611111111</v>
      </c>
    </row>
    <row r="1899" spans="12:15" x14ac:dyDescent="0.25">
      <c r="L1899" s="147">
        <f ca="1"/>
        <v>47138</v>
      </c>
      <c r="M1899" s="92">
        <f t="shared" ca="1" si="69"/>
        <v>6.25</v>
      </c>
      <c r="N1899" s="143">
        <f ca="1">(PRODUCT($O$5:$O1899)-1)*36000/_xlfn.DAYS(L1899, $C$2)</f>
        <v>9.2338914497499385</v>
      </c>
      <c r="O1899" s="149">
        <f t="shared" ca="1" si="70"/>
        <v>1.000173611111111</v>
      </c>
    </row>
    <row r="1900" spans="12:15" x14ac:dyDescent="0.25">
      <c r="L1900" s="147">
        <f ca="1"/>
        <v>47139</v>
      </c>
      <c r="M1900" s="92">
        <f t="shared" ca="1" si="69"/>
        <v>6.25</v>
      </c>
      <c r="N1900" s="143">
        <f ca="1">(PRODUCT($O$5:$O1900)-1)*36000/_xlfn.DAYS(L1900, $C$2)</f>
        <v>9.2339199279740782</v>
      </c>
      <c r="O1900" s="149">
        <f t="shared" ca="1" si="70"/>
        <v>1.000173611111111</v>
      </c>
    </row>
    <row r="1901" spans="12:15" x14ac:dyDescent="0.25">
      <c r="L1901" s="147">
        <f ca="1"/>
        <v>47140</v>
      </c>
      <c r="M1901" s="92">
        <f t="shared" ca="1" si="69"/>
        <v>6.25</v>
      </c>
      <c r="N1901" s="143">
        <f ca="1">(PRODUCT($O$5:$O1901)-1)*36000/_xlfn.DAYS(L1901, $C$2)</f>
        <v>9.2339492261896723</v>
      </c>
      <c r="O1901" s="149">
        <f t="shared" ca="1" si="70"/>
        <v>1.000173611111111</v>
      </c>
    </row>
    <row r="1902" spans="12:15" x14ac:dyDescent="0.25">
      <c r="L1902" s="147">
        <f ca="1"/>
        <v>47141</v>
      </c>
      <c r="M1902" s="92">
        <f t="shared" ca="1" si="69"/>
        <v>6.25</v>
      </c>
      <c r="N1902" s="143">
        <f ca="1">(PRODUCT($O$5:$O1902)-1)*36000/_xlfn.DAYS(L1902, $C$2)</f>
        <v>9.2339793432481301</v>
      </c>
      <c r="O1902" s="149">
        <f t="shared" ca="1" si="70"/>
        <v>1.000173611111111</v>
      </c>
    </row>
    <row r="1903" spans="12:15" x14ac:dyDescent="0.25">
      <c r="L1903" s="147">
        <f ca="1"/>
        <v>47142</v>
      </c>
      <c r="M1903" s="92">
        <f t="shared" ca="1" si="69"/>
        <v>6.25</v>
      </c>
      <c r="N1903" s="143">
        <f ca="1">(PRODUCT($O$5:$O1903)-1)*36000/_xlfn.DAYS(L1903, $C$2)</f>
        <v>9.2340102780032982</v>
      </c>
      <c r="O1903" s="149">
        <f t="shared" ca="1" si="70"/>
        <v>1.000173611111111</v>
      </c>
    </row>
    <row r="1904" spans="12:15" x14ac:dyDescent="0.25">
      <c r="L1904" s="147">
        <f ca="1"/>
        <v>47143</v>
      </c>
      <c r="M1904" s="92">
        <f t="shared" ca="1" si="69"/>
        <v>6.25</v>
      </c>
      <c r="N1904" s="143">
        <f ca="1">(PRODUCT($O$5:$O1904)-1)*36000/_xlfn.DAYS(L1904, $C$2)</f>
        <v>9.2340420293114658</v>
      </c>
      <c r="O1904" s="149">
        <f t="shared" ca="1" si="70"/>
        <v>1.000173611111111</v>
      </c>
    </row>
    <row r="1905" spans="12:15" x14ac:dyDescent="0.25">
      <c r="L1905" s="147">
        <f ca="1"/>
        <v>47144</v>
      </c>
      <c r="M1905" s="92">
        <f t="shared" ca="1" si="69"/>
        <v>6.25</v>
      </c>
      <c r="N1905" s="143">
        <f ca="1">(PRODUCT($O$5:$O1905)-1)*36000/_xlfn.DAYS(L1905, $C$2)</f>
        <v>9.2340745960313626</v>
      </c>
      <c r="O1905" s="149">
        <f t="shared" ca="1" si="70"/>
        <v>1.000173611111111</v>
      </c>
    </row>
    <row r="1906" spans="12:15" x14ac:dyDescent="0.25">
      <c r="L1906" s="147">
        <f ca="1"/>
        <v>47145</v>
      </c>
      <c r="M1906" s="92">
        <f t="shared" ca="1" si="69"/>
        <v>6.25</v>
      </c>
      <c r="N1906" s="143">
        <f ca="1">(PRODUCT($O$5:$O1906)-1)*36000/_xlfn.DAYS(L1906, $C$2)</f>
        <v>9.2341079770241326</v>
      </c>
      <c r="O1906" s="149">
        <f t="shared" ca="1" si="70"/>
        <v>1.000173611111111</v>
      </c>
    </row>
    <row r="1907" spans="12:15" x14ac:dyDescent="0.25">
      <c r="L1907" s="147">
        <f ca="1"/>
        <v>47146</v>
      </c>
      <c r="M1907" s="92">
        <f t="shared" ca="1" si="69"/>
        <v>6.25</v>
      </c>
      <c r="N1907" s="143">
        <f ca="1">(PRODUCT($O$5:$O1907)-1)*36000/_xlfn.DAYS(L1907, $C$2)</f>
        <v>9.2341421711533407</v>
      </c>
      <c r="O1907" s="149">
        <f t="shared" ca="1" si="70"/>
        <v>1.000173611111111</v>
      </c>
    </row>
    <row r="1908" spans="12:15" x14ac:dyDescent="0.25">
      <c r="L1908" s="147">
        <f ca="1"/>
        <v>47147</v>
      </c>
      <c r="M1908" s="92">
        <f t="shared" ca="1" si="69"/>
        <v>6.25</v>
      </c>
      <c r="N1908" s="143">
        <f ca="1">(PRODUCT($O$5:$O1908)-1)*36000/_xlfn.DAYS(L1908, $C$2)</f>
        <v>9.2341771772849714</v>
      </c>
      <c r="O1908" s="149">
        <f t="shared" ca="1" si="70"/>
        <v>1.000173611111111</v>
      </c>
    </row>
    <row r="1909" spans="12:15" x14ac:dyDescent="0.25">
      <c r="L1909" s="147">
        <f ca="1"/>
        <v>47148</v>
      </c>
      <c r="M1909" s="92">
        <f t="shared" ca="1" si="69"/>
        <v>6.25</v>
      </c>
      <c r="N1909" s="143">
        <f ca="1">(PRODUCT($O$5:$O1909)-1)*36000/_xlfn.DAYS(L1909, $C$2)</f>
        <v>9.2342129942874127</v>
      </c>
      <c r="O1909" s="149">
        <f t="shared" ca="1" si="70"/>
        <v>1.000173611111111</v>
      </c>
    </row>
    <row r="1910" spans="12:15" x14ac:dyDescent="0.25">
      <c r="L1910" s="147">
        <f ca="1"/>
        <v>47149</v>
      </c>
      <c r="M1910" s="92">
        <f t="shared" ca="1" si="69"/>
        <v>6.25</v>
      </c>
      <c r="N1910" s="143">
        <f ca="1">(PRODUCT($O$5:$O1910)-1)*36000/_xlfn.DAYS(L1910, $C$2)</f>
        <v>9.2342496210314486</v>
      </c>
      <c r="O1910" s="149">
        <f t="shared" ca="1" si="70"/>
        <v>1.000173611111111</v>
      </c>
    </row>
    <row r="1911" spans="12:15" x14ac:dyDescent="0.25">
      <c r="L1911" s="147">
        <f ca="1"/>
        <v>47150</v>
      </c>
      <c r="M1911" s="92">
        <f t="shared" ca="1" si="69"/>
        <v>6.25</v>
      </c>
      <c r="N1911" s="143">
        <f ca="1">(PRODUCT($O$5:$O1911)-1)*36000/_xlfn.DAYS(L1911, $C$2)</f>
        <v>9.2342870563902615</v>
      </c>
      <c r="O1911" s="149">
        <f t="shared" ca="1" si="70"/>
        <v>1.000173611111111</v>
      </c>
    </row>
    <row r="1912" spans="12:15" x14ac:dyDescent="0.25">
      <c r="L1912" s="147">
        <f ca="1"/>
        <v>47151</v>
      </c>
      <c r="M1912" s="92">
        <f t="shared" ca="1" si="69"/>
        <v>6.25</v>
      </c>
      <c r="N1912" s="143">
        <f ca="1">(PRODUCT($O$5:$O1912)-1)*36000/_xlfn.DAYS(L1912, $C$2)</f>
        <v>9.2343252992394209</v>
      </c>
      <c r="O1912" s="149">
        <f t="shared" ca="1" si="70"/>
        <v>1.000173611111111</v>
      </c>
    </row>
    <row r="1913" spans="12:15" x14ac:dyDescent="0.25">
      <c r="L1913" s="147">
        <f ca="1"/>
        <v>47152</v>
      </c>
      <c r="M1913" s="92">
        <f t="shared" ca="1" si="69"/>
        <v>6.25</v>
      </c>
      <c r="N1913" s="143">
        <f ca="1">(PRODUCT($O$5:$O1913)-1)*36000/_xlfn.DAYS(L1913, $C$2)</f>
        <v>9.2343643484568805</v>
      </c>
      <c r="O1913" s="149">
        <f t="shared" ca="1" si="70"/>
        <v>1.000173611111111</v>
      </c>
    </row>
    <row r="1914" spans="12:15" x14ac:dyDescent="0.25">
      <c r="L1914" s="147">
        <f ca="1"/>
        <v>47153</v>
      </c>
      <c r="M1914" s="92">
        <f t="shared" ca="1" si="69"/>
        <v>6.25</v>
      </c>
      <c r="N1914" s="143">
        <f ca="1">(PRODUCT($O$5:$O1914)-1)*36000/_xlfn.DAYS(L1914, $C$2)</f>
        <v>9.2344042029229616</v>
      </c>
      <c r="O1914" s="149">
        <f t="shared" ca="1" si="70"/>
        <v>1.000173611111111</v>
      </c>
    </row>
    <row r="1915" spans="12:15" x14ac:dyDescent="0.25">
      <c r="L1915" s="147">
        <f ca="1"/>
        <v>47154</v>
      </c>
      <c r="M1915" s="92">
        <f t="shared" ca="1" si="69"/>
        <v>6.25</v>
      </c>
      <c r="N1915" s="143">
        <f ca="1">(PRODUCT($O$5:$O1915)-1)*36000/_xlfn.DAYS(L1915, $C$2)</f>
        <v>9.2344448615203678</v>
      </c>
      <c r="O1915" s="149">
        <f t="shared" ca="1" si="70"/>
        <v>1.000173611111111</v>
      </c>
    </row>
    <row r="1916" spans="12:15" x14ac:dyDescent="0.25">
      <c r="L1916" s="147">
        <f ca="1"/>
        <v>47155</v>
      </c>
      <c r="M1916" s="92">
        <f t="shared" ca="1" si="69"/>
        <v>6.25</v>
      </c>
      <c r="N1916" s="143">
        <f ca="1">(PRODUCT($O$5:$O1916)-1)*36000/_xlfn.DAYS(L1916, $C$2)</f>
        <v>9.234486323134151</v>
      </c>
      <c r="O1916" s="149">
        <f t="shared" ca="1" si="70"/>
        <v>1.000173611111111</v>
      </c>
    </row>
    <row r="1917" spans="12:15" x14ac:dyDescent="0.25">
      <c r="L1917" s="147">
        <f ca="1"/>
        <v>47156</v>
      </c>
      <c r="M1917" s="92">
        <f t="shared" ca="1" si="69"/>
        <v>6.25</v>
      </c>
      <c r="N1917" s="143">
        <f ca="1">(PRODUCT($O$5:$O1917)-1)*36000/_xlfn.DAYS(L1917, $C$2)</f>
        <v>9.2345285866517273</v>
      </c>
      <c r="O1917" s="149">
        <f t="shared" ca="1" si="70"/>
        <v>1.000173611111111</v>
      </c>
    </row>
    <row r="1918" spans="12:15" x14ac:dyDescent="0.25">
      <c r="L1918" s="147">
        <f ca="1"/>
        <v>47157</v>
      </c>
      <c r="M1918" s="92">
        <f t="shared" ca="1" si="69"/>
        <v>6.25</v>
      </c>
      <c r="N1918" s="143">
        <f ca="1">(PRODUCT($O$5:$O1918)-1)*36000/_xlfn.DAYS(L1918, $C$2)</f>
        <v>9.234571650962863</v>
      </c>
      <c r="O1918" s="149">
        <f t="shared" ca="1" si="70"/>
        <v>1.000173611111111</v>
      </c>
    </row>
    <row r="1919" spans="12:15" x14ac:dyDescent="0.25">
      <c r="L1919" s="147">
        <f ca="1"/>
        <v>47158</v>
      </c>
      <c r="M1919" s="92">
        <f t="shared" ca="1" si="69"/>
        <v>6.25</v>
      </c>
      <c r="N1919" s="143">
        <f ca="1">(PRODUCT($O$5:$O1919)-1)*36000/_xlfn.DAYS(L1919, $C$2)</f>
        <v>9.2346155149596676</v>
      </c>
      <c r="O1919" s="149">
        <f t="shared" ca="1" si="70"/>
        <v>1.000173611111111</v>
      </c>
    </row>
    <row r="1920" spans="12:15" x14ac:dyDescent="0.25">
      <c r="L1920" s="147">
        <f ca="1"/>
        <v>47159</v>
      </c>
      <c r="M1920" s="92">
        <f t="shared" ca="1" si="69"/>
        <v>6.25</v>
      </c>
      <c r="N1920" s="143">
        <f ca="1">(PRODUCT($O$5:$O1920)-1)*36000/_xlfn.DAYS(L1920, $C$2)</f>
        <v>9.2346601775365915</v>
      </c>
      <c r="O1920" s="149">
        <f t="shared" ca="1" si="70"/>
        <v>1.000173611111111</v>
      </c>
    </row>
    <row r="1921" spans="12:15" x14ac:dyDescent="0.25">
      <c r="L1921" s="147">
        <f ca="1"/>
        <v>47160</v>
      </c>
      <c r="M1921" s="92">
        <f t="shared" ca="1" si="69"/>
        <v>6.25</v>
      </c>
      <c r="N1921" s="143">
        <f ca="1">(PRODUCT($O$5:$O1921)-1)*36000/_xlfn.DAYS(L1921, $C$2)</f>
        <v>9.2347056375904142</v>
      </c>
      <c r="O1921" s="149">
        <f t="shared" ca="1" si="70"/>
        <v>1.000173611111111</v>
      </c>
    </row>
    <row r="1922" spans="12:15" x14ac:dyDescent="0.25">
      <c r="L1922" s="147">
        <f ca="1"/>
        <v>47161</v>
      </c>
      <c r="M1922" s="92">
        <f t="shared" ca="1" si="69"/>
        <v>6.25</v>
      </c>
      <c r="N1922" s="143">
        <f ca="1">(PRODUCT($O$5:$O1922)-1)*36000/_xlfn.DAYS(L1922, $C$2)</f>
        <v>9.2347518940202473</v>
      </c>
      <c r="O1922" s="149">
        <f t="shared" ca="1" si="70"/>
        <v>1.000173611111111</v>
      </c>
    </row>
    <row r="1923" spans="12:15" x14ac:dyDescent="0.25">
      <c r="L1923" s="147">
        <f ca="1"/>
        <v>47162</v>
      </c>
      <c r="M1923" s="92">
        <f t="shared" ca="1" si="69"/>
        <v>6.25</v>
      </c>
      <c r="N1923" s="143">
        <f ca="1">(PRODUCT($O$5:$O1923)-1)*36000/_xlfn.DAYS(L1923, $C$2)</f>
        <v>9.2347989457275137</v>
      </c>
      <c r="O1923" s="149">
        <f t="shared" ca="1" si="70"/>
        <v>1.000173611111111</v>
      </c>
    </row>
    <row r="1924" spans="12:15" x14ac:dyDescent="0.25">
      <c r="L1924" s="147">
        <f ca="1"/>
        <v>47163</v>
      </c>
      <c r="M1924" s="92">
        <f t="shared" ca="1" si="69"/>
        <v>6.25</v>
      </c>
      <c r="N1924" s="143">
        <f ca="1">(PRODUCT($O$5:$O1924)-1)*36000/_xlfn.DAYS(L1924, $C$2)</f>
        <v>9.2348467916159525</v>
      </c>
      <c r="O1924" s="149">
        <f t="shared" ca="1" si="70"/>
        <v>1.000173611111111</v>
      </c>
    </row>
    <row r="1925" spans="12:15" x14ac:dyDescent="0.25">
      <c r="L1925" s="147">
        <f ca="1"/>
        <v>47164</v>
      </c>
      <c r="M1925" s="92">
        <f t="shared" ref="M1925:M1988" ca="1" si="71">IFERROR(INDEX($E$27:$H$47, MATCH(L1925, $F$27:$F$47, 0), 4), IF(ISNUMBER(M1924), M1924, $C$5))</f>
        <v>6.25</v>
      </c>
      <c r="N1925" s="143">
        <f ca="1">(PRODUCT($O$5:$O1925)-1)*36000/_xlfn.DAYS(L1925, $C$2)</f>
        <v>9.2348954305916156</v>
      </c>
      <c r="O1925" s="149">
        <f t="shared" ca="1" si="70"/>
        <v>1.000173611111111</v>
      </c>
    </row>
    <row r="1926" spans="12:15" x14ac:dyDescent="0.25">
      <c r="L1926" s="147">
        <f ca="1"/>
        <v>47165</v>
      </c>
      <c r="M1926" s="92">
        <f t="shared" ca="1" si="71"/>
        <v>6.25</v>
      </c>
      <c r="N1926" s="143">
        <f ca="1">(PRODUCT($O$5:$O1926)-1)*36000/_xlfn.DAYS(L1926, $C$2)</f>
        <v>9.2349448615628553</v>
      </c>
      <c r="O1926" s="149">
        <f t="shared" ref="O1926:O1989" ca="1" si="72">1+M1926*IFERROR(_xlfn.DAYS(L1926, L1925), _xlfn.DAYS(L1926, $C$2))/36000</f>
        <v>1.000173611111111</v>
      </c>
    </row>
    <row r="1927" spans="12:15" x14ac:dyDescent="0.25">
      <c r="L1927" s="147">
        <f ca="1"/>
        <v>47166</v>
      </c>
      <c r="M1927" s="92">
        <f t="shared" ca="1" si="71"/>
        <v>6.25</v>
      </c>
      <c r="N1927" s="143">
        <f ca="1">(PRODUCT($O$5:$O1927)-1)*36000/_xlfn.DAYS(L1927, $C$2)</f>
        <v>9.2349950834403192</v>
      </c>
      <c r="O1927" s="149">
        <f t="shared" ca="1" si="72"/>
        <v>1.000173611111111</v>
      </c>
    </row>
    <row r="1928" spans="12:15" x14ac:dyDescent="0.25">
      <c r="L1928" s="147">
        <f ca="1"/>
        <v>47167</v>
      </c>
      <c r="M1928" s="92">
        <f t="shared" ca="1" si="71"/>
        <v>6.25</v>
      </c>
      <c r="N1928" s="143">
        <f ca="1">(PRODUCT($O$5:$O1928)-1)*36000/_xlfn.DAYS(L1928, $C$2)</f>
        <v>9.235046095136946</v>
      </c>
      <c r="O1928" s="149">
        <f t="shared" ca="1" si="72"/>
        <v>1.000173611111111</v>
      </c>
    </row>
    <row r="1929" spans="12:15" x14ac:dyDescent="0.25">
      <c r="L1929" s="147">
        <f ca="1"/>
        <v>47168</v>
      </c>
      <c r="M1929" s="92">
        <f t="shared" ca="1" si="71"/>
        <v>6.25</v>
      </c>
      <c r="N1929" s="143">
        <f ca="1">(PRODUCT($O$5:$O1929)-1)*36000/_xlfn.DAYS(L1929, $C$2)</f>
        <v>9.2350978955679572</v>
      </c>
      <c r="O1929" s="149">
        <f t="shared" ca="1" si="72"/>
        <v>1.000173611111111</v>
      </c>
    </row>
    <row r="1930" spans="12:15" x14ac:dyDescent="0.25">
      <c r="L1930" s="147">
        <f ca="1"/>
        <v>47169</v>
      </c>
      <c r="M1930" s="92">
        <f t="shared" ca="1" si="71"/>
        <v>6.25</v>
      </c>
      <c r="N1930" s="143">
        <f ca="1">(PRODUCT($O$5:$O1930)-1)*36000/_xlfn.DAYS(L1930, $C$2)</f>
        <v>9.23515048365085</v>
      </c>
      <c r="O1930" s="149">
        <f t="shared" ca="1" si="72"/>
        <v>1.000173611111111</v>
      </c>
    </row>
    <row r="1931" spans="12:15" x14ac:dyDescent="0.25">
      <c r="L1931" s="147">
        <f ca="1"/>
        <v>47170</v>
      </c>
      <c r="M1931" s="92">
        <f t="shared" ca="1" si="71"/>
        <v>6.25</v>
      </c>
      <c r="N1931" s="143">
        <f ca="1">(PRODUCT($O$5:$O1931)-1)*36000/_xlfn.DAYS(L1931, $C$2)</f>
        <v>9.2352038583054004</v>
      </c>
      <c r="O1931" s="149">
        <f t="shared" ca="1" si="72"/>
        <v>1.000173611111111</v>
      </c>
    </row>
    <row r="1932" spans="12:15" x14ac:dyDescent="0.25">
      <c r="L1932" s="147">
        <f ca="1"/>
        <v>47171</v>
      </c>
      <c r="M1932" s="92">
        <f t="shared" ca="1" si="71"/>
        <v>6.25</v>
      </c>
      <c r="N1932" s="143">
        <f ca="1">(PRODUCT($O$5:$O1932)-1)*36000/_xlfn.DAYS(L1932, $C$2)</f>
        <v>9.2352580184536457</v>
      </c>
      <c r="O1932" s="149">
        <f t="shared" ca="1" si="72"/>
        <v>1.000173611111111</v>
      </c>
    </row>
    <row r="1933" spans="12:15" x14ac:dyDescent="0.25">
      <c r="L1933" s="147">
        <f ca="1"/>
        <v>47172</v>
      </c>
      <c r="M1933" s="92">
        <f t="shared" ca="1" si="71"/>
        <v>6.25</v>
      </c>
      <c r="N1933" s="143">
        <f ca="1">(PRODUCT($O$5:$O1933)-1)*36000/_xlfn.DAYS(L1933, $C$2)</f>
        <v>9.2353129630198829</v>
      </c>
      <c r="O1933" s="149">
        <f t="shared" ca="1" si="72"/>
        <v>1.000173611111111</v>
      </c>
    </row>
    <row r="1934" spans="12:15" x14ac:dyDescent="0.25">
      <c r="L1934" s="147">
        <f ca="1"/>
        <v>47173</v>
      </c>
      <c r="M1934" s="92">
        <f t="shared" ca="1" si="71"/>
        <v>6.25</v>
      </c>
      <c r="N1934" s="143">
        <f ca="1">(PRODUCT($O$5:$O1934)-1)*36000/_xlfn.DAYS(L1934, $C$2)</f>
        <v>9.235368690930672</v>
      </c>
      <c r="O1934" s="149">
        <f t="shared" ca="1" si="72"/>
        <v>1.000173611111111</v>
      </c>
    </row>
    <row r="1935" spans="12:15" x14ac:dyDescent="0.25">
      <c r="L1935" s="147">
        <f ca="1"/>
        <v>47174</v>
      </c>
      <c r="M1935" s="92">
        <f t="shared" ca="1" si="71"/>
        <v>6.25</v>
      </c>
      <c r="N1935" s="143">
        <f ca="1">(PRODUCT($O$5:$O1935)-1)*36000/_xlfn.DAYS(L1935, $C$2)</f>
        <v>9.235425201114813</v>
      </c>
      <c r="O1935" s="149">
        <f t="shared" ca="1" si="72"/>
        <v>1.000173611111111</v>
      </c>
    </row>
    <row r="1936" spans="12:15" x14ac:dyDescent="0.25">
      <c r="L1936" s="147">
        <f ca="1"/>
        <v>47175</v>
      </c>
      <c r="M1936" s="92">
        <f t="shared" ca="1" si="71"/>
        <v>6.25</v>
      </c>
      <c r="N1936" s="143">
        <f ca="1">(PRODUCT($O$5:$O1936)-1)*36000/_xlfn.DAYS(L1936, $C$2)</f>
        <v>9.235482492503353</v>
      </c>
      <c r="O1936" s="149">
        <f t="shared" ca="1" si="72"/>
        <v>1.000173611111111</v>
      </c>
    </row>
    <row r="1937" spans="12:15" x14ac:dyDescent="0.25">
      <c r="L1937" s="147">
        <f ca="1"/>
        <v>47176</v>
      </c>
      <c r="M1937" s="92">
        <f t="shared" ca="1" si="71"/>
        <v>6.25</v>
      </c>
      <c r="N1937" s="143">
        <f ca="1">(PRODUCT($O$5:$O1937)-1)*36000/_xlfn.DAYS(L1937, $C$2)</f>
        <v>9.2355405640295753</v>
      </c>
      <c r="O1937" s="149">
        <f t="shared" ca="1" si="72"/>
        <v>1.000173611111111</v>
      </c>
    </row>
    <row r="1938" spans="12:15" x14ac:dyDescent="0.25">
      <c r="L1938" s="147">
        <f ca="1"/>
        <v>47177</v>
      </c>
      <c r="M1938" s="92">
        <f t="shared" ca="1" si="71"/>
        <v>6.25</v>
      </c>
      <c r="N1938" s="143">
        <f ca="1">(PRODUCT($O$5:$O1938)-1)*36000/_xlfn.DAYS(L1938, $C$2)</f>
        <v>9.235599414628993</v>
      </c>
      <c r="O1938" s="149">
        <f t="shared" ca="1" si="72"/>
        <v>1.000173611111111</v>
      </c>
    </row>
    <row r="1939" spans="12:15" x14ac:dyDescent="0.25">
      <c r="L1939" s="147">
        <f ca="1"/>
        <v>47178</v>
      </c>
      <c r="M1939" s="92">
        <f t="shared" ca="1" si="71"/>
        <v>6.25</v>
      </c>
      <c r="N1939" s="143">
        <f ca="1">(PRODUCT($O$5:$O1939)-1)*36000/_xlfn.DAYS(L1939, $C$2)</f>
        <v>9.2356590432393517</v>
      </c>
      <c r="O1939" s="149">
        <f t="shared" ca="1" si="72"/>
        <v>1.000173611111111</v>
      </c>
    </row>
    <row r="1940" spans="12:15" x14ac:dyDescent="0.25">
      <c r="L1940" s="147">
        <f ca="1"/>
        <v>47179</v>
      </c>
      <c r="M1940" s="92">
        <f t="shared" ca="1" si="71"/>
        <v>6.25</v>
      </c>
      <c r="N1940" s="143">
        <f ca="1">(PRODUCT($O$5:$O1940)-1)*36000/_xlfn.DAYS(L1940, $C$2)</f>
        <v>9.2357194488006087</v>
      </c>
      <c r="O1940" s="149">
        <f t="shared" ca="1" si="72"/>
        <v>1.000173611111111</v>
      </c>
    </row>
    <row r="1941" spans="12:15" x14ac:dyDescent="0.25">
      <c r="L1941" s="147">
        <f ca="1"/>
        <v>47180</v>
      </c>
      <c r="M1941" s="92">
        <f t="shared" ca="1" si="71"/>
        <v>6.25</v>
      </c>
      <c r="N1941" s="143">
        <f ca="1">(PRODUCT($O$5:$O1941)-1)*36000/_xlfn.DAYS(L1941, $C$2)</f>
        <v>9.2357806302549399</v>
      </c>
      <c r="O1941" s="149">
        <f t="shared" ca="1" si="72"/>
        <v>1.000173611111111</v>
      </c>
    </row>
    <row r="1942" spans="12:15" x14ac:dyDescent="0.25">
      <c r="L1942" s="147">
        <f ca="1"/>
        <v>47181</v>
      </c>
      <c r="M1942" s="92">
        <f t="shared" ca="1" si="71"/>
        <v>6.25</v>
      </c>
      <c r="N1942" s="143">
        <f ca="1">(PRODUCT($O$5:$O1942)-1)*36000/_xlfn.DAYS(L1942, $C$2)</f>
        <v>9.2358425865467328</v>
      </c>
      <c r="O1942" s="149">
        <f t="shared" ca="1" si="72"/>
        <v>1.000173611111111</v>
      </c>
    </row>
    <row r="1943" spans="12:15" x14ac:dyDescent="0.25">
      <c r="L1943" s="147">
        <f ca="1"/>
        <v>47182</v>
      </c>
      <c r="M1943" s="92">
        <f t="shared" ca="1" si="71"/>
        <v>6.25</v>
      </c>
      <c r="N1943" s="143">
        <f ca="1">(PRODUCT($O$5:$O1943)-1)*36000/_xlfn.DAYS(L1943, $C$2)</f>
        <v>9.2359053166225689</v>
      </c>
      <c r="O1943" s="149">
        <f t="shared" ca="1" si="72"/>
        <v>1.000173611111111</v>
      </c>
    </row>
    <row r="1944" spans="12:15" x14ac:dyDescent="0.25">
      <c r="L1944" s="147">
        <f ca="1"/>
        <v>47183</v>
      </c>
      <c r="M1944" s="92">
        <f t="shared" ca="1" si="71"/>
        <v>6.25</v>
      </c>
      <c r="N1944" s="143">
        <f ca="1">(PRODUCT($O$5:$O1944)-1)*36000/_xlfn.DAYS(L1944, $C$2)</f>
        <v>9.2359688194312373</v>
      </c>
      <c r="O1944" s="149">
        <f t="shared" ca="1" si="72"/>
        <v>1.000173611111111</v>
      </c>
    </row>
    <row r="1945" spans="12:15" x14ac:dyDescent="0.25">
      <c r="L1945" s="147">
        <f ca="1"/>
        <v>47184</v>
      </c>
      <c r="M1945" s="92">
        <f t="shared" ca="1" si="71"/>
        <v>6.25</v>
      </c>
      <c r="N1945" s="143">
        <f ca="1">(PRODUCT($O$5:$O1945)-1)*36000/_xlfn.DAYS(L1945, $C$2)</f>
        <v>9.2360330939237052</v>
      </c>
      <c r="O1945" s="149">
        <f t="shared" ca="1" si="72"/>
        <v>1.000173611111111</v>
      </c>
    </row>
    <row r="1946" spans="12:15" x14ac:dyDescent="0.25">
      <c r="L1946" s="147">
        <f ca="1"/>
        <v>47185</v>
      </c>
      <c r="M1946" s="92">
        <f t="shared" ca="1" si="71"/>
        <v>6.25</v>
      </c>
      <c r="N1946" s="143">
        <f ca="1">(PRODUCT($O$5:$O1946)-1)*36000/_xlfn.DAYS(L1946, $C$2)</f>
        <v>9.2360981390531443</v>
      </c>
      <c r="O1946" s="149">
        <f t="shared" ca="1" si="72"/>
        <v>1.000173611111111</v>
      </c>
    </row>
    <row r="1947" spans="12:15" x14ac:dyDescent="0.25">
      <c r="L1947" s="147">
        <f ca="1"/>
        <v>47186</v>
      </c>
      <c r="M1947" s="92">
        <f t="shared" ca="1" si="71"/>
        <v>6.25</v>
      </c>
      <c r="N1947" s="143">
        <f ca="1">(PRODUCT($O$5:$O1947)-1)*36000/_xlfn.DAYS(L1947, $C$2)</f>
        <v>9.2361639537748879</v>
      </c>
      <c r="O1947" s="149">
        <f t="shared" ca="1" si="72"/>
        <v>1.000173611111111</v>
      </c>
    </row>
    <row r="1948" spans="12:15" x14ac:dyDescent="0.25">
      <c r="L1948" s="147">
        <f ca="1"/>
        <v>47187</v>
      </c>
      <c r="M1948" s="92">
        <f t="shared" ca="1" si="71"/>
        <v>6.25</v>
      </c>
      <c r="N1948" s="143">
        <f ca="1">(PRODUCT($O$5:$O1948)-1)*36000/_xlfn.DAYS(L1948, $C$2)</f>
        <v>9.2362305370464579</v>
      </c>
      <c r="O1948" s="149">
        <f t="shared" ca="1" si="72"/>
        <v>1.000173611111111</v>
      </c>
    </row>
    <row r="1949" spans="12:15" x14ac:dyDescent="0.25">
      <c r="L1949" s="147">
        <f ca="1"/>
        <v>47188</v>
      </c>
      <c r="M1949" s="92">
        <f t="shared" ca="1" si="71"/>
        <v>6.25</v>
      </c>
      <c r="N1949" s="143">
        <f ca="1">(PRODUCT($O$5:$O1949)-1)*36000/_xlfn.DAYS(L1949, $C$2)</f>
        <v>9.2362978878275381</v>
      </c>
      <c r="O1949" s="149">
        <f t="shared" ca="1" si="72"/>
        <v>1.000173611111111</v>
      </c>
    </row>
    <row r="1950" spans="12:15" x14ac:dyDescent="0.25">
      <c r="L1950" s="147">
        <f ca="1"/>
        <v>47189</v>
      </c>
      <c r="M1950" s="92">
        <f t="shared" ca="1" si="71"/>
        <v>6.25</v>
      </c>
      <c r="N1950" s="143">
        <f ca="1">(PRODUCT($O$5:$O1950)-1)*36000/_xlfn.DAYS(L1950, $C$2)</f>
        <v>9.2363660050799776</v>
      </c>
      <c r="O1950" s="149">
        <f t="shared" ca="1" si="72"/>
        <v>1.000173611111111</v>
      </c>
    </row>
    <row r="1951" spans="12:15" x14ac:dyDescent="0.25">
      <c r="L1951" s="147">
        <f ca="1"/>
        <v>47190</v>
      </c>
      <c r="M1951" s="92">
        <f t="shared" ca="1" si="71"/>
        <v>6.25</v>
      </c>
      <c r="N1951" s="143">
        <f ca="1">(PRODUCT($O$5:$O1951)-1)*36000/_xlfn.DAYS(L1951, $C$2)</f>
        <v>9.2364348877677855</v>
      </c>
      <c r="O1951" s="149">
        <f t="shared" ca="1" si="72"/>
        <v>1.000173611111111</v>
      </c>
    </row>
    <row r="1952" spans="12:15" x14ac:dyDescent="0.25">
      <c r="L1952" s="147">
        <f ca="1"/>
        <v>47191</v>
      </c>
      <c r="M1952" s="92">
        <f t="shared" ca="1" si="71"/>
        <v>6.25</v>
      </c>
      <c r="N1952" s="143">
        <f ca="1">(PRODUCT($O$5:$O1952)-1)*36000/_xlfn.DAYS(L1952, $C$2)</f>
        <v>9.2365045348571169</v>
      </c>
      <c r="O1952" s="149">
        <f t="shared" ca="1" si="72"/>
        <v>1.000173611111111</v>
      </c>
    </row>
    <row r="1953" spans="12:15" x14ac:dyDescent="0.25">
      <c r="L1953" s="147">
        <f ca="1"/>
        <v>47192</v>
      </c>
      <c r="M1953" s="92">
        <f t="shared" ca="1" si="71"/>
        <v>6.25</v>
      </c>
      <c r="N1953" s="143">
        <f ca="1">(PRODUCT($O$5:$O1953)-1)*36000/_xlfn.DAYS(L1953, $C$2)</f>
        <v>9.2365749453162795</v>
      </c>
      <c r="O1953" s="149">
        <f t="shared" ca="1" si="72"/>
        <v>1.000173611111111</v>
      </c>
    </row>
    <row r="1954" spans="12:15" x14ac:dyDescent="0.25">
      <c r="L1954" s="147">
        <f ca="1"/>
        <v>47193</v>
      </c>
      <c r="M1954" s="92">
        <f t="shared" ca="1" si="71"/>
        <v>6.25</v>
      </c>
      <c r="N1954" s="143">
        <f ca="1">(PRODUCT($O$5:$O1954)-1)*36000/_xlfn.DAYS(L1954, $C$2)</f>
        <v>9.2366461181157256</v>
      </c>
      <c r="O1954" s="149">
        <f t="shared" ca="1" si="72"/>
        <v>1.000173611111111</v>
      </c>
    </row>
    <row r="1955" spans="12:15" x14ac:dyDescent="0.25">
      <c r="L1955" s="147">
        <f ca="1"/>
        <v>47194</v>
      </c>
      <c r="M1955" s="92">
        <f t="shared" ca="1" si="71"/>
        <v>6.25</v>
      </c>
      <c r="N1955" s="143">
        <f ca="1">(PRODUCT($O$5:$O1955)-1)*36000/_xlfn.DAYS(L1955, $C$2)</f>
        <v>9.2367180522280368</v>
      </c>
      <c r="O1955" s="149">
        <f t="shared" ca="1" si="72"/>
        <v>1.000173611111111</v>
      </c>
    </row>
    <row r="1956" spans="12:15" x14ac:dyDescent="0.25">
      <c r="L1956" s="147">
        <f ca="1"/>
        <v>47195</v>
      </c>
      <c r="M1956" s="92">
        <f t="shared" ca="1" si="71"/>
        <v>6.25</v>
      </c>
      <c r="N1956" s="143">
        <f ca="1">(PRODUCT($O$5:$O1956)-1)*36000/_xlfn.DAYS(L1956, $C$2)</f>
        <v>9.2367907466279249</v>
      </c>
      <c r="O1956" s="149">
        <f t="shared" ca="1" si="72"/>
        <v>1.000173611111111</v>
      </c>
    </row>
    <row r="1957" spans="12:15" x14ac:dyDescent="0.25">
      <c r="L1957" s="147">
        <f ca="1"/>
        <v>47196</v>
      </c>
      <c r="M1957" s="92">
        <f t="shared" ca="1" si="71"/>
        <v>6.25</v>
      </c>
      <c r="N1957" s="143">
        <f ca="1">(PRODUCT($O$5:$O1957)-1)*36000/_xlfn.DAYS(L1957, $C$2)</f>
        <v>9.2368642002922314</v>
      </c>
      <c r="O1957" s="149">
        <f t="shared" ca="1" si="72"/>
        <v>1.000173611111111</v>
      </c>
    </row>
    <row r="1958" spans="12:15" x14ac:dyDescent="0.25">
      <c r="L1958" s="147">
        <f ca="1"/>
        <v>47197</v>
      </c>
      <c r="M1958" s="92">
        <f t="shared" ca="1" si="71"/>
        <v>6.25</v>
      </c>
      <c r="N1958" s="143">
        <f ca="1">(PRODUCT($O$5:$O1958)-1)*36000/_xlfn.DAYS(L1958, $C$2)</f>
        <v>9.2369384121999136</v>
      </c>
      <c r="O1958" s="149">
        <f t="shared" ca="1" si="72"/>
        <v>1.000173611111111</v>
      </c>
    </row>
    <row r="1959" spans="12:15" x14ac:dyDescent="0.25">
      <c r="L1959" s="147">
        <f ca="1"/>
        <v>47198</v>
      </c>
      <c r="M1959" s="92">
        <f t="shared" ca="1" si="71"/>
        <v>6.25</v>
      </c>
      <c r="N1959" s="143">
        <f ca="1">(PRODUCT($O$5:$O1959)-1)*36000/_xlfn.DAYS(L1959, $C$2)</f>
        <v>9.2370133813320479</v>
      </c>
      <c r="O1959" s="149">
        <f t="shared" ca="1" si="72"/>
        <v>1.000173611111111</v>
      </c>
    </row>
    <row r="1960" spans="12:15" x14ac:dyDescent="0.25">
      <c r="L1960" s="147">
        <f ca="1"/>
        <v>47199</v>
      </c>
      <c r="M1960" s="92">
        <f t="shared" ca="1" si="71"/>
        <v>6.25</v>
      </c>
      <c r="N1960" s="143">
        <f ca="1">(PRODUCT($O$5:$O1960)-1)*36000/_xlfn.DAYS(L1960, $C$2)</f>
        <v>9.2370891066718155</v>
      </c>
      <c r="O1960" s="149">
        <f t="shared" ca="1" si="72"/>
        <v>1.000173611111111</v>
      </c>
    </row>
    <row r="1961" spans="12:15" x14ac:dyDescent="0.25">
      <c r="L1961" s="147">
        <f ca="1"/>
        <v>47200</v>
      </c>
      <c r="M1961" s="92">
        <f t="shared" ca="1" si="71"/>
        <v>6.25</v>
      </c>
      <c r="N1961" s="143">
        <f ca="1">(PRODUCT($O$5:$O1961)-1)*36000/_xlfn.DAYS(L1961, $C$2)</f>
        <v>9.2371655872044975</v>
      </c>
      <c r="O1961" s="149">
        <f t="shared" ca="1" si="72"/>
        <v>1.000173611111111</v>
      </c>
    </row>
    <row r="1962" spans="12:15" x14ac:dyDescent="0.25">
      <c r="L1962" s="147">
        <f ca="1"/>
        <v>47201</v>
      </c>
      <c r="M1962" s="92">
        <f t="shared" ca="1" si="71"/>
        <v>6.25</v>
      </c>
      <c r="N1962" s="143">
        <f ca="1">(PRODUCT($O$5:$O1962)-1)*36000/_xlfn.DAYS(L1962, $C$2)</f>
        <v>9.2372428219174854</v>
      </c>
      <c r="O1962" s="149">
        <f t="shared" ca="1" si="72"/>
        <v>1.000173611111111</v>
      </c>
    </row>
    <row r="1963" spans="12:15" x14ac:dyDescent="0.25">
      <c r="L1963" s="147">
        <f ca="1"/>
        <v>47202</v>
      </c>
      <c r="M1963" s="92">
        <f t="shared" ca="1" si="71"/>
        <v>6.25</v>
      </c>
      <c r="N1963" s="143">
        <f ca="1">(PRODUCT($O$5:$O1963)-1)*36000/_xlfn.DAYS(L1963, $C$2)</f>
        <v>9.2373208098002468</v>
      </c>
      <c r="O1963" s="149">
        <f t="shared" ca="1" si="72"/>
        <v>1.000173611111111</v>
      </c>
    </row>
    <row r="1964" spans="12:15" x14ac:dyDescent="0.25">
      <c r="L1964" s="147">
        <f ca="1"/>
        <v>47203</v>
      </c>
      <c r="M1964" s="92">
        <f t="shared" ca="1" si="71"/>
        <v>6.25</v>
      </c>
      <c r="N1964" s="143">
        <f ca="1">(PRODUCT($O$5:$O1964)-1)*36000/_xlfn.DAYS(L1964, $C$2)</f>
        <v>9.2373995498443513</v>
      </c>
      <c r="O1964" s="149">
        <f t="shared" ca="1" si="72"/>
        <v>1.000173611111111</v>
      </c>
    </row>
    <row r="1965" spans="12:15" x14ac:dyDescent="0.25">
      <c r="L1965" s="147">
        <f ca="1"/>
        <v>47204</v>
      </c>
      <c r="M1965" s="92">
        <f t="shared" ca="1" si="71"/>
        <v>6.25</v>
      </c>
      <c r="N1965" s="143">
        <f ca="1">(PRODUCT($O$5:$O1965)-1)*36000/_xlfn.DAYS(L1965, $C$2)</f>
        <v>9.2374790410434446</v>
      </c>
      <c r="O1965" s="149">
        <f t="shared" ca="1" si="72"/>
        <v>1.000173611111111</v>
      </c>
    </row>
    <row r="1966" spans="12:15" x14ac:dyDescent="0.25">
      <c r="L1966" s="147">
        <f ca="1"/>
        <v>47205</v>
      </c>
      <c r="M1966" s="92">
        <f t="shared" ca="1" si="71"/>
        <v>6.25</v>
      </c>
      <c r="N1966" s="143">
        <f ca="1">(PRODUCT($O$5:$O1966)-1)*36000/_xlfn.DAYS(L1966, $C$2)</f>
        <v>9.237559282393244</v>
      </c>
      <c r="O1966" s="149">
        <f t="shared" ca="1" si="72"/>
        <v>1.000173611111111</v>
      </c>
    </row>
    <row r="1967" spans="12:15" x14ac:dyDescent="0.25">
      <c r="L1967" s="147">
        <f ca="1"/>
        <v>47206</v>
      </c>
      <c r="M1967" s="92">
        <f t="shared" ca="1" si="71"/>
        <v>6.25</v>
      </c>
      <c r="N1967" s="143">
        <f ca="1">(PRODUCT($O$5:$O1967)-1)*36000/_xlfn.DAYS(L1967, $C$2)</f>
        <v>9.2376402728915448</v>
      </c>
      <c r="O1967" s="149">
        <f t="shared" ca="1" si="72"/>
        <v>1.000173611111111</v>
      </c>
    </row>
    <row r="1968" spans="12:15" x14ac:dyDescent="0.25">
      <c r="L1968" s="147">
        <f ca="1"/>
        <v>47207</v>
      </c>
      <c r="M1968" s="92">
        <f t="shared" ca="1" si="71"/>
        <v>6.25</v>
      </c>
      <c r="N1968" s="143">
        <f ca="1">(PRODUCT($O$5:$O1968)-1)*36000/_xlfn.DAYS(L1968, $C$2)</f>
        <v>9.2377220115382102</v>
      </c>
      <c r="O1968" s="149">
        <f t="shared" ca="1" si="72"/>
        <v>1.000173611111111</v>
      </c>
    </row>
    <row r="1969" spans="12:15" x14ac:dyDescent="0.25">
      <c r="L1969" s="147">
        <f ca="1"/>
        <v>47208</v>
      </c>
      <c r="M1969" s="92">
        <f t="shared" ca="1" si="71"/>
        <v>6.25</v>
      </c>
      <c r="N1969" s="143">
        <f ca="1">(PRODUCT($O$5:$O1969)-1)*36000/_xlfn.DAYS(L1969, $C$2)</f>
        <v>9.2378044973351567</v>
      </c>
      <c r="O1969" s="149">
        <f t="shared" ca="1" si="72"/>
        <v>1.000173611111111</v>
      </c>
    </row>
    <row r="1970" spans="12:15" x14ac:dyDescent="0.25">
      <c r="L1970" s="147">
        <f ca="1"/>
        <v>47209</v>
      </c>
      <c r="M1970" s="92">
        <f t="shared" ca="1" si="71"/>
        <v>6.25</v>
      </c>
      <c r="N1970" s="143">
        <f ca="1">(PRODUCT($O$5:$O1970)-1)*36000/_xlfn.DAYS(L1970, $C$2)</f>
        <v>9.2378877292863653</v>
      </c>
      <c r="O1970" s="149">
        <f t="shared" ca="1" si="72"/>
        <v>1.000173611111111</v>
      </c>
    </row>
    <row r="1971" spans="12:15" x14ac:dyDescent="0.25">
      <c r="L1971" s="147">
        <f ca="1"/>
        <v>47210</v>
      </c>
      <c r="M1971" s="92">
        <f t="shared" ca="1" si="71"/>
        <v>6.25</v>
      </c>
      <c r="N1971" s="143">
        <f ca="1">(PRODUCT($O$5:$O1971)-1)*36000/_xlfn.DAYS(L1971, $C$2)</f>
        <v>9.2379717063978593</v>
      </c>
      <c r="O1971" s="149">
        <f t="shared" ca="1" si="72"/>
        <v>1.000173611111111</v>
      </c>
    </row>
    <row r="1972" spans="12:15" x14ac:dyDescent="0.25">
      <c r="L1972" s="147">
        <f ca="1"/>
        <v>47211</v>
      </c>
      <c r="M1972" s="92">
        <f t="shared" ca="1" si="71"/>
        <v>6.25</v>
      </c>
      <c r="N1972" s="143">
        <f ca="1">(PRODUCT($O$5:$O1972)-1)*36000/_xlfn.DAYS(L1972, $C$2)</f>
        <v>9.238056427677714</v>
      </c>
      <c r="O1972" s="149">
        <f t="shared" ca="1" si="72"/>
        <v>1.000173611111111</v>
      </c>
    </row>
    <row r="1973" spans="12:15" x14ac:dyDescent="0.25">
      <c r="L1973" s="147">
        <f ca="1"/>
        <v>47212</v>
      </c>
      <c r="M1973" s="92">
        <f t="shared" ca="1" si="71"/>
        <v>6.25</v>
      </c>
      <c r="N1973" s="143">
        <f ca="1">(PRODUCT($O$5:$O1973)-1)*36000/_xlfn.DAYS(L1973, $C$2)</f>
        <v>9.2381418921360385</v>
      </c>
      <c r="O1973" s="149">
        <f t="shared" ca="1" si="72"/>
        <v>1.000173611111111</v>
      </c>
    </row>
    <row r="1974" spans="12:15" x14ac:dyDescent="0.25">
      <c r="L1974" s="147">
        <f ca="1"/>
        <v>47213</v>
      </c>
      <c r="M1974" s="92">
        <f t="shared" ca="1" si="71"/>
        <v>6.25</v>
      </c>
      <c r="N1974" s="143">
        <f ca="1">(PRODUCT($O$5:$O1974)-1)*36000/_xlfn.DAYS(L1974, $C$2)</f>
        <v>9.2382280987849814</v>
      </c>
      <c r="O1974" s="149">
        <f t="shared" ca="1" si="72"/>
        <v>1.000173611111111</v>
      </c>
    </row>
    <row r="1975" spans="12:15" x14ac:dyDescent="0.25">
      <c r="L1975" s="147">
        <f ca="1"/>
        <v>47214</v>
      </c>
      <c r="M1975" s="92">
        <f t="shared" ca="1" si="71"/>
        <v>6.25</v>
      </c>
      <c r="N1975" s="143">
        <f ca="1">(PRODUCT($O$5:$O1975)-1)*36000/_xlfn.DAYS(L1975, $C$2)</f>
        <v>9.2383150466387196</v>
      </c>
      <c r="O1975" s="149">
        <f t="shared" ca="1" si="72"/>
        <v>1.000173611111111</v>
      </c>
    </row>
    <row r="1976" spans="12:15" x14ac:dyDescent="0.25">
      <c r="L1976" s="147">
        <f ca="1"/>
        <v>47215</v>
      </c>
      <c r="M1976" s="92">
        <f t="shared" ca="1" si="71"/>
        <v>6.25</v>
      </c>
      <c r="N1976" s="143">
        <f ca="1">(PRODUCT($O$5:$O1976)-1)*36000/_xlfn.DAYS(L1976, $C$2)</f>
        <v>9.2384027347134552</v>
      </c>
      <c r="O1976" s="149">
        <f t="shared" ca="1" si="72"/>
        <v>1.000173611111111</v>
      </c>
    </row>
    <row r="1977" spans="12:15" x14ac:dyDescent="0.25">
      <c r="L1977" s="147">
        <f ca="1"/>
        <v>47216</v>
      </c>
      <c r="M1977" s="92">
        <f t="shared" ca="1" si="71"/>
        <v>6.25</v>
      </c>
      <c r="N1977" s="143">
        <f ca="1">(PRODUCT($O$5:$O1977)-1)*36000/_xlfn.DAYS(L1977, $C$2)</f>
        <v>9.2384911620274099</v>
      </c>
      <c r="O1977" s="149">
        <f t="shared" ca="1" si="72"/>
        <v>1.000173611111111</v>
      </c>
    </row>
    <row r="1978" spans="12:15" x14ac:dyDescent="0.25">
      <c r="L1978" s="147">
        <f ca="1"/>
        <v>47217</v>
      </c>
      <c r="M1978" s="92">
        <f t="shared" ca="1" si="71"/>
        <v>6.25</v>
      </c>
      <c r="N1978" s="143">
        <f ca="1">(PRODUCT($O$5:$O1978)-1)*36000/_xlfn.DAYS(L1978, $C$2)</f>
        <v>9.2385803276008183</v>
      </c>
      <c r="O1978" s="149">
        <f t="shared" ca="1" si="72"/>
        <v>1.000173611111111</v>
      </c>
    </row>
    <row r="1979" spans="12:15" x14ac:dyDescent="0.25">
      <c r="L1979" s="147">
        <f ca="1"/>
        <v>47218</v>
      </c>
      <c r="M1979" s="92">
        <f t="shared" ca="1" si="71"/>
        <v>6.25</v>
      </c>
      <c r="N1979" s="143">
        <f ca="1">(PRODUCT($O$5:$O1979)-1)*36000/_xlfn.DAYS(L1979, $C$2)</f>
        <v>9.2386702304559218</v>
      </c>
      <c r="O1979" s="149">
        <f t="shared" ca="1" si="72"/>
        <v>1.000173611111111</v>
      </c>
    </row>
    <row r="1980" spans="12:15" x14ac:dyDescent="0.25">
      <c r="L1980" s="147">
        <f ca="1"/>
        <v>47219</v>
      </c>
      <c r="M1980" s="92">
        <f t="shared" ca="1" si="71"/>
        <v>6.25</v>
      </c>
      <c r="N1980" s="143">
        <f ca="1">(PRODUCT($O$5:$O1980)-1)*36000/_xlfn.DAYS(L1980, $C$2)</f>
        <v>9.2387608696169732</v>
      </c>
      <c r="O1980" s="149">
        <f t="shared" ca="1" si="72"/>
        <v>1.000173611111111</v>
      </c>
    </row>
    <row r="1981" spans="12:15" x14ac:dyDescent="0.25">
      <c r="L1981" s="147">
        <f ca="1"/>
        <v>47220</v>
      </c>
      <c r="M1981" s="92">
        <f t="shared" ca="1" si="71"/>
        <v>6.25</v>
      </c>
      <c r="N1981" s="143">
        <f ca="1">(PRODUCT($O$5:$O1981)-1)*36000/_xlfn.DAYS(L1981, $C$2)</f>
        <v>9.2388522441102214</v>
      </c>
      <c r="O1981" s="149">
        <f t="shared" ca="1" si="72"/>
        <v>1.000173611111111</v>
      </c>
    </row>
    <row r="1982" spans="12:15" x14ac:dyDescent="0.25">
      <c r="L1982" s="147">
        <f ca="1"/>
        <v>47221</v>
      </c>
      <c r="M1982" s="92">
        <f t="shared" ca="1" si="71"/>
        <v>6.25</v>
      </c>
      <c r="N1982" s="143">
        <f ca="1">(PRODUCT($O$5:$O1982)-1)*36000/_xlfn.DAYS(L1982, $C$2)</f>
        <v>9.2389443529639035</v>
      </c>
      <c r="O1982" s="149">
        <f t="shared" ca="1" si="72"/>
        <v>1.000173611111111</v>
      </c>
    </row>
    <row r="1983" spans="12:15" x14ac:dyDescent="0.25">
      <c r="L1983" s="147">
        <f ca="1"/>
        <v>47222</v>
      </c>
      <c r="M1983" s="92">
        <f t="shared" ca="1" si="71"/>
        <v>6.25</v>
      </c>
      <c r="N1983" s="143">
        <f ca="1">(PRODUCT($O$5:$O1983)-1)*36000/_xlfn.DAYS(L1983, $C$2)</f>
        <v>9.2390371952082564</v>
      </c>
      <c r="O1983" s="149">
        <f t="shared" ca="1" si="72"/>
        <v>1.000173611111111</v>
      </c>
    </row>
    <row r="1984" spans="12:15" x14ac:dyDescent="0.25">
      <c r="L1984" s="147">
        <f ca="1"/>
        <v>47223</v>
      </c>
      <c r="M1984" s="92">
        <f t="shared" ca="1" si="71"/>
        <v>6.25</v>
      </c>
      <c r="N1984" s="143">
        <f ca="1">(PRODUCT($O$5:$O1984)-1)*36000/_xlfn.DAYS(L1984, $C$2)</f>
        <v>9.2391307698754908</v>
      </c>
      <c r="O1984" s="149">
        <f t="shared" ca="1" si="72"/>
        <v>1.000173611111111</v>
      </c>
    </row>
    <row r="1985" spans="12:15" x14ac:dyDescent="0.25">
      <c r="L1985" s="147">
        <f ca="1"/>
        <v>47224</v>
      </c>
      <c r="M1985" s="92">
        <f t="shared" ca="1" si="71"/>
        <v>6.25</v>
      </c>
      <c r="N1985" s="143">
        <f ca="1">(PRODUCT($O$5:$O1985)-1)*36000/_xlfn.DAYS(L1985, $C$2)</f>
        <v>9.2392250759998031</v>
      </c>
      <c r="O1985" s="149">
        <f t="shared" ca="1" si="72"/>
        <v>1.000173611111111</v>
      </c>
    </row>
    <row r="1986" spans="12:15" x14ac:dyDescent="0.25">
      <c r="L1986" s="147">
        <f ca="1"/>
        <v>47225</v>
      </c>
      <c r="M1986" s="92">
        <f t="shared" ca="1" si="71"/>
        <v>6.25</v>
      </c>
      <c r="N1986" s="143">
        <f ca="1">(PRODUCT($O$5:$O1986)-1)*36000/_xlfn.DAYS(L1986, $C$2)</f>
        <v>9.2393201126173619</v>
      </c>
      <c r="O1986" s="149">
        <f t="shared" ca="1" si="72"/>
        <v>1.000173611111111</v>
      </c>
    </row>
    <row r="1987" spans="12:15" x14ac:dyDescent="0.25">
      <c r="L1987" s="147">
        <f ca="1"/>
        <v>47226</v>
      </c>
      <c r="M1987" s="92">
        <f t="shared" ca="1" si="71"/>
        <v>6.25</v>
      </c>
      <c r="N1987" s="143">
        <f ca="1">(PRODUCT($O$5:$O1987)-1)*36000/_xlfn.DAYS(L1987, $C$2)</f>
        <v>9.2394158787663052</v>
      </c>
      <c r="O1987" s="149">
        <f t="shared" ca="1" si="72"/>
        <v>1.000173611111111</v>
      </c>
    </row>
    <row r="1988" spans="12:15" x14ac:dyDescent="0.25">
      <c r="L1988" s="147">
        <f ca="1"/>
        <v>47227</v>
      </c>
      <c r="M1988" s="92">
        <f t="shared" ca="1" si="71"/>
        <v>6.25</v>
      </c>
      <c r="N1988" s="143">
        <f ca="1">(PRODUCT($O$5:$O1988)-1)*36000/_xlfn.DAYS(L1988, $C$2)</f>
        <v>9.2395123734867308</v>
      </c>
      <c r="O1988" s="149">
        <f t="shared" ca="1" si="72"/>
        <v>1.000173611111111</v>
      </c>
    </row>
    <row r="1989" spans="12:15" x14ac:dyDescent="0.25">
      <c r="L1989" s="147">
        <f ca="1"/>
        <v>47228</v>
      </c>
      <c r="M1989" s="92">
        <f t="shared" ref="M1989:M2052" ca="1" si="73">IFERROR(INDEX($E$27:$H$47, MATCH(L1989, $F$27:$F$47, 0), 4), IF(ISNUMBER(M1988), M1988, $C$5))</f>
        <v>6.25</v>
      </c>
      <c r="N1989" s="143">
        <f ca="1">(PRODUCT($O$5:$O1989)-1)*36000/_xlfn.DAYS(L1989, $C$2)</f>
        <v>9.2396095958207027</v>
      </c>
      <c r="O1989" s="149">
        <f t="shared" ca="1" si="72"/>
        <v>1.000173611111111</v>
      </c>
    </row>
    <row r="1990" spans="12:15" x14ac:dyDescent="0.25">
      <c r="L1990" s="147">
        <f ca="1"/>
        <v>47229</v>
      </c>
      <c r="M1990" s="92">
        <f t="shared" ca="1" si="73"/>
        <v>6.25</v>
      </c>
      <c r="N1990" s="143">
        <f ca="1">(PRODUCT($O$5:$O1990)-1)*36000/_xlfn.DAYS(L1990, $C$2)</f>
        <v>9.2397075448122337</v>
      </c>
      <c r="O1990" s="149">
        <f t="shared" ref="O1990:O2053" ca="1" si="74">1+M1990*IFERROR(_xlfn.DAYS(L1990, L1989), _xlfn.DAYS(L1990, $C$2))/36000</f>
        <v>1.000173611111111</v>
      </c>
    </row>
    <row r="1991" spans="12:15" x14ac:dyDescent="0.25">
      <c r="L1991" s="147">
        <f ca="1"/>
        <v>47230</v>
      </c>
      <c r="M1991" s="92">
        <f t="shared" ca="1" si="73"/>
        <v>6.25</v>
      </c>
      <c r="N1991" s="143">
        <f ca="1">(PRODUCT($O$5:$O1991)-1)*36000/_xlfn.DAYS(L1991, $C$2)</f>
        <v>9.2398062195072868</v>
      </c>
      <c r="O1991" s="149">
        <f t="shared" ca="1" si="74"/>
        <v>1.000173611111111</v>
      </c>
    </row>
    <row r="1992" spans="12:15" x14ac:dyDescent="0.25">
      <c r="L1992" s="147">
        <f ca="1"/>
        <v>47231</v>
      </c>
      <c r="M1992" s="92">
        <f t="shared" ca="1" si="73"/>
        <v>6.25</v>
      </c>
      <c r="N1992" s="143">
        <f ca="1">(PRODUCT($O$5:$O1992)-1)*36000/_xlfn.DAYS(L1992, $C$2)</f>
        <v>9.239905618953772</v>
      </c>
      <c r="O1992" s="149">
        <f t="shared" ca="1" si="74"/>
        <v>1.000173611111111</v>
      </c>
    </row>
    <row r="1993" spans="12:15" x14ac:dyDescent="0.25">
      <c r="L1993" s="147">
        <f ca="1"/>
        <v>47232</v>
      </c>
      <c r="M1993" s="92">
        <f t="shared" ca="1" si="73"/>
        <v>6.25</v>
      </c>
      <c r="N1993" s="143">
        <f ca="1">(PRODUCT($O$5:$O1993)-1)*36000/_xlfn.DAYS(L1993, $C$2)</f>
        <v>9.2400057422015376</v>
      </c>
      <c r="O1993" s="149">
        <f t="shared" ca="1" si="74"/>
        <v>1.000173611111111</v>
      </c>
    </row>
    <row r="1994" spans="12:15" x14ac:dyDescent="0.25">
      <c r="L1994" s="147">
        <f ca="1"/>
        <v>47233</v>
      </c>
      <c r="M1994" s="92">
        <f t="shared" ca="1" si="73"/>
        <v>6.25</v>
      </c>
      <c r="N1994" s="143">
        <f ca="1">(PRODUCT($O$5:$O1994)-1)*36000/_xlfn.DAYS(L1994, $C$2)</f>
        <v>9.2401065883023676</v>
      </c>
      <c r="O1994" s="149">
        <f t="shared" ca="1" si="74"/>
        <v>1.000173611111111</v>
      </c>
    </row>
    <row r="1995" spans="12:15" x14ac:dyDescent="0.25">
      <c r="L1995" s="147">
        <f ca="1"/>
        <v>47234</v>
      </c>
      <c r="M1995" s="92">
        <f t="shared" ca="1" si="73"/>
        <v>6.25</v>
      </c>
      <c r="N1995" s="143">
        <f ca="1">(PRODUCT($O$5:$O1995)-1)*36000/_xlfn.DAYS(L1995, $C$2)</f>
        <v>9.2402081563099703</v>
      </c>
      <c r="O1995" s="149">
        <f t="shared" ca="1" si="74"/>
        <v>1.000173611111111</v>
      </c>
    </row>
    <row r="1996" spans="12:15" x14ac:dyDescent="0.25">
      <c r="L1996" s="147">
        <f ca="1"/>
        <v>47235</v>
      </c>
      <c r="M1996" s="92">
        <f t="shared" ca="1" si="73"/>
        <v>6.25</v>
      </c>
      <c r="N1996" s="143">
        <f ca="1">(PRODUCT($O$5:$O1996)-1)*36000/_xlfn.DAYS(L1996, $C$2)</f>
        <v>9.2403104452799845</v>
      </c>
      <c r="O1996" s="149">
        <f t="shared" ca="1" si="74"/>
        <v>1.000173611111111</v>
      </c>
    </row>
    <row r="1997" spans="12:15" x14ac:dyDescent="0.25">
      <c r="L1997" s="147">
        <f ca="1"/>
        <v>47236</v>
      </c>
      <c r="M1997" s="92">
        <f t="shared" ca="1" si="73"/>
        <v>6.25</v>
      </c>
      <c r="N1997" s="143">
        <f ca="1">(PRODUCT($O$5:$O1997)-1)*36000/_xlfn.DAYS(L1997, $C$2)</f>
        <v>9.2404134542699712</v>
      </c>
      <c r="O1997" s="149">
        <f t="shared" ca="1" si="74"/>
        <v>1.000173611111111</v>
      </c>
    </row>
    <row r="1998" spans="12:15" x14ac:dyDescent="0.25">
      <c r="L1998" s="147">
        <f ca="1"/>
        <v>47237</v>
      </c>
      <c r="M1998" s="92">
        <f t="shared" ca="1" si="73"/>
        <v>6.25</v>
      </c>
      <c r="N1998" s="143">
        <f ca="1">(PRODUCT($O$5:$O1998)-1)*36000/_xlfn.DAYS(L1998, $C$2)</f>
        <v>9.240517182339401</v>
      </c>
      <c r="O1998" s="149">
        <f t="shared" ca="1" si="74"/>
        <v>1.000173611111111</v>
      </c>
    </row>
    <row r="1999" spans="12:15" x14ac:dyDescent="0.25">
      <c r="L1999" s="147">
        <f ca="1"/>
        <v>47238</v>
      </c>
      <c r="M1999" s="92">
        <f t="shared" ca="1" si="73"/>
        <v>6.25</v>
      </c>
      <c r="N1999" s="143">
        <f ca="1">(PRODUCT($O$5:$O1999)-1)*36000/_xlfn.DAYS(L1999, $C$2)</f>
        <v>9.2406216285496559</v>
      </c>
      <c r="O1999" s="149">
        <f t="shared" ca="1" si="74"/>
        <v>1.000173611111111</v>
      </c>
    </row>
    <row r="2000" spans="12:15" x14ac:dyDescent="0.25">
      <c r="L2000" s="147">
        <f ca="1"/>
        <v>47239</v>
      </c>
      <c r="M2000" s="92">
        <f t="shared" ca="1" si="73"/>
        <v>6.25</v>
      </c>
      <c r="N2000" s="143">
        <f ca="1">(PRODUCT($O$5:$O2000)-1)*36000/_xlfn.DAYS(L2000, $C$2)</f>
        <v>9.2407267919640272</v>
      </c>
      <c r="O2000" s="149">
        <f t="shared" ca="1" si="74"/>
        <v>1.000173611111111</v>
      </c>
    </row>
    <row r="2001" spans="12:15" x14ac:dyDescent="0.25">
      <c r="L2001" s="147">
        <f ca="1"/>
        <v>47240</v>
      </c>
      <c r="M2001" s="92">
        <f t="shared" ca="1" si="73"/>
        <v>6.25</v>
      </c>
      <c r="N2001" s="143">
        <f ca="1">(PRODUCT($O$5:$O2001)-1)*36000/_xlfn.DAYS(L2001, $C$2)</f>
        <v>9.2408326716477056</v>
      </c>
      <c r="O2001" s="149">
        <f t="shared" ca="1" si="74"/>
        <v>1.000173611111111</v>
      </c>
    </row>
    <row r="2002" spans="12:15" x14ac:dyDescent="0.25">
      <c r="L2002" s="147">
        <f ca="1"/>
        <v>47241</v>
      </c>
      <c r="M2002" s="92">
        <f t="shared" ca="1" si="73"/>
        <v>6.25</v>
      </c>
      <c r="N2002" s="143">
        <f ca="1">(PRODUCT($O$5:$O2002)-1)*36000/_xlfn.DAYS(L2002, $C$2)</f>
        <v>9.240939266667775</v>
      </c>
      <c r="O2002" s="149">
        <f t="shared" ca="1" si="74"/>
        <v>1.000173611111111</v>
      </c>
    </row>
    <row r="2003" spans="12:15" x14ac:dyDescent="0.25">
      <c r="L2003" s="147">
        <f ca="1"/>
        <v>47242</v>
      </c>
      <c r="M2003" s="92">
        <f t="shared" ca="1" si="73"/>
        <v>6.25</v>
      </c>
      <c r="N2003" s="143">
        <f ca="1">(PRODUCT($O$5:$O2003)-1)*36000/_xlfn.DAYS(L2003, $C$2)</f>
        <v>9.241046576093213</v>
      </c>
      <c r="O2003" s="149">
        <f t="shared" ca="1" si="74"/>
        <v>1.000173611111111</v>
      </c>
    </row>
    <row r="2004" spans="12:15" x14ac:dyDescent="0.25">
      <c r="L2004" s="147">
        <f ca="1"/>
        <v>47243</v>
      </c>
      <c r="M2004" s="92">
        <f t="shared" ca="1" si="73"/>
        <v>6.25</v>
      </c>
      <c r="N2004" s="143">
        <f ca="1">(PRODUCT($O$5:$O2004)-1)*36000/_xlfn.DAYS(L2004, $C$2)</f>
        <v>9.2411545989948856</v>
      </c>
      <c r="O2004" s="149">
        <f t="shared" ca="1" si="74"/>
        <v>1.000173611111111</v>
      </c>
    </row>
    <row r="2005" spans="12:15" x14ac:dyDescent="0.25">
      <c r="L2005" s="147">
        <f ca="1"/>
        <v>47244</v>
      </c>
      <c r="M2005" s="92">
        <f t="shared" ca="1" si="73"/>
        <v>6.25</v>
      </c>
      <c r="N2005" s="143">
        <f ca="1">(PRODUCT($O$5:$O2005)-1)*36000/_xlfn.DAYS(L2005, $C$2)</f>
        <v>9.2412633344455433</v>
      </c>
      <c r="O2005" s="149">
        <f t="shared" ca="1" si="74"/>
        <v>1.000173611111111</v>
      </c>
    </row>
    <row r="2006" spans="12:15" x14ac:dyDescent="0.25">
      <c r="L2006" s="147">
        <f ca="1"/>
        <v>47245</v>
      </c>
      <c r="M2006" s="92">
        <f t="shared" ca="1" si="73"/>
        <v>6.25</v>
      </c>
      <c r="N2006" s="143">
        <f ca="1">(PRODUCT($O$5:$O2006)-1)*36000/_xlfn.DAYS(L2006, $C$2)</f>
        <v>9.2413727815198055</v>
      </c>
      <c r="O2006" s="149">
        <f t="shared" ca="1" si="74"/>
        <v>1.000173611111111</v>
      </c>
    </row>
    <row r="2007" spans="12:15" x14ac:dyDescent="0.25">
      <c r="L2007" s="147">
        <f ca="1"/>
        <v>47246</v>
      </c>
      <c r="M2007" s="92">
        <f t="shared" ca="1" si="73"/>
        <v>6.25</v>
      </c>
      <c r="N2007" s="143">
        <f ca="1">(PRODUCT($O$5:$O2007)-1)*36000/_xlfn.DAYS(L2007, $C$2)</f>
        <v>9.2414829392941709</v>
      </c>
      <c r="O2007" s="149">
        <f t="shared" ca="1" si="74"/>
        <v>1.000173611111111</v>
      </c>
    </row>
    <row r="2008" spans="12:15" x14ac:dyDescent="0.25">
      <c r="L2008" s="147">
        <f ca="1"/>
        <v>47247</v>
      </c>
      <c r="M2008" s="92">
        <f t="shared" ca="1" si="73"/>
        <v>6.25</v>
      </c>
      <c r="N2008" s="143">
        <f ca="1">(PRODUCT($O$5:$O2008)-1)*36000/_xlfn.DAYS(L2008, $C$2)</f>
        <v>9.2415938068470016</v>
      </c>
      <c r="O2008" s="149">
        <f t="shared" ca="1" si="74"/>
        <v>1.000173611111111</v>
      </c>
    </row>
    <row r="2009" spans="12:15" x14ac:dyDescent="0.25">
      <c r="L2009" s="147">
        <f ca="1"/>
        <v>47248</v>
      </c>
      <c r="M2009" s="92">
        <f t="shared" ca="1" si="73"/>
        <v>6.25</v>
      </c>
      <c r="N2009" s="143">
        <f ca="1">(PRODUCT($O$5:$O2009)-1)*36000/_xlfn.DAYS(L2009, $C$2)</f>
        <v>9.2417053832585321</v>
      </c>
      <c r="O2009" s="149">
        <f t="shared" ca="1" si="74"/>
        <v>1.000173611111111</v>
      </c>
    </row>
    <row r="2010" spans="12:15" x14ac:dyDescent="0.25">
      <c r="L2010" s="147">
        <f ca="1"/>
        <v>47249</v>
      </c>
      <c r="M2010" s="92">
        <f t="shared" ca="1" si="73"/>
        <v>6.25</v>
      </c>
      <c r="N2010" s="143">
        <f ca="1">(PRODUCT($O$5:$O2010)-1)*36000/_xlfn.DAYS(L2010, $C$2)</f>
        <v>9.2418176676108423</v>
      </c>
      <c r="O2010" s="149">
        <f t="shared" ca="1" si="74"/>
        <v>1.000173611111111</v>
      </c>
    </row>
    <row r="2011" spans="12:15" x14ac:dyDescent="0.25">
      <c r="L2011" s="147">
        <f ca="1"/>
        <v>47250</v>
      </c>
      <c r="M2011" s="92">
        <f t="shared" ca="1" si="73"/>
        <v>6.25</v>
      </c>
      <c r="N2011" s="143">
        <f ca="1">(PRODUCT($O$5:$O2011)-1)*36000/_xlfn.DAYS(L2011, $C$2)</f>
        <v>9.2419306589878758</v>
      </c>
      <c r="O2011" s="149">
        <f t="shared" ca="1" si="74"/>
        <v>1.000173611111111</v>
      </c>
    </row>
    <row r="2012" spans="12:15" x14ac:dyDescent="0.25">
      <c r="L2012" s="147">
        <f ca="1"/>
        <v>47251</v>
      </c>
      <c r="M2012" s="92">
        <f t="shared" ca="1" si="73"/>
        <v>6.25</v>
      </c>
      <c r="N2012" s="143">
        <f ca="1">(PRODUCT($O$5:$O2012)-1)*36000/_xlfn.DAYS(L2012, $C$2)</f>
        <v>9.2420443564754251</v>
      </c>
      <c r="O2012" s="149">
        <f t="shared" ca="1" si="74"/>
        <v>1.000173611111111</v>
      </c>
    </row>
    <row r="2013" spans="12:15" x14ac:dyDescent="0.25">
      <c r="L2013" s="147">
        <f ca="1"/>
        <v>47252</v>
      </c>
      <c r="M2013" s="92">
        <f t="shared" ca="1" si="73"/>
        <v>6.25</v>
      </c>
      <c r="N2013" s="143">
        <f ca="1">(PRODUCT($O$5:$O2013)-1)*36000/_xlfn.DAYS(L2013, $C$2)</f>
        <v>9.2421587591611232</v>
      </c>
      <c r="O2013" s="149">
        <f t="shared" ca="1" si="74"/>
        <v>1.000173611111111</v>
      </c>
    </row>
    <row r="2014" spans="12:15" x14ac:dyDescent="0.25">
      <c r="L2014" s="147">
        <f ca="1"/>
        <v>47253</v>
      </c>
      <c r="M2014" s="92">
        <f t="shared" ca="1" si="73"/>
        <v>6.25</v>
      </c>
      <c r="N2014" s="143">
        <f ca="1">(PRODUCT($O$5:$O2014)-1)*36000/_xlfn.DAYS(L2014, $C$2)</f>
        <v>9.2422738661344486</v>
      </c>
      <c r="O2014" s="149">
        <f t="shared" ca="1" si="74"/>
        <v>1.000173611111111</v>
      </c>
    </row>
    <row r="2015" spans="12:15" x14ac:dyDescent="0.25">
      <c r="L2015" s="147">
        <f ca="1"/>
        <v>47254</v>
      </c>
      <c r="M2015" s="92">
        <f t="shared" ca="1" si="73"/>
        <v>6.25</v>
      </c>
      <c r="N2015" s="143">
        <f ca="1">(PRODUCT($O$5:$O2015)-1)*36000/_xlfn.DAYS(L2015, $C$2)</f>
        <v>9.2423896764867077</v>
      </c>
      <c r="O2015" s="149">
        <f t="shared" ca="1" si="74"/>
        <v>1.000173611111111</v>
      </c>
    </row>
    <row r="2016" spans="12:15" x14ac:dyDescent="0.25">
      <c r="L2016" s="147">
        <f ca="1"/>
        <v>47255</v>
      </c>
      <c r="M2016" s="92">
        <f t="shared" ca="1" si="73"/>
        <v>6.25</v>
      </c>
      <c r="N2016" s="143">
        <f ca="1">(PRODUCT($O$5:$O2016)-1)*36000/_xlfn.DAYS(L2016, $C$2)</f>
        <v>9.2425061893110509</v>
      </c>
      <c r="O2016" s="149">
        <f t="shared" ca="1" si="74"/>
        <v>1.000173611111111</v>
      </c>
    </row>
    <row r="2017" spans="12:15" x14ac:dyDescent="0.25">
      <c r="L2017" s="147">
        <f ca="1"/>
        <v>47256</v>
      </c>
      <c r="M2017" s="92">
        <f t="shared" ca="1" si="73"/>
        <v>6.25</v>
      </c>
      <c r="N2017" s="143">
        <f ca="1">(PRODUCT($O$5:$O2017)-1)*36000/_xlfn.DAYS(L2017, $C$2)</f>
        <v>9.2426234037024386</v>
      </c>
      <c r="O2017" s="149">
        <f t="shared" ca="1" si="74"/>
        <v>1.000173611111111</v>
      </c>
    </row>
    <row r="2018" spans="12:15" x14ac:dyDescent="0.25">
      <c r="L2018" s="147">
        <f ca="1"/>
        <v>47257</v>
      </c>
      <c r="M2018" s="92">
        <f t="shared" ca="1" si="73"/>
        <v>6.25</v>
      </c>
      <c r="N2018" s="143">
        <f ca="1">(PRODUCT($O$5:$O2018)-1)*36000/_xlfn.DAYS(L2018, $C$2)</f>
        <v>9.2427413187576715</v>
      </c>
      <c r="O2018" s="149">
        <f t="shared" ca="1" si="74"/>
        <v>1.000173611111111</v>
      </c>
    </row>
    <row r="2019" spans="12:15" x14ac:dyDescent="0.25">
      <c r="L2019" s="147">
        <f ca="1"/>
        <v>47258</v>
      </c>
      <c r="M2019" s="92">
        <f t="shared" ca="1" si="73"/>
        <v>6.25</v>
      </c>
      <c r="N2019" s="143">
        <f ca="1">(PRODUCT($O$5:$O2019)-1)*36000/_xlfn.DAYS(L2019, $C$2)</f>
        <v>9.2428599335753496</v>
      </c>
      <c r="O2019" s="149">
        <f t="shared" ca="1" si="74"/>
        <v>1.000173611111111</v>
      </c>
    </row>
    <row r="2020" spans="12:15" x14ac:dyDescent="0.25">
      <c r="L2020" s="147">
        <f ca="1"/>
        <v>47259</v>
      </c>
      <c r="M2020" s="92">
        <f t="shared" ca="1" si="73"/>
        <v>6.25</v>
      </c>
      <c r="N2020" s="143">
        <f ca="1">(PRODUCT($O$5:$O2020)-1)*36000/_xlfn.DAYS(L2020, $C$2)</f>
        <v>9.2429792472558994</v>
      </c>
      <c r="O2020" s="149">
        <f t="shared" ca="1" si="74"/>
        <v>1.000173611111111</v>
      </c>
    </row>
    <row r="2021" spans="12:15" x14ac:dyDescent="0.25">
      <c r="L2021" s="147">
        <f ca="1"/>
        <v>47260</v>
      </c>
      <c r="M2021" s="92">
        <f t="shared" ca="1" si="73"/>
        <v>6.25</v>
      </c>
      <c r="N2021" s="143">
        <f ca="1">(PRODUCT($O$5:$O2021)-1)*36000/_xlfn.DAYS(L2021, $C$2)</f>
        <v>9.2430992589015517</v>
      </c>
      <c r="O2021" s="149">
        <f t="shared" ca="1" si="74"/>
        <v>1.000173611111111</v>
      </c>
    </row>
    <row r="2022" spans="12:15" x14ac:dyDescent="0.25">
      <c r="L2022" s="147">
        <f ca="1"/>
        <v>47261</v>
      </c>
      <c r="M2022" s="92">
        <f t="shared" ca="1" si="73"/>
        <v>6.25</v>
      </c>
      <c r="N2022" s="143">
        <f ca="1">(PRODUCT($O$5:$O2022)-1)*36000/_xlfn.DAYS(L2022, $C$2)</f>
        <v>9.2432199676163371</v>
      </c>
      <c r="O2022" s="149">
        <f t="shared" ca="1" si="74"/>
        <v>1.000173611111111</v>
      </c>
    </row>
    <row r="2023" spans="12:15" x14ac:dyDescent="0.25">
      <c r="L2023" s="147">
        <f ca="1"/>
        <v>47262</v>
      </c>
      <c r="M2023" s="92">
        <f t="shared" ca="1" si="73"/>
        <v>6.25</v>
      </c>
      <c r="N2023" s="143">
        <f ca="1">(PRODUCT($O$5:$O2023)-1)*36000/_xlfn.DAYS(L2023, $C$2)</f>
        <v>9.2433413725060962</v>
      </c>
      <c r="O2023" s="149">
        <f t="shared" ca="1" si="74"/>
        <v>1.000173611111111</v>
      </c>
    </row>
    <row r="2024" spans="12:15" x14ac:dyDescent="0.25">
      <c r="L2024" s="147">
        <f ca="1"/>
        <v>47263</v>
      </c>
      <c r="M2024" s="92">
        <f t="shared" ca="1" si="73"/>
        <v>6.25</v>
      </c>
      <c r="N2024" s="143">
        <f ca="1">(PRODUCT($O$5:$O2024)-1)*36000/_xlfn.DAYS(L2024, $C$2)</f>
        <v>9.2434634726784566</v>
      </c>
      <c r="O2024" s="149">
        <f t="shared" ca="1" si="74"/>
        <v>1.000173611111111</v>
      </c>
    </row>
    <row r="2025" spans="12:15" x14ac:dyDescent="0.25">
      <c r="L2025" s="147">
        <f ca="1"/>
        <v>47264</v>
      </c>
      <c r="M2025" s="92">
        <f t="shared" ca="1" si="73"/>
        <v>6.25</v>
      </c>
      <c r="N2025" s="143">
        <f ca="1">(PRODUCT($O$5:$O2025)-1)*36000/_xlfn.DAYS(L2025, $C$2)</f>
        <v>9.2435862672428364</v>
      </c>
      <c r="O2025" s="149">
        <f t="shared" ca="1" si="74"/>
        <v>1.000173611111111</v>
      </c>
    </row>
    <row r="2026" spans="12:15" x14ac:dyDescent="0.25">
      <c r="L2026" s="147">
        <f ca="1"/>
        <v>47265</v>
      </c>
      <c r="M2026" s="92">
        <f t="shared" ca="1" si="73"/>
        <v>6.25</v>
      </c>
      <c r="N2026" s="143">
        <f ca="1">(PRODUCT($O$5:$O2026)-1)*36000/_xlfn.DAYS(L2026, $C$2)</f>
        <v>9.2437097553104461</v>
      </c>
      <c r="O2026" s="149">
        <f t="shared" ca="1" si="74"/>
        <v>1.000173611111111</v>
      </c>
    </row>
    <row r="2027" spans="12:15" x14ac:dyDescent="0.25">
      <c r="L2027" s="147">
        <f ca="1"/>
        <v>47266</v>
      </c>
      <c r="M2027" s="92">
        <f t="shared" ca="1" si="73"/>
        <v>6.25</v>
      </c>
      <c r="N2027" s="143">
        <f ca="1">(PRODUCT($O$5:$O2027)-1)*36000/_xlfn.DAYS(L2027, $C$2)</f>
        <v>9.2438339359942692</v>
      </c>
      <c r="O2027" s="149">
        <f t="shared" ca="1" si="74"/>
        <v>1.000173611111111</v>
      </c>
    </row>
    <row r="2028" spans="12:15" x14ac:dyDescent="0.25">
      <c r="L2028" s="147">
        <f ca="1"/>
        <v>47267</v>
      </c>
      <c r="M2028" s="92">
        <f t="shared" ca="1" si="73"/>
        <v>6.25</v>
      </c>
      <c r="N2028" s="143">
        <f ca="1">(PRODUCT($O$5:$O2028)-1)*36000/_xlfn.DAYS(L2028, $C$2)</f>
        <v>9.2439588084090722</v>
      </c>
      <c r="O2028" s="149">
        <f t="shared" ca="1" si="74"/>
        <v>1.000173611111111</v>
      </c>
    </row>
    <row r="2029" spans="12:15" x14ac:dyDescent="0.25">
      <c r="L2029" s="147">
        <f ca="1"/>
        <v>47268</v>
      </c>
      <c r="M2029" s="92">
        <f t="shared" ca="1" si="73"/>
        <v>6.25</v>
      </c>
      <c r="N2029" s="143">
        <f ca="1">(PRODUCT($O$5:$O2029)-1)*36000/_xlfn.DAYS(L2029, $C$2)</f>
        <v>9.2440843716713967</v>
      </c>
      <c r="O2029" s="149">
        <f t="shared" ca="1" si="74"/>
        <v>1.000173611111111</v>
      </c>
    </row>
    <row r="2030" spans="12:15" x14ac:dyDescent="0.25">
      <c r="L2030" s="147">
        <f ca="1"/>
        <v>47269</v>
      </c>
      <c r="M2030" s="92">
        <f t="shared" ca="1" si="73"/>
        <v>6.25</v>
      </c>
      <c r="N2030" s="143">
        <f ca="1">(PRODUCT($O$5:$O2030)-1)*36000/_xlfn.DAYS(L2030, $C$2)</f>
        <v>9.2442106248995515</v>
      </c>
      <c r="O2030" s="149">
        <f t="shared" ca="1" si="74"/>
        <v>1.000173611111111</v>
      </c>
    </row>
    <row r="2031" spans="12:15" x14ac:dyDescent="0.25">
      <c r="L2031" s="147">
        <f ca="1"/>
        <v>47270</v>
      </c>
      <c r="M2031" s="92">
        <f t="shared" ca="1" si="73"/>
        <v>6.25</v>
      </c>
      <c r="N2031" s="143">
        <f ca="1">(PRODUCT($O$5:$O2031)-1)*36000/_xlfn.DAYS(L2031, $C$2)</f>
        <v>9.2443375672136074</v>
      </c>
      <c r="O2031" s="149">
        <f t="shared" ca="1" si="74"/>
        <v>1.000173611111111</v>
      </c>
    </row>
    <row r="2032" spans="12:15" x14ac:dyDescent="0.25">
      <c r="L2032" s="147">
        <f ca="1"/>
        <v>47271</v>
      </c>
      <c r="M2032" s="92">
        <f t="shared" ca="1" si="73"/>
        <v>6.25</v>
      </c>
      <c r="N2032" s="143">
        <f ca="1">(PRODUCT($O$5:$O2032)-1)*36000/_xlfn.DAYS(L2032, $C$2)</f>
        <v>9.2444651977353942</v>
      </c>
      <c r="O2032" s="149">
        <f t="shared" ca="1" si="74"/>
        <v>1.000173611111111</v>
      </c>
    </row>
    <row r="2033" spans="12:15" x14ac:dyDescent="0.25">
      <c r="L2033" s="147">
        <f ca="1"/>
        <v>47272</v>
      </c>
      <c r="M2033" s="92">
        <f t="shared" ca="1" si="73"/>
        <v>6.25</v>
      </c>
      <c r="N2033" s="143">
        <f ca="1">(PRODUCT($O$5:$O2033)-1)*36000/_xlfn.DAYS(L2033, $C$2)</f>
        <v>9.2445935155885071</v>
      </c>
      <c r="O2033" s="149">
        <f t="shared" ca="1" si="74"/>
        <v>1.000173611111111</v>
      </c>
    </row>
    <row r="2034" spans="12:15" x14ac:dyDescent="0.25">
      <c r="L2034" s="147">
        <f ca="1"/>
        <v>47273</v>
      </c>
      <c r="M2034" s="92">
        <f t="shared" ca="1" si="73"/>
        <v>6.25</v>
      </c>
      <c r="N2034" s="143">
        <f ca="1">(PRODUCT($O$5:$O2034)-1)*36000/_xlfn.DAYS(L2034, $C$2)</f>
        <v>9.2447225198982803</v>
      </c>
      <c r="O2034" s="149">
        <f t="shared" ca="1" si="74"/>
        <v>1.000173611111111</v>
      </c>
    </row>
    <row r="2035" spans="12:15" x14ac:dyDescent="0.25">
      <c r="L2035" s="147">
        <f ca="1"/>
        <v>47274</v>
      </c>
      <c r="M2035" s="92">
        <f t="shared" ca="1" si="73"/>
        <v>6.25</v>
      </c>
      <c r="N2035" s="143">
        <f ca="1">(PRODUCT($O$5:$O2035)-1)*36000/_xlfn.DAYS(L2035, $C$2)</f>
        <v>9.2448522097918033</v>
      </c>
      <c r="O2035" s="149">
        <f t="shared" ca="1" si="74"/>
        <v>1.000173611111111</v>
      </c>
    </row>
    <row r="2036" spans="12:15" x14ac:dyDescent="0.25">
      <c r="L2036" s="147">
        <f ca="1"/>
        <v>47275</v>
      </c>
      <c r="M2036" s="92">
        <f t="shared" ca="1" si="73"/>
        <v>6.25</v>
      </c>
      <c r="N2036" s="143">
        <f ca="1">(PRODUCT($O$5:$O2036)-1)*36000/_xlfn.DAYS(L2036, $C$2)</f>
        <v>9.244982584397901</v>
      </c>
      <c r="O2036" s="149">
        <f t="shared" ca="1" si="74"/>
        <v>1.000173611111111</v>
      </c>
    </row>
    <row r="2037" spans="12:15" x14ac:dyDescent="0.25">
      <c r="L2037" s="147">
        <f ca="1"/>
        <v>47276</v>
      </c>
      <c r="M2037" s="92">
        <f t="shared" ca="1" si="73"/>
        <v>6.25</v>
      </c>
      <c r="N2037" s="143">
        <f ca="1">(PRODUCT($O$5:$O2037)-1)*36000/_xlfn.DAYS(L2037, $C$2)</f>
        <v>9.2451136428471461</v>
      </c>
      <c r="O2037" s="149">
        <f t="shared" ca="1" si="74"/>
        <v>1.000173611111111</v>
      </c>
    </row>
    <row r="2038" spans="12:15" x14ac:dyDescent="0.25">
      <c r="L2038" s="147">
        <f ca="1"/>
        <v>47277</v>
      </c>
      <c r="M2038" s="92">
        <f t="shared" ca="1" si="73"/>
        <v>6.25</v>
      </c>
      <c r="N2038" s="143">
        <f ca="1">(PRODUCT($O$5:$O2038)-1)*36000/_xlfn.DAYS(L2038, $C$2)</f>
        <v>9.2452453842718381</v>
      </c>
      <c r="O2038" s="149">
        <f t="shared" ca="1" si="74"/>
        <v>1.000173611111111</v>
      </c>
    </row>
    <row r="2039" spans="12:15" x14ac:dyDescent="0.25">
      <c r="L2039" s="147">
        <f ca="1"/>
        <v>47278</v>
      </c>
      <c r="M2039" s="92">
        <f t="shared" ca="1" si="73"/>
        <v>6.25</v>
      </c>
      <c r="N2039" s="143">
        <f ca="1">(PRODUCT($O$5:$O2039)-1)*36000/_xlfn.DAYS(L2039, $C$2)</f>
        <v>9.2453778078060136</v>
      </c>
      <c r="O2039" s="149">
        <f t="shared" ca="1" si="74"/>
        <v>1.000173611111111</v>
      </c>
    </row>
    <row r="2040" spans="12:15" x14ac:dyDescent="0.25">
      <c r="L2040" s="147">
        <f ca="1"/>
        <v>47279</v>
      </c>
      <c r="M2040" s="92">
        <f t="shared" ca="1" si="73"/>
        <v>6.25</v>
      </c>
      <c r="N2040" s="143">
        <f ca="1">(PRODUCT($O$5:$O2040)-1)*36000/_xlfn.DAYS(L2040, $C$2)</f>
        <v>9.2455109125854271</v>
      </c>
      <c r="O2040" s="149">
        <f t="shared" ca="1" si="74"/>
        <v>1.000173611111111</v>
      </c>
    </row>
    <row r="2041" spans="12:15" x14ac:dyDescent="0.25">
      <c r="L2041" s="147">
        <f ca="1"/>
        <v>47280</v>
      </c>
      <c r="M2041" s="92">
        <f t="shared" ca="1" si="73"/>
        <v>6.25</v>
      </c>
      <c r="N2041" s="143">
        <f ca="1">(PRODUCT($O$5:$O2041)-1)*36000/_xlfn.DAYS(L2041, $C$2)</f>
        <v>9.2456446977475562</v>
      </c>
      <c r="O2041" s="149">
        <f t="shared" ca="1" si="74"/>
        <v>1.000173611111111</v>
      </c>
    </row>
    <row r="2042" spans="12:15" x14ac:dyDescent="0.25">
      <c r="L2042" s="147">
        <f ca="1"/>
        <v>47281</v>
      </c>
      <c r="M2042" s="92">
        <f t="shared" ca="1" si="73"/>
        <v>6.25</v>
      </c>
      <c r="N2042" s="143">
        <f ca="1">(PRODUCT($O$5:$O2042)-1)*36000/_xlfn.DAYS(L2042, $C$2)</f>
        <v>9.2457791624316013</v>
      </c>
      <c r="O2042" s="149">
        <f t="shared" ca="1" si="74"/>
        <v>1.000173611111111</v>
      </c>
    </row>
    <row r="2043" spans="12:15" x14ac:dyDescent="0.25">
      <c r="L2043" s="147">
        <f ca="1"/>
        <v>47282</v>
      </c>
      <c r="M2043" s="92">
        <f t="shared" ca="1" si="73"/>
        <v>6.25</v>
      </c>
      <c r="N2043" s="143">
        <f ca="1">(PRODUCT($O$5:$O2043)-1)*36000/_xlfn.DAYS(L2043, $C$2)</f>
        <v>9.2459143057784754</v>
      </c>
      <c r="O2043" s="149">
        <f t="shared" ca="1" si="74"/>
        <v>1.000173611111111</v>
      </c>
    </row>
    <row r="2044" spans="12:15" x14ac:dyDescent="0.25">
      <c r="L2044" s="147">
        <f ca="1"/>
        <v>47283</v>
      </c>
      <c r="M2044" s="92">
        <f t="shared" ca="1" si="73"/>
        <v>6.25</v>
      </c>
      <c r="N2044" s="143">
        <f ca="1">(PRODUCT($O$5:$O2044)-1)*36000/_xlfn.DAYS(L2044, $C$2)</f>
        <v>9.2460501269307915</v>
      </c>
      <c r="O2044" s="149">
        <f t="shared" ca="1" si="74"/>
        <v>1.000173611111111</v>
      </c>
    </row>
    <row r="2045" spans="12:15" x14ac:dyDescent="0.25">
      <c r="L2045" s="147">
        <f ca="1"/>
        <v>47284</v>
      </c>
      <c r="M2045" s="92">
        <f t="shared" ca="1" si="73"/>
        <v>6.25</v>
      </c>
      <c r="N2045" s="143">
        <f ca="1">(PRODUCT($O$5:$O2045)-1)*36000/_xlfn.DAYS(L2045, $C$2)</f>
        <v>9.2461866250328768</v>
      </c>
      <c r="O2045" s="149">
        <f t="shared" ca="1" si="74"/>
        <v>1.000173611111111</v>
      </c>
    </row>
    <row r="2046" spans="12:15" x14ac:dyDescent="0.25">
      <c r="L2046" s="147">
        <f ca="1"/>
        <v>47285</v>
      </c>
      <c r="M2046" s="92">
        <f t="shared" ca="1" si="73"/>
        <v>6.25</v>
      </c>
      <c r="N2046" s="143">
        <f ca="1">(PRODUCT($O$5:$O2046)-1)*36000/_xlfn.DAYS(L2046, $C$2)</f>
        <v>9.246323799230753</v>
      </c>
      <c r="O2046" s="149">
        <f t="shared" ca="1" si="74"/>
        <v>1.000173611111111</v>
      </c>
    </row>
    <row r="2047" spans="12:15" x14ac:dyDescent="0.25">
      <c r="L2047" s="147">
        <f ca="1"/>
        <v>47286</v>
      </c>
      <c r="M2047" s="92">
        <f t="shared" ca="1" si="73"/>
        <v>6.25</v>
      </c>
      <c r="N2047" s="143">
        <f ca="1">(PRODUCT($O$5:$O2047)-1)*36000/_xlfn.DAYS(L2047, $C$2)</f>
        <v>9.2464616486721418</v>
      </c>
      <c r="O2047" s="149">
        <f t="shared" ca="1" si="74"/>
        <v>1.000173611111111</v>
      </c>
    </row>
    <row r="2048" spans="12:15" x14ac:dyDescent="0.25">
      <c r="L2048" s="147">
        <f ca="1"/>
        <v>47287</v>
      </c>
      <c r="M2048" s="92">
        <f t="shared" ca="1" si="73"/>
        <v>6.25</v>
      </c>
      <c r="N2048" s="143">
        <f ca="1">(PRODUCT($O$5:$O2048)-1)*36000/_xlfn.DAYS(L2048, $C$2)</f>
        <v>9.2466001725064526</v>
      </c>
      <c r="O2048" s="149">
        <f t="shared" ca="1" si="74"/>
        <v>1.000173611111111</v>
      </c>
    </row>
    <row r="2049" spans="12:15" x14ac:dyDescent="0.25">
      <c r="L2049" s="147">
        <f ca="1"/>
        <v>47288</v>
      </c>
      <c r="M2049" s="92">
        <f t="shared" ca="1" si="73"/>
        <v>6.25</v>
      </c>
      <c r="N2049" s="143">
        <f ca="1">(PRODUCT($O$5:$O2049)-1)*36000/_xlfn.DAYS(L2049, $C$2)</f>
        <v>9.2467393698847911</v>
      </c>
      <c r="O2049" s="149">
        <f t="shared" ca="1" si="74"/>
        <v>1.000173611111111</v>
      </c>
    </row>
    <row r="2050" spans="12:15" x14ac:dyDescent="0.25">
      <c r="L2050" s="147">
        <f ca="1"/>
        <v>47289</v>
      </c>
      <c r="M2050" s="92">
        <f t="shared" ca="1" si="73"/>
        <v>6.25</v>
      </c>
      <c r="N2050" s="143">
        <f ca="1">(PRODUCT($O$5:$O2050)-1)*36000/_xlfn.DAYS(L2050, $C$2)</f>
        <v>9.2468792399599415</v>
      </c>
      <c r="O2050" s="149">
        <f t="shared" ca="1" si="74"/>
        <v>1.000173611111111</v>
      </c>
    </row>
    <row r="2051" spans="12:15" x14ac:dyDescent="0.25">
      <c r="L2051" s="147">
        <f ca="1"/>
        <v>47290</v>
      </c>
      <c r="M2051" s="92">
        <f t="shared" ca="1" si="73"/>
        <v>6.25</v>
      </c>
      <c r="N2051" s="143">
        <f ca="1">(PRODUCT($O$5:$O2051)-1)*36000/_xlfn.DAYS(L2051, $C$2)</f>
        <v>9.2470197818863671</v>
      </c>
      <c r="O2051" s="149">
        <f t="shared" ca="1" si="74"/>
        <v>1.000173611111111</v>
      </c>
    </row>
    <row r="2052" spans="12:15" x14ac:dyDescent="0.25">
      <c r="L2052" s="147">
        <f ca="1"/>
        <v>47291</v>
      </c>
      <c r="M2052" s="92">
        <f t="shared" ca="1" si="73"/>
        <v>6.25</v>
      </c>
      <c r="N2052" s="143">
        <f ca="1">(PRODUCT($O$5:$O2052)-1)*36000/_xlfn.DAYS(L2052, $C$2)</f>
        <v>9.2471609948202111</v>
      </c>
      <c r="O2052" s="149">
        <f t="shared" ca="1" si="74"/>
        <v>1.000173611111111</v>
      </c>
    </row>
    <row r="2053" spans="12:15" x14ac:dyDescent="0.25">
      <c r="L2053" s="147">
        <f ca="1"/>
        <v>47292</v>
      </c>
      <c r="M2053" s="92">
        <f t="shared" ref="M2053:M2116" ca="1" si="75">IFERROR(INDEX($E$27:$H$47, MATCH(L2053, $F$27:$F$47, 0), 4), IF(ISNUMBER(M2052), M2052, $C$5))</f>
        <v>6.25</v>
      </c>
      <c r="N2053" s="143">
        <f ca="1">(PRODUCT($O$5:$O2053)-1)*36000/_xlfn.DAYS(L2053, $C$2)</f>
        <v>9.2473028779192816</v>
      </c>
      <c r="O2053" s="149">
        <f t="shared" ca="1" si="74"/>
        <v>1.000173611111111</v>
      </c>
    </row>
    <row r="2054" spans="12:15" x14ac:dyDescent="0.25">
      <c r="L2054" s="147">
        <f ca="1"/>
        <v>47293</v>
      </c>
      <c r="M2054" s="92">
        <f t="shared" ca="1" si="75"/>
        <v>6.25</v>
      </c>
      <c r="N2054" s="143">
        <f ca="1">(PRODUCT($O$5:$O2054)-1)*36000/_xlfn.DAYS(L2054, $C$2)</f>
        <v>9.2474454303430669</v>
      </c>
      <c r="O2054" s="149">
        <f t="shared" ref="O2054:O2117" ca="1" si="76">1+M2054*IFERROR(_xlfn.DAYS(L2054, L2053), _xlfn.DAYS(L2054, $C$2))/36000</f>
        <v>1.000173611111111</v>
      </c>
    </row>
    <row r="2055" spans="12:15" x14ac:dyDescent="0.25">
      <c r="L2055" s="147">
        <f ca="1"/>
        <v>47294</v>
      </c>
      <c r="M2055" s="92">
        <f t="shared" ca="1" si="75"/>
        <v>6.25</v>
      </c>
      <c r="N2055" s="143">
        <f ca="1">(PRODUCT($O$5:$O2055)-1)*36000/_xlfn.DAYS(L2055, $C$2)</f>
        <v>9.2475886512527019</v>
      </c>
      <c r="O2055" s="149">
        <f t="shared" ca="1" si="76"/>
        <v>1.000173611111111</v>
      </c>
    </row>
    <row r="2056" spans="12:15" x14ac:dyDescent="0.25">
      <c r="L2056" s="147">
        <f ca="1"/>
        <v>47295</v>
      </c>
      <c r="M2056" s="92">
        <f t="shared" ca="1" si="75"/>
        <v>6.25</v>
      </c>
      <c r="N2056" s="143">
        <f ca="1">(PRODUCT($O$5:$O2056)-1)*36000/_xlfn.DAYS(L2056, $C$2)</f>
        <v>9.2477325398109897</v>
      </c>
      <c r="O2056" s="149">
        <f t="shared" ca="1" si="76"/>
        <v>1.000173611111111</v>
      </c>
    </row>
    <row r="2057" spans="12:15" x14ac:dyDescent="0.25">
      <c r="L2057" s="147">
        <f ca="1"/>
        <v>47296</v>
      </c>
      <c r="M2057" s="92">
        <f t="shared" ca="1" si="75"/>
        <v>6.25</v>
      </c>
      <c r="N2057" s="143">
        <f ca="1">(PRODUCT($O$5:$O2057)-1)*36000/_xlfn.DAYS(L2057, $C$2)</f>
        <v>9.2478770951823943</v>
      </c>
      <c r="O2057" s="149">
        <f t="shared" ca="1" si="76"/>
        <v>1.000173611111111</v>
      </c>
    </row>
    <row r="2058" spans="12:15" x14ac:dyDescent="0.25">
      <c r="L2058" s="147">
        <f ca="1"/>
        <v>47297</v>
      </c>
      <c r="M2058" s="92">
        <f t="shared" ca="1" si="75"/>
        <v>6.25</v>
      </c>
      <c r="N2058" s="143">
        <f ca="1">(PRODUCT($O$5:$O2058)-1)*36000/_xlfn.DAYS(L2058, $C$2)</f>
        <v>9.2480223165330226</v>
      </c>
      <c r="O2058" s="149">
        <f t="shared" ca="1" si="76"/>
        <v>1.000173611111111</v>
      </c>
    </row>
    <row r="2059" spans="12:15" x14ac:dyDescent="0.25">
      <c r="L2059" s="147">
        <f ca="1"/>
        <v>47298</v>
      </c>
      <c r="M2059" s="92">
        <f t="shared" ca="1" si="75"/>
        <v>6.25</v>
      </c>
      <c r="N2059" s="143">
        <f ca="1">(PRODUCT($O$5:$O2059)-1)*36000/_xlfn.DAYS(L2059, $C$2)</f>
        <v>9.2481682030306303</v>
      </c>
      <c r="O2059" s="149">
        <f t="shared" ca="1" si="76"/>
        <v>1.000173611111111</v>
      </c>
    </row>
    <row r="2060" spans="12:15" x14ac:dyDescent="0.25">
      <c r="L2060" s="147">
        <f ca="1"/>
        <v>47299</v>
      </c>
      <c r="M2060" s="92">
        <f t="shared" ca="1" si="75"/>
        <v>6.25</v>
      </c>
      <c r="N2060" s="143">
        <f ca="1">(PRODUCT($O$5:$O2060)-1)*36000/_xlfn.DAYS(L2060, $C$2)</f>
        <v>9.2483147538446211</v>
      </c>
      <c r="O2060" s="149">
        <f t="shared" ca="1" si="76"/>
        <v>1.000173611111111</v>
      </c>
    </row>
    <row r="2061" spans="12:15" x14ac:dyDescent="0.25">
      <c r="L2061" s="147">
        <f ca="1"/>
        <v>47300</v>
      </c>
      <c r="M2061" s="92">
        <f t="shared" ca="1" si="75"/>
        <v>6.25</v>
      </c>
      <c r="N2061" s="143">
        <f ca="1">(PRODUCT($O$5:$O2061)-1)*36000/_xlfn.DAYS(L2061, $C$2)</f>
        <v>9.2484619681460352</v>
      </c>
      <c r="O2061" s="149">
        <f t="shared" ca="1" si="76"/>
        <v>1.000173611111111</v>
      </c>
    </row>
    <row r="2062" spans="12:15" x14ac:dyDescent="0.25">
      <c r="L2062" s="147">
        <f ca="1"/>
        <v>47301</v>
      </c>
      <c r="M2062" s="92">
        <f t="shared" ca="1" si="75"/>
        <v>6.25</v>
      </c>
      <c r="N2062" s="143">
        <f ca="1">(PRODUCT($O$5:$O2062)-1)*36000/_xlfn.DAYS(L2062, $C$2)</f>
        <v>9.2486098451075502</v>
      </c>
      <c r="O2062" s="149">
        <f t="shared" ca="1" si="76"/>
        <v>1.000173611111111</v>
      </c>
    </row>
    <row r="2063" spans="12:15" x14ac:dyDescent="0.25">
      <c r="L2063" s="147">
        <f ca="1"/>
        <v>47302</v>
      </c>
      <c r="M2063" s="92">
        <f t="shared" ca="1" si="75"/>
        <v>6.25</v>
      </c>
      <c r="N2063" s="143">
        <f ca="1">(PRODUCT($O$5:$O2063)-1)*36000/_xlfn.DAYS(L2063, $C$2)</f>
        <v>9.2487583839034677</v>
      </c>
      <c r="O2063" s="149">
        <f t="shared" ca="1" si="76"/>
        <v>1.000173611111111</v>
      </c>
    </row>
    <row r="2064" spans="12:15" x14ac:dyDescent="0.25">
      <c r="L2064" s="147">
        <f ca="1"/>
        <v>47303</v>
      </c>
      <c r="M2064" s="92">
        <f t="shared" ca="1" si="75"/>
        <v>6.25</v>
      </c>
      <c r="N2064" s="143">
        <f ca="1">(PRODUCT($O$5:$O2064)-1)*36000/_xlfn.DAYS(L2064, $C$2)</f>
        <v>9.2489075837097303</v>
      </c>
      <c r="O2064" s="149">
        <f t="shared" ca="1" si="76"/>
        <v>1.000173611111111</v>
      </c>
    </row>
    <row r="2065" spans="12:15" x14ac:dyDescent="0.25">
      <c r="L2065" s="147">
        <f ca="1"/>
        <v>47304</v>
      </c>
      <c r="M2065" s="92">
        <f t="shared" ca="1" si="75"/>
        <v>6.25</v>
      </c>
      <c r="N2065" s="143">
        <f ca="1">(PRODUCT($O$5:$O2065)-1)*36000/_xlfn.DAYS(L2065, $C$2)</f>
        <v>9.2490574437038866</v>
      </c>
      <c r="O2065" s="149">
        <f t="shared" ca="1" si="76"/>
        <v>1.000173611111111</v>
      </c>
    </row>
    <row r="2066" spans="12:15" x14ac:dyDescent="0.25">
      <c r="L2066" s="147">
        <f ca="1"/>
        <v>47305</v>
      </c>
      <c r="M2066" s="92">
        <f t="shared" ca="1" si="75"/>
        <v>6.25</v>
      </c>
      <c r="N2066" s="143">
        <f ca="1">(PRODUCT($O$5:$O2066)-1)*36000/_xlfn.DAYS(L2066, $C$2)</f>
        <v>9.2492079630651212</v>
      </c>
      <c r="O2066" s="149">
        <f t="shared" ca="1" si="76"/>
        <v>1.000173611111111</v>
      </c>
    </row>
    <row r="2067" spans="12:15" x14ac:dyDescent="0.25">
      <c r="L2067" s="147">
        <f ca="1"/>
        <v>47306</v>
      </c>
      <c r="M2067" s="92">
        <f t="shared" ca="1" si="75"/>
        <v>6.25</v>
      </c>
      <c r="N2067" s="143">
        <f ca="1">(PRODUCT($O$5:$O2067)-1)*36000/_xlfn.DAYS(L2067, $C$2)</f>
        <v>9.2493591409742297</v>
      </c>
      <c r="O2067" s="149">
        <f t="shared" ca="1" si="76"/>
        <v>1.000173611111111</v>
      </c>
    </row>
    <row r="2068" spans="12:15" x14ac:dyDescent="0.25">
      <c r="L2068" s="147">
        <f ca="1"/>
        <v>47307</v>
      </c>
      <c r="M2068" s="92">
        <f t="shared" ca="1" si="75"/>
        <v>6.25</v>
      </c>
      <c r="N2068" s="143">
        <f ca="1">(PRODUCT($O$5:$O2068)-1)*36000/_xlfn.DAYS(L2068, $C$2)</f>
        <v>9.2495109766136085</v>
      </c>
      <c r="O2068" s="149">
        <f t="shared" ca="1" si="76"/>
        <v>1.000173611111111</v>
      </c>
    </row>
    <row r="2069" spans="12:15" x14ac:dyDescent="0.25">
      <c r="L2069" s="147">
        <f ca="1"/>
        <v>47308</v>
      </c>
      <c r="M2069" s="92">
        <f t="shared" ca="1" si="75"/>
        <v>6.25</v>
      </c>
      <c r="N2069" s="143">
        <f ca="1">(PRODUCT($O$5:$O2069)-1)*36000/_xlfn.DAYS(L2069, $C$2)</f>
        <v>9.2496634691672828</v>
      </c>
      <c r="O2069" s="149">
        <f t="shared" ca="1" si="76"/>
        <v>1.000173611111111</v>
      </c>
    </row>
    <row r="2070" spans="12:15" x14ac:dyDescent="0.25">
      <c r="L2070" s="147">
        <f ca="1"/>
        <v>47309</v>
      </c>
      <c r="M2070" s="92">
        <f t="shared" ca="1" si="75"/>
        <v>6.25</v>
      </c>
      <c r="N2070" s="143">
        <f ca="1">(PRODUCT($O$5:$O2070)-1)*36000/_xlfn.DAYS(L2070, $C$2)</f>
        <v>9.2498166178208621</v>
      </c>
      <c r="O2070" s="149">
        <f t="shared" ca="1" si="76"/>
        <v>1.000173611111111</v>
      </c>
    </row>
    <row r="2071" spans="12:15" x14ac:dyDescent="0.25">
      <c r="L2071" s="147">
        <f ca="1"/>
        <v>47310</v>
      </c>
      <c r="M2071" s="92">
        <f t="shared" ca="1" si="75"/>
        <v>6.25</v>
      </c>
      <c r="N2071" s="143">
        <f ca="1">(PRODUCT($O$5:$O2071)-1)*36000/_xlfn.DAYS(L2071, $C$2)</f>
        <v>9.249970421761569</v>
      </c>
      <c r="O2071" s="149">
        <f t="shared" ca="1" si="76"/>
        <v>1.000173611111111</v>
      </c>
    </row>
    <row r="2072" spans="12:15" x14ac:dyDescent="0.25">
      <c r="L2072" s="147">
        <f ca="1"/>
        <v>47311</v>
      </c>
      <c r="M2072" s="92">
        <f t="shared" ca="1" si="75"/>
        <v>6.25</v>
      </c>
      <c r="N2072" s="143">
        <f ca="1">(PRODUCT($O$5:$O2072)-1)*36000/_xlfn.DAYS(L2072, $C$2)</f>
        <v>9.2501248801782143</v>
      </c>
      <c r="O2072" s="149">
        <f t="shared" ca="1" si="76"/>
        <v>1.000173611111111</v>
      </c>
    </row>
    <row r="2073" spans="12:15" x14ac:dyDescent="0.25">
      <c r="L2073" s="147">
        <f ca="1"/>
        <v>47312</v>
      </c>
      <c r="M2073" s="92">
        <f t="shared" ca="1" si="75"/>
        <v>6.25</v>
      </c>
      <c r="N2073" s="143">
        <f ca="1">(PRODUCT($O$5:$O2073)-1)*36000/_xlfn.DAYS(L2073, $C$2)</f>
        <v>9.2502799922612073</v>
      </c>
      <c r="O2073" s="149">
        <f t="shared" ca="1" si="76"/>
        <v>1.000173611111111</v>
      </c>
    </row>
    <row r="2074" spans="12:15" x14ac:dyDescent="0.25">
      <c r="L2074" s="147">
        <f ca="1"/>
        <v>47313</v>
      </c>
      <c r="M2074" s="92">
        <f t="shared" ca="1" si="75"/>
        <v>6.25</v>
      </c>
      <c r="N2074" s="143">
        <f ca="1">(PRODUCT($O$5:$O2074)-1)*36000/_xlfn.DAYS(L2074, $C$2)</f>
        <v>9.2504357572025437</v>
      </c>
      <c r="O2074" s="149">
        <f t="shared" ca="1" si="76"/>
        <v>1.000173611111111</v>
      </c>
    </row>
    <row r="2075" spans="12:15" x14ac:dyDescent="0.25">
      <c r="L2075" s="147">
        <f ca="1"/>
        <v>47314</v>
      </c>
      <c r="M2075" s="92">
        <f t="shared" ca="1" si="75"/>
        <v>6.25</v>
      </c>
      <c r="N2075" s="143">
        <f ca="1">(PRODUCT($O$5:$O2075)-1)*36000/_xlfn.DAYS(L2075, $C$2)</f>
        <v>9.2505921741958002</v>
      </c>
      <c r="O2075" s="149">
        <f t="shared" ca="1" si="76"/>
        <v>1.000173611111111</v>
      </c>
    </row>
    <row r="2076" spans="12:15" x14ac:dyDescent="0.25">
      <c r="L2076" s="147">
        <f ca="1"/>
        <v>47315</v>
      </c>
      <c r="M2076" s="92">
        <f t="shared" ca="1" si="75"/>
        <v>6.25</v>
      </c>
      <c r="N2076" s="143">
        <f ca="1">(PRODUCT($O$5:$O2076)-1)*36000/_xlfn.DAYS(L2076, $C$2)</f>
        <v>9.250749242436143</v>
      </c>
      <c r="O2076" s="149">
        <f t="shared" ca="1" si="76"/>
        <v>1.000173611111111</v>
      </c>
    </row>
    <row r="2077" spans="12:15" x14ac:dyDescent="0.25">
      <c r="L2077" s="147">
        <f ca="1"/>
        <v>47316</v>
      </c>
      <c r="M2077" s="92">
        <f t="shared" ca="1" si="75"/>
        <v>6.25</v>
      </c>
      <c r="N2077" s="143">
        <f ca="1">(PRODUCT($O$5:$O2077)-1)*36000/_xlfn.DAYS(L2077, $C$2)</f>
        <v>9.2509069611203056</v>
      </c>
      <c r="O2077" s="149">
        <f t="shared" ca="1" si="76"/>
        <v>1.000173611111111</v>
      </c>
    </row>
    <row r="2078" spans="12:15" x14ac:dyDescent="0.25">
      <c r="L2078" s="147">
        <f ca="1"/>
        <v>47317</v>
      </c>
      <c r="M2078" s="92">
        <f t="shared" ca="1" si="75"/>
        <v>6.25</v>
      </c>
      <c r="N2078" s="143">
        <f ca="1">(PRODUCT($O$5:$O2078)-1)*36000/_xlfn.DAYS(L2078, $C$2)</f>
        <v>9.2510653294466021</v>
      </c>
      <c r="O2078" s="149">
        <f t="shared" ca="1" si="76"/>
        <v>1.000173611111111</v>
      </c>
    </row>
    <row r="2079" spans="12:15" x14ac:dyDescent="0.25">
      <c r="L2079" s="147">
        <f ca="1"/>
        <v>47318</v>
      </c>
      <c r="M2079" s="92">
        <f t="shared" ca="1" si="75"/>
        <v>6.25</v>
      </c>
      <c r="N2079" s="143">
        <f ca="1">(PRODUCT($O$5:$O2079)-1)*36000/_xlfn.DAYS(L2079, $C$2)</f>
        <v>9.2512243466149116</v>
      </c>
      <c r="O2079" s="149">
        <f t="shared" ca="1" si="76"/>
        <v>1.000173611111111</v>
      </c>
    </row>
    <row r="2080" spans="12:15" x14ac:dyDescent="0.25">
      <c r="L2080" s="147">
        <f ca="1"/>
        <v>47319</v>
      </c>
      <c r="M2080" s="92">
        <f t="shared" ca="1" si="75"/>
        <v>6.25</v>
      </c>
      <c r="N2080" s="143">
        <f ca="1">(PRODUCT($O$5:$O2080)-1)*36000/_xlfn.DAYS(L2080, $C$2)</f>
        <v>9.2513840118266817</v>
      </c>
      <c r="O2080" s="149">
        <f t="shared" ca="1" si="76"/>
        <v>1.000173611111111</v>
      </c>
    </row>
    <row r="2081" spans="12:15" x14ac:dyDescent="0.25">
      <c r="L2081" s="147">
        <f ca="1"/>
        <v>47320</v>
      </c>
      <c r="M2081" s="92">
        <f t="shared" ca="1" si="75"/>
        <v>6.25</v>
      </c>
      <c r="N2081" s="143">
        <f ca="1">(PRODUCT($O$5:$O2081)-1)*36000/_xlfn.DAYS(L2081, $C$2)</f>
        <v>9.2515443242849233</v>
      </c>
      <c r="O2081" s="149">
        <f t="shared" ca="1" si="76"/>
        <v>1.000173611111111</v>
      </c>
    </row>
    <row r="2082" spans="12:15" x14ac:dyDescent="0.25">
      <c r="L2082" s="147">
        <f ca="1"/>
        <v>47321</v>
      </c>
      <c r="M2082" s="92">
        <f t="shared" ca="1" si="75"/>
        <v>6.25</v>
      </c>
      <c r="N2082" s="143">
        <f ca="1">(PRODUCT($O$5:$O2082)-1)*36000/_xlfn.DAYS(L2082, $C$2)</f>
        <v>9.2517052831941999</v>
      </c>
      <c r="O2082" s="149">
        <f t="shared" ca="1" si="76"/>
        <v>1.000173611111111</v>
      </c>
    </row>
    <row r="2083" spans="12:15" x14ac:dyDescent="0.25">
      <c r="L2083" s="147">
        <f ca="1"/>
        <v>47322</v>
      </c>
      <c r="M2083" s="92">
        <f t="shared" ca="1" si="75"/>
        <v>6.25</v>
      </c>
      <c r="N2083" s="143">
        <f ca="1">(PRODUCT($O$5:$O2083)-1)*36000/_xlfn.DAYS(L2083, $C$2)</f>
        <v>9.2518668877606363</v>
      </c>
      <c r="O2083" s="149">
        <f t="shared" ca="1" si="76"/>
        <v>1.000173611111111</v>
      </c>
    </row>
    <row r="2084" spans="12:15" x14ac:dyDescent="0.25">
      <c r="L2084" s="147">
        <f ca="1"/>
        <v>47323</v>
      </c>
      <c r="M2084" s="92">
        <f t="shared" ca="1" si="75"/>
        <v>6.25</v>
      </c>
      <c r="N2084" s="143">
        <f ca="1">(PRODUCT($O$5:$O2084)-1)*36000/_xlfn.DAYS(L2084, $C$2)</f>
        <v>9.252029137191899</v>
      </c>
      <c r="O2084" s="149">
        <f t="shared" ca="1" si="76"/>
        <v>1.000173611111111</v>
      </c>
    </row>
    <row r="2085" spans="12:15" x14ac:dyDescent="0.25">
      <c r="L2085" s="147">
        <f ca="1"/>
        <v>47324</v>
      </c>
      <c r="M2085" s="92">
        <f t="shared" ca="1" si="75"/>
        <v>6.25</v>
      </c>
      <c r="N2085" s="143">
        <f ca="1">(PRODUCT($O$5:$O2085)-1)*36000/_xlfn.DAYS(L2085, $C$2)</f>
        <v>9.2521920306972181</v>
      </c>
      <c r="O2085" s="149">
        <f t="shared" ca="1" si="76"/>
        <v>1.000173611111111</v>
      </c>
    </row>
    <row r="2086" spans="12:15" x14ac:dyDescent="0.25">
      <c r="L2086" s="147">
        <f ca="1"/>
        <v>47325</v>
      </c>
      <c r="M2086" s="92">
        <f t="shared" ca="1" si="75"/>
        <v>6.25</v>
      </c>
      <c r="N2086" s="143">
        <f ca="1">(PRODUCT($O$5:$O2086)-1)*36000/_xlfn.DAYS(L2086, $C$2)</f>
        <v>9.252355567487351</v>
      </c>
      <c r="O2086" s="149">
        <f t="shared" ca="1" si="76"/>
        <v>1.000173611111111</v>
      </c>
    </row>
    <row r="2087" spans="12:15" x14ac:dyDescent="0.25">
      <c r="L2087" s="147">
        <f ca="1"/>
        <v>47326</v>
      </c>
      <c r="M2087" s="92">
        <f t="shared" ca="1" si="75"/>
        <v>6.25</v>
      </c>
      <c r="N2087" s="143">
        <f ca="1">(PRODUCT($O$5:$O2087)-1)*36000/_xlfn.DAYS(L2087, $C$2)</f>
        <v>9.252519746774599</v>
      </c>
      <c r="O2087" s="149">
        <f t="shared" ca="1" si="76"/>
        <v>1.000173611111111</v>
      </c>
    </row>
    <row r="2088" spans="12:15" x14ac:dyDescent="0.25">
      <c r="L2088" s="147">
        <f ca="1"/>
        <v>47327</v>
      </c>
      <c r="M2088" s="92">
        <f t="shared" ca="1" si="75"/>
        <v>6.25</v>
      </c>
      <c r="N2088" s="143">
        <f ca="1">(PRODUCT($O$5:$O2088)-1)*36000/_xlfn.DAYS(L2088, $C$2)</f>
        <v>9.2526845677728016</v>
      </c>
      <c r="O2088" s="149">
        <f t="shared" ca="1" si="76"/>
        <v>1.000173611111111</v>
      </c>
    </row>
    <row r="2089" spans="12:15" x14ac:dyDescent="0.25">
      <c r="L2089" s="147">
        <f ca="1"/>
        <v>47328</v>
      </c>
      <c r="M2089" s="92">
        <f t="shared" ca="1" si="75"/>
        <v>6.25</v>
      </c>
      <c r="N2089" s="143">
        <f ca="1">(PRODUCT($O$5:$O2089)-1)*36000/_xlfn.DAYS(L2089, $C$2)</f>
        <v>9.2528500296973348</v>
      </c>
      <c r="O2089" s="149">
        <f t="shared" ca="1" si="76"/>
        <v>1.000173611111111</v>
      </c>
    </row>
    <row r="2090" spans="12:15" x14ac:dyDescent="0.25">
      <c r="L2090" s="147">
        <f ca="1"/>
        <v>47329</v>
      </c>
      <c r="M2090" s="92">
        <f t="shared" ca="1" si="75"/>
        <v>6.25</v>
      </c>
      <c r="N2090" s="143">
        <f ca="1">(PRODUCT($O$5:$O2090)-1)*36000/_xlfn.DAYS(L2090, $C$2)</f>
        <v>9.2530161317650901</v>
      </c>
      <c r="O2090" s="149">
        <f t="shared" ca="1" si="76"/>
        <v>1.000173611111111</v>
      </c>
    </row>
    <row r="2091" spans="12:15" x14ac:dyDescent="0.25">
      <c r="L2091" s="147">
        <f ca="1"/>
        <v>47330</v>
      </c>
      <c r="M2091" s="92">
        <f t="shared" ca="1" si="75"/>
        <v>6.25</v>
      </c>
      <c r="N2091" s="143">
        <f ca="1">(PRODUCT($O$5:$O2091)-1)*36000/_xlfn.DAYS(L2091, $C$2)</f>
        <v>9.2531828731944952</v>
      </c>
      <c r="O2091" s="149">
        <f t="shared" ca="1" si="76"/>
        <v>1.000173611111111</v>
      </c>
    </row>
    <row r="2092" spans="12:15" x14ac:dyDescent="0.25">
      <c r="L2092" s="147">
        <f ca="1"/>
        <v>47331</v>
      </c>
      <c r="M2092" s="92">
        <f t="shared" ca="1" si="75"/>
        <v>6.25</v>
      </c>
      <c r="N2092" s="143">
        <f ca="1">(PRODUCT($O$5:$O2092)-1)*36000/_xlfn.DAYS(L2092, $C$2)</f>
        <v>9.2533502532054985</v>
      </c>
      <c r="O2092" s="149">
        <f t="shared" ca="1" si="76"/>
        <v>1.000173611111111</v>
      </c>
    </row>
    <row r="2093" spans="12:15" x14ac:dyDescent="0.25">
      <c r="L2093" s="147">
        <f ca="1"/>
        <v>47332</v>
      </c>
      <c r="M2093" s="92">
        <f t="shared" ca="1" si="75"/>
        <v>6.25</v>
      </c>
      <c r="N2093" s="143">
        <f ca="1">(PRODUCT($O$5:$O2093)-1)*36000/_xlfn.DAYS(L2093, $C$2)</f>
        <v>9.253518271019562</v>
      </c>
      <c r="O2093" s="149">
        <f t="shared" ca="1" si="76"/>
        <v>1.000173611111111</v>
      </c>
    </row>
    <row r="2094" spans="12:15" x14ac:dyDescent="0.25">
      <c r="L2094" s="147">
        <f ca="1"/>
        <v>47333</v>
      </c>
      <c r="M2094" s="92">
        <f t="shared" ca="1" si="75"/>
        <v>6.25</v>
      </c>
      <c r="N2094" s="143">
        <f ca="1">(PRODUCT($O$5:$O2094)-1)*36000/_xlfn.DAYS(L2094, $C$2)</f>
        <v>9.253686925859661</v>
      </c>
      <c r="O2094" s="149">
        <f t="shared" ca="1" si="76"/>
        <v>1.000173611111111</v>
      </c>
    </row>
    <row r="2095" spans="12:15" x14ac:dyDescent="0.25">
      <c r="L2095" s="147">
        <f ca="1"/>
        <v>47334</v>
      </c>
      <c r="M2095" s="92">
        <f t="shared" ca="1" si="75"/>
        <v>6.25</v>
      </c>
      <c r="N2095" s="143">
        <f ca="1">(PRODUCT($O$5:$O2095)-1)*36000/_xlfn.DAYS(L2095, $C$2)</f>
        <v>9.253856216950286</v>
      </c>
      <c r="O2095" s="149">
        <f t="shared" ca="1" si="76"/>
        <v>1.000173611111111</v>
      </c>
    </row>
    <row r="2096" spans="12:15" x14ac:dyDescent="0.25">
      <c r="L2096" s="147">
        <f ca="1"/>
        <v>47335</v>
      </c>
      <c r="M2096" s="92">
        <f t="shared" ca="1" si="75"/>
        <v>6.25</v>
      </c>
      <c r="N2096" s="143">
        <f ca="1">(PRODUCT($O$5:$O2096)-1)*36000/_xlfn.DAYS(L2096, $C$2)</f>
        <v>9.2540261435174305</v>
      </c>
      <c r="O2096" s="149">
        <f t="shared" ca="1" si="76"/>
        <v>1.000173611111111</v>
      </c>
    </row>
    <row r="2097" spans="12:15" x14ac:dyDescent="0.25">
      <c r="L2097" s="147">
        <f ca="1"/>
        <v>47336</v>
      </c>
      <c r="M2097" s="92">
        <f t="shared" ca="1" si="75"/>
        <v>6.25</v>
      </c>
      <c r="N2097" s="143">
        <f ca="1">(PRODUCT($O$5:$O2097)-1)*36000/_xlfn.DAYS(L2097, $C$2)</f>
        <v>9.2541967047885958</v>
      </c>
      <c r="O2097" s="149">
        <f t="shared" ca="1" si="76"/>
        <v>1.000173611111111</v>
      </c>
    </row>
    <row r="2098" spans="12:15" x14ac:dyDescent="0.25">
      <c r="L2098" s="147">
        <f ca="1"/>
        <v>47337</v>
      </c>
      <c r="M2098" s="92">
        <f t="shared" ca="1" si="75"/>
        <v>6.25</v>
      </c>
      <c r="N2098" s="143">
        <f ca="1">(PRODUCT($O$5:$O2098)-1)*36000/_xlfn.DAYS(L2098, $C$2)</f>
        <v>9.2543678999927774</v>
      </c>
      <c r="O2098" s="149">
        <f t="shared" ca="1" si="76"/>
        <v>1.000173611111111</v>
      </c>
    </row>
    <row r="2099" spans="12:15" x14ac:dyDescent="0.25">
      <c r="L2099" s="147">
        <f ca="1"/>
        <v>47338</v>
      </c>
      <c r="M2099" s="92">
        <f t="shared" ca="1" si="75"/>
        <v>6.25</v>
      </c>
      <c r="N2099" s="143">
        <f ca="1">(PRODUCT($O$5:$O2099)-1)*36000/_xlfn.DAYS(L2099, $C$2)</f>
        <v>9.2545397283604682</v>
      </c>
      <c r="O2099" s="149">
        <f t="shared" ca="1" si="76"/>
        <v>1.000173611111111</v>
      </c>
    </row>
    <row r="2100" spans="12:15" x14ac:dyDescent="0.25">
      <c r="L2100" s="147">
        <f ca="1"/>
        <v>47339</v>
      </c>
      <c r="M2100" s="92">
        <f t="shared" ca="1" si="75"/>
        <v>6.25</v>
      </c>
      <c r="N2100" s="143">
        <f ca="1">(PRODUCT($O$5:$O2100)-1)*36000/_xlfn.DAYS(L2100, $C$2)</f>
        <v>9.254712189123655</v>
      </c>
      <c r="O2100" s="149">
        <f t="shared" ca="1" si="76"/>
        <v>1.000173611111111</v>
      </c>
    </row>
    <row r="2101" spans="12:15" x14ac:dyDescent="0.25">
      <c r="L2101" s="147">
        <f ca="1"/>
        <v>47340</v>
      </c>
      <c r="M2101" s="92">
        <f t="shared" ca="1" si="75"/>
        <v>6.25</v>
      </c>
      <c r="N2101" s="143">
        <f ca="1">(PRODUCT($O$5:$O2101)-1)*36000/_xlfn.DAYS(L2101, $C$2)</f>
        <v>9.2548852815158149</v>
      </c>
      <c r="O2101" s="149">
        <f t="shared" ca="1" si="76"/>
        <v>1.000173611111111</v>
      </c>
    </row>
    <row r="2102" spans="12:15" x14ac:dyDescent="0.25">
      <c r="L2102" s="147">
        <f ca="1"/>
        <v>47341</v>
      </c>
      <c r="M2102" s="92">
        <f t="shared" ca="1" si="75"/>
        <v>6.25</v>
      </c>
      <c r="N2102" s="143">
        <f ca="1">(PRODUCT($O$5:$O2102)-1)*36000/_xlfn.DAYS(L2102, $C$2)</f>
        <v>9.2550590047719083</v>
      </c>
      <c r="O2102" s="149">
        <f t="shared" ca="1" si="76"/>
        <v>1.000173611111111</v>
      </c>
    </row>
    <row r="2103" spans="12:15" x14ac:dyDescent="0.25">
      <c r="L2103" s="147">
        <f ca="1"/>
        <v>47342</v>
      </c>
      <c r="M2103" s="92">
        <f t="shared" ca="1" si="75"/>
        <v>6.25</v>
      </c>
      <c r="N2103" s="143">
        <f ca="1">(PRODUCT($O$5:$O2103)-1)*36000/_xlfn.DAYS(L2103, $C$2)</f>
        <v>9.2552333581283754</v>
      </c>
      <c r="O2103" s="149">
        <f t="shared" ca="1" si="76"/>
        <v>1.000173611111111</v>
      </c>
    </row>
    <row r="2104" spans="12:15" x14ac:dyDescent="0.25">
      <c r="L2104" s="147">
        <f ca="1"/>
        <v>47343</v>
      </c>
      <c r="M2104" s="92">
        <f t="shared" ca="1" si="75"/>
        <v>6.25</v>
      </c>
      <c r="N2104" s="143">
        <f ca="1">(PRODUCT($O$5:$O2104)-1)*36000/_xlfn.DAYS(L2104, $C$2)</f>
        <v>9.2554083408231413</v>
      </c>
      <c r="O2104" s="149">
        <f t="shared" ca="1" si="76"/>
        <v>1.000173611111111</v>
      </c>
    </row>
    <row r="2105" spans="12:15" x14ac:dyDescent="0.25">
      <c r="L2105" s="147">
        <f ca="1"/>
        <v>47344</v>
      </c>
      <c r="M2105" s="92">
        <f t="shared" ca="1" si="75"/>
        <v>6.25</v>
      </c>
      <c r="N2105" s="143">
        <f ca="1">(PRODUCT($O$5:$O2105)-1)*36000/_xlfn.DAYS(L2105, $C$2)</f>
        <v>9.2555839520955985</v>
      </c>
      <c r="O2105" s="149">
        <f t="shared" ca="1" si="76"/>
        <v>1.000173611111111</v>
      </c>
    </row>
    <row r="2106" spans="12:15" x14ac:dyDescent="0.25">
      <c r="L2106" s="147">
        <f ca="1"/>
        <v>47345</v>
      </c>
      <c r="M2106" s="92">
        <f t="shared" ca="1" si="75"/>
        <v>6.25</v>
      </c>
      <c r="N2106" s="143">
        <f ca="1">(PRODUCT($O$5:$O2106)-1)*36000/_xlfn.DAYS(L2106, $C$2)</f>
        <v>9.2557601911866119</v>
      </c>
      <c r="O2106" s="149">
        <f t="shared" ca="1" si="76"/>
        <v>1.000173611111111</v>
      </c>
    </row>
    <row r="2107" spans="12:15" x14ac:dyDescent="0.25">
      <c r="L2107" s="147">
        <f ca="1"/>
        <v>47346</v>
      </c>
      <c r="M2107" s="92">
        <f t="shared" ca="1" si="75"/>
        <v>6.25</v>
      </c>
      <c r="N2107" s="143">
        <f ca="1">(PRODUCT($O$5:$O2107)-1)*36000/_xlfn.DAYS(L2107, $C$2)</f>
        <v>9.2559370573385227</v>
      </c>
      <c r="O2107" s="149">
        <f t="shared" ca="1" si="76"/>
        <v>1.000173611111111</v>
      </c>
    </row>
    <row r="2108" spans="12:15" x14ac:dyDescent="0.25">
      <c r="L2108" s="147">
        <f ca="1"/>
        <v>47347</v>
      </c>
      <c r="M2108" s="92">
        <f t="shared" ca="1" si="75"/>
        <v>6.25</v>
      </c>
      <c r="N2108" s="143">
        <f ca="1">(PRODUCT($O$5:$O2108)-1)*36000/_xlfn.DAYS(L2108, $C$2)</f>
        <v>9.2561145497951287</v>
      </c>
      <c r="O2108" s="149">
        <f t="shared" ca="1" si="76"/>
        <v>1.000173611111111</v>
      </c>
    </row>
    <row r="2109" spans="12:15" x14ac:dyDescent="0.25">
      <c r="L2109" s="147">
        <f ca="1"/>
        <v>47348</v>
      </c>
      <c r="M2109" s="92">
        <f t="shared" ca="1" si="75"/>
        <v>6.25</v>
      </c>
      <c r="N2109" s="143">
        <f ca="1">(PRODUCT($O$5:$O2109)-1)*36000/_xlfn.DAYS(L2109, $C$2)</f>
        <v>9.2562926678016861</v>
      </c>
      <c r="O2109" s="149">
        <f t="shared" ca="1" si="76"/>
        <v>1.000173611111111</v>
      </c>
    </row>
    <row r="2110" spans="12:15" x14ac:dyDescent="0.25">
      <c r="L2110" s="147">
        <f ca="1"/>
        <v>47349</v>
      </c>
      <c r="M2110" s="92">
        <f t="shared" ca="1" si="75"/>
        <v>6.25</v>
      </c>
      <c r="N2110" s="143">
        <f ca="1">(PRODUCT($O$5:$O2110)-1)*36000/_xlfn.DAYS(L2110, $C$2)</f>
        <v>9.2564714106049166</v>
      </c>
      <c r="O2110" s="149">
        <f t="shared" ca="1" si="76"/>
        <v>1.000173611111111</v>
      </c>
    </row>
    <row r="2111" spans="12:15" x14ac:dyDescent="0.25">
      <c r="L2111" s="147">
        <f ca="1"/>
        <v>47350</v>
      </c>
      <c r="M2111" s="92">
        <f t="shared" ca="1" si="75"/>
        <v>6.25</v>
      </c>
      <c r="N2111" s="143">
        <f ca="1">(PRODUCT($O$5:$O2111)-1)*36000/_xlfn.DAYS(L2111, $C$2)</f>
        <v>9.2566507774529896</v>
      </c>
      <c r="O2111" s="149">
        <f t="shared" ca="1" si="76"/>
        <v>1.000173611111111</v>
      </c>
    </row>
    <row r="2112" spans="12:15" x14ac:dyDescent="0.25">
      <c r="L2112" s="147">
        <f ca="1"/>
        <v>47351</v>
      </c>
      <c r="M2112" s="92">
        <f t="shared" ca="1" si="75"/>
        <v>6.25</v>
      </c>
      <c r="N2112" s="143">
        <f ca="1">(PRODUCT($O$5:$O2112)-1)*36000/_xlfn.DAYS(L2112, $C$2)</f>
        <v>9.256830767595531</v>
      </c>
      <c r="O2112" s="149">
        <f t="shared" ca="1" si="76"/>
        <v>1.000173611111111</v>
      </c>
    </row>
    <row r="2113" spans="12:15" x14ac:dyDescent="0.25">
      <c r="L2113" s="147">
        <f ca="1"/>
        <v>47352</v>
      </c>
      <c r="M2113" s="92">
        <f t="shared" ca="1" si="75"/>
        <v>6.25</v>
      </c>
      <c r="N2113" s="143">
        <f ca="1">(PRODUCT($O$5:$O2113)-1)*36000/_xlfn.DAYS(L2113, $C$2)</f>
        <v>9.2570113802836094</v>
      </c>
      <c r="O2113" s="149">
        <f t="shared" ca="1" si="76"/>
        <v>1.000173611111111</v>
      </c>
    </row>
    <row r="2114" spans="12:15" x14ac:dyDescent="0.25">
      <c r="L2114" s="147">
        <f ca="1"/>
        <v>47353</v>
      </c>
      <c r="M2114" s="92">
        <f t="shared" ca="1" si="75"/>
        <v>6.25</v>
      </c>
      <c r="N2114" s="143">
        <f ca="1">(PRODUCT($O$5:$O2114)-1)*36000/_xlfn.DAYS(L2114, $C$2)</f>
        <v>9.2571926147697319</v>
      </c>
      <c r="O2114" s="149">
        <f t="shared" ca="1" si="76"/>
        <v>1.000173611111111</v>
      </c>
    </row>
    <row r="2115" spans="12:15" x14ac:dyDescent="0.25">
      <c r="L2115" s="147">
        <f ca="1"/>
        <v>47354</v>
      </c>
      <c r="M2115" s="92">
        <f t="shared" ca="1" si="75"/>
        <v>6.25</v>
      </c>
      <c r="N2115" s="143">
        <f ca="1">(PRODUCT($O$5:$O2115)-1)*36000/_xlfn.DAYS(L2115, $C$2)</f>
        <v>9.2573744703078589</v>
      </c>
      <c r="O2115" s="149">
        <f t="shared" ca="1" si="76"/>
        <v>1.000173611111111</v>
      </c>
    </row>
    <row r="2116" spans="12:15" x14ac:dyDescent="0.25">
      <c r="L2116" s="147">
        <f ca="1"/>
        <v>47355</v>
      </c>
      <c r="M2116" s="92">
        <f t="shared" ca="1" si="75"/>
        <v>6.25</v>
      </c>
      <c r="N2116" s="143">
        <f ca="1">(PRODUCT($O$5:$O2116)-1)*36000/_xlfn.DAYS(L2116, $C$2)</f>
        <v>9.2575569461533753</v>
      </c>
      <c r="O2116" s="149">
        <f t="shared" ca="1" si="76"/>
        <v>1.000173611111111</v>
      </c>
    </row>
    <row r="2117" spans="12:15" x14ac:dyDescent="0.25">
      <c r="L2117" s="147">
        <f ca="1"/>
        <v>47356</v>
      </c>
      <c r="M2117" s="92">
        <f t="shared" ref="M2117:M2180" ca="1" si="77">IFERROR(INDEX($E$27:$H$47, MATCH(L2117, $F$27:$F$47, 0), 4), IF(ISNUMBER(M2116), M2116, $C$5))</f>
        <v>6.25</v>
      </c>
      <c r="N2117" s="143">
        <f ca="1">(PRODUCT($O$5:$O2117)-1)*36000/_xlfn.DAYS(L2117, $C$2)</f>
        <v>9.2577400415631104</v>
      </c>
      <c r="O2117" s="149">
        <f t="shared" ca="1" si="76"/>
        <v>1.000173611111111</v>
      </c>
    </row>
    <row r="2118" spans="12:15" x14ac:dyDescent="0.25">
      <c r="L2118" s="147">
        <f ca="1"/>
        <v>47357</v>
      </c>
      <c r="M2118" s="92">
        <f t="shared" ca="1" si="77"/>
        <v>6.25</v>
      </c>
      <c r="N2118" s="143">
        <f ca="1">(PRODUCT($O$5:$O2118)-1)*36000/_xlfn.DAYS(L2118, $C$2)</f>
        <v>9.2579237557953089</v>
      </c>
      <c r="O2118" s="149">
        <f t="shared" ref="O2118:O2181" ca="1" si="78">1+M2118*IFERROR(_xlfn.DAYS(L2118, L2117), _xlfn.DAYS(L2118, $C$2))/36000</f>
        <v>1.000173611111111</v>
      </c>
    </row>
    <row r="2119" spans="12:15" x14ac:dyDescent="0.25">
      <c r="L2119" s="147">
        <f ca="1"/>
        <v>47358</v>
      </c>
      <c r="M2119" s="92">
        <f t="shared" ca="1" si="77"/>
        <v>6.25</v>
      </c>
      <c r="N2119" s="143">
        <f ca="1">(PRODUCT($O$5:$O2119)-1)*36000/_xlfn.DAYS(L2119, $C$2)</f>
        <v>9.25810808810966</v>
      </c>
      <c r="O2119" s="149">
        <f t="shared" ca="1" si="78"/>
        <v>1.000173611111111</v>
      </c>
    </row>
    <row r="2120" spans="12:15" x14ac:dyDescent="0.25">
      <c r="L2120" s="147">
        <f ca="1"/>
        <v>47359</v>
      </c>
      <c r="M2120" s="92">
        <f t="shared" ca="1" si="77"/>
        <v>6.25</v>
      </c>
      <c r="N2120" s="143">
        <f ca="1">(PRODUCT($O$5:$O2120)-1)*36000/_xlfn.DAYS(L2120, $C$2)</f>
        <v>9.2582930377672596</v>
      </c>
      <c r="O2120" s="149">
        <f t="shared" ca="1" si="78"/>
        <v>1.000173611111111</v>
      </c>
    </row>
    <row r="2121" spans="12:15" x14ac:dyDescent="0.25">
      <c r="L2121" s="147">
        <f ca="1"/>
        <v>47360</v>
      </c>
      <c r="M2121" s="92">
        <f t="shared" ca="1" si="77"/>
        <v>6.25</v>
      </c>
      <c r="N2121" s="143">
        <f ca="1">(PRODUCT($O$5:$O2121)-1)*36000/_xlfn.DAYS(L2121, $C$2)</f>
        <v>9.258478604030639</v>
      </c>
      <c r="O2121" s="149">
        <f t="shared" ca="1" si="78"/>
        <v>1.000173611111111</v>
      </c>
    </row>
    <row r="2122" spans="12:15" x14ac:dyDescent="0.25">
      <c r="L2122" s="147">
        <f ca="1"/>
        <v>47361</v>
      </c>
      <c r="M2122" s="92">
        <f t="shared" ca="1" si="77"/>
        <v>6.25</v>
      </c>
      <c r="N2122" s="143">
        <f ca="1">(PRODUCT($O$5:$O2122)-1)*36000/_xlfn.DAYS(L2122, $C$2)</f>
        <v>9.2586647861637381</v>
      </c>
      <c r="O2122" s="149">
        <f t="shared" ca="1" si="78"/>
        <v>1.000173611111111</v>
      </c>
    </row>
    <row r="2123" spans="12:15" x14ac:dyDescent="0.25">
      <c r="L2123" s="147">
        <f ca="1"/>
        <v>47362</v>
      </c>
      <c r="M2123" s="92">
        <f t="shared" ca="1" si="77"/>
        <v>6.25</v>
      </c>
      <c r="N2123" s="143">
        <f ca="1">(PRODUCT($O$5:$O2123)-1)*36000/_xlfn.DAYS(L2123, $C$2)</f>
        <v>9.2588515834319036</v>
      </c>
      <c r="O2123" s="149">
        <f t="shared" ca="1" si="78"/>
        <v>1.000173611111111</v>
      </c>
    </row>
    <row r="2124" spans="12:15" x14ac:dyDescent="0.25">
      <c r="L2124" s="147">
        <f ca="1"/>
        <v>47363</v>
      </c>
      <c r="M2124" s="92">
        <f t="shared" ca="1" si="77"/>
        <v>6.25</v>
      </c>
      <c r="N2124" s="143">
        <f ca="1">(PRODUCT($O$5:$O2124)-1)*36000/_xlfn.DAYS(L2124, $C$2)</f>
        <v>9.2590389951019034</v>
      </c>
      <c r="O2124" s="149">
        <f t="shared" ca="1" si="78"/>
        <v>1.000173611111111</v>
      </c>
    </row>
    <row r="2125" spans="12:15" x14ac:dyDescent="0.25">
      <c r="L2125" s="147">
        <f ca="1"/>
        <v>47364</v>
      </c>
      <c r="M2125" s="92">
        <f t="shared" ca="1" si="77"/>
        <v>6.25</v>
      </c>
      <c r="N2125" s="143">
        <f ca="1">(PRODUCT($O$5:$O2125)-1)*36000/_xlfn.DAYS(L2125, $C$2)</f>
        <v>9.2592270204419069</v>
      </c>
      <c r="O2125" s="149">
        <f t="shared" ca="1" si="78"/>
        <v>1.000173611111111</v>
      </c>
    </row>
    <row r="2126" spans="12:15" x14ac:dyDescent="0.25">
      <c r="L2126" s="147">
        <f ca="1"/>
        <v>47365</v>
      </c>
      <c r="M2126" s="92">
        <f t="shared" ca="1" si="77"/>
        <v>6.25</v>
      </c>
      <c r="N2126" s="143">
        <f ca="1">(PRODUCT($O$5:$O2126)-1)*36000/_xlfn.DAYS(L2126, $C$2)</f>
        <v>9.2594156587214869</v>
      </c>
      <c r="O2126" s="149">
        <f t="shared" ca="1" si="78"/>
        <v>1.000173611111111</v>
      </c>
    </row>
    <row r="2127" spans="12:15" x14ac:dyDescent="0.25">
      <c r="L2127" s="147">
        <f ca="1"/>
        <v>47366</v>
      </c>
      <c r="M2127" s="92">
        <f t="shared" ca="1" si="77"/>
        <v>6.25</v>
      </c>
      <c r="N2127" s="143">
        <f ca="1">(PRODUCT($O$5:$O2127)-1)*36000/_xlfn.DAYS(L2127, $C$2)</f>
        <v>9.2596049092116175</v>
      </c>
      <c r="O2127" s="149">
        <f t="shared" ca="1" si="78"/>
        <v>1.000173611111111</v>
      </c>
    </row>
    <row r="2128" spans="12:15" x14ac:dyDescent="0.25">
      <c r="L2128" s="147">
        <f ca="1"/>
        <v>47367</v>
      </c>
      <c r="M2128" s="92">
        <f t="shared" ca="1" si="77"/>
        <v>6.25</v>
      </c>
      <c r="N2128" s="143">
        <f ca="1">(PRODUCT($O$5:$O2128)-1)*36000/_xlfn.DAYS(L2128, $C$2)</f>
        <v>9.2597947711846693</v>
      </c>
      <c r="O2128" s="149">
        <f t="shared" ca="1" si="78"/>
        <v>1.000173611111111</v>
      </c>
    </row>
    <row r="2129" spans="12:15" x14ac:dyDescent="0.25">
      <c r="L2129" s="147">
        <f ca="1"/>
        <v>47368</v>
      </c>
      <c r="M2129" s="92">
        <f t="shared" ca="1" si="77"/>
        <v>6.25</v>
      </c>
      <c r="N2129" s="143">
        <f ca="1">(PRODUCT($O$5:$O2129)-1)*36000/_xlfn.DAYS(L2129, $C$2)</f>
        <v>9.2599852439144037</v>
      </c>
      <c r="O2129" s="149">
        <f t="shared" ca="1" si="78"/>
        <v>1.000173611111111</v>
      </c>
    </row>
    <row r="2130" spans="12:15" x14ac:dyDescent="0.25">
      <c r="L2130" s="147">
        <f ca="1"/>
        <v>47369</v>
      </c>
      <c r="M2130" s="92">
        <f t="shared" ca="1" si="77"/>
        <v>6.25</v>
      </c>
      <c r="N2130" s="143">
        <f ca="1">(PRODUCT($O$5:$O2130)-1)*36000/_xlfn.DAYS(L2130, $C$2)</f>
        <v>9.2601763266759747</v>
      </c>
      <c r="O2130" s="149">
        <f t="shared" ca="1" si="78"/>
        <v>1.000173611111111</v>
      </c>
    </row>
    <row r="2131" spans="12:15" x14ac:dyDescent="0.25">
      <c r="L2131" s="147">
        <f ca="1"/>
        <v>47370</v>
      </c>
      <c r="M2131" s="92">
        <f t="shared" ca="1" si="77"/>
        <v>6.25</v>
      </c>
      <c r="N2131" s="143">
        <f ca="1">(PRODUCT($O$5:$O2131)-1)*36000/_xlfn.DAYS(L2131, $C$2)</f>
        <v>9.2603680187459254</v>
      </c>
      <c r="O2131" s="149">
        <f t="shared" ca="1" si="78"/>
        <v>1.000173611111111</v>
      </c>
    </row>
    <row r="2132" spans="12:15" x14ac:dyDescent="0.25">
      <c r="L2132" s="147">
        <f ca="1"/>
        <v>47371</v>
      </c>
      <c r="M2132" s="92">
        <f t="shared" ca="1" si="77"/>
        <v>6.25</v>
      </c>
      <c r="N2132" s="143">
        <f ca="1">(PRODUCT($O$5:$O2132)-1)*36000/_xlfn.DAYS(L2132, $C$2)</f>
        <v>9.2605603194021793</v>
      </c>
      <c r="O2132" s="149">
        <f t="shared" ca="1" si="78"/>
        <v>1.000173611111111</v>
      </c>
    </row>
    <row r="2133" spans="12:15" x14ac:dyDescent="0.25">
      <c r="L2133" s="147">
        <f ca="1"/>
        <v>47372</v>
      </c>
      <c r="M2133" s="92">
        <f t="shared" ca="1" si="77"/>
        <v>6.25</v>
      </c>
      <c r="N2133" s="143">
        <f ca="1">(PRODUCT($O$5:$O2133)-1)*36000/_xlfn.DAYS(L2133, $C$2)</f>
        <v>9.2607532279240381</v>
      </c>
      <c r="O2133" s="149">
        <f t="shared" ca="1" si="78"/>
        <v>1.000173611111111</v>
      </c>
    </row>
    <row r="2134" spans="12:15" x14ac:dyDescent="0.25">
      <c r="L2134" s="147">
        <f ca="1"/>
        <v>47373</v>
      </c>
      <c r="M2134" s="92">
        <f t="shared" ca="1" si="77"/>
        <v>6.25</v>
      </c>
      <c r="N2134" s="143">
        <f ca="1">(PRODUCT($O$5:$O2134)-1)*36000/_xlfn.DAYS(L2134, $C$2)</f>
        <v>9.2609467435921857</v>
      </c>
      <c r="O2134" s="149">
        <f t="shared" ca="1" si="78"/>
        <v>1.000173611111111</v>
      </c>
    </row>
    <row r="2135" spans="12:15" x14ac:dyDescent="0.25">
      <c r="L2135" s="147">
        <f ca="1"/>
        <v>47374</v>
      </c>
      <c r="M2135" s="92">
        <f t="shared" ca="1" si="77"/>
        <v>6.25</v>
      </c>
      <c r="N2135" s="143">
        <f ca="1">(PRODUCT($O$5:$O2135)-1)*36000/_xlfn.DAYS(L2135, $C$2)</f>
        <v>9.2611408656886791</v>
      </c>
      <c r="O2135" s="149">
        <f t="shared" ca="1" si="78"/>
        <v>1.000173611111111</v>
      </c>
    </row>
    <row r="2136" spans="12:15" x14ac:dyDescent="0.25">
      <c r="L2136" s="147">
        <f ca="1"/>
        <v>47375</v>
      </c>
      <c r="M2136" s="92">
        <f t="shared" ca="1" si="77"/>
        <v>6.25</v>
      </c>
      <c r="N2136" s="143">
        <f ca="1">(PRODUCT($O$5:$O2136)-1)*36000/_xlfn.DAYS(L2136, $C$2)</f>
        <v>9.261335593496943</v>
      </c>
      <c r="O2136" s="149">
        <f t="shared" ca="1" si="78"/>
        <v>1.000173611111111</v>
      </c>
    </row>
    <row r="2137" spans="12:15" x14ac:dyDescent="0.25">
      <c r="L2137" s="147">
        <f ca="1"/>
        <v>47376</v>
      </c>
      <c r="M2137" s="92">
        <f t="shared" ca="1" si="77"/>
        <v>6.25</v>
      </c>
      <c r="N2137" s="143">
        <f ca="1">(PRODUCT($O$5:$O2137)-1)*36000/_xlfn.DAYS(L2137, $C$2)</f>
        <v>9.2615309263017753</v>
      </c>
      <c r="O2137" s="149">
        <f t="shared" ca="1" si="78"/>
        <v>1.000173611111111</v>
      </c>
    </row>
    <row r="2138" spans="12:15" x14ac:dyDescent="0.25">
      <c r="L2138" s="147">
        <f ca="1"/>
        <v>47377</v>
      </c>
      <c r="M2138" s="92">
        <f t="shared" ca="1" si="77"/>
        <v>6.25</v>
      </c>
      <c r="N2138" s="143">
        <f ca="1">(PRODUCT($O$5:$O2138)-1)*36000/_xlfn.DAYS(L2138, $C$2)</f>
        <v>9.2617268633893275</v>
      </c>
      <c r="O2138" s="149">
        <f t="shared" ca="1" si="78"/>
        <v>1.000173611111111</v>
      </c>
    </row>
    <row r="2139" spans="12:15" x14ac:dyDescent="0.25">
      <c r="L2139" s="147">
        <f ca="1"/>
        <v>47378</v>
      </c>
      <c r="M2139" s="92">
        <f t="shared" ca="1" si="77"/>
        <v>6.25</v>
      </c>
      <c r="N2139" s="143">
        <f ca="1">(PRODUCT($O$5:$O2139)-1)*36000/_xlfn.DAYS(L2139, $C$2)</f>
        <v>9.2619234040471223</v>
      </c>
      <c r="O2139" s="149">
        <f t="shared" ca="1" si="78"/>
        <v>1.000173611111111</v>
      </c>
    </row>
    <row r="2140" spans="12:15" x14ac:dyDescent="0.25">
      <c r="L2140" s="147">
        <f ca="1"/>
        <v>47379</v>
      </c>
      <c r="M2140" s="92">
        <f t="shared" ca="1" si="77"/>
        <v>6.25</v>
      </c>
      <c r="N2140" s="143">
        <f ca="1">(PRODUCT($O$5:$O2140)-1)*36000/_xlfn.DAYS(L2140, $C$2)</f>
        <v>9.2621205475640398</v>
      </c>
      <c r="O2140" s="149">
        <f t="shared" ca="1" si="78"/>
        <v>1.000173611111111</v>
      </c>
    </row>
    <row r="2141" spans="12:15" x14ac:dyDescent="0.25">
      <c r="L2141" s="147">
        <f ca="1"/>
        <v>47380</v>
      </c>
      <c r="M2141" s="92">
        <f t="shared" ca="1" si="77"/>
        <v>6.25</v>
      </c>
      <c r="N2141" s="143">
        <f ca="1">(PRODUCT($O$5:$O2141)-1)*36000/_xlfn.DAYS(L2141, $C$2)</f>
        <v>9.2623182932303099</v>
      </c>
      <c r="O2141" s="149">
        <f t="shared" ca="1" si="78"/>
        <v>1.000173611111111</v>
      </c>
    </row>
    <row r="2142" spans="12:15" x14ac:dyDescent="0.25">
      <c r="L2142" s="147">
        <f ca="1"/>
        <v>47381</v>
      </c>
      <c r="M2142" s="92">
        <f t="shared" ca="1" si="77"/>
        <v>6.25</v>
      </c>
      <c r="N2142" s="143">
        <f ca="1">(PRODUCT($O$5:$O2142)-1)*36000/_xlfn.DAYS(L2142, $C$2)</f>
        <v>9.2625166403375179</v>
      </c>
      <c r="O2142" s="149">
        <f t="shared" ca="1" si="78"/>
        <v>1.000173611111111</v>
      </c>
    </row>
    <row r="2143" spans="12:15" x14ac:dyDescent="0.25">
      <c r="L2143" s="147">
        <f ca="1"/>
        <v>47382</v>
      </c>
      <c r="M2143" s="92">
        <f t="shared" ca="1" si="77"/>
        <v>6.25</v>
      </c>
      <c r="N2143" s="143">
        <f ca="1">(PRODUCT($O$5:$O2143)-1)*36000/_xlfn.DAYS(L2143, $C$2)</f>
        <v>9.2627155881785939</v>
      </c>
      <c r="O2143" s="149">
        <f t="shared" ca="1" si="78"/>
        <v>1.000173611111111</v>
      </c>
    </row>
    <row r="2144" spans="12:15" x14ac:dyDescent="0.25">
      <c r="L2144" s="147">
        <f ca="1"/>
        <v>47383</v>
      </c>
      <c r="M2144" s="92">
        <f t="shared" ca="1" si="77"/>
        <v>6.25</v>
      </c>
      <c r="N2144" s="143">
        <f ca="1">(PRODUCT($O$5:$O2144)-1)*36000/_xlfn.DAYS(L2144, $C$2)</f>
        <v>9.2629151360478161</v>
      </c>
      <c r="O2144" s="149">
        <f t="shared" ca="1" si="78"/>
        <v>1.000173611111111</v>
      </c>
    </row>
    <row r="2145" spans="12:15" x14ac:dyDescent="0.25">
      <c r="L2145" s="147">
        <f ca="1"/>
        <v>47384</v>
      </c>
      <c r="M2145" s="92">
        <f t="shared" ca="1" si="77"/>
        <v>6.25</v>
      </c>
      <c r="N2145" s="143">
        <f ca="1">(PRODUCT($O$5:$O2145)-1)*36000/_xlfn.DAYS(L2145, $C$2)</f>
        <v>9.2631152832408041</v>
      </c>
      <c r="O2145" s="149">
        <f t="shared" ca="1" si="78"/>
        <v>1.000173611111111</v>
      </c>
    </row>
    <row r="2146" spans="12:15" x14ac:dyDescent="0.25">
      <c r="L2146" s="147">
        <f ca="1"/>
        <v>47385</v>
      </c>
      <c r="M2146" s="92">
        <f t="shared" ca="1" si="77"/>
        <v>6.25</v>
      </c>
      <c r="N2146" s="143">
        <f ca="1">(PRODUCT($O$5:$O2146)-1)*36000/_xlfn.DAYS(L2146, $C$2)</f>
        <v>9.2633160290545202</v>
      </c>
      <c r="O2146" s="149">
        <f t="shared" ca="1" si="78"/>
        <v>1.000173611111111</v>
      </c>
    </row>
    <row r="2147" spans="12:15" x14ac:dyDescent="0.25">
      <c r="L2147" s="147">
        <f ca="1"/>
        <v>47386</v>
      </c>
      <c r="M2147" s="92">
        <f t="shared" ca="1" si="77"/>
        <v>6.25</v>
      </c>
      <c r="N2147" s="143">
        <f ca="1">(PRODUCT($O$5:$O2147)-1)*36000/_xlfn.DAYS(L2147, $C$2)</f>
        <v>9.263517372787252</v>
      </c>
      <c r="O2147" s="149">
        <f t="shared" ca="1" si="78"/>
        <v>1.000173611111111</v>
      </c>
    </row>
    <row r="2148" spans="12:15" x14ac:dyDescent="0.25">
      <c r="L2148" s="147">
        <f ca="1"/>
        <v>47387</v>
      </c>
      <c r="M2148" s="92">
        <f t="shared" ca="1" si="77"/>
        <v>6.25</v>
      </c>
      <c r="N2148" s="143">
        <f ca="1">(PRODUCT($O$5:$O2148)-1)*36000/_xlfn.DAYS(L2148, $C$2)</f>
        <v>9.2637193137386298</v>
      </c>
      <c r="O2148" s="149">
        <f t="shared" ca="1" si="78"/>
        <v>1.000173611111111</v>
      </c>
    </row>
    <row r="2149" spans="12:15" x14ac:dyDescent="0.25">
      <c r="L2149" s="147">
        <f ca="1"/>
        <v>47388</v>
      </c>
      <c r="M2149" s="92">
        <f t="shared" ca="1" si="77"/>
        <v>6.25</v>
      </c>
      <c r="N2149" s="143">
        <f ca="1">(PRODUCT($O$5:$O2149)-1)*36000/_xlfn.DAYS(L2149, $C$2)</f>
        <v>9.2639218512096146</v>
      </c>
      <c r="O2149" s="149">
        <f t="shared" ca="1" si="78"/>
        <v>1.000173611111111</v>
      </c>
    </row>
    <row r="2150" spans="12:15" x14ac:dyDescent="0.25">
      <c r="L2150" s="147">
        <f ca="1"/>
        <v>47389</v>
      </c>
      <c r="M2150" s="92">
        <f t="shared" ca="1" si="77"/>
        <v>6.25</v>
      </c>
      <c r="N2150" s="143">
        <f ca="1">(PRODUCT($O$5:$O2150)-1)*36000/_xlfn.DAYS(L2150, $C$2)</f>
        <v>9.2641249845024838</v>
      </c>
      <c r="O2150" s="149">
        <f t="shared" ca="1" si="78"/>
        <v>1.000173611111111</v>
      </c>
    </row>
    <row r="2151" spans="12:15" x14ac:dyDescent="0.25">
      <c r="L2151" s="147">
        <f ca="1"/>
        <v>47390</v>
      </c>
      <c r="M2151" s="92">
        <f t="shared" ca="1" si="77"/>
        <v>6.25</v>
      </c>
      <c r="N2151" s="143">
        <f ca="1">(PRODUCT($O$5:$O2151)-1)*36000/_xlfn.DAYS(L2151, $C$2)</f>
        <v>9.2643287129208503</v>
      </c>
      <c r="O2151" s="149">
        <f t="shared" ca="1" si="78"/>
        <v>1.000173611111111</v>
      </c>
    </row>
    <row r="2152" spans="12:15" x14ac:dyDescent="0.25">
      <c r="L2152" s="147">
        <f ca="1"/>
        <v>47391</v>
      </c>
      <c r="M2152" s="92">
        <f t="shared" ca="1" si="77"/>
        <v>6.25</v>
      </c>
      <c r="N2152" s="143">
        <f ca="1">(PRODUCT($O$5:$O2152)-1)*36000/_xlfn.DAYS(L2152, $C$2)</f>
        <v>9.2645330357696416</v>
      </c>
      <c r="O2152" s="149">
        <f t="shared" ca="1" si="78"/>
        <v>1.000173611111111</v>
      </c>
    </row>
    <row r="2153" spans="12:15" x14ac:dyDescent="0.25">
      <c r="L2153" s="147">
        <f ca="1"/>
        <v>47392</v>
      </c>
      <c r="M2153" s="92">
        <f t="shared" ca="1" si="77"/>
        <v>6.25</v>
      </c>
      <c r="N2153" s="143">
        <f ca="1">(PRODUCT($O$5:$O2153)-1)*36000/_xlfn.DAYS(L2153, $C$2)</f>
        <v>9.2647379523550981</v>
      </c>
      <c r="O2153" s="149">
        <f t="shared" ca="1" si="78"/>
        <v>1.000173611111111</v>
      </c>
    </row>
    <row r="2154" spans="12:15" x14ac:dyDescent="0.25">
      <c r="L2154" s="147">
        <f ca="1"/>
        <v>47393</v>
      </c>
      <c r="M2154" s="92">
        <f t="shared" ca="1" si="77"/>
        <v>6.25</v>
      </c>
      <c r="N2154" s="143">
        <f ca="1">(PRODUCT($O$5:$O2154)-1)*36000/_xlfn.DAYS(L2154, $C$2)</f>
        <v>9.2649434619847852</v>
      </c>
      <c r="O2154" s="149">
        <f t="shared" ca="1" si="78"/>
        <v>1.000173611111111</v>
      </c>
    </row>
    <row r="2155" spans="12:15" x14ac:dyDescent="0.25">
      <c r="L2155" s="147">
        <f ca="1"/>
        <v>47394</v>
      </c>
      <c r="M2155" s="92">
        <f t="shared" ca="1" si="77"/>
        <v>6.25</v>
      </c>
      <c r="N2155" s="143">
        <f ca="1">(PRODUCT($O$5:$O2155)-1)*36000/_xlfn.DAYS(L2155, $C$2)</f>
        <v>9.2651495639675687</v>
      </c>
      <c r="O2155" s="149">
        <f t="shared" ca="1" si="78"/>
        <v>1.000173611111111</v>
      </c>
    </row>
    <row r="2156" spans="12:15" x14ac:dyDescent="0.25">
      <c r="L2156" s="147">
        <f ca="1"/>
        <v>47395</v>
      </c>
      <c r="M2156" s="92">
        <f t="shared" ca="1" si="77"/>
        <v>6.25</v>
      </c>
      <c r="N2156" s="143">
        <f ca="1">(PRODUCT($O$5:$O2156)-1)*36000/_xlfn.DAYS(L2156, $C$2)</f>
        <v>9.265356257613627</v>
      </c>
      <c r="O2156" s="149">
        <f t="shared" ca="1" si="78"/>
        <v>1.000173611111111</v>
      </c>
    </row>
    <row r="2157" spans="12:15" x14ac:dyDescent="0.25">
      <c r="L2157" s="147">
        <f ca="1"/>
        <v>47396</v>
      </c>
      <c r="M2157" s="92">
        <f t="shared" ca="1" si="77"/>
        <v>6.25</v>
      </c>
      <c r="N2157" s="143">
        <f ca="1">(PRODUCT($O$5:$O2157)-1)*36000/_xlfn.DAYS(L2157, $C$2)</f>
        <v>9.2655635422344513</v>
      </c>
      <c r="O2157" s="149">
        <f t="shared" ca="1" si="78"/>
        <v>1.000173611111111</v>
      </c>
    </row>
    <row r="2158" spans="12:15" x14ac:dyDescent="0.25">
      <c r="L2158" s="147">
        <f ca="1"/>
        <v>47397</v>
      </c>
      <c r="M2158" s="92">
        <f t="shared" ca="1" si="77"/>
        <v>6.25</v>
      </c>
      <c r="N2158" s="143">
        <f ca="1">(PRODUCT($O$5:$O2158)-1)*36000/_xlfn.DAYS(L2158, $C$2)</f>
        <v>9.2657714171428189</v>
      </c>
      <c r="O2158" s="149">
        <f t="shared" ca="1" si="78"/>
        <v>1.000173611111111</v>
      </c>
    </row>
    <row r="2159" spans="12:15" x14ac:dyDescent="0.25">
      <c r="L2159" s="147">
        <f ca="1"/>
        <v>47398</v>
      </c>
      <c r="M2159" s="92">
        <f t="shared" ca="1" si="77"/>
        <v>6.25</v>
      </c>
      <c r="N2159" s="143">
        <f ca="1">(PRODUCT($O$5:$O2159)-1)*36000/_xlfn.DAYS(L2159, $C$2)</f>
        <v>9.2659798816528198</v>
      </c>
      <c r="O2159" s="149">
        <f t="shared" ca="1" si="78"/>
        <v>1.000173611111111</v>
      </c>
    </row>
    <row r="2160" spans="12:15" x14ac:dyDescent="0.25">
      <c r="L2160" s="147">
        <f ca="1"/>
        <v>47399</v>
      </c>
      <c r="M2160" s="92">
        <f t="shared" ca="1" si="77"/>
        <v>6.25</v>
      </c>
      <c r="N2160" s="143">
        <f ca="1">(PRODUCT($O$5:$O2160)-1)*36000/_xlfn.DAYS(L2160, $C$2)</f>
        <v>9.266188935079839</v>
      </c>
      <c r="O2160" s="149">
        <f t="shared" ca="1" si="78"/>
        <v>1.000173611111111</v>
      </c>
    </row>
    <row r="2161" spans="12:15" x14ac:dyDescent="0.25">
      <c r="L2161" s="147">
        <f ca="1"/>
        <v>47400</v>
      </c>
      <c r="M2161" s="92">
        <f t="shared" ca="1" si="77"/>
        <v>6.25</v>
      </c>
      <c r="N2161" s="143">
        <f ca="1">(PRODUCT($O$5:$O2161)-1)*36000/_xlfn.DAYS(L2161, $C$2)</f>
        <v>9.2663985767405421</v>
      </c>
      <c r="O2161" s="149">
        <f t="shared" ca="1" si="78"/>
        <v>1.000173611111111</v>
      </c>
    </row>
    <row r="2162" spans="12:15" x14ac:dyDescent="0.25">
      <c r="L2162" s="147">
        <f ca="1"/>
        <v>47401</v>
      </c>
      <c r="M2162" s="92">
        <f t="shared" ca="1" si="77"/>
        <v>6.25</v>
      </c>
      <c r="N2162" s="143">
        <f ca="1">(PRODUCT($O$5:$O2162)-1)*36000/_xlfn.DAYS(L2162, $C$2)</f>
        <v>9.2666088059529041</v>
      </c>
      <c r="O2162" s="149">
        <f t="shared" ca="1" si="78"/>
        <v>1.000173611111111</v>
      </c>
    </row>
    <row r="2163" spans="12:15" x14ac:dyDescent="0.25">
      <c r="L2163" s="147">
        <f ca="1"/>
        <v>47402</v>
      </c>
      <c r="M2163" s="92">
        <f t="shared" ca="1" si="77"/>
        <v>6.25</v>
      </c>
      <c r="N2163" s="143">
        <f ca="1">(PRODUCT($O$5:$O2163)-1)*36000/_xlfn.DAYS(L2163, $C$2)</f>
        <v>9.2668196220361683</v>
      </c>
      <c r="O2163" s="149">
        <f t="shared" ca="1" si="78"/>
        <v>1.000173611111111</v>
      </c>
    </row>
    <row r="2164" spans="12:15" x14ac:dyDescent="0.25">
      <c r="L2164" s="147">
        <f ca="1"/>
        <v>47403</v>
      </c>
      <c r="M2164" s="92">
        <f t="shared" ca="1" si="77"/>
        <v>6.25</v>
      </c>
      <c r="N2164" s="143">
        <f ca="1">(PRODUCT($O$5:$O2164)-1)*36000/_xlfn.DAYS(L2164, $C$2)</f>
        <v>9.267031024310878</v>
      </c>
      <c r="O2164" s="149">
        <f t="shared" ca="1" si="78"/>
        <v>1.000173611111111</v>
      </c>
    </row>
    <row r="2165" spans="12:15" x14ac:dyDescent="0.25">
      <c r="L2165" s="147">
        <f ca="1"/>
        <v>47404</v>
      </c>
      <c r="M2165" s="92">
        <f t="shared" ca="1" si="77"/>
        <v>6.25</v>
      </c>
      <c r="N2165" s="143">
        <f ca="1">(PRODUCT($O$5:$O2165)-1)*36000/_xlfn.DAYS(L2165, $C$2)</f>
        <v>9.2672430120988469</v>
      </c>
      <c r="O2165" s="149">
        <f t="shared" ca="1" si="78"/>
        <v>1.000173611111111</v>
      </c>
    </row>
    <row r="2166" spans="12:15" x14ac:dyDescent="0.25">
      <c r="L2166" s="147">
        <f ca="1"/>
        <v>47405</v>
      </c>
      <c r="M2166" s="92">
        <f t="shared" ca="1" si="77"/>
        <v>6.25</v>
      </c>
      <c r="N2166" s="143">
        <f ca="1">(PRODUCT($O$5:$O2166)-1)*36000/_xlfn.DAYS(L2166, $C$2)</f>
        <v>9.2674555847231712</v>
      </c>
      <c r="O2166" s="149">
        <f t="shared" ca="1" si="78"/>
        <v>1.000173611111111</v>
      </c>
    </row>
    <row r="2167" spans="12:15" x14ac:dyDescent="0.25">
      <c r="L2167" s="147">
        <f ca="1"/>
        <v>47406</v>
      </c>
      <c r="M2167" s="92">
        <f t="shared" ca="1" si="77"/>
        <v>6.25</v>
      </c>
      <c r="N2167" s="143">
        <f ca="1">(PRODUCT($O$5:$O2167)-1)*36000/_xlfn.DAYS(L2167, $C$2)</f>
        <v>9.2676687415082242</v>
      </c>
      <c r="O2167" s="149">
        <f t="shared" ca="1" si="78"/>
        <v>1.000173611111111</v>
      </c>
    </row>
    <row r="2168" spans="12:15" x14ac:dyDescent="0.25">
      <c r="L2168" s="147">
        <f ca="1"/>
        <v>47407</v>
      </c>
      <c r="M2168" s="92">
        <f t="shared" ca="1" si="77"/>
        <v>6.25</v>
      </c>
      <c r="N2168" s="143">
        <f ca="1">(PRODUCT($O$5:$O2168)-1)*36000/_xlfn.DAYS(L2168, $C$2)</f>
        <v>9.2678824817796439</v>
      </c>
      <c r="O2168" s="149">
        <f t="shared" ca="1" si="78"/>
        <v>1.000173611111111</v>
      </c>
    </row>
    <row r="2169" spans="12:15" x14ac:dyDescent="0.25">
      <c r="L2169" s="147">
        <f ca="1"/>
        <v>47408</v>
      </c>
      <c r="M2169" s="92">
        <f t="shared" ca="1" si="77"/>
        <v>6.25</v>
      </c>
      <c r="N2169" s="143">
        <f ca="1">(PRODUCT($O$5:$O2169)-1)*36000/_xlfn.DAYS(L2169, $C$2)</f>
        <v>9.2680968048643457</v>
      </c>
      <c r="O2169" s="149">
        <f t="shared" ca="1" si="78"/>
        <v>1.000173611111111</v>
      </c>
    </row>
    <row r="2170" spans="12:15" x14ac:dyDescent="0.25">
      <c r="L2170" s="147">
        <f ca="1"/>
        <v>47409</v>
      </c>
      <c r="M2170" s="92">
        <f t="shared" ca="1" si="77"/>
        <v>6.25</v>
      </c>
      <c r="N2170" s="143">
        <f ca="1">(PRODUCT($O$5:$O2170)-1)*36000/_xlfn.DAYS(L2170, $C$2)</f>
        <v>9.2683117100905115</v>
      </c>
      <c r="O2170" s="149">
        <f t="shared" ca="1" si="78"/>
        <v>1.000173611111111</v>
      </c>
    </row>
    <row r="2171" spans="12:15" x14ac:dyDescent="0.25">
      <c r="L2171" s="147">
        <f ca="1"/>
        <v>47410</v>
      </c>
      <c r="M2171" s="92">
        <f t="shared" ca="1" si="77"/>
        <v>6.25</v>
      </c>
      <c r="N2171" s="143">
        <f ca="1">(PRODUCT($O$5:$O2171)-1)*36000/_xlfn.DAYS(L2171, $C$2)</f>
        <v>9.2685271967875824</v>
      </c>
      <c r="O2171" s="149">
        <f t="shared" ca="1" si="78"/>
        <v>1.000173611111111</v>
      </c>
    </row>
    <row r="2172" spans="12:15" x14ac:dyDescent="0.25">
      <c r="L2172" s="147">
        <f ca="1"/>
        <v>47411</v>
      </c>
      <c r="M2172" s="92">
        <f t="shared" ca="1" si="77"/>
        <v>6.25</v>
      </c>
      <c r="N2172" s="143">
        <f ca="1">(PRODUCT($O$5:$O2172)-1)*36000/_xlfn.DAYS(L2172, $C$2)</f>
        <v>9.2687432642862646</v>
      </c>
      <c r="O2172" s="149">
        <f t="shared" ca="1" si="78"/>
        <v>1.000173611111111</v>
      </c>
    </row>
    <row r="2173" spans="12:15" x14ac:dyDescent="0.25">
      <c r="L2173" s="147">
        <f ca="1"/>
        <v>47412</v>
      </c>
      <c r="M2173" s="92">
        <f t="shared" ca="1" si="77"/>
        <v>6.25</v>
      </c>
      <c r="N2173" s="143">
        <f ca="1">(PRODUCT($O$5:$O2173)-1)*36000/_xlfn.DAYS(L2173, $C$2)</f>
        <v>9.2689599119185146</v>
      </c>
      <c r="O2173" s="149">
        <f t="shared" ca="1" si="78"/>
        <v>1.000173611111111</v>
      </c>
    </row>
    <row r="2174" spans="12:15" x14ac:dyDescent="0.25">
      <c r="L2174" s="147">
        <f ca="1"/>
        <v>47413</v>
      </c>
      <c r="M2174" s="92">
        <f t="shared" ca="1" si="77"/>
        <v>6.25</v>
      </c>
      <c r="N2174" s="143">
        <f ca="1">(PRODUCT($O$5:$O2174)-1)*36000/_xlfn.DAYS(L2174, $C$2)</f>
        <v>9.2691771390175504</v>
      </c>
      <c r="O2174" s="149">
        <f t="shared" ca="1" si="78"/>
        <v>1.000173611111111</v>
      </c>
    </row>
    <row r="2175" spans="12:15" x14ac:dyDescent="0.25">
      <c r="L2175" s="147">
        <f ca="1"/>
        <v>47414</v>
      </c>
      <c r="M2175" s="92">
        <f t="shared" ca="1" si="77"/>
        <v>6.25</v>
      </c>
      <c r="N2175" s="143">
        <f ca="1">(PRODUCT($O$5:$O2175)-1)*36000/_xlfn.DAYS(L2175, $C$2)</f>
        <v>9.2693949449178401</v>
      </c>
      <c r="O2175" s="149">
        <f t="shared" ca="1" si="78"/>
        <v>1.000173611111111</v>
      </c>
    </row>
    <row r="2176" spans="12:15" x14ac:dyDescent="0.25">
      <c r="L2176" s="147">
        <f ca="1"/>
        <v>47415</v>
      </c>
      <c r="M2176" s="92">
        <f t="shared" ca="1" si="77"/>
        <v>6.25</v>
      </c>
      <c r="N2176" s="143">
        <f ca="1">(PRODUCT($O$5:$O2176)-1)*36000/_xlfn.DAYS(L2176, $C$2)</f>
        <v>9.2696133289551028</v>
      </c>
      <c r="O2176" s="149">
        <f t="shared" ca="1" si="78"/>
        <v>1.000173611111111</v>
      </c>
    </row>
    <row r="2177" spans="12:15" x14ac:dyDescent="0.25">
      <c r="L2177" s="147">
        <f ca="1"/>
        <v>47416</v>
      </c>
      <c r="M2177" s="92">
        <f t="shared" ca="1" si="77"/>
        <v>6.25</v>
      </c>
      <c r="N2177" s="143">
        <f ca="1">(PRODUCT($O$5:$O2177)-1)*36000/_xlfn.DAYS(L2177, $C$2)</f>
        <v>9.2698322904663009</v>
      </c>
      <c r="O2177" s="149">
        <f t="shared" ca="1" si="78"/>
        <v>1.000173611111111</v>
      </c>
    </row>
    <row r="2178" spans="12:15" x14ac:dyDescent="0.25">
      <c r="L2178" s="147">
        <f ca="1"/>
        <v>47417</v>
      </c>
      <c r="M2178" s="92">
        <f t="shared" ca="1" si="77"/>
        <v>6.25</v>
      </c>
      <c r="N2178" s="143">
        <f ca="1">(PRODUCT($O$5:$O2178)-1)*36000/_xlfn.DAYS(L2178, $C$2)</f>
        <v>9.2700518287896418</v>
      </c>
      <c r="O2178" s="149">
        <f t="shared" ca="1" si="78"/>
        <v>1.000173611111111</v>
      </c>
    </row>
    <row r="2179" spans="12:15" x14ac:dyDescent="0.25">
      <c r="L2179" s="147">
        <f ca="1"/>
        <v>47418</v>
      </c>
      <c r="M2179" s="92">
        <f t="shared" ca="1" si="77"/>
        <v>6.25</v>
      </c>
      <c r="N2179" s="143">
        <f ca="1">(PRODUCT($O$5:$O2179)-1)*36000/_xlfn.DAYS(L2179, $C$2)</f>
        <v>9.2702719432645733</v>
      </c>
      <c r="O2179" s="149">
        <f t="shared" ca="1" si="78"/>
        <v>1.000173611111111</v>
      </c>
    </row>
    <row r="2180" spans="12:15" x14ac:dyDescent="0.25">
      <c r="L2180" s="147">
        <f ca="1"/>
        <v>47419</v>
      </c>
      <c r="M2180" s="92">
        <f t="shared" ca="1" si="77"/>
        <v>6.25</v>
      </c>
      <c r="N2180" s="143">
        <f ca="1">(PRODUCT($O$5:$O2180)-1)*36000/_xlfn.DAYS(L2180, $C$2)</f>
        <v>9.2704926332317807</v>
      </c>
      <c r="O2180" s="149">
        <f t="shared" ca="1" si="78"/>
        <v>1.000173611111111</v>
      </c>
    </row>
    <row r="2181" spans="12:15" x14ac:dyDescent="0.25">
      <c r="L2181" s="147">
        <f ca="1"/>
        <v>47420</v>
      </c>
      <c r="M2181" s="92">
        <f t="shared" ref="M2181:M2244" ca="1" si="79">IFERROR(INDEX($E$27:$H$47, MATCH(L2181, $F$27:$F$47, 0), 4), IF(ISNUMBER(M2180), M2180, $C$5))</f>
        <v>6.25</v>
      </c>
      <c r="N2181" s="143">
        <f ca="1">(PRODUCT($O$5:$O2181)-1)*36000/_xlfn.DAYS(L2181, $C$2)</f>
        <v>9.2707138980331809</v>
      </c>
      <c r="O2181" s="149">
        <f t="shared" ca="1" si="78"/>
        <v>1.000173611111111</v>
      </c>
    </row>
    <row r="2182" spans="12:15" x14ac:dyDescent="0.25">
      <c r="L2182" s="147">
        <f ca="1"/>
        <v>47421</v>
      </c>
      <c r="M2182" s="92">
        <f t="shared" ca="1" si="79"/>
        <v>6.25</v>
      </c>
      <c r="N2182" s="143">
        <f ca="1">(PRODUCT($O$5:$O2182)-1)*36000/_xlfn.DAYS(L2182, $C$2)</f>
        <v>9.2709357370119303</v>
      </c>
      <c r="O2182" s="149">
        <f t="shared" ref="O2182:O2245" ca="1" si="80">1+M2182*IFERROR(_xlfn.DAYS(L2182, L2181), _xlfn.DAYS(L2182, $C$2))/36000</f>
        <v>1.000173611111111</v>
      </c>
    </row>
    <row r="2183" spans="12:15" x14ac:dyDescent="0.25">
      <c r="L2183" s="147">
        <f ca="1"/>
        <v>47422</v>
      </c>
      <c r="M2183" s="92">
        <f t="shared" ca="1" si="79"/>
        <v>6.25</v>
      </c>
      <c r="N2183" s="143">
        <f ca="1">(PRODUCT($O$5:$O2183)-1)*36000/_xlfn.DAYS(L2183, $C$2)</f>
        <v>9.2711581495124058</v>
      </c>
      <c r="O2183" s="149">
        <f t="shared" ca="1" si="80"/>
        <v>1.000173611111111</v>
      </c>
    </row>
    <row r="2184" spans="12:15" x14ac:dyDescent="0.25">
      <c r="L2184" s="147">
        <f ca="1"/>
        <v>47423</v>
      </c>
      <c r="M2184" s="92">
        <f t="shared" ca="1" si="79"/>
        <v>6.25</v>
      </c>
      <c r="N2184" s="143">
        <f ca="1">(PRODUCT($O$5:$O2184)-1)*36000/_xlfn.DAYS(L2184, $C$2)</f>
        <v>9.2713811348802206</v>
      </c>
      <c r="O2184" s="149">
        <f t="shared" ca="1" si="80"/>
        <v>1.000173611111111</v>
      </c>
    </row>
    <row r="2185" spans="12:15" x14ac:dyDescent="0.25">
      <c r="L2185" s="147">
        <f ca="1"/>
        <v>47424</v>
      </c>
      <c r="M2185" s="92">
        <f t="shared" ca="1" si="79"/>
        <v>6.25</v>
      </c>
      <c r="N2185" s="143">
        <f ca="1">(PRODUCT($O$5:$O2185)-1)*36000/_xlfn.DAYS(L2185, $C$2)</f>
        <v>9.2716046924622031</v>
      </c>
      <c r="O2185" s="149">
        <f t="shared" ca="1" si="80"/>
        <v>1.000173611111111</v>
      </c>
    </row>
    <row r="2186" spans="12:15" x14ac:dyDescent="0.25">
      <c r="L2186" s="147">
        <f ca="1"/>
        <v>47425</v>
      </c>
      <c r="M2186" s="92">
        <f t="shared" ca="1" si="79"/>
        <v>6.25</v>
      </c>
      <c r="N2186" s="143">
        <f ca="1">(PRODUCT($O$5:$O2186)-1)*36000/_xlfn.DAYS(L2186, $C$2)</f>
        <v>9.2718288216064035</v>
      </c>
      <c r="O2186" s="149">
        <f t="shared" ca="1" si="80"/>
        <v>1.000173611111111</v>
      </c>
    </row>
    <row r="2187" spans="12:15" x14ac:dyDescent="0.25">
      <c r="L2187" s="147">
        <f ca="1"/>
        <v>47426</v>
      </c>
      <c r="M2187" s="92">
        <f t="shared" ca="1" si="79"/>
        <v>6.25</v>
      </c>
      <c r="N2187" s="143">
        <f ca="1">(PRODUCT($O$5:$O2187)-1)*36000/_xlfn.DAYS(L2187, $C$2)</f>
        <v>9.2720535216620963</v>
      </c>
      <c r="O2187" s="149">
        <f t="shared" ca="1" si="80"/>
        <v>1.000173611111111</v>
      </c>
    </row>
    <row r="2188" spans="12:15" x14ac:dyDescent="0.25">
      <c r="L2188" s="147">
        <f ca="1"/>
        <v>47427</v>
      </c>
      <c r="M2188" s="92">
        <f t="shared" ca="1" si="79"/>
        <v>6.25</v>
      </c>
      <c r="N2188" s="143">
        <f ca="1">(PRODUCT($O$5:$O2188)-1)*36000/_xlfn.DAYS(L2188, $C$2)</f>
        <v>9.2722787919797618</v>
      </c>
      <c r="O2188" s="149">
        <f t="shared" ca="1" si="80"/>
        <v>1.000173611111111</v>
      </c>
    </row>
    <row r="2189" spans="12:15" x14ac:dyDescent="0.25">
      <c r="L2189" s="147">
        <f ca="1"/>
        <v>47428</v>
      </c>
      <c r="M2189" s="92">
        <f t="shared" ca="1" si="79"/>
        <v>6.25</v>
      </c>
      <c r="N2189" s="143">
        <f ca="1">(PRODUCT($O$5:$O2189)-1)*36000/_xlfn.DAYS(L2189, $C$2)</f>
        <v>9.2725046319110991</v>
      </c>
      <c r="O2189" s="149">
        <f t="shared" ca="1" si="80"/>
        <v>1.000173611111111</v>
      </c>
    </row>
    <row r="2190" spans="12:15" x14ac:dyDescent="0.25">
      <c r="L2190" s="147">
        <f ca="1"/>
        <v>47429</v>
      </c>
      <c r="M2190" s="92">
        <f t="shared" ca="1" si="79"/>
        <v>6.25</v>
      </c>
      <c r="N2190" s="143">
        <f ca="1">(PRODUCT($O$5:$O2190)-1)*36000/_xlfn.DAYS(L2190, $C$2)</f>
        <v>9.2727310408090169</v>
      </c>
      <c r="O2190" s="149">
        <f t="shared" ca="1" si="80"/>
        <v>1.000173611111111</v>
      </c>
    </row>
    <row r="2191" spans="12:15" x14ac:dyDescent="0.25">
      <c r="L2191" s="147">
        <f ca="1"/>
        <v>47430</v>
      </c>
      <c r="M2191" s="92">
        <f t="shared" ca="1" si="79"/>
        <v>6.25</v>
      </c>
      <c r="N2191" s="143">
        <f ca="1">(PRODUCT($O$5:$O2191)-1)*36000/_xlfn.DAYS(L2191, $C$2)</f>
        <v>9.2729580180276265</v>
      </c>
      <c r="O2191" s="149">
        <f t="shared" ca="1" si="80"/>
        <v>1.000173611111111</v>
      </c>
    </row>
    <row r="2192" spans="12:15" x14ac:dyDescent="0.25">
      <c r="L2192" s="147">
        <f ca="1"/>
        <v>47431</v>
      </c>
      <c r="M2192" s="92">
        <f t="shared" ca="1" si="79"/>
        <v>6.25</v>
      </c>
      <c r="N2192" s="143">
        <f ca="1">(PRODUCT($O$5:$O2192)-1)*36000/_xlfn.DAYS(L2192, $C$2)</f>
        <v>9.2731855629222526</v>
      </c>
      <c r="O2192" s="149">
        <f t="shared" ca="1" si="80"/>
        <v>1.000173611111111</v>
      </c>
    </row>
    <row r="2193" spans="12:15" x14ac:dyDescent="0.25">
      <c r="L2193" s="147">
        <f ca="1"/>
        <v>47432</v>
      </c>
      <c r="M2193" s="92">
        <f t="shared" ca="1" si="79"/>
        <v>6.25</v>
      </c>
      <c r="N2193" s="143">
        <f ca="1">(PRODUCT($O$5:$O2193)-1)*36000/_xlfn.DAYS(L2193, $C$2)</f>
        <v>9.273413674849408</v>
      </c>
      <c r="O2193" s="149">
        <f t="shared" ca="1" si="80"/>
        <v>1.000173611111111</v>
      </c>
    </row>
    <row r="2194" spans="12:15" x14ac:dyDescent="0.25">
      <c r="L2194" s="147">
        <f ca="1"/>
        <v>47433</v>
      </c>
      <c r="M2194" s="92">
        <f t="shared" ca="1" si="79"/>
        <v>6.25</v>
      </c>
      <c r="N2194" s="143">
        <f ca="1">(PRODUCT($O$5:$O2194)-1)*36000/_xlfn.DAYS(L2194, $C$2)</f>
        <v>9.2736423531668137</v>
      </c>
      <c r="O2194" s="149">
        <f t="shared" ca="1" si="80"/>
        <v>1.000173611111111</v>
      </c>
    </row>
    <row r="2195" spans="12:15" x14ac:dyDescent="0.25">
      <c r="L2195" s="147">
        <f ca="1"/>
        <v>47434</v>
      </c>
      <c r="M2195" s="92">
        <f t="shared" ca="1" si="79"/>
        <v>6.25</v>
      </c>
      <c r="N2195" s="143">
        <f ca="1">(PRODUCT($O$5:$O2195)-1)*36000/_xlfn.DAYS(L2195, $C$2)</f>
        <v>9.2738715972333825</v>
      </c>
      <c r="O2195" s="149">
        <f t="shared" ca="1" si="80"/>
        <v>1.000173611111111</v>
      </c>
    </row>
    <row r="2196" spans="12:15" x14ac:dyDescent="0.25">
      <c r="L2196" s="147">
        <f ca="1"/>
        <v>47435</v>
      </c>
      <c r="M2196" s="92">
        <f t="shared" ca="1" si="79"/>
        <v>6.25</v>
      </c>
      <c r="N2196" s="143">
        <f ca="1">(PRODUCT($O$5:$O2196)-1)*36000/_xlfn.DAYS(L2196, $C$2)</f>
        <v>9.274101406409228</v>
      </c>
      <c r="O2196" s="149">
        <f t="shared" ca="1" si="80"/>
        <v>1.000173611111111</v>
      </c>
    </row>
    <row r="2197" spans="12:15" x14ac:dyDescent="0.25">
      <c r="L2197" s="147">
        <f ca="1"/>
        <v>47436</v>
      </c>
      <c r="M2197" s="92">
        <f t="shared" ca="1" si="79"/>
        <v>6.25</v>
      </c>
      <c r="N2197" s="143">
        <f ca="1">(PRODUCT($O$5:$O2197)-1)*36000/_xlfn.DAYS(L2197, $C$2)</f>
        <v>9.274331780055638</v>
      </c>
      <c r="O2197" s="149">
        <f t="shared" ca="1" si="80"/>
        <v>1.000173611111111</v>
      </c>
    </row>
    <row r="2198" spans="12:15" x14ac:dyDescent="0.25">
      <c r="L2198" s="147">
        <f ca="1"/>
        <v>47437</v>
      </c>
      <c r="M2198" s="92">
        <f t="shared" ca="1" si="79"/>
        <v>6.25</v>
      </c>
      <c r="N2198" s="143">
        <f ca="1">(PRODUCT($O$5:$O2198)-1)*36000/_xlfn.DAYS(L2198, $C$2)</f>
        <v>9.2745627175351046</v>
      </c>
      <c r="O2198" s="149">
        <f t="shared" ca="1" si="80"/>
        <v>1.000173611111111</v>
      </c>
    </row>
    <row r="2199" spans="12:15" x14ac:dyDescent="0.25">
      <c r="L2199" s="147">
        <f ca="1"/>
        <v>47438</v>
      </c>
      <c r="M2199" s="92">
        <f t="shared" ca="1" si="79"/>
        <v>6.25</v>
      </c>
      <c r="N2199" s="143">
        <f ca="1">(PRODUCT($O$5:$O2199)-1)*36000/_xlfn.DAYS(L2199, $C$2)</f>
        <v>9.2747942182112961</v>
      </c>
      <c r="O2199" s="149">
        <f t="shared" ca="1" si="80"/>
        <v>1.000173611111111</v>
      </c>
    </row>
    <row r="2200" spans="12:15" x14ac:dyDescent="0.25">
      <c r="L2200" s="147">
        <f ca="1"/>
        <v>47439</v>
      </c>
      <c r="M2200" s="92">
        <f t="shared" ca="1" si="79"/>
        <v>6.25</v>
      </c>
      <c r="N2200" s="143">
        <f ca="1">(PRODUCT($O$5:$O2200)-1)*36000/_xlfn.DAYS(L2200, $C$2)</f>
        <v>9.2750262814490672</v>
      </c>
      <c r="O2200" s="149">
        <f t="shared" ca="1" si="80"/>
        <v>1.000173611111111</v>
      </c>
    </row>
    <row r="2201" spans="12:15" x14ac:dyDescent="0.25">
      <c r="L2201" s="147">
        <f ca="1"/>
        <v>47440</v>
      </c>
      <c r="M2201" s="92">
        <f t="shared" ca="1" si="79"/>
        <v>6.25</v>
      </c>
      <c r="N2201" s="143">
        <f ca="1">(PRODUCT($O$5:$O2201)-1)*36000/_xlfn.DAYS(L2201, $C$2)</f>
        <v>9.2752589066144537</v>
      </c>
      <c r="O2201" s="149">
        <f t="shared" ca="1" si="80"/>
        <v>1.000173611111111</v>
      </c>
    </row>
    <row r="2202" spans="12:15" x14ac:dyDescent="0.25">
      <c r="L2202" s="147">
        <f ca="1"/>
        <v>47441</v>
      </c>
      <c r="M2202" s="92">
        <f t="shared" ca="1" si="79"/>
        <v>6.25</v>
      </c>
      <c r="N2202" s="143">
        <f ca="1">(PRODUCT($O$5:$O2202)-1)*36000/_xlfn.DAYS(L2202, $C$2)</f>
        <v>9.2754920930746572</v>
      </c>
      <c r="O2202" s="149">
        <f t="shared" ca="1" si="80"/>
        <v>1.000173611111111</v>
      </c>
    </row>
    <row r="2203" spans="12:15" x14ac:dyDescent="0.25">
      <c r="L2203" s="147">
        <f ca="1"/>
        <v>47442</v>
      </c>
      <c r="M2203" s="92">
        <f t="shared" ca="1" si="79"/>
        <v>6.25</v>
      </c>
      <c r="N2203" s="143">
        <f ca="1">(PRODUCT($O$5:$O2203)-1)*36000/_xlfn.DAYS(L2203, $C$2)</f>
        <v>9.2757258401980671</v>
      </c>
      <c r="O2203" s="149">
        <f t="shared" ca="1" si="80"/>
        <v>1.000173611111111</v>
      </c>
    </row>
    <row r="2204" spans="12:15" x14ac:dyDescent="0.25">
      <c r="L2204" s="147">
        <f ca="1"/>
        <v>47443</v>
      </c>
      <c r="M2204" s="92">
        <f t="shared" ca="1" si="79"/>
        <v>6.25</v>
      </c>
      <c r="N2204" s="143">
        <f ca="1">(PRODUCT($O$5:$O2204)-1)*36000/_xlfn.DAYS(L2204, $C$2)</f>
        <v>9.2759601473542421</v>
      </c>
      <c r="O2204" s="149">
        <f t="shared" ca="1" si="80"/>
        <v>1.000173611111111</v>
      </c>
    </row>
    <row r="2205" spans="12:15" x14ac:dyDescent="0.25">
      <c r="L2205" s="147">
        <f ca="1"/>
        <v>47444</v>
      </c>
      <c r="M2205" s="92">
        <f t="shared" ca="1" si="79"/>
        <v>6.25</v>
      </c>
      <c r="N2205" s="143">
        <f ca="1">(PRODUCT($O$5:$O2205)-1)*36000/_xlfn.DAYS(L2205, $C$2)</f>
        <v>9.2761950139139024</v>
      </c>
      <c r="O2205" s="149">
        <f t="shared" ca="1" si="80"/>
        <v>1.000173611111111</v>
      </c>
    </row>
    <row r="2206" spans="12:15" x14ac:dyDescent="0.25">
      <c r="L2206" s="147">
        <f ca="1"/>
        <v>47445</v>
      </c>
      <c r="M2206" s="92">
        <f t="shared" ca="1" si="79"/>
        <v>6.25</v>
      </c>
      <c r="N2206" s="143">
        <f ca="1">(PRODUCT($O$5:$O2206)-1)*36000/_xlfn.DAYS(L2206, $C$2)</f>
        <v>9.276430439248939</v>
      </c>
      <c r="O2206" s="149">
        <f t="shared" ca="1" si="80"/>
        <v>1.000173611111111</v>
      </c>
    </row>
    <row r="2207" spans="12:15" x14ac:dyDescent="0.25">
      <c r="L2207" s="147">
        <f ca="1"/>
        <v>47446</v>
      </c>
      <c r="M2207" s="92">
        <f t="shared" ca="1" si="79"/>
        <v>6.25</v>
      </c>
      <c r="N2207" s="143">
        <f ca="1">(PRODUCT($O$5:$O2207)-1)*36000/_xlfn.DAYS(L2207, $C$2)</f>
        <v>9.2766664227324078</v>
      </c>
      <c r="O2207" s="149">
        <f t="shared" ca="1" si="80"/>
        <v>1.000173611111111</v>
      </c>
    </row>
    <row r="2208" spans="12:15" x14ac:dyDescent="0.25">
      <c r="L2208" s="147">
        <f ca="1"/>
        <v>47447</v>
      </c>
      <c r="M2208" s="92">
        <f t="shared" ca="1" si="79"/>
        <v>6.25</v>
      </c>
      <c r="N2208" s="143">
        <f ca="1">(PRODUCT($O$5:$O2208)-1)*36000/_xlfn.DAYS(L2208, $C$2)</f>
        <v>9.276902963738527</v>
      </c>
      <c r="O2208" s="149">
        <f t="shared" ca="1" si="80"/>
        <v>1.000173611111111</v>
      </c>
    </row>
    <row r="2209" spans="12:15" x14ac:dyDescent="0.25">
      <c r="L2209" s="147">
        <f ca="1"/>
        <v>47448</v>
      </c>
      <c r="M2209" s="92">
        <f t="shared" ca="1" si="79"/>
        <v>6.25</v>
      </c>
      <c r="N2209" s="143">
        <f ca="1">(PRODUCT($O$5:$O2209)-1)*36000/_xlfn.DAYS(L2209, $C$2)</f>
        <v>9.2771400616426689</v>
      </c>
      <c r="O2209" s="149">
        <f t="shared" ca="1" si="80"/>
        <v>1.000173611111111</v>
      </c>
    </row>
    <row r="2210" spans="12:15" x14ac:dyDescent="0.25">
      <c r="L2210" s="147">
        <f ca="1"/>
        <v>47449</v>
      </c>
      <c r="M2210" s="92">
        <f t="shared" ca="1" si="79"/>
        <v>6.25</v>
      </c>
      <c r="N2210" s="143">
        <f ca="1">(PRODUCT($O$5:$O2210)-1)*36000/_xlfn.DAYS(L2210, $C$2)</f>
        <v>9.2773777158213644</v>
      </c>
      <c r="O2210" s="149">
        <f t="shared" ca="1" si="80"/>
        <v>1.000173611111111</v>
      </c>
    </row>
    <row r="2211" spans="12:15" x14ac:dyDescent="0.25">
      <c r="L2211" s="147">
        <f ca="1"/>
        <v>47450</v>
      </c>
      <c r="M2211" s="92">
        <f t="shared" ca="1" si="79"/>
        <v>6.25</v>
      </c>
      <c r="N2211" s="143">
        <f ca="1">(PRODUCT($O$5:$O2211)-1)*36000/_xlfn.DAYS(L2211, $C$2)</f>
        <v>9.277615925652297</v>
      </c>
      <c r="O2211" s="149">
        <f t="shared" ca="1" si="80"/>
        <v>1.000173611111111</v>
      </c>
    </row>
    <row r="2212" spans="12:15" x14ac:dyDescent="0.25">
      <c r="L2212" s="147">
        <f ca="1"/>
        <v>47451</v>
      </c>
      <c r="M2212" s="92">
        <f t="shared" ca="1" si="79"/>
        <v>6.25</v>
      </c>
      <c r="N2212" s="143">
        <f ca="1">(PRODUCT($O$5:$O2212)-1)*36000/_xlfn.DAYS(L2212, $C$2)</f>
        <v>9.2778546905142978</v>
      </c>
      <c r="O2212" s="149">
        <f t="shared" ca="1" si="80"/>
        <v>1.000173611111111</v>
      </c>
    </row>
    <row r="2213" spans="12:15" x14ac:dyDescent="0.25">
      <c r="L2213" s="147">
        <f ca="1"/>
        <v>47452</v>
      </c>
      <c r="M2213" s="92">
        <f t="shared" ca="1" si="79"/>
        <v>6.25</v>
      </c>
      <c r="N2213" s="143">
        <f ca="1">(PRODUCT($O$5:$O2213)-1)*36000/_xlfn.DAYS(L2213, $C$2)</f>
        <v>9.2780940097873543</v>
      </c>
      <c r="O2213" s="149">
        <f t="shared" ca="1" si="80"/>
        <v>1.000173611111111</v>
      </c>
    </row>
    <row r="2214" spans="12:15" x14ac:dyDescent="0.25">
      <c r="L2214" s="147">
        <f ca="1"/>
        <v>47453</v>
      </c>
      <c r="M2214" s="92">
        <f t="shared" ca="1" si="79"/>
        <v>6.25</v>
      </c>
      <c r="N2214" s="143">
        <f ca="1">(PRODUCT($O$5:$O2214)-1)*36000/_xlfn.DAYS(L2214, $C$2)</f>
        <v>9.2783338828525892</v>
      </c>
      <c r="O2214" s="149">
        <f t="shared" ca="1" si="80"/>
        <v>1.000173611111111</v>
      </c>
    </row>
    <row r="2215" spans="12:15" x14ac:dyDescent="0.25">
      <c r="L2215" s="147">
        <f ca="1"/>
        <v>47454</v>
      </c>
      <c r="M2215" s="92">
        <f t="shared" ca="1" si="79"/>
        <v>6.25</v>
      </c>
      <c r="N2215" s="143">
        <f ca="1">(PRODUCT($O$5:$O2215)-1)*36000/_xlfn.DAYS(L2215, $C$2)</f>
        <v>9.2785743090922743</v>
      </c>
      <c r="O2215" s="149">
        <f t="shared" ca="1" si="80"/>
        <v>1.000173611111111</v>
      </c>
    </row>
    <row r="2216" spans="12:15" x14ac:dyDescent="0.25">
      <c r="L2216" s="147">
        <f ca="1"/>
        <v>47455</v>
      </c>
      <c r="M2216" s="92">
        <f t="shared" ca="1" si="79"/>
        <v>6.25</v>
      </c>
      <c r="N2216" s="143">
        <f ca="1">(PRODUCT($O$5:$O2216)-1)*36000/_xlfn.DAYS(L2216, $C$2)</f>
        <v>9.278815287889822</v>
      </c>
      <c r="O2216" s="149">
        <f t="shared" ca="1" si="80"/>
        <v>1.000173611111111</v>
      </c>
    </row>
    <row r="2217" spans="12:15" x14ac:dyDescent="0.25">
      <c r="L2217" s="147">
        <f ca="1"/>
        <v>47456</v>
      </c>
      <c r="M2217" s="92">
        <f t="shared" ca="1" si="79"/>
        <v>6.25</v>
      </c>
      <c r="N2217" s="143">
        <f ca="1">(PRODUCT($O$5:$O2217)-1)*36000/_xlfn.DAYS(L2217, $C$2)</f>
        <v>9.2790568186297779</v>
      </c>
      <c r="O2217" s="149">
        <f t="shared" ca="1" si="80"/>
        <v>1.000173611111111</v>
      </c>
    </row>
    <row r="2218" spans="12:15" x14ac:dyDescent="0.25">
      <c r="L2218" s="147">
        <f ca="1"/>
        <v>47457</v>
      </c>
      <c r="M2218" s="92">
        <f t="shared" ca="1" si="79"/>
        <v>6.25</v>
      </c>
      <c r="N2218" s="143">
        <f ca="1">(PRODUCT($O$5:$O2218)-1)*36000/_xlfn.DAYS(L2218, $C$2)</f>
        <v>9.2792989006978299</v>
      </c>
      <c r="O2218" s="149">
        <f t="shared" ca="1" si="80"/>
        <v>1.000173611111111</v>
      </c>
    </row>
    <row r="2219" spans="12:15" x14ac:dyDescent="0.25">
      <c r="L2219" s="147">
        <f ca="1"/>
        <v>47458</v>
      </c>
      <c r="M2219" s="92">
        <f t="shared" ca="1" si="79"/>
        <v>6.25</v>
      </c>
      <c r="N2219" s="143">
        <f ca="1">(PRODUCT($O$5:$O2219)-1)*36000/_xlfn.DAYS(L2219, $C$2)</f>
        <v>9.2795415334807867</v>
      </c>
      <c r="O2219" s="149">
        <f t="shared" ca="1" si="80"/>
        <v>1.000173611111111</v>
      </c>
    </row>
    <row r="2220" spans="12:15" x14ac:dyDescent="0.25">
      <c r="L2220" s="147">
        <f ca="1"/>
        <v>47459</v>
      </c>
      <c r="M2220" s="92">
        <f t="shared" ca="1" si="79"/>
        <v>6.25</v>
      </c>
      <c r="N2220" s="143">
        <f ca="1">(PRODUCT($O$5:$O2220)-1)*36000/_xlfn.DAYS(L2220, $C$2)</f>
        <v>9.2797847163665974</v>
      </c>
      <c r="O2220" s="149">
        <f t="shared" ca="1" si="80"/>
        <v>1.000173611111111</v>
      </c>
    </row>
    <row r="2221" spans="12:15" x14ac:dyDescent="0.25">
      <c r="L2221" s="147">
        <f ca="1"/>
        <v>47460</v>
      </c>
      <c r="M2221" s="92">
        <f t="shared" ca="1" si="79"/>
        <v>6.25</v>
      </c>
      <c r="N2221" s="143">
        <f ca="1">(PRODUCT($O$5:$O2221)-1)*36000/_xlfn.DAYS(L2221, $C$2)</f>
        <v>9.280028448744341</v>
      </c>
      <c r="O2221" s="149">
        <f t="shared" ca="1" si="80"/>
        <v>1.000173611111111</v>
      </c>
    </row>
    <row r="2222" spans="12:15" x14ac:dyDescent="0.25">
      <c r="L2222" s="147">
        <f ca="1"/>
        <v>47461</v>
      </c>
      <c r="M2222" s="92">
        <f t="shared" ca="1" si="79"/>
        <v>6.25</v>
      </c>
      <c r="N2222" s="143">
        <f ca="1">(PRODUCT($O$5:$O2222)-1)*36000/_xlfn.DAYS(L2222, $C$2)</f>
        <v>9.28027273000421</v>
      </c>
      <c r="O2222" s="149">
        <f t="shared" ca="1" si="80"/>
        <v>1.000173611111111</v>
      </c>
    </row>
    <row r="2223" spans="12:15" x14ac:dyDescent="0.25">
      <c r="L2223" s="147">
        <f ca="1"/>
        <v>47462</v>
      </c>
      <c r="M2223" s="92">
        <f t="shared" ca="1" si="79"/>
        <v>6.25</v>
      </c>
      <c r="N2223" s="143">
        <f ca="1">(PRODUCT($O$5:$O2223)-1)*36000/_xlfn.DAYS(L2223, $C$2)</f>
        <v>9.2805175595375271</v>
      </c>
      <c r="O2223" s="149">
        <f t="shared" ca="1" si="80"/>
        <v>1.000173611111111</v>
      </c>
    </row>
    <row r="2224" spans="12:15" x14ac:dyDescent="0.25">
      <c r="L2224" s="147">
        <f ca="1"/>
        <v>47463</v>
      </c>
      <c r="M2224" s="92">
        <f t="shared" ca="1" si="79"/>
        <v>6.25</v>
      </c>
      <c r="N2224" s="143">
        <f ca="1">(PRODUCT($O$5:$O2224)-1)*36000/_xlfn.DAYS(L2224, $C$2)</f>
        <v>9.2807629367367301</v>
      </c>
      <c r="O2224" s="149">
        <f t="shared" ca="1" si="80"/>
        <v>1.000173611111111</v>
      </c>
    </row>
    <row r="2225" spans="12:15" x14ac:dyDescent="0.25">
      <c r="L2225" s="147">
        <f ca="1"/>
        <v>47464</v>
      </c>
      <c r="M2225" s="92">
        <f t="shared" ca="1" si="79"/>
        <v>6.25</v>
      </c>
      <c r="N2225" s="143">
        <f ca="1">(PRODUCT($O$5:$O2225)-1)*36000/_xlfn.DAYS(L2225, $C$2)</f>
        <v>9.2810088609953816</v>
      </c>
      <c r="O2225" s="149">
        <f t="shared" ca="1" si="80"/>
        <v>1.000173611111111</v>
      </c>
    </row>
    <row r="2226" spans="12:15" x14ac:dyDescent="0.25">
      <c r="L2226" s="147">
        <f ca="1"/>
        <v>47465</v>
      </c>
      <c r="M2226" s="92">
        <f t="shared" ca="1" si="79"/>
        <v>6.25</v>
      </c>
      <c r="N2226" s="143">
        <f ca="1">(PRODUCT($O$5:$O2226)-1)*36000/_xlfn.DAYS(L2226, $C$2)</f>
        <v>9.281255331708147</v>
      </c>
      <c r="O2226" s="149">
        <f t="shared" ca="1" si="80"/>
        <v>1.000173611111111</v>
      </c>
    </row>
    <row r="2227" spans="12:15" x14ac:dyDescent="0.25">
      <c r="L2227" s="147">
        <f ca="1"/>
        <v>47466</v>
      </c>
      <c r="M2227" s="92">
        <f t="shared" ca="1" si="79"/>
        <v>6.25</v>
      </c>
      <c r="N2227" s="143">
        <f ca="1">(PRODUCT($O$5:$O2227)-1)*36000/_xlfn.DAYS(L2227, $C$2)</f>
        <v>9.2815023482708163</v>
      </c>
      <c r="O2227" s="149">
        <f t="shared" ca="1" si="80"/>
        <v>1.000173611111111</v>
      </c>
    </row>
    <row r="2228" spans="12:15" x14ac:dyDescent="0.25">
      <c r="L2228" s="147">
        <f ca="1"/>
        <v>47467</v>
      </c>
      <c r="M2228" s="92">
        <f t="shared" ca="1" si="79"/>
        <v>6.25</v>
      </c>
      <c r="N2228" s="143">
        <f ca="1">(PRODUCT($O$5:$O2228)-1)*36000/_xlfn.DAYS(L2228, $C$2)</f>
        <v>9.281749910080288</v>
      </c>
      <c r="O2228" s="149">
        <f t="shared" ca="1" si="80"/>
        <v>1.000173611111111</v>
      </c>
    </row>
    <row r="2229" spans="12:15" x14ac:dyDescent="0.25">
      <c r="L2229" s="147">
        <f ca="1"/>
        <v>47468</v>
      </c>
      <c r="M2229" s="92">
        <f t="shared" ca="1" si="79"/>
        <v>6.25</v>
      </c>
      <c r="N2229" s="143">
        <f ca="1">(PRODUCT($O$5:$O2229)-1)*36000/_xlfn.DAYS(L2229, $C$2)</f>
        <v>9.2819980165345566</v>
      </c>
      <c r="O2229" s="149">
        <f t="shared" ca="1" si="80"/>
        <v>1.000173611111111</v>
      </c>
    </row>
    <row r="2230" spans="12:15" x14ac:dyDescent="0.25">
      <c r="L2230" s="147">
        <f ca="1"/>
        <v>47469</v>
      </c>
      <c r="M2230" s="92">
        <f t="shared" ca="1" si="79"/>
        <v>6.25</v>
      </c>
      <c r="N2230" s="143">
        <f ca="1">(PRODUCT($O$5:$O2230)-1)*36000/_xlfn.DAYS(L2230, $C$2)</f>
        <v>9.2822466670327355</v>
      </c>
      <c r="O2230" s="149">
        <f t="shared" ca="1" si="80"/>
        <v>1.000173611111111</v>
      </c>
    </row>
    <row r="2231" spans="12:15" x14ac:dyDescent="0.25">
      <c r="L2231" s="147">
        <f ca="1"/>
        <v>47470</v>
      </c>
      <c r="M2231" s="92">
        <f t="shared" ca="1" si="79"/>
        <v>6.25</v>
      </c>
      <c r="N2231" s="143">
        <f ca="1">(PRODUCT($O$5:$O2231)-1)*36000/_xlfn.DAYS(L2231, $C$2)</f>
        <v>9.282495860975029</v>
      </c>
      <c r="O2231" s="149">
        <f t="shared" ca="1" si="80"/>
        <v>1.000173611111111</v>
      </c>
    </row>
    <row r="2232" spans="12:15" x14ac:dyDescent="0.25">
      <c r="L2232" s="147">
        <f ca="1"/>
        <v>47471</v>
      </c>
      <c r="M2232" s="92">
        <f t="shared" ca="1" si="79"/>
        <v>6.25</v>
      </c>
      <c r="N2232" s="143">
        <f ca="1">(PRODUCT($O$5:$O2232)-1)*36000/_xlfn.DAYS(L2232, $C$2)</f>
        <v>9.2827455977627515</v>
      </c>
      <c r="O2232" s="149">
        <f t="shared" ca="1" si="80"/>
        <v>1.000173611111111</v>
      </c>
    </row>
    <row r="2233" spans="12:15" x14ac:dyDescent="0.25">
      <c r="L2233" s="147">
        <f ca="1"/>
        <v>47472</v>
      </c>
      <c r="M2233" s="92">
        <f t="shared" ca="1" si="79"/>
        <v>6.25</v>
      </c>
      <c r="N2233" s="143">
        <f ca="1">(PRODUCT($O$5:$O2233)-1)*36000/_xlfn.DAYS(L2233, $C$2)</f>
        <v>9.2829958767983101</v>
      </c>
      <c r="O2233" s="149">
        <f t="shared" ca="1" si="80"/>
        <v>1.000173611111111</v>
      </c>
    </row>
    <row r="2234" spans="12:15" x14ac:dyDescent="0.25">
      <c r="L2234" s="147">
        <f ca="1"/>
        <v>47473</v>
      </c>
      <c r="M2234" s="92">
        <f t="shared" ca="1" si="79"/>
        <v>6.25</v>
      </c>
      <c r="N2234" s="143">
        <f ca="1">(PRODUCT($O$5:$O2234)-1)*36000/_xlfn.DAYS(L2234, $C$2)</f>
        <v>9.2832466974852021</v>
      </c>
      <c r="O2234" s="149">
        <f t="shared" ca="1" si="80"/>
        <v>1.000173611111111</v>
      </c>
    </row>
    <row r="2235" spans="12:15" x14ac:dyDescent="0.25">
      <c r="L2235" s="147">
        <f ca="1"/>
        <v>47474</v>
      </c>
      <c r="M2235" s="92">
        <f t="shared" ca="1" si="79"/>
        <v>6.25</v>
      </c>
      <c r="N2235" s="143">
        <f ca="1">(PRODUCT($O$5:$O2235)-1)*36000/_xlfn.DAYS(L2235, $C$2)</f>
        <v>9.2834980592280267</v>
      </c>
      <c r="O2235" s="149">
        <f t="shared" ca="1" si="80"/>
        <v>1.000173611111111</v>
      </c>
    </row>
    <row r="2236" spans="12:15" x14ac:dyDescent="0.25">
      <c r="L2236" s="147">
        <f ca="1"/>
        <v>47475</v>
      </c>
      <c r="M2236" s="92">
        <f t="shared" ca="1" si="79"/>
        <v>6.25</v>
      </c>
      <c r="N2236" s="143">
        <f ca="1">(PRODUCT($O$5:$O2236)-1)*36000/_xlfn.DAYS(L2236, $C$2)</f>
        <v>9.2837499614324628</v>
      </c>
      <c r="O2236" s="149">
        <f t="shared" ca="1" si="80"/>
        <v>1.000173611111111</v>
      </c>
    </row>
    <row r="2237" spans="12:15" x14ac:dyDescent="0.25">
      <c r="L2237" s="147">
        <f ca="1"/>
        <v>47476</v>
      </c>
      <c r="M2237" s="92">
        <f t="shared" ca="1" si="79"/>
        <v>6.25</v>
      </c>
      <c r="N2237" s="143">
        <f ca="1">(PRODUCT($O$5:$O2237)-1)*36000/_xlfn.DAYS(L2237, $C$2)</f>
        <v>9.284002403505287</v>
      </c>
      <c r="O2237" s="149">
        <f t="shared" ca="1" si="80"/>
        <v>1.000173611111111</v>
      </c>
    </row>
    <row r="2238" spans="12:15" x14ac:dyDescent="0.25">
      <c r="L2238" s="147">
        <f ca="1"/>
        <v>47477</v>
      </c>
      <c r="M2238" s="92">
        <f t="shared" ca="1" si="79"/>
        <v>6.25</v>
      </c>
      <c r="N2238" s="143">
        <f ca="1">(PRODUCT($O$5:$O2238)-1)*36000/_xlfn.DAYS(L2238, $C$2)</f>
        <v>9.2842553848543581</v>
      </c>
      <c r="O2238" s="149">
        <f t="shared" ca="1" si="80"/>
        <v>1.000173611111111</v>
      </c>
    </row>
    <row r="2239" spans="12:15" x14ac:dyDescent="0.25">
      <c r="L2239" s="147">
        <f ca="1"/>
        <v>47478</v>
      </c>
      <c r="M2239" s="92">
        <f t="shared" ca="1" si="79"/>
        <v>6.25</v>
      </c>
      <c r="N2239" s="143">
        <f ca="1">(PRODUCT($O$5:$O2239)-1)*36000/_xlfn.DAYS(L2239, $C$2)</f>
        <v>9.2845089048886127</v>
      </c>
      <c r="O2239" s="149">
        <f t="shared" ca="1" si="80"/>
        <v>1.000173611111111</v>
      </c>
    </row>
    <row r="2240" spans="12:15" x14ac:dyDescent="0.25">
      <c r="L2240" s="147">
        <f ca="1"/>
        <v>47479</v>
      </c>
      <c r="M2240" s="92">
        <f t="shared" ca="1" si="79"/>
        <v>6.25</v>
      </c>
      <c r="N2240" s="143">
        <f ca="1">(PRODUCT($O$5:$O2240)-1)*36000/_xlfn.DAYS(L2240, $C$2)</f>
        <v>9.2847629630180712</v>
      </c>
      <c r="O2240" s="149">
        <f t="shared" ca="1" si="80"/>
        <v>1.000173611111111</v>
      </c>
    </row>
    <row r="2241" spans="12:15" x14ac:dyDescent="0.25">
      <c r="L2241" s="147">
        <f ca="1"/>
        <v>47480</v>
      </c>
      <c r="M2241" s="92">
        <f t="shared" ca="1" si="79"/>
        <v>6.25</v>
      </c>
      <c r="N2241" s="143">
        <f ca="1">(PRODUCT($O$5:$O2241)-1)*36000/_xlfn.DAYS(L2241, $C$2)</f>
        <v>9.2850175586538377</v>
      </c>
      <c r="O2241" s="149">
        <f t="shared" ca="1" si="80"/>
        <v>1.000173611111111</v>
      </c>
    </row>
    <row r="2242" spans="12:15" x14ac:dyDescent="0.25">
      <c r="L2242" s="147">
        <f ca="1"/>
        <v>47481</v>
      </c>
      <c r="M2242" s="92">
        <f t="shared" ca="1" si="79"/>
        <v>6.25</v>
      </c>
      <c r="N2242" s="143">
        <f ca="1">(PRODUCT($O$5:$O2242)-1)*36000/_xlfn.DAYS(L2242, $C$2)</f>
        <v>9.2852726912080801</v>
      </c>
      <c r="O2242" s="149">
        <f t="shared" ca="1" si="80"/>
        <v>1.000173611111111</v>
      </c>
    </row>
    <row r="2243" spans="12:15" x14ac:dyDescent="0.25">
      <c r="L2243" s="147">
        <f ca="1"/>
        <v>47482</v>
      </c>
      <c r="M2243" s="92">
        <f t="shared" ca="1" si="79"/>
        <v>6.25</v>
      </c>
      <c r="N2243" s="143">
        <f ca="1">(PRODUCT($O$5:$O2243)-1)*36000/_xlfn.DAYS(L2243, $C$2)</f>
        <v>9.2855283600940481</v>
      </c>
      <c r="O2243" s="149">
        <f t="shared" ca="1" si="80"/>
        <v>1.000173611111111</v>
      </c>
    </row>
    <row r="2244" spans="12:15" x14ac:dyDescent="0.25">
      <c r="L2244" s="147">
        <f ca="1"/>
        <v>47483</v>
      </c>
      <c r="M2244" s="92">
        <f t="shared" ca="1" si="79"/>
        <v>6.25</v>
      </c>
      <c r="N2244" s="143">
        <f ca="1">(PRODUCT($O$5:$O2244)-1)*36000/_xlfn.DAYS(L2244, $C$2)</f>
        <v>9.2857845647260628</v>
      </c>
      <c r="O2244" s="149">
        <f t="shared" ca="1" si="80"/>
        <v>1.000173611111111</v>
      </c>
    </row>
    <row r="2245" spans="12:15" x14ac:dyDescent="0.25">
      <c r="L2245" s="147">
        <f ca="1"/>
        <v>47484</v>
      </c>
      <c r="M2245" s="92">
        <f t="shared" ref="M2245:M2308" ca="1" si="81">IFERROR(INDEX($E$27:$H$47, MATCH(L2245, $F$27:$F$47, 0), 4), IF(ISNUMBER(M2244), M2244, $C$5))</f>
        <v>6.25</v>
      </c>
      <c r="N2245" s="143">
        <f ca="1">(PRODUCT($O$5:$O2245)-1)*36000/_xlfn.DAYS(L2245, $C$2)</f>
        <v>9.2860413045195038</v>
      </c>
      <c r="O2245" s="149">
        <f t="shared" ca="1" si="80"/>
        <v>1.000173611111111</v>
      </c>
    </row>
    <row r="2246" spans="12:15" x14ac:dyDescent="0.25">
      <c r="L2246" s="147">
        <f ca="1"/>
        <v>47485</v>
      </c>
      <c r="M2246" s="92">
        <f t="shared" ca="1" si="81"/>
        <v>6.25</v>
      </c>
      <c r="N2246" s="143">
        <f ca="1">(PRODUCT($O$5:$O2246)-1)*36000/_xlfn.DAYS(L2246, $C$2)</f>
        <v>9.2862985788908308</v>
      </c>
      <c r="O2246" s="149">
        <f t="shared" ref="O2246:O2309" ca="1" si="82">1+M2246*IFERROR(_xlfn.DAYS(L2246, L2245), _xlfn.DAYS(L2246, $C$2))/36000</f>
        <v>1.000173611111111</v>
      </c>
    </row>
    <row r="2247" spans="12:15" x14ac:dyDescent="0.25">
      <c r="L2247" s="147">
        <f ca="1"/>
        <v>47486</v>
      </c>
      <c r="M2247" s="92">
        <f t="shared" ca="1" si="81"/>
        <v>6.25</v>
      </c>
      <c r="N2247" s="143">
        <f ca="1">(PRODUCT($O$5:$O2247)-1)*36000/_xlfn.DAYS(L2247, $C$2)</f>
        <v>9.2865563872575603</v>
      </c>
      <c r="O2247" s="149">
        <f t="shared" ca="1" si="82"/>
        <v>1.000173611111111</v>
      </c>
    </row>
    <row r="2248" spans="12:15" x14ac:dyDescent="0.25">
      <c r="L2248" s="147">
        <f ca="1"/>
        <v>47487</v>
      </c>
      <c r="M2248" s="92">
        <f t="shared" ca="1" si="81"/>
        <v>6.25</v>
      </c>
      <c r="N2248" s="143">
        <f ca="1">(PRODUCT($O$5:$O2248)-1)*36000/_xlfn.DAYS(L2248, $C$2)</f>
        <v>9.2868147290382623</v>
      </c>
      <c r="O2248" s="149">
        <f t="shared" ca="1" si="82"/>
        <v>1.000173611111111</v>
      </c>
    </row>
    <row r="2249" spans="12:15" x14ac:dyDescent="0.25">
      <c r="L2249" s="147">
        <f ca="1"/>
        <v>47488</v>
      </c>
      <c r="M2249" s="92">
        <f t="shared" ca="1" si="81"/>
        <v>6.25</v>
      </c>
      <c r="N2249" s="143">
        <f ca="1">(PRODUCT($O$5:$O2249)-1)*36000/_xlfn.DAYS(L2249, $C$2)</f>
        <v>9.2870736036525816</v>
      </c>
      <c r="O2249" s="149">
        <f t="shared" ca="1" si="82"/>
        <v>1.000173611111111</v>
      </c>
    </row>
    <row r="2250" spans="12:15" x14ac:dyDescent="0.25">
      <c r="L2250" s="147">
        <f ca="1"/>
        <v>47489</v>
      </c>
      <c r="M2250" s="92">
        <f t="shared" ca="1" si="81"/>
        <v>6.25</v>
      </c>
      <c r="N2250" s="143">
        <f ca="1">(PRODUCT($O$5:$O2250)-1)*36000/_xlfn.DAYS(L2250, $C$2)</f>
        <v>9.2873330105212073</v>
      </c>
      <c r="O2250" s="149">
        <f t="shared" ca="1" si="82"/>
        <v>1.000173611111111</v>
      </c>
    </row>
    <row r="2251" spans="12:15" x14ac:dyDescent="0.25">
      <c r="L2251" s="147">
        <f ca="1"/>
        <v>47490</v>
      </c>
      <c r="M2251" s="92">
        <f t="shared" ca="1" si="81"/>
        <v>6.25</v>
      </c>
      <c r="N2251" s="143">
        <f ca="1">(PRODUCT($O$5:$O2251)-1)*36000/_xlfn.DAYS(L2251, $C$2)</f>
        <v>9.2875929490658873</v>
      </c>
      <c r="O2251" s="149">
        <f t="shared" ca="1" si="82"/>
        <v>1.000173611111111</v>
      </c>
    </row>
    <row r="2252" spans="12:15" x14ac:dyDescent="0.25">
      <c r="L2252" s="147">
        <f ca="1"/>
        <v>47491</v>
      </c>
      <c r="M2252" s="92">
        <f t="shared" ca="1" si="81"/>
        <v>6.25</v>
      </c>
      <c r="N2252" s="143">
        <f ca="1">(PRODUCT($O$5:$O2252)-1)*36000/_xlfn.DAYS(L2252, $C$2)</f>
        <v>9.2878534187094228</v>
      </c>
      <c r="O2252" s="149">
        <f t="shared" ca="1" si="82"/>
        <v>1.000173611111111</v>
      </c>
    </row>
    <row r="2253" spans="12:15" x14ac:dyDescent="0.25">
      <c r="L2253" s="147">
        <f ca="1"/>
        <v>47492</v>
      </c>
      <c r="M2253" s="92">
        <f t="shared" ca="1" si="81"/>
        <v>6.25</v>
      </c>
      <c r="N2253" s="143">
        <f ca="1">(PRODUCT($O$5:$O2253)-1)*36000/_xlfn.DAYS(L2253, $C$2)</f>
        <v>9.2881144188756579</v>
      </c>
      <c r="O2253" s="149">
        <f t="shared" ca="1" si="82"/>
        <v>1.000173611111111</v>
      </c>
    </row>
    <row r="2254" spans="12:15" x14ac:dyDescent="0.25">
      <c r="L2254" s="147">
        <f ca="1"/>
        <v>47493</v>
      </c>
      <c r="M2254" s="92">
        <f t="shared" ca="1" si="81"/>
        <v>6.25</v>
      </c>
      <c r="N2254" s="143">
        <f ca="1">(PRODUCT($O$5:$O2254)-1)*36000/_xlfn.DAYS(L2254, $C$2)</f>
        <v>9.2883759489894935</v>
      </c>
      <c r="O2254" s="149">
        <f t="shared" ca="1" si="82"/>
        <v>1.000173611111111</v>
      </c>
    </row>
    <row r="2255" spans="12:15" x14ac:dyDescent="0.25">
      <c r="L2255" s="147">
        <f ca="1"/>
        <v>47494</v>
      </c>
      <c r="M2255" s="92">
        <f t="shared" ca="1" si="81"/>
        <v>6.25</v>
      </c>
      <c r="N2255" s="143">
        <f ca="1">(PRODUCT($O$5:$O2255)-1)*36000/_xlfn.DAYS(L2255, $C$2)</f>
        <v>9.2886380084768678</v>
      </c>
      <c r="O2255" s="149">
        <f t="shared" ca="1" si="82"/>
        <v>1.000173611111111</v>
      </c>
    </row>
    <row r="2256" spans="12:15" x14ac:dyDescent="0.25">
      <c r="L2256" s="147">
        <f ca="1"/>
        <v>47495</v>
      </c>
      <c r="M2256" s="92">
        <f t="shared" ca="1" si="81"/>
        <v>6.25</v>
      </c>
      <c r="N2256" s="143">
        <f ca="1">(PRODUCT($O$5:$O2256)-1)*36000/_xlfn.DAYS(L2256, $C$2)</f>
        <v>9.2889005967647655</v>
      </c>
      <c r="O2256" s="149">
        <f t="shared" ca="1" si="82"/>
        <v>1.000173611111111</v>
      </c>
    </row>
    <row r="2257" spans="12:15" x14ac:dyDescent="0.25">
      <c r="L2257" s="147">
        <f ca="1"/>
        <v>47496</v>
      </c>
      <c r="M2257" s="92">
        <f t="shared" ca="1" si="81"/>
        <v>6.25</v>
      </c>
      <c r="N2257" s="143">
        <f ca="1">(PRODUCT($O$5:$O2257)-1)*36000/_xlfn.DAYS(L2257, $C$2)</f>
        <v>9.2891637132812086</v>
      </c>
      <c r="O2257" s="149">
        <f t="shared" ca="1" si="82"/>
        <v>1.000173611111111</v>
      </c>
    </row>
    <row r="2258" spans="12:15" x14ac:dyDescent="0.25">
      <c r="L2258" s="147">
        <f ca="1"/>
        <v>47497</v>
      </c>
      <c r="M2258" s="92">
        <f t="shared" ca="1" si="81"/>
        <v>6.25</v>
      </c>
      <c r="N2258" s="143">
        <f ca="1">(PRODUCT($O$5:$O2258)-1)*36000/_xlfn.DAYS(L2258, $C$2)</f>
        <v>9.2894273574552599</v>
      </c>
      <c r="O2258" s="149">
        <f t="shared" ca="1" si="82"/>
        <v>1.000173611111111</v>
      </c>
    </row>
    <row r="2259" spans="12:15" x14ac:dyDescent="0.25">
      <c r="L2259" s="147">
        <f ca="1"/>
        <v>47498</v>
      </c>
      <c r="M2259" s="92">
        <f t="shared" ca="1" si="81"/>
        <v>6.25</v>
      </c>
      <c r="N2259" s="143">
        <f ca="1">(PRODUCT($O$5:$O2259)-1)*36000/_xlfn.DAYS(L2259, $C$2)</f>
        <v>9.2896915287170199</v>
      </c>
      <c r="O2259" s="149">
        <f t="shared" ca="1" si="82"/>
        <v>1.000173611111111</v>
      </c>
    </row>
    <row r="2260" spans="12:15" x14ac:dyDescent="0.25">
      <c r="L2260" s="147">
        <f ca="1"/>
        <v>47499</v>
      </c>
      <c r="M2260" s="92">
        <f t="shared" ca="1" si="81"/>
        <v>6.25</v>
      </c>
      <c r="N2260" s="143">
        <f ca="1">(PRODUCT($O$5:$O2260)-1)*36000/_xlfn.DAYS(L2260, $C$2)</f>
        <v>9.2899562264976154</v>
      </c>
      <c r="O2260" s="149">
        <f t="shared" ca="1" si="82"/>
        <v>1.000173611111111</v>
      </c>
    </row>
    <row r="2261" spans="12:15" x14ac:dyDescent="0.25">
      <c r="L2261" s="147">
        <f ca="1"/>
        <v>47500</v>
      </c>
      <c r="M2261" s="92">
        <f t="shared" ca="1" si="81"/>
        <v>6.25</v>
      </c>
      <c r="N2261" s="143">
        <f ca="1">(PRODUCT($O$5:$O2261)-1)*36000/_xlfn.DAYS(L2261, $C$2)</f>
        <v>9.2902214502292075</v>
      </c>
      <c r="O2261" s="149">
        <f t="shared" ca="1" si="82"/>
        <v>1.000173611111111</v>
      </c>
    </row>
    <row r="2262" spans="12:15" x14ac:dyDescent="0.25">
      <c r="L2262" s="147">
        <f ca="1"/>
        <v>47501</v>
      </c>
      <c r="M2262" s="92">
        <f t="shared" ca="1" si="81"/>
        <v>6.25</v>
      </c>
      <c r="N2262" s="143">
        <f ca="1">(PRODUCT($O$5:$O2262)-1)*36000/_xlfn.DAYS(L2262, $C$2)</f>
        <v>9.2904871993449945</v>
      </c>
      <c r="O2262" s="149">
        <f t="shared" ca="1" si="82"/>
        <v>1.000173611111111</v>
      </c>
    </row>
    <row r="2263" spans="12:15" x14ac:dyDescent="0.25">
      <c r="L2263" s="147">
        <f ca="1"/>
        <v>47502</v>
      </c>
      <c r="M2263" s="92">
        <f t="shared" ca="1" si="81"/>
        <v>6.25</v>
      </c>
      <c r="N2263" s="143">
        <f ca="1">(PRODUCT($O$5:$O2263)-1)*36000/_xlfn.DAYS(L2263, $C$2)</f>
        <v>9.2907534732791852</v>
      </c>
      <c r="O2263" s="149">
        <f t="shared" ca="1" si="82"/>
        <v>1.000173611111111</v>
      </c>
    </row>
    <row r="2264" spans="12:15" x14ac:dyDescent="0.25">
      <c r="L2264" s="147">
        <f ca="1"/>
        <v>47503</v>
      </c>
      <c r="M2264" s="92">
        <f t="shared" ca="1" si="81"/>
        <v>6.25</v>
      </c>
      <c r="N2264" s="143">
        <f ca="1">(PRODUCT($O$5:$O2264)-1)*36000/_xlfn.DAYS(L2264, $C$2)</f>
        <v>9.2910202714670245</v>
      </c>
      <c r="O2264" s="149">
        <f t="shared" ca="1" si="82"/>
        <v>1.000173611111111</v>
      </c>
    </row>
    <row r="2265" spans="12:15" x14ac:dyDescent="0.25">
      <c r="L2265" s="147">
        <f ca="1"/>
        <v>47504</v>
      </c>
      <c r="M2265" s="92">
        <f t="shared" ca="1" si="81"/>
        <v>6.25</v>
      </c>
      <c r="N2265" s="143">
        <f ca="1">(PRODUCT($O$5:$O2265)-1)*36000/_xlfn.DAYS(L2265, $C$2)</f>
        <v>9.2912875933447765</v>
      </c>
      <c r="O2265" s="149">
        <f t="shared" ca="1" si="82"/>
        <v>1.000173611111111</v>
      </c>
    </row>
    <row r="2266" spans="12:15" x14ac:dyDescent="0.25">
      <c r="L2266" s="147">
        <f ca="1"/>
        <v>47505</v>
      </c>
      <c r="M2266" s="92">
        <f t="shared" ca="1" si="81"/>
        <v>6.25</v>
      </c>
      <c r="N2266" s="143">
        <f ca="1">(PRODUCT($O$5:$O2266)-1)*36000/_xlfn.DAYS(L2266, $C$2)</f>
        <v>9.2915554383497234</v>
      </c>
      <c r="O2266" s="149">
        <f t="shared" ca="1" si="82"/>
        <v>1.000173611111111</v>
      </c>
    </row>
    <row r="2267" spans="12:15" x14ac:dyDescent="0.25">
      <c r="L2267" s="147">
        <f ca="1"/>
        <v>47506</v>
      </c>
      <c r="M2267" s="92">
        <f t="shared" ca="1" si="81"/>
        <v>6.25</v>
      </c>
      <c r="N2267" s="143">
        <f ca="1">(PRODUCT($O$5:$O2267)-1)*36000/_xlfn.DAYS(L2267, $C$2)</f>
        <v>9.2918238059201705</v>
      </c>
      <c r="O2267" s="149">
        <f t="shared" ca="1" si="82"/>
        <v>1.000173611111111</v>
      </c>
    </row>
    <row r="2268" spans="12:15" x14ac:dyDescent="0.25">
      <c r="L2268" s="147">
        <f ca="1"/>
        <v>47507</v>
      </c>
      <c r="M2268" s="92">
        <f t="shared" ca="1" si="81"/>
        <v>6.25</v>
      </c>
      <c r="N2268" s="143">
        <f ca="1">(PRODUCT($O$5:$O2268)-1)*36000/_xlfn.DAYS(L2268, $C$2)</f>
        <v>9.2920926954954286</v>
      </c>
      <c r="O2268" s="149">
        <f t="shared" ca="1" si="82"/>
        <v>1.000173611111111</v>
      </c>
    </row>
    <row r="2269" spans="12:15" x14ac:dyDescent="0.25">
      <c r="L2269" s="147">
        <f ca="1"/>
        <v>47508</v>
      </c>
      <c r="M2269" s="92">
        <f t="shared" ca="1" si="81"/>
        <v>6.25</v>
      </c>
      <c r="N2269" s="143">
        <f ca="1">(PRODUCT($O$5:$O2269)-1)*36000/_xlfn.DAYS(L2269, $C$2)</f>
        <v>9.2923621065158262</v>
      </c>
      <c r="O2269" s="149">
        <f t="shared" ca="1" si="82"/>
        <v>1.000173611111111</v>
      </c>
    </row>
    <row r="2270" spans="12:15" x14ac:dyDescent="0.25">
      <c r="L2270" s="147">
        <f ca="1"/>
        <v>47509</v>
      </c>
      <c r="M2270" s="92">
        <f t="shared" ca="1" si="81"/>
        <v>6.25</v>
      </c>
      <c r="N2270" s="143">
        <f ca="1">(PRODUCT($O$5:$O2270)-1)*36000/_xlfn.DAYS(L2270, $C$2)</f>
        <v>9.2926320384227061</v>
      </c>
      <c r="O2270" s="149">
        <f t="shared" ca="1" si="82"/>
        <v>1.000173611111111</v>
      </c>
    </row>
    <row r="2271" spans="12:15" x14ac:dyDescent="0.25">
      <c r="L2271" s="147">
        <f ca="1"/>
        <v>47510</v>
      </c>
      <c r="M2271" s="92">
        <f t="shared" ca="1" si="81"/>
        <v>6.25</v>
      </c>
      <c r="N2271" s="143">
        <f ca="1">(PRODUCT($O$5:$O2271)-1)*36000/_xlfn.DAYS(L2271, $C$2)</f>
        <v>9.292902490658415</v>
      </c>
      <c r="O2271" s="149">
        <f t="shared" ca="1" si="82"/>
        <v>1.000173611111111</v>
      </c>
    </row>
    <row r="2272" spans="12:15" x14ac:dyDescent="0.25">
      <c r="L2272" s="147">
        <f ca="1"/>
        <v>47511</v>
      </c>
      <c r="M2272" s="92">
        <f t="shared" ca="1" si="81"/>
        <v>6.25</v>
      </c>
      <c r="N2272" s="143">
        <f ca="1">(PRODUCT($O$5:$O2272)-1)*36000/_xlfn.DAYS(L2272, $C$2)</f>
        <v>9.2931734626663118</v>
      </c>
      <c r="O2272" s="149">
        <f t="shared" ca="1" si="82"/>
        <v>1.000173611111111</v>
      </c>
    </row>
    <row r="2273" spans="12:15" x14ac:dyDescent="0.25">
      <c r="L2273" s="147">
        <f ca="1"/>
        <v>47512</v>
      </c>
      <c r="M2273" s="92">
        <f t="shared" ca="1" si="81"/>
        <v>6.25</v>
      </c>
      <c r="N2273" s="143">
        <f ca="1">(PRODUCT($O$5:$O2273)-1)*36000/_xlfn.DAYS(L2273, $C$2)</f>
        <v>9.2934449538907504</v>
      </c>
      <c r="O2273" s="149">
        <f t="shared" ca="1" si="82"/>
        <v>1.000173611111111</v>
      </c>
    </row>
    <row r="2274" spans="12:15" x14ac:dyDescent="0.25">
      <c r="L2274" s="147">
        <f ca="1"/>
        <v>47513</v>
      </c>
      <c r="M2274" s="92">
        <f t="shared" ca="1" si="81"/>
        <v>6.25</v>
      </c>
      <c r="N2274" s="143">
        <f ca="1">(PRODUCT($O$5:$O2274)-1)*36000/_xlfn.DAYS(L2274, $C$2)</f>
        <v>9.2937169637770953</v>
      </c>
      <c r="O2274" s="149">
        <f t="shared" ca="1" si="82"/>
        <v>1.000173611111111</v>
      </c>
    </row>
    <row r="2275" spans="12:15" x14ac:dyDescent="0.25">
      <c r="L2275" s="147">
        <f ca="1"/>
        <v>47514</v>
      </c>
      <c r="M2275" s="92">
        <f t="shared" ca="1" si="81"/>
        <v>6.25</v>
      </c>
      <c r="N2275" s="143">
        <f ca="1">(PRODUCT($O$5:$O2275)-1)*36000/_xlfn.DAYS(L2275, $C$2)</f>
        <v>9.2939894917717094</v>
      </c>
      <c r="O2275" s="149">
        <f t="shared" ca="1" si="82"/>
        <v>1.000173611111111</v>
      </c>
    </row>
    <row r="2276" spans="12:15" x14ac:dyDescent="0.25">
      <c r="L2276" s="147">
        <f ca="1"/>
        <v>47515</v>
      </c>
      <c r="M2276" s="92">
        <f t="shared" ca="1" si="81"/>
        <v>6.25</v>
      </c>
      <c r="N2276" s="143">
        <f ca="1">(PRODUCT($O$5:$O2276)-1)*36000/_xlfn.DAYS(L2276, $C$2)</f>
        <v>9.294262537321945</v>
      </c>
      <c r="O2276" s="149">
        <f t="shared" ca="1" si="82"/>
        <v>1.000173611111111</v>
      </c>
    </row>
    <row r="2277" spans="12:15" x14ac:dyDescent="0.25">
      <c r="L2277" s="147">
        <f ca="1"/>
        <v>47516</v>
      </c>
      <c r="M2277" s="92">
        <f t="shared" ca="1" si="81"/>
        <v>6.25</v>
      </c>
      <c r="N2277" s="143">
        <f ca="1">(PRODUCT($O$5:$O2277)-1)*36000/_xlfn.DAYS(L2277, $C$2)</f>
        <v>9.2945360998761561</v>
      </c>
      <c r="O2277" s="149">
        <f t="shared" ca="1" si="82"/>
        <v>1.000173611111111</v>
      </c>
    </row>
    <row r="2278" spans="12:15" x14ac:dyDescent="0.25">
      <c r="L2278" s="147">
        <f ca="1"/>
        <v>47517</v>
      </c>
      <c r="M2278" s="92">
        <f t="shared" ca="1" si="81"/>
        <v>6.25</v>
      </c>
      <c r="N2278" s="143">
        <f ca="1">(PRODUCT($O$5:$O2278)-1)*36000/_xlfn.DAYS(L2278, $C$2)</f>
        <v>9.2948101788836954</v>
      </c>
      <c r="O2278" s="149">
        <f t="shared" ca="1" si="82"/>
        <v>1.000173611111111</v>
      </c>
    </row>
    <row r="2279" spans="12:15" x14ac:dyDescent="0.25">
      <c r="L2279" s="147">
        <f ca="1"/>
        <v>47518</v>
      </c>
      <c r="M2279" s="92">
        <f t="shared" ca="1" si="81"/>
        <v>6.25</v>
      </c>
      <c r="N2279" s="143">
        <f ca="1">(PRODUCT($O$5:$O2279)-1)*36000/_xlfn.DAYS(L2279, $C$2)</f>
        <v>9.2950847737948941</v>
      </c>
      <c r="O2279" s="149">
        <f t="shared" ca="1" si="82"/>
        <v>1.000173611111111</v>
      </c>
    </row>
    <row r="2280" spans="12:15" x14ac:dyDescent="0.25">
      <c r="L2280" s="147">
        <f ca="1"/>
        <v>47519</v>
      </c>
      <c r="M2280" s="92">
        <f t="shared" ca="1" si="81"/>
        <v>6.25</v>
      </c>
      <c r="N2280" s="143">
        <f ca="1">(PRODUCT($O$5:$O2280)-1)*36000/_xlfn.DAYS(L2280, $C$2)</f>
        <v>9.2953598840610869</v>
      </c>
      <c r="O2280" s="149">
        <f t="shared" ca="1" si="82"/>
        <v>1.000173611111111</v>
      </c>
    </row>
    <row r="2281" spans="12:15" x14ac:dyDescent="0.25">
      <c r="L2281" s="147">
        <f ca="1"/>
        <v>47520</v>
      </c>
      <c r="M2281" s="92">
        <f t="shared" ca="1" si="81"/>
        <v>6.25</v>
      </c>
      <c r="N2281" s="143">
        <f ca="1">(PRODUCT($O$5:$O2281)-1)*36000/_xlfn.DAYS(L2281, $C$2)</f>
        <v>9.2956355091345824</v>
      </c>
      <c r="O2281" s="149">
        <f t="shared" ca="1" si="82"/>
        <v>1.000173611111111</v>
      </c>
    </row>
    <row r="2282" spans="12:15" x14ac:dyDescent="0.25">
      <c r="L2282" s="147">
        <f ca="1"/>
        <v>47521</v>
      </c>
      <c r="M2282" s="92">
        <f t="shared" ca="1" si="81"/>
        <v>6.25</v>
      </c>
      <c r="N2282" s="143">
        <f ca="1">(PRODUCT($O$5:$O2282)-1)*36000/_xlfn.DAYS(L2282, $C$2)</f>
        <v>9.2959116484686763</v>
      </c>
      <c r="O2282" s="149">
        <f t="shared" ca="1" si="82"/>
        <v>1.000173611111111</v>
      </c>
    </row>
    <row r="2283" spans="12:15" x14ac:dyDescent="0.25">
      <c r="L2283" s="147">
        <f ca="1"/>
        <v>47522</v>
      </c>
      <c r="M2283" s="92">
        <f t="shared" ca="1" si="81"/>
        <v>6.25</v>
      </c>
      <c r="N2283" s="143">
        <f ca="1">(PRODUCT($O$5:$O2283)-1)*36000/_xlfn.DAYS(L2283, $C$2)</f>
        <v>9.296188301517649</v>
      </c>
      <c r="O2283" s="149">
        <f t="shared" ca="1" si="82"/>
        <v>1.000173611111111</v>
      </c>
    </row>
    <row r="2284" spans="12:15" x14ac:dyDescent="0.25">
      <c r="L2284" s="147">
        <f ca="1"/>
        <v>47523</v>
      </c>
      <c r="M2284" s="92">
        <f t="shared" ca="1" si="81"/>
        <v>6.25</v>
      </c>
      <c r="N2284" s="143">
        <f ca="1">(PRODUCT($O$5:$O2284)-1)*36000/_xlfn.DAYS(L2284, $C$2)</f>
        <v>9.2964654677367626</v>
      </c>
      <c r="O2284" s="149">
        <f t="shared" ca="1" si="82"/>
        <v>1.000173611111111</v>
      </c>
    </row>
    <row r="2285" spans="12:15" x14ac:dyDescent="0.25">
      <c r="L2285" s="147">
        <f ca="1"/>
        <v>47524</v>
      </c>
      <c r="M2285" s="92">
        <f t="shared" ca="1" si="81"/>
        <v>6.25</v>
      </c>
      <c r="N2285" s="143">
        <f ca="1">(PRODUCT($O$5:$O2285)-1)*36000/_xlfn.DAYS(L2285, $C$2)</f>
        <v>9.2967431465822568</v>
      </c>
      <c r="O2285" s="149">
        <f t="shared" ca="1" si="82"/>
        <v>1.000173611111111</v>
      </c>
    </row>
    <row r="2286" spans="12:15" x14ac:dyDescent="0.25">
      <c r="L2286" s="147">
        <f ca="1"/>
        <v>47525</v>
      </c>
      <c r="M2286" s="92">
        <f t="shared" ca="1" si="81"/>
        <v>6.25</v>
      </c>
      <c r="N2286" s="143">
        <f ca="1">(PRODUCT($O$5:$O2286)-1)*36000/_xlfn.DAYS(L2286, $C$2)</f>
        <v>9.2970213375113424</v>
      </c>
      <c r="O2286" s="149">
        <f t="shared" ca="1" si="82"/>
        <v>1.000173611111111</v>
      </c>
    </row>
    <row r="2287" spans="12:15" x14ac:dyDescent="0.25">
      <c r="L2287" s="147">
        <f ca="1"/>
        <v>47526</v>
      </c>
      <c r="M2287" s="92">
        <f t="shared" ca="1" si="81"/>
        <v>6.25</v>
      </c>
      <c r="N2287" s="143">
        <f ca="1">(PRODUCT($O$5:$O2287)-1)*36000/_xlfn.DAYS(L2287, $C$2)</f>
        <v>9.2973000399822112</v>
      </c>
      <c r="O2287" s="149">
        <f t="shared" ca="1" si="82"/>
        <v>1.000173611111111</v>
      </c>
    </row>
    <row r="2288" spans="12:15" x14ac:dyDescent="0.25">
      <c r="L2288" s="147">
        <f ca="1"/>
        <v>47527</v>
      </c>
      <c r="M2288" s="92">
        <f t="shared" ca="1" si="81"/>
        <v>6.25</v>
      </c>
      <c r="N2288" s="143">
        <f ca="1">(PRODUCT($O$5:$O2288)-1)*36000/_xlfn.DAYS(L2288, $C$2)</f>
        <v>9.2975792534540176</v>
      </c>
      <c r="O2288" s="149">
        <f t="shared" ca="1" si="82"/>
        <v>1.000173611111111</v>
      </c>
    </row>
    <row r="2289" spans="12:15" x14ac:dyDescent="0.25">
      <c r="L2289" s="147">
        <f ca="1"/>
        <v>47528</v>
      </c>
      <c r="M2289" s="92">
        <f t="shared" ca="1" si="81"/>
        <v>6.25</v>
      </c>
      <c r="N2289" s="143">
        <f ca="1">(PRODUCT($O$5:$O2289)-1)*36000/_xlfn.DAYS(L2289, $C$2)</f>
        <v>9.2978589773868965</v>
      </c>
      <c r="O2289" s="149">
        <f t="shared" ca="1" si="82"/>
        <v>1.000173611111111</v>
      </c>
    </row>
    <row r="2290" spans="12:15" x14ac:dyDescent="0.25">
      <c r="L2290" s="147">
        <f ca="1"/>
        <v>47529</v>
      </c>
      <c r="M2290" s="92">
        <f t="shared" ca="1" si="81"/>
        <v>6.25</v>
      </c>
      <c r="N2290" s="143">
        <f ca="1">(PRODUCT($O$5:$O2290)-1)*36000/_xlfn.DAYS(L2290, $C$2)</f>
        <v>9.2981392112419403</v>
      </c>
      <c r="O2290" s="149">
        <f t="shared" ca="1" si="82"/>
        <v>1.000173611111111</v>
      </c>
    </row>
    <row r="2291" spans="12:15" x14ac:dyDescent="0.25">
      <c r="L2291" s="147">
        <f ca="1"/>
        <v>47530</v>
      </c>
      <c r="M2291" s="92">
        <f t="shared" ca="1" si="81"/>
        <v>6.25</v>
      </c>
      <c r="N2291" s="143">
        <f ca="1">(PRODUCT($O$5:$O2291)-1)*36000/_xlfn.DAYS(L2291, $C$2)</f>
        <v>9.2984199544812132</v>
      </c>
      <c r="O2291" s="149">
        <f t="shared" ca="1" si="82"/>
        <v>1.000173611111111</v>
      </c>
    </row>
    <row r="2292" spans="12:15" x14ac:dyDescent="0.25">
      <c r="L2292" s="147">
        <f ca="1"/>
        <v>47531</v>
      </c>
      <c r="M2292" s="92">
        <f t="shared" ca="1" si="81"/>
        <v>6.25</v>
      </c>
      <c r="N2292" s="143">
        <f ca="1">(PRODUCT($O$5:$O2292)-1)*36000/_xlfn.DAYS(L2292, $C$2)</f>
        <v>9.2987012065677384</v>
      </c>
      <c r="O2292" s="149">
        <f t="shared" ca="1" si="82"/>
        <v>1.000173611111111</v>
      </c>
    </row>
    <row r="2293" spans="12:15" x14ac:dyDescent="0.25">
      <c r="L2293" s="147">
        <f ca="1"/>
        <v>47532</v>
      </c>
      <c r="M2293" s="92">
        <f t="shared" ca="1" si="81"/>
        <v>6.25</v>
      </c>
      <c r="N2293" s="143">
        <f ca="1">(PRODUCT($O$5:$O2293)-1)*36000/_xlfn.DAYS(L2293, $C$2)</f>
        <v>9.298982966965502</v>
      </c>
      <c r="O2293" s="149">
        <f t="shared" ca="1" si="82"/>
        <v>1.000173611111111</v>
      </c>
    </row>
    <row r="2294" spans="12:15" x14ac:dyDescent="0.25">
      <c r="L2294" s="147">
        <f ca="1"/>
        <v>47533</v>
      </c>
      <c r="M2294" s="92">
        <f t="shared" ca="1" si="81"/>
        <v>6.25</v>
      </c>
      <c r="N2294" s="143">
        <f ca="1">(PRODUCT($O$5:$O2294)-1)*36000/_xlfn.DAYS(L2294, $C$2)</f>
        <v>9.2992652351394511</v>
      </c>
      <c r="O2294" s="149">
        <f t="shared" ca="1" si="82"/>
        <v>1.000173611111111</v>
      </c>
    </row>
    <row r="2295" spans="12:15" x14ac:dyDescent="0.25">
      <c r="L2295" s="147">
        <f ca="1"/>
        <v>47534</v>
      </c>
      <c r="M2295" s="92">
        <f t="shared" ca="1" si="81"/>
        <v>6.25</v>
      </c>
      <c r="N2295" s="143">
        <f ca="1">(PRODUCT($O$5:$O2295)-1)*36000/_xlfn.DAYS(L2295, $C$2)</f>
        <v>9.2995480105554851</v>
      </c>
      <c r="O2295" s="149">
        <f t="shared" ca="1" si="82"/>
        <v>1.000173611111111</v>
      </c>
    </row>
    <row r="2296" spans="12:15" x14ac:dyDescent="0.25">
      <c r="L2296" s="147">
        <f ca="1"/>
        <v>47535</v>
      </c>
      <c r="M2296" s="92">
        <f t="shared" ca="1" si="81"/>
        <v>6.25</v>
      </c>
      <c r="N2296" s="143">
        <f ca="1">(PRODUCT($O$5:$O2296)-1)*36000/_xlfn.DAYS(L2296, $C$2)</f>
        <v>9.2998312926804587</v>
      </c>
      <c r="O2296" s="149">
        <f t="shared" ca="1" si="82"/>
        <v>1.000173611111111</v>
      </c>
    </row>
    <row r="2297" spans="12:15" x14ac:dyDescent="0.25">
      <c r="L2297" s="147">
        <f ca="1"/>
        <v>47536</v>
      </c>
      <c r="M2297" s="92">
        <f t="shared" ca="1" si="81"/>
        <v>6.25</v>
      </c>
      <c r="N2297" s="143">
        <f ca="1">(PRODUCT($O$5:$O2297)-1)*36000/_xlfn.DAYS(L2297, $C$2)</f>
        <v>9.3001150809821862</v>
      </c>
      <c r="O2297" s="149">
        <f t="shared" ca="1" si="82"/>
        <v>1.000173611111111</v>
      </c>
    </row>
    <row r="2298" spans="12:15" x14ac:dyDescent="0.25">
      <c r="L2298" s="147">
        <f ca="1"/>
        <v>47537</v>
      </c>
      <c r="M2298" s="92">
        <f t="shared" ca="1" si="81"/>
        <v>6.25</v>
      </c>
      <c r="N2298" s="143">
        <f ca="1">(PRODUCT($O$5:$O2298)-1)*36000/_xlfn.DAYS(L2298, $C$2)</f>
        <v>9.3003993749294267</v>
      </c>
      <c r="O2298" s="149">
        <f t="shared" ca="1" si="82"/>
        <v>1.000173611111111</v>
      </c>
    </row>
    <row r="2299" spans="12:15" x14ac:dyDescent="0.25">
      <c r="L2299" s="147">
        <f ca="1"/>
        <v>47538</v>
      </c>
      <c r="M2299" s="92">
        <f t="shared" ca="1" si="81"/>
        <v>6.25</v>
      </c>
      <c r="N2299" s="143">
        <f ca="1">(PRODUCT($O$5:$O2299)-1)*36000/_xlfn.DAYS(L2299, $C$2)</f>
        <v>9.3006841739918844</v>
      </c>
      <c r="O2299" s="149">
        <f t="shared" ca="1" si="82"/>
        <v>1.000173611111111</v>
      </c>
    </row>
    <row r="2300" spans="12:15" x14ac:dyDescent="0.25">
      <c r="L2300" s="147">
        <f ca="1"/>
        <v>47539</v>
      </c>
      <c r="M2300" s="92">
        <f t="shared" ca="1" si="81"/>
        <v>6.25</v>
      </c>
      <c r="N2300" s="143">
        <f ca="1">(PRODUCT($O$5:$O2300)-1)*36000/_xlfn.DAYS(L2300, $C$2)</f>
        <v>9.3009694776402174</v>
      </c>
      <c r="O2300" s="149">
        <f t="shared" ca="1" si="82"/>
        <v>1.000173611111111</v>
      </c>
    </row>
    <row r="2301" spans="12:15" x14ac:dyDescent="0.25">
      <c r="L2301" s="147">
        <f ca="1"/>
        <v>47540</v>
      </c>
      <c r="M2301" s="92">
        <f t="shared" ca="1" si="81"/>
        <v>6.25</v>
      </c>
      <c r="N2301" s="143">
        <f ca="1">(PRODUCT($O$5:$O2301)-1)*36000/_xlfn.DAYS(L2301, $C$2)</f>
        <v>9.3012552853460306</v>
      </c>
      <c r="O2301" s="149">
        <f t="shared" ca="1" si="82"/>
        <v>1.000173611111111</v>
      </c>
    </row>
    <row r="2302" spans="12:15" x14ac:dyDescent="0.25">
      <c r="L2302" s="147">
        <f ca="1"/>
        <v>47541</v>
      </c>
      <c r="M2302" s="92">
        <f t="shared" ca="1" si="81"/>
        <v>6.25</v>
      </c>
      <c r="N2302" s="143">
        <f ca="1">(PRODUCT($O$5:$O2302)-1)*36000/_xlfn.DAYS(L2302, $C$2)</f>
        <v>9.3015415965818597</v>
      </c>
      <c r="O2302" s="149">
        <f t="shared" ca="1" si="82"/>
        <v>1.000173611111111</v>
      </c>
    </row>
    <row r="2303" spans="12:15" x14ac:dyDescent="0.25">
      <c r="L2303" s="147">
        <f ca="1"/>
        <v>47542</v>
      </c>
      <c r="M2303" s="92">
        <f t="shared" ca="1" si="81"/>
        <v>6.25</v>
      </c>
      <c r="N2303" s="143">
        <f ca="1">(PRODUCT($O$5:$O2303)-1)*36000/_xlfn.DAYS(L2303, $C$2)</f>
        <v>9.3018284108211873</v>
      </c>
      <c r="O2303" s="149">
        <f t="shared" ca="1" si="82"/>
        <v>1.000173611111111</v>
      </c>
    </row>
    <row r="2304" spans="12:15" x14ac:dyDescent="0.25">
      <c r="L2304" s="147">
        <f ca="1"/>
        <v>47543</v>
      </c>
      <c r="M2304" s="92">
        <f t="shared" ca="1" si="81"/>
        <v>6.25</v>
      </c>
      <c r="N2304" s="143">
        <f ca="1">(PRODUCT($O$5:$O2304)-1)*36000/_xlfn.DAYS(L2304, $C$2)</f>
        <v>9.3021157275384354</v>
      </c>
      <c r="O2304" s="149">
        <f t="shared" ca="1" si="82"/>
        <v>1.000173611111111</v>
      </c>
    </row>
    <row r="2305" spans="12:15" x14ac:dyDescent="0.25">
      <c r="L2305" s="147">
        <f ca="1"/>
        <v>47544</v>
      </c>
      <c r="M2305" s="92">
        <f t="shared" ca="1" si="81"/>
        <v>6.25</v>
      </c>
      <c r="N2305" s="143">
        <f ca="1">(PRODUCT($O$5:$O2305)-1)*36000/_xlfn.DAYS(L2305, $C$2)</f>
        <v>9.3024035462089625</v>
      </c>
      <c r="O2305" s="149">
        <f t="shared" ca="1" si="82"/>
        <v>1.000173611111111</v>
      </c>
    </row>
    <row r="2306" spans="12:15" x14ac:dyDescent="0.25">
      <c r="L2306" s="147">
        <f ca="1"/>
        <v>47545</v>
      </c>
      <c r="M2306" s="92">
        <f t="shared" ca="1" si="81"/>
        <v>6.25</v>
      </c>
      <c r="N2306" s="143">
        <f ca="1">(PRODUCT($O$5:$O2306)-1)*36000/_xlfn.DAYS(L2306, $C$2)</f>
        <v>9.3026918663090594</v>
      </c>
      <c r="O2306" s="149">
        <f t="shared" ca="1" si="82"/>
        <v>1.000173611111111</v>
      </c>
    </row>
    <row r="2307" spans="12:15" x14ac:dyDescent="0.25">
      <c r="L2307" s="147">
        <f ca="1"/>
        <v>47546</v>
      </c>
      <c r="M2307" s="92">
        <f t="shared" ca="1" si="81"/>
        <v>6.25</v>
      </c>
      <c r="N2307" s="143">
        <f ca="1">(PRODUCT($O$5:$O2307)-1)*36000/_xlfn.DAYS(L2307, $C$2)</f>
        <v>9.302980687315948</v>
      </c>
      <c r="O2307" s="149">
        <f t="shared" ca="1" si="82"/>
        <v>1.000173611111111</v>
      </c>
    </row>
    <row r="2308" spans="12:15" x14ac:dyDescent="0.25">
      <c r="L2308" s="147">
        <f ca="1"/>
        <v>47547</v>
      </c>
      <c r="M2308" s="92">
        <f t="shared" ca="1" si="81"/>
        <v>6.25</v>
      </c>
      <c r="N2308" s="143">
        <f ca="1">(PRODUCT($O$5:$O2308)-1)*36000/_xlfn.DAYS(L2308, $C$2)</f>
        <v>9.3032700087077878</v>
      </c>
      <c r="O2308" s="149">
        <f t="shared" ca="1" si="82"/>
        <v>1.000173611111111</v>
      </c>
    </row>
    <row r="2309" spans="12:15" x14ac:dyDescent="0.25">
      <c r="L2309" s="147">
        <f ca="1"/>
        <v>47548</v>
      </c>
      <c r="M2309" s="92">
        <f t="shared" ref="M2309:M2372" ca="1" si="83">IFERROR(INDEX($E$27:$H$47, MATCH(L2309, $F$27:$F$47, 0), 4), IF(ISNUMBER(M2308), M2308, $C$5))</f>
        <v>6.25</v>
      </c>
      <c r="N2309" s="143">
        <f ca="1">(PRODUCT($O$5:$O2309)-1)*36000/_xlfn.DAYS(L2309, $C$2)</f>
        <v>9.3035598299636533</v>
      </c>
      <c r="O2309" s="149">
        <f t="shared" ca="1" si="82"/>
        <v>1.000173611111111</v>
      </c>
    </row>
    <row r="2310" spans="12:15" x14ac:dyDescent="0.25">
      <c r="L2310" s="147">
        <f ca="1"/>
        <v>47549</v>
      </c>
      <c r="M2310" s="92">
        <f t="shared" ca="1" si="83"/>
        <v>6.25</v>
      </c>
      <c r="N2310" s="143">
        <f ca="1">(PRODUCT($O$5:$O2310)-1)*36000/_xlfn.DAYS(L2310, $C$2)</f>
        <v>9.3038501505635569</v>
      </c>
      <c r="O2310" s="149">
        <f t="shared" ref="O2310:O2373" ca="1" si="84">1+M2310*IFERROR(_xlfn.DAYS(L2310, L2309), _xlfn.DAYS(L2310, $C$2))/36000</f>
        <v>1.000173611111111</v>
      </c>
    </row>
    <row r="2311" spans="12:15" x14ac:dyDescent="0.25">
      <c r="L2311" s="147">
        <f ca="1"/>
        <v>47550</v>
      </c>
      <c r="M2311" s="92">
        <f t="shared" ca="1" si="83"/>
        <v>6.25</v>
      </c>
      <c r="N2311" s="143">
        <f ca="1">(PRODUCT($O$5:$O2311)-1)*36000/_xlfn.DAYS(L2311, $C$2)</f>
        <v>9.3041409699884294</v>
      </c>
      <c r="O2311" s="149">
        <f t="shared" ca="1" si="84"/>
        <v>1.000173611111111</v>
      </c>
    </row>
    <row r="2312" spans="12:15" x14ac:dyDescent="0.25">
      <c r="L2312" s="147">
        <f ca="1"/>
        <v>47551</v>
      </c>
      <c r="M2312" s="92">
        <f t="shared" ca="1" si="83"/>
        <v>6.25</v>
      </c>
      <c r="N2312" s="143">
        <f ca="1">(PRODUCT($O$5:$O2312)-1)*36000/_xlfn.DAYS(L2312, $C$2)</f>
        <v>9.3044322877201271</v>
      </c>
      <c r="O2312" s="149">
        <f t="shared" ca="1" si="84"/>
        <v>1.000173611111111</v>
      </c>
    </row>
    <row r="2313" spans="12:15" x14ac:dyDescent="0.25">
      <c r="L2313" s="147">
        <f ca="1"/>
        <v>47552</v>
      </c>
      <c r="M2313" s="92">
        <f t="shared" ca="1" si="83"/>
        <v>6.25</v>
      </c>
      <c r="N2313" s="143">
        <f ca="1">(PRODUCT($O$5:$O2313)-1)*36000/_xlfn.DAYS(L2313, $C$2)</f>
        <v>9.3047241032414227</v>
      </c>
      <c r="O2313" s="149">
        <f t="shared" ca="1" si="84"/>
        <v>1.000173611111111</v>
      </c>
    </row>
    <row r="2314" spans="12:15" x14ac:dyDescent="0.25">
      <c r="L2314" s="147">
        <f ca="1"/>
        <v>47553</v>
      </c>
      <c r="M2314" s="92">
        <f t="shared" ca="1" si="83"/>
        <v>6.25</v>
      </c>
      <c r="N2314" s="143">
        <f ca="1">(PRODUCT($O$5:$O2314)-1)*36000/_xlfn.DAYS(L2314, $C$2)</f>
        <v>9.3050164160360129</v>
      </c>
      <c r="O2314" s="149">
        <f t="shared" ca="1" si="84"/>
        <v>1.000173611111111</v>
      </c>
    </row>
    <row r="2315" spans="12:15" x14ac:dyDescent="0.25">
      <c r="L2315" s="147">
        <f ca="1"/>
        <v>47554</v>
      </c>
      <c r="M2315" s="92">
        <f t="shared" ca="1" si="83"/>
        <v>6.25</v>
      </c>
      <c r="N2315" s="143">
        <f ca="1">(PRODUCT($O$5:$O2315)-1)*36000/_xlfn.DAYS(L2315, $C$2)</f>
        <v>9.3053092255885055</v>
      </c>
      <c r="O2315" s="149">
        <f t="shared" ca="1" si="84"/>
        <v>1.000173611111111</v>
      </c>
    </row>
    <row r="2316" spans="12:15" x14ac:dyDescent="0.25">
      <c r="L2316" s="147">
        <f ca="1"/>
        <v>47555</v>
      </c>
      <c r="M2316" s="92">
        <f t="shared" ca="1" si="83"/>
        <v>6.25</v>
      </c>
      <c r="N2316" s="143">
        <f ca="1">(PRODUCT($O$5:$O2316)-1)*36000/_xlfn.DAYS(L2316, $C$2)</f>
        <v>9.3056025313844195</v>
      </c>
      <c r="O2316" s="149">
        <f t="shared" ca="1" si="84"/>
        <v>1.000173611111111</v>
      </c>
    </row>
    <row r="2317" spans="12:15" x14ac:dyDescent="0.25">
      <c r="L2317" s="147">
        <f ca="1"/>
        <v>47556</v>
      </c>
      <c r="M2317" s="92">
        <f t="shared" ca="1" si="83"/>
        <v>6.25</v>
      </c>
      <c r="N2317" s="143">
        <f ca="1">(PRODUCT($O$5:$O2317)-1)*36000/_xlfn.DAYS(L2317, $C$2)</f>
        <v>9.3058963329101978</v>
      </c>
      <c r="O2317" s="149">
        <f t="shared" ca="1" si="84"/>
        <v>1.000173611111111</v>
      </c>
    </row>
    <row r="2318" spans="12:15" x14ac:dyDescent="0.25">
      <c r="L2318" s="147">
        <f ca="1"/>
        <v>47557</v>
      </c>
      <c r="M2318" s="92">
        <f t="shared" ca="1" si="83"/>
        <v>6.25</v>
      </c>
      <c r="N2318" s="143">
        <f ca="1">(PRODUCT($O$5:$O2318)-1)*36000/_xlfn.DAYS(L2318, $C$2)</f>
        <v>9.306190629653182</v>
      </c>
      <c r="O2318" s="149">
        <f t="shared" ca="1" si="84"/>
        <v>1.000173611111111</v>
      </c>
    </row>
    <row r="2319" spans="12:15" x14ac:dyDescent="0.25">
      <c r="L2319" s="147">
        <f ca="1"/>
        <v>47558</v>
      </c>
      <c r="M2319" s="92">
        <f t="shared" ca="1" si="83"/>
        <v>6.25</v>
      </c>
      <c r="N2319" s="143">
        <f ca="1">(PRODUCT($O$5:$O2319)-1)*36000/_xlfn.DAYS(L2319, $C$2)</f>
        <v>9.3064854211016304</v>
      </c>
      <c r="O2319" s="149">
        <f t="shared" ca="1" si="84"/>
        <v>1.000173611111111</v>
      </c>
    </row>
    <row r="2320" spans="12:15" x14ac:dyDescent="0.25">
      <c r="L2320" s="147">
        <f ca="1"/>
        <v>47559</v>
      </c>
      <c r="M2320" s="92">
        <f t="shared" ca="1" si="83"/>
        <v>6.25</v>
      </c>
      <c r="N2320" s="143">
        <f ca="1">(PRODUCT($O$5:$O2320)-1)*36000/_xlfn.DAYS(L2320, $C$2)</f>
        <v>9.3067807067446999</v>
      </c>
      <c r="O2320" s="149">
        <f t="shared" ca="1" si="84"/>
        <v>1.000173611111111</v>
      </c>
    </row>
    <row r="2321" spans="12:15" x14ac:dyDescent="0.25">
      <c r="L2321" s="147">
        <f ca="1"/>
        <v>47560</v>
      </c>
      <c r="M2321" s="92">
        <f t="shared" ca="1" si="83"/>
        <v>6.25</v>
      </c>
      <c r="N2321" s="143">
        <f ca="1">(PRODUCT($O$5:$O2321)-1)*36000/_xlfn.DAYS(L2321, $C$2)</f>
        <v>9.3070764860724591</v>
      </c>
      <c r="O2321" s="149">
        <f t="shared" ca="1" si="84"/>
        <v>1.000173611111111</v>
      </c>
    </row>
    <row r="2322" spans="12:15" x14ac:dyDescent="0.25">
      <c r="L2322" s="147">
        <f ca="1"/>
        <v>47561</v>
      </c>
      <c r="M2322" s="92">
        <f t="shared" ca="1" si="83"/>
        <v>6.25</v>
      </c>
      <c r="N2322" s="143">
        <f ca="1">(PRODUCT($O$5:$O2322)-1)*36000/_xlfn.DAYS(L2322, $C$2)</f>
        <v>9.3073727585758785</v>
      </c>
      <c r="O2322" s="149">
        <f t="shared" ca="1" si="84"/>
        <v>1.000173611111111</v>
      </c>
    </row>
    <row r="2323" spans="12:15" x14ac:dyDescent="0.25">
      <c r="L2323" s="147">
        <f ca="1"/>
        <v>47562</v>
      </c>
      <c r="M2323" s="92">
        <f t="shared" ca="1" si="83"/>
        <v>6.25</v>
      </c>
      <c r="N2323" s="143">
        <f ca="1">(PRODUCT($O$5:$O2323)-1)*36000/_xlfn.DAYS(L2323, $C$2)</f>
        <v>9.3076695237468208</v>
      </c>
      <c r="O2323" s="149">
        <f t="shared" ca="1" si="84"/>
        <v>1.000173611111111</v>
      </c>
    </row>
    <row r="2324" spans="12:15" x14ac:dyDescent="0.25">
      <c r="L2324" s="147">
        <f ca="1"/>
        <v>47563</v>
      </c>
      <c r="M2324" s="92">
        <f t="shared" ca="1" si="83"/>
        <v>6.25</v>
      </c>
      <c r="N2324" s="143">
        <f ca="1">(PRODUCT($O$5:$O2324)-1)*36000/_xlfn.DAYS(L2324, $C$2)</f>
        <v>9.3079667810780542</v>
      </c>
      <c r="O2324" s="149">
        <f t="shared" ca="1" si="84"/>
        <v>1.000173611111111</v>
      </c>
    </row>
    <row r="2325" spans="12:15" x14ac:dyDescent="0.25">
      <c r="L2325" s="147">
        <f ca="1"/>
        <v>47564</v>
      </c>
      <c r="M2325" s="92">
        <f t="shared" ca="1" si="83"/>
        <v>6.25</v>
      </c>
      <c r="N2325" s="143">
        <f ca="1">(PRODUCT($O$5:$O2325)-1)*36000/_xlfn.DAYS(L2325, $C$2)</f>
        <v>9.3082645300632478</v>
      </c>
      <c r="O2325" s="149">
        <f t="shared" ca="1" si="84"/>
        <v>1.000173611111111</v>
      </c>
    </row>
    <row r="2326" spans="12:15" x14ac:dyDescent="0.25">
      <c r="L2326" s="147">
        <f ca="1"/>
        <v>47565</v>
      </c>
      <c r="M2326" s="92">
        <f t="shared" ca="1" si="83"/>
        <v>6.25</v>
      </c>
      <c r="N2326" s="143">
        <f ca="1">(PRODUCT($O$5:$O2326)-1)*36000/_xlfn.DAYS(L2326, $C$2)</f>
        <v>9.3085627701969553</v>
      </c>
      <c r="O2326" s="149">
        <f t="shared" ca="1" si="84"/>
        <v>1.000173611111111</v>
      </c>
    </row>
    <row r="2327" spans="12:15" x14ac:dyDescent="0.25">
      <c r="L2327" s="147">
        <f ca="1"/>
        <v>47566</v>
      </c>
      <c r="M2327" s="92">
        <f t="shared" ca="1" si="83"/>
        <v>6.25</v>
      </c>
      <c r="N2327" s="143">
        <f ca="1">(PRODUCT($O$5:$O2327)-1)*36000/_xlfn.DAYS(L2327, $C$2)</f>
        <v>9.3088615009746274</v>
      </c>
      <c r="O2327" s="149">
        <f t="shared" ca="1" si="84"/>
        <v>1.000173611111111</v>
      </c>
    </row>
    <row r="2328" spans="12:15" x14ac:dyDescent="0.25">
      <c r="L2328" s="147">
        <f ca="1"/>
        <v>47567</v>
      </c>
      <c r="M2328" s="92">
        <f t="shared" ca="1" si="83"/>
        <v>6.25</v>
      </c>
      <c r="N2328" s="143">
        <f ca="1">(PRODUCT($O$5:$O2328)-1)*36000/_xlfn.DAYS(L2328, $C$2)</f>
        <v>9.30916072189261</v>
      </c>
      <c r="O2328" s="149">
        <f t="shared" ca="1" si="84"/>
        <v>1.000173611111111</v>
      </c>
    </row>
    <row r="2329" spans="12:15" x14ac:dyDescent="0.25">
      <c r="L2329" s="147">
        <f ca="1"/>
        <v>47568</v>
      </c>
      <c r="M2329" s="92">
        <f t="shared" ca="1" si="83"/>
        <v>6.25</v>
      </c>
      <c r="N2329" s="143">
        <f ca="1">(PRODUCT($O$5:$O2329)-1)*36000/_xlfn.DAYS(L2329, $C$2)</f>
        <v>9.3094604324481303</v>
      </c>
      <c r="O2329" s="149">
        <f t="shared" ca="1" si="84"/>
        <v>1.000173611111111</v>
      </c>
    </row>
    <row r="2330" spans="12:15" x14ac:dyDescent="0.25">
      <c r="L2330" s="147">
        <f ca="1"/>
        <v>47569</v>
      </c>
      <c r="M2330" s="92">
        <f t="shared" ca="1" si="83"/>
        <v>6.25</v>
      </c>
      <c r="N2330" s="143">
        <f ca="1">(PRODUCT($O$5:$O2330)-1)*36000/_xlfn.DAYS(L2330, $C$2)</f>
        <v>9.3097606321393123</v>
      </c>
      <c r="O2330" s="149">
        <f t="shared" ca="1" si="84"/>
        <v>1.000173611111111</v>
      </c>
    </row>
    <row r="2331" spans="12:15" x14ac:dyDescent="0.25">
      <c r="L2331" s="147">
        <f ca="1"/>
        <v>47570</v>
      </c>
      <c r="M2331" s="92">
        <f t="shared" ca="1" si="83"/>
        <v>6.25</v>
      </c>
      <c r="N2331" s="143">
        <f ca="1">(PRODUCT($O$5:$O2331)-1)*36000/_xlfn.DAYS(L2331, $C$2)</f>
        <v>9.3100613204651559</v>
      </c>
      <c r="O2331" s="149">
        <f t="shared" ca="1" si="84"/>
        <v>1.000173611111111</v>
      </c>
    </row>
    <row r="2332" spans="12:15" x14ac:dyDescent="0.25">
      <c r="L2332" s="147">
        <f ca="1"/>
        <v>47571</v>
      </c>
      <c r="M2332" s="92">
        <f t="shared" ca="1" si="83"/>
        <v>6.25</v>
      </c>
      <c r="N2332" s="143">
        <f ca="1">(PRODUCT($O$5:$O2332)-1)*36000/_xlfn.DAYS(L2332, $C$2)</f>
        <v>9.3103624969255492</v>
      </c>
      <c r="O2332" s="149">
        <f t="shared" ca="1" si="84"/>
        <v>1.000173611111111</v>
      </c>
    </row>
    <row r="2333" spans="12:15" x14ac:dyDescent="0.25">
      <c r="L2333" s="147">
        <f ca="1"/>
        <v>47572</v>
      </c>
      <c r="M2333" s="92">
        <f t="shared" ca="1" si="83"/>
        <v>6.25</v>
      </c>
      <c r="N2333" s="143">
        <f ca="1">(PRODUCT($O$5:$O2333)-1)*36000/_xlfn.DAYS(L2333, $C$2)</f>
        <v>9.3106641610212595</v>
      </c>
      <c r="O2333" s="149">
        <f t="shared" ca="1" si="84"/>
        <v>1.000173611111111</v>
      </c>
    </row>
    <row r="2334" spans="12:15" x14ac:dyDescent="0.25">
      <c r="L2334" s="147">
        <f ca="1"/>
        <v>47573</v>
      </c>
      <c r="M2334" s="92">
        <f t="shared" ca="1" si="83"/>
        <v>6.25</v>
      </c>
      <c r="N2334" s="143">
        <f ca="1">(PRODUCT($O$5:$O2334)-1)*36000/_xlfn.DAYS(L2334, $C$2)</f>
        <v>9.3109663122539352</v>
      </c>
      <c r="O2334" s="149">
        <f t="shared" ca="1" si="84"/>
        <v>1.000173611111111</v>
      </c>
    </row>
    <row r="2335" spans="12:15" x14ac:dyDescent="0.25">
      <c r="L2335" s="147">
        <f ca="1"/>
        <v>47574</v>
      </c>
      <c r="M2335" s="92">
        <f t="shared" ca="1" si="83"/>
        <v>6.25</v>
      </c>
      <c r="N2335" s="143">
        <f ca="1">(PRODUCT($O$5:$O2335)-1)*36000/_xlfn.DAYS(L2335, $C$2)</f>
        <v>9.3112689501261041</v>
      </c>
      <c r="O2335" s="149">
        <f t="shared" ca="1" si="84"/>
        <v>1.000173611111111</v>
      </c>
    </row>
    <row r="2336" spans="12:15" x14ac:dyDescent="0.25">
      <c r="L2336" s="147">
        <f ca="1"/>
        <v>47575</v>
      </c>
      <c r="M2336" s="92">
        <f t="shared" ca="1" si="83"/>
        <v>6.25</v>
      </c>
      <c r="N2336" s="143">
        <f ca="1">(PRODUCT($O$5:$O2336)-1)*36000/_xlfn.DAYS(L2336, $C$2)</f>
        <v>9.3115720741411643</v>
      </c>
      <c r="O2336" s="149">
        <f t="shared" ca="1" si="84"/>
        <v>1.000173611111111</v>
      </c>
    </row>
    <row r="2337" spans="12:15" x14ac:dyDescent="0.25">
      <c r="L2337" s="147">
        <f ca="1"/>
        <v>47576</v>
      </c>
      <c r="M2337" s="92">
        <f t="shared" ca="1" si="83"/>
        <v>6.25</v>
      </c>
      <c r="N2337" s="143">
        <f ca="1">(PRODUCT($O$5:$O2337)-1)*36000/_xlfn.DAYS(L2337, $C$2)</f>
        <v>9.3118756838033949</v>
      </c>
      <c r="O2337" s="149">
        <f t="shared" ca="1" si="84"/>
        <v>1.000173611111111</v>
      </c>
    </row>
    <row r="2338" spans="12:15" x14ac:dyDescent="0.25">
      <c r="L2338" s="147">
        <f ca="1"/>
        <v>47577</v>
      </c>
      <c r="M2338" s="92">
        <f t="shared" ca="1" si="83"/>
        <v>6.25</v>
      </c>
      <c r="N2338" s="143">
        <f ca="1">(PRODUCT($O$5:$O2338)-1)*36000/_xlfn.DAYS(L2338, $C$2)</f>
        <v>9.3121797786179403</v>
      </c>
      <c r="O2338" s="149">
        <f t="shared" ca="1" si="84"/>
        <v>1.000173611111111</v>
      </c>
    </row>
    <row r="2339" spans="12:15" x14ac:dyDescent="0.25">
      <c r="L2339" s="147">
        <f ca="1"/>
        <v>47578</v>
      </c>
      <c r="M2339" s="92">
        <f t="shared" ca="1" si="83"/>
        <v>6.25</v>
      </c>
      <c r="N2339" s="143">
        <f ca="1">(PRODUCT($O$5:$O2339)-1)*36000/_xlfn.DAYS(L2339, $C$2)</f>
        <v>9.3124843580908188</v>
      </c>
      <c r="O2339" s="149">
        <f t="shared" ca="1" si="84"/>
        <v>1.000173611111111</v>
      </c>
    </row>
    <row r="2340" spans="12:15" x14ac:dyDescent="0.25">
      <c r="L2340" s="147">
        <f ca="1"/>
        <v>47579</v>
      </c>
      <c r="M2340" s="92">
        <f t="shared" ca="1" si="83"/>
        <v>6.25</v>
      </c>
      <c r="N2340" s="143">
        <f ca="1">(PRODUCT($O$5:$O2340)-1)*36000/_xlfn.DAYS(L2340, $C$2)</f>
        <v>9.3127894217289136</v>
      </c>
      <c r="O2340" s="149">
        <f t="shared" ca="1" si="84"/>
        <v>1.000173611111111</v>
      </c>
    </row>
    <row r="2341" spans="12:15" x14ac:dyDescent="0.25">
      <c r="L2341" s="147">
        <f ca="1"/>
        <v>47580</v>
      </c>
      <c r="M2341" s="92">
        <f t="shared" ca="1" si="83"/>
        <v>6.25</v>
      </c>
      <c r="N2341" s="143">
        <f ca="1">(PRODUCT($O$5:$O2341)-1)*36000/_xlfn.DAYS(L2341, $C$2)</f>
        <v>9.3130949690399838</v>
      </c>
      <c r="O2341" s="149">
        <f t="shared" ca="1" si="84"/>
        <v>1.000173611111111</v>
      </c>
    </row>
    <row r="2342" spans="12:15" x14ac:dyDescent="0.25">
      <c r="L2342" s="147">
        <f ca="1"/>
        <v>47581</v>
      </c>
      <c r="M2342" s="92">
        <f t="shared" ca="1" si="83"/>
        <v>6.25</v>
      </c>
      <c r="N2342" s="143">
        <f ca="1">(PRODUCT($O$5:$O2342)-1)*36000/_xlfn.DAYS(L2342, $C$2)</f>
        <v>9.3134009995326412</v>
      </c>
      <c r="O2342" s="149">
        <f t="shared" ca="1" si="84"/>
        <v>1.000173611111111</v>
      </c>
    </row>
    <row r="2343" spans="12:15" x14ac:dyDescent="0.25">
      <c r="L2343" s="147">
        <f ca="1"/>
        <v>47582</v>
      </c>
      <c r="M2343" s="92">
        <f t="shared" ca="1" si="83"/>
        <v>6.25</v>
      </c>
      <c r="N2343" s="143">
        <f ca="1">(PRODUCT($O$5:$O2343)-1)*36000/_xlfn.DAYS(L2343, $C$2)</f>
        <v>9.3137075127163644</v>
      </c>
      <c r="O2343" s="149">
        <f t="shared" ca="1" si="84"/>
        <v>1.000173611111111</v>
      </c>
    </row>
    <row r="2344" spans="12:15" x14ac:dyDescent="0.25">
      <c r="L2344" s="147">
        <f ca="1"/>
        <v>47583</v>
      </c>
      <c r="M2344" s="92">
        <f t="shared" ca="1" si="83"/>
        <v>6.25</v>
      </c>
      <c r="N2344" s="143">
        <f ca="1">(PRODUCT($O$5:$O2344)-1)*36000/_xlfn.DAYS(L2344, $C$2)</f>
        <v>9.3140145081014953</v>
      </c>
      <c r="O2344" s="149">
        <f t="shared" ca="1" si="84"/>
        <v>1.000173611111111</v>
      </c>
    </row>
    <row r="2345" spans="12:15" x14ac:dyDescent="0.25">
      <c r="L2345" s="147">
        <f ca="1"/>
        <v>47584</v>
      </c>
      <c r="M2345" s="92">
        <f t="shared" ca="1" si="83"/>
        <v>6.25</v>
      </c>
      <c r="N2345" s="143">
        <f ca="1">(PRODUCT($O$5:$O2345)-1)*36000/_xlfn.DAYS(L2345, $C$2)</f>
        <v>9.3143219851992374</v>
      </c>
      <c r="O2345" s="149">
        <f t="shared" ca="1" si="84"/>
        <v>1.000173611111111</v>
      </c>
    </row>
    <row r="2346" spans="12:15" x14ac:dyDescent="0.25">
      <c r="L2346" s="147">
        <f ca="1"/>
        <v>47585</v>
      </c>
      <c r="M2346" s="92">
        <f t="shared" ca="1" si="83"/>
        <v>6.25</v>
      </c>
      <c r="N2346" s="143">
        <f ca="1">(PRODUCT($O$5:$O2346)-1)*36000/_xlfn.DAYS(L2346, $C$2)</f>
        <v>9.3146299435216413</v>
      </c>
      <c r="O2346" s="149">
        <f t="shared" ca="1" si="84"/>
        <v>1.000173611111111</v>
      </c>
    </row>
    <row r="2347" spans="12:15" x14ac:dyDescent="0.25">
      <c r="L2347" s="147">
        <f ca="1"/>
        <v>47586</v>
      </c>
      <c r="M2347" s="92">
        <f t="shared" ca="1" si="83"/>
        <v>6.25</v>
      </c>
      <c r="N2347" s="143">
        <f ca="1">(PRODUCT($O$5:$O2347)-1)*36000/_xlfn.DAYS(L2347, $C$2)</f>
        <v>9.3149383825816212</v>
      </c>
      <c r="O2347" s="149">
        <f t="shared" ca="1" si="84"/>
        <v>1.000173611111111</v>
      </c>
    </row>
    <row r="2348" spans="12:15" x14ac:dyDescent="0.25">
      <c r="L2348" s="147">
        <f ca="1"/>
        <v>47587</v>
      </c>
      <c r="M2348" s="92">
        <f t="shared" ca="1" si="83"/>
        <v>6.25</v>
      </c>
      <c r="N2348" s="143">
        <f ca="1">(PRODUCT($O$5:$O2348)-1)*36000/_xlfn.DAYS(L2348, $C$2)</f>
        <v>9.3152473018929456</v>
      </c>
      <c r="O2348" s="149">
        <f t="shared" ca="1" si="84"/>
        <v>1.000173611111111</v>
      </c>
    </row>
    <row r="2349" spans="12:15" x14ac:dyDescent="0.25">
      <c r="L2349" s="147">
        <f ca="1"/>
        <v>47588</v>
      </c>
      <c r="M2349" s="92">
        <f t="shared" ca="1" si="83"/>
        <v>6.25</v>
      </c>
      <c r="N2349" s="143">
        <f ca="1">(PRODUCT($O$5:$O2349)-1)*36000/_xlfn.DAYS(L2349, $C$2)</f>
        <v>9.3155567009702285</v>
      </c>
      <c r="O2349" s="149">
        <f t="shared" ca="1" si="84"/>
        <v>1.000173611111111</v>
      </c>
    </row>
    <row r="2350" spans="12:15" x14ac:dyDescent="0.25">
      <c r="L2350" s="147">
        <f ca="1"/>
        <v>47589</v>
      </c>
      <c r="M2350" s="92">
        <f t="shared" ca="1" si="83"/>
        <v>6.25</v>
      </c>
      <c r="N2350" s="143">
        <f ca="1">(PRODUCT($O$5:$O2350)-1)*36000/_xlfn.DAYS(L2350, $C$2)</f>
        <v>9.3158665793289455</v>
      </c>
      <c r="O2350" s="149">
        <f t="shared" ca="1" si="84"/>
        <v>1.000173611111111</v>
      </c>
    </row>
    <row r="2351" spans="12:15" x14ac:dyDescent="0.25">
      <c r="L2351" s="147">
        <f ca="1"/>
        <v>47590</v>
      </c>
      <c r="M2351" s="92">
        <f t="shared" ca="1" si="83"/>
        <v>6.25</v>
      </c>
      <c r="N2351" s="143">
        <f ca="1">(PRODUCT($O$5:$O2351)-1)*36000/_xlfn.DAYS(L2351, $C$2)</f>
        <v>9.3161769364854017</v>
      </c>
      <c r="O2351" s="149">
        <f t="shared" ca="1" si="84"/>
        <v>1.000173611111111</v>
      </c>
    </row>
    <row r="2352" spans="12:15" x14ac:dyDescent="0.25">
      <c r="L2352" s="147">
        <f ca="1"/>
        <v>47591</v>
      </c>
      <c r="M2352" s="92">
        <f t="shared" ca="1" si="83"/>
        <v>6.25</v>
      </c>
      <c r="N2352" s="143">
        <f ca="1">(PRODUCT($O$5:$O2352)-1)*36000/_xlfn.DAYS(L2352, $C$2)</f>
        <v>9.3164877719567656</v>
      </c>
      <c r="O2352" s="149">
        <f t="shared" ca="1" si="84"/>
        <v>1.000173611111111</v>
      </c>
    </row>
    <row r="2353" spans="12:15" x14ac:dyDescent="0.25">
      <c r="L2353" s="147">
        <f ca="1"/>
        <v>47592</v>
      </c>
      <c r="M2353" s="92">
        <f t="shared" ca="1" si="83"/>
        <v>6.25</v>
      </c>
      <c r="N2353" s="143">
        <f ca="1">(PRODUCT($O$5:$O2353)-1)*36000/_xlfn.DAYS(L2353, $C$2)</f>
        <v>9.3167990852610441</v>
      </c>
      <c r="O2353" s="149">
        <f t="shared" ca="1" si="84"/>
        <v>1.000173611111111</v>
      </c>
    </row>
    <row r="2354" spans="12:15" x14ac:dyDescent="0.25">
      <c r="L2354" s="147">
        <f ca="1"/>
        <v>47593</v>
      </c>
      <c r="M2354" s="92">
        <f t="shared" ca="1" si="83"/>
        <v>6.25</v>
      </c>
      <c r="N2354" s="143">
        <f ca="1">(PRODUCT($O$5:$O2354)-1)*36000/_xlfn.DAYS(L2354, $C$2)</f>
        <v>9.3171108759170842</v>
      </c>
      <c r="O2354" s="149">
        <f t="shared" ca="1" si="84"/>
        <v>1.000173611111111</v>
      </c>
    </row>
    <row r="2355" spans="12:15" x14ac:dyDescent="0.25">
      <c r="L2355" s="147">
        <f ca="1"/>
        <v>47594</v>
      </c>
      <c r="M2355" s="92">
        <f t="shared" ca="1" si="83"/>
        <v>6.25</v>
      </c>
      <c r="N2355" s="143">
        <f ca="1">(PRODUCT($O$5:$O2355)-1)*36000/_xlfn.DAYS(L2355, $C$2)</f>
        <v>9.3174231434445751</v>
      </c>
      <c r="O2355" s="149">
        <f t="shared" ca="1" si="84"/>
        <v>1.000173611111111</v>
      </c>
    </row>
    <row r="2356" spans="12:15" x14ac:dyDescent="0.25">
      <c r="L2356" s="147">
        <f ca="1"/>
        <v>47595</v>
      </c>
      <c r="M2356" s="92">
        <f t="shared" ca="1" si="83"/>
        <v>6.25</v>
      </c>
      <c r="N2356" s="143">
        <f ca="1">(PRODUCT($O$5:$O2356)-1)*36000/_xlfn.DAYS(L2356, $C$2)</f>
        <v>9.3177358873640515</v>
      </c>
      <c r="O2356" s="149">
        <f t="shared" ca="1" si="84"/>
        <v>1.000173611111111</v>
      </c>
    </row>
    <row r="2357" spans="12:15" x14ac:dyDescent="0.25">
      <c r="L2357" s="147">
        <f ca="1"/>
        <v>47596</v>
      </c>
      <c r="M2357" s="92">
        <f t="shared" ca="1" si="83"/>
        <v>6.25</v>
      </c>
      <c r="N2357" s="143">
        <f ca="1">(PRODUCT($O$5:$O2357)-1)*36000/_xlfn.DAYS(L2357, $C$2)</f>
        <v>9.3180491071968774</v>
      </c>
      <c r="O2357" s="149">
        <f t="shared" ca="1" si="84"/>
        <v>1.000173611111111</v>
      </c>
    </row>
    <row r="2358" spans="12:15" x14ac:dyDescent="0.25">
      <c r="L2358" s="147">
        <f ca="1"/>
        <v>47597</v>
      </c>
      <c r="M2358" s="92">
        <f t="shared" ca="1" si="83"/>
        <v>6.25</v>
      </c>
      <c r="N2358" s="143">
        <f ca="1">(PRODUCT($O$5:$O2358)-1)*36000/_xlfn.DAYS(L2358, $C$2)</f>
        <v>9.3183628024652556</v>
      </c>
      <c r="O2358" s="149">
        <f t="shared" ca="1" si="84"/>
        <v>1.000173611111111</v>
      </c>
    </row>
    <row r="2359" spans="12:15" x14ac:dyDescent="0.25">
      <c r="L2359" s="147">
        <f ca="1"/>
        <v>47598</v>
      </c>
      <c r="M2359" s="92">
        <f t="shared" ca="1" si="83"/>
        <v>6.25</v>
      </c>
      <c r="N2359" s="143">
        <f ca="1">(PRODUCT($O$5:$O2359)-1)*36000/_xlfn.DAYS(L2359, $C$2)</f>
        <v>9.3186769726922254</v>
      </c>
      <c r="O2359" s="149">
        <f t="shared" ca="1" si="84"/>
        <v>1.000173611111111</v>
      </c>
    </row>
    <row r="2360" spans="12:15" x14ac:dyDescent="0.25">
      <c r="L2360" s="147">
        <f ca="1"/>
        <v>47599</v>
      </c>
      <c r="M2360" s="92">
        <f t="shared" ca="1" si="83"/>
        <v>6.25</v>
      </c>
      <c r="N2360" s="143">
        <f ca="1">(PRODUCT($O$5:$O2360)-1)*36000/_xlfn.DAYS(L2360, $C$2)</f>
        <v>9.3189916174016503</v>
      </c>
      <c r="O2360" s="149">
        <f t="shared" ca="1" si="84"/>
        <v>1.000173611111111</v>
      </c>
    </row>
    <row r="2361" spans="12:15" x14ac:dyDescent="0.25">
      <c r="L2361" s="147">
        <f ca="1"/>
        <v>47600</v>
      </c>
      <c r="M2361" s="92">
        <f t="shared" ca="1" si="83"/>
        <v>6.25</v>
      </c>
      <c r="N2361" s="143">
        <f ca="1">(PRODUCT($O$5:$O2361)-1)*36000/_xlfn.DAYS(L2361, $C$2)</f>
        <v>9.319306736118234</v>
      </c>
      <c r="O2361" s="149">
        <f t="shared" ca="1" si="84"/>
        <v>1.000173611111111</v>
      </c>
    </row>
    <row r="2362" spans="12:15" x14ac:dyDescent="0.25">
      <c r="L2362" s="147">
        <f ca="1"/>
        <v>47601</v>
      </c>
      <c r="M2362" s="92">
        <f t="shared" ca="1" si="83"/>
        <v>6.25</v>
      </c>
      <c r="N2362" s="143">
        <f ca="1">(PRODUCT($O$5:$O2362)-1)*36000/_xlfn.DAYS(L2362, $C$2)</f>
        <v>9.3196223283675046</v>
      </c>
      <c r="O2362" s="149">
        <f t="shared" ca="1" si="84"/>
        <v>1.000173611111111</v>
      </c>
    </row>
    <row r="2363" spans="12:15" x14ac:dyDescent="0.25">
      <c r="L2363" s="147">
        <f ca="1"/>
        <v>47602</v>
      </c>
      <c r="M2363" s="92">
        <f t="shared" ca="1" si="83"/>
        <v>6.25</v>
      </c>
      <c r="N2363" s="143">
        <f ca="1">(PRODUCT($O$5:$O2363)-1)*36000/_xlfn.DAYS(L2363, $C$2)</f>
        <v>9.319938393675816</v>
      </c>
      <c r="O2363" s="149">
        <f t="shared" ca="1" si="84"/>
        <v>1.000173611111111</v>
      </c>
    </row>
    <row r="2364" spans="12:15" x14ac:dyDescent="0.25">
      <c r="L2364" s="147">
        <f ca="1"/>
        <v>47603</v>
      </c>
      <c r="M2364" s="92">
        <f t="shared" ca="1" si="83"/>
        <v>6.25</v>
      </c>
      <c r="N2364" s="143">
        <f ca="1">(PRODUCT($O$5:$O2364)-1)*36000/_xlfn.DAYS(L2364, $C$2)</f>
        <v>9.3202549315703465</v>
      </c>
      <c r="O2364" s="149">
        <f t="shared" ca="1" si="84"/>
        <v>1.000173611111111</v>
      </c>
    </row>
    <row r="2365" spans="12:15" x14ac:dyDescent="0.25">
      <c r="L2365" s="147">
        <f ca="1"/>
        <v>47604</v>
      </c>
      <c r="M2365" s="92">
        <f t="shared" ca="1" si="83"/>
        <v>6.25</v>
      </c>
      <c r="N2365" s="143">
        <f ca="1">(PRODUCT($O$5:$O2365)-1)*36000/_xlfn.DAYS(L2365, $C$2)</f>
        <v>9.3205719415790984</v>
      </c>
      <c r="O2365" s="149">
        <f t="shared" ca="1" si="84"/>
        <v>1.000173611111111</v>
      </c>
    </row>
    <row r="2366" spans="12:15" x14ac:dyDescent="0.25">
      <c r="L2366" s="147">
        <f ca="1"/>
        <v>47605</v>
      </c>
      <c r="M2366" s="92">
        <f t="shared" ca="1" si="83"/>
        <v>6.25</v>
      </c>
      <c r="N2366" s="143">
        <f ca="1">(PRODUCT($O$5:$O2366)-1)*36000/_xlfn.DAYS(L2366, $C$2)</f>
        <v>9.3208894232308985</v>
      </c>
      <c r="O2366" s="149">
        <f t="shared" ca="1" si="84"/>
        <v>1.000173611111111</v>
      </c>
    </row>
    <row r="2367" spans="12:15" x14ac:dyDescent="0.25">
      <c r="L2367" s="147">
        <f ca="1"/>
        <v>47606</v>
      </c>
      <c r="M2367" s="92">
        <f t="shared" ca="1" si="83"/>
        <v>6.25</v>
      </c>
      <c r="N2367" s="143">
        <f ca="1">(PRODUCT($O$5:$O2367)-1)*36000/_xlfn.DAYS(L2367, $C$2)</f>
        <v>9.3212073760553924</v>
      </c>
      <c r="O2367" s="149">
        <f t="shared" ca="1" si="84"/>
        <v>1.000173611111111</v>
      </c>
    </row>
    <row r="2368" spans="12:15" x14ac:dyDescent="0.25">
      <c r="L2368" s="147">
        <f ca="1"/>
        <v>47607</v>
      </c>
      <c r="M2368" s="92">
        <f t="shared" ca="1" si="83"/>
        <v>6.25</v>
      </c>
      <c r="N2368" s="143">
        <f ca="1">(PRODUCT($O$5:$O2368)-1)*36000/_xlfn.DAYS(L2368, $C$2)</f>
        <v>9.3215257995830409</v>
      </c>
      <c r="O2368" s="149">
        <f t="shared" ca="1" si="84"/>
        <v>1.000173611111111</v>
      </c>
    </row>
    <row r="2369" spans="12:15" x14ac:dyDescent="0.25">
      <c r="L2369" s="147">
        <f ca="1"/>
        <v>47608</v>
      </c>
      <c r="M2369" s="92">
        <f t="shared" ca="1" si="83"/>
        <v>6.25</v>
      </c>
      <c r="N2369" s="143">
        <f ca="1">(PRODUCT($O$5:$O2369)-1)*36000/_xlfn.DAYS(L2369, $C$2)</f>
        <v>9.3218446933451222</v>
      </c>
      <c r="O2369" s="149">
        <f t="shared" ca="1" si="84"/>
        <v>1.000173611111111</v>
      </c>
    </row>
    <row r="2370" spans="12:15" x14ac:dyDescent="0.25">
      <c r="L2370" s="147">
        <f ca="1"/>
        <v>47609</v>
      </c>
      <c r="M2370" s="92">
        <f t="shared" ca="1" si="83"/>
        <v>6.25</v>
      </c>
      <c r="N2370" s="143">
        <f ca="1">(PRODUCT($O$5:$O2370)-1)*36000/_xlfn.DAYS(L2370, $C$2)</f>
        <v>9.3221640568737332</v>
      </c>
      <c r="O2370" s="149">
        <f t="shared" ca="1" si="84"/>
        <v>1.000173611111111</v>
      </c>
    </row>
    <row r="2371" spans="12:15" x14ac:dyDescent="0.25">
      <c r="L2371" s="147">
        <f ca="1"/>
        <v>47610</v>
      </c>
      <c r="M2371" s="92">
        <f t="shared" ca="1" si="83"/>
        <v>6.25</v>
      </c>
      <c r="N2371" s="143">
        <f ca="1">(PRODUCT($O$5:$O2371)-1)*36000/_xlfn.DAYS(L2371, $C$2)</f>
        <v>9.3224838897017772</v>
      </c>
      <c r="O2371" s="149">
        <f t="shared" ca="1" si="84"/>
        <v>1.000173611111111</v>
      </c>
    </row>
    <row r="2372" spans="12:15" x14ac:dyDescent="0.25">
      <c r="L2372" s="147">
        <f ca="1"/>
        <v>47611</v>
      </c>
      <c r="M2372" s="92">
        <f t="shared" ca="1" si="83"/>
        <v>6.25</v>
      </c>
      <c r="N2372" s="143">
        <f ca="1">(PRODUCT($O$5:$O2372)-1)*36000/_xlfn.DAYS(L2372, $C$2)</f>
        <v>9.3228041913629784</v>
      </c>
      <c r="O2372" s="149">
        <f t="shared" ca="1" si="84"/>
        <v>1.000173611111111</v>
      </c>
    </row>
    <row r="2373" spans="12:15" x14ac:dyDescent="0.25">
      <c r="L2373" s="147">
        <f ca="1"/>
        <v>47612</v>
      </c>
      <c r="M2373" s="92">
        <f t="shared" ref="M2373:M2436" ca="1" si="85">IFERROR(INDEX($E$27:$H$47, MATCH(L2373, $F$27:$F$47, 0), 4), IF(ISNUMBER(M2372), M2372, $C$5))</f>
        <v>6.25</v>
      </c>
      <c r="N2373" s="143">
        <f ca="1">(PRODUCT($O$5:$O2373)-1)*36000/_xlfn.DAYS(L2373, $C$2)</f>
        <v>9.3231249613918585</v>
      </c>
      <c r="O2373" s="149">
        <f t="shared" ca="1" si="84"/>
        <v>1.000173611111111</v>
      </c>
    </row>
    <row r="2374" spans="12:15" x14ac:dyDescent="0.25">
      <c r="L2374" s="147">
        <f ca="1"/>
        <v>47613</v>
      </c>
      <c r="M2374" s="92">
        <f t="shared" ca="1" si="85"/>
        <v>6.25</v>
      </c>
      <c r="N2374" s="143">
        <f ca="1">(PRODUCT($O$5:$O2374)-1)*36000/_xlfn.DAYS(L2374, $C$2)</f>
        <v>9.3234461993237545</v>
      </c>
      <c r="O2374" s="149">
        <f t="shared" ref="O2374:O2437" ca="1" si="86">1+M2374*IFERROR(_xlfn.DAYS(L2374, L2373), _xlfn.DAYS(L2374, $C$2))/36000</f>
        <v>1.000173611111111</v>
      </c>
    </row>
    <row r="2375" spans="12:15" x14ac:dyDescent="0.25">
      <c r="L2375" s="147">
        <f ca="1"/>
        <v>47614</v>
      </c>
      <c r="M2375" s="92">
        <f t="shared" ca="1" si="85"/>
        <v>6.25</v>
      </c>
      <c r="N2375" s="143">
        <f ca="1">(PRODUCT($O$5:$O2375)-1)*36000/_xlfn.DAYS(L2375, $C$2)</f>
        <v>9.3237679046948081</v>
      </c>
      <c r="O2375" s="149">
        <f t="shared" ca="1" si="86"/>
        <v>1.000173611111111</v>
      </c>
    </row>
    <row r="2376" spans="12:15" x14ac:dyDescent="0.25">
      <c r="L2376" s="147">
        <f ca="1"/>
        <v>47615</v>
      </c>
      <c r="M2376" s="92">
        <f t="shared" ca="1" si="85"/>
        <v>6.25</v>
      </c>
      <c r="N2376" s="143">
        <f ca="1">(PRODUCT($O$5:$O2376)-1)*36000/_xlfn.DAYS(L2376, $C$2)</f>
        <v>9.3240900770419657</v>
      </c>
      <c r="O2376" s="149">
        <f t="shared" ca="1" si="86"/>
        <v>1.000173611111111</v>
      </c>
    </row>
    <row r="2377" spans="12:15" x14ac:dyDescent="0.25">
      <c r="L2377" s="147">
        <f ca="1"/>
        <v>47616</v>
      </c>
      <c r="M2377" s="92">
        <f t="shared" ca="1" si="85"/>
        <v>6.25</v>
      </c>
      <c r="N2377" s="143">
        <f ca="1">(PRODUCT($O$5:$O2377)-1)*36000/_xlfn.DAYS(L2377, $C$2)</f>
        <v>9.3244127159029766</v>
      </c>
      <c r="O2377" s="149">
        <f t="shared" ca="1" si="86"/>
        <v>1.000173611111111</v>
      </c>
    </row>
    <row r="2378" spans="12:15" x14ac:dyDescent="0.25">
      <c r="L2378" s="147">
        <f ca="1"/>
        <v>47617</v>
      </c>
      <c r="M2378" s="92">
        <f t="shared" ca="1" si="85"/>
        <v>6.25</v>
      </c>
      <c r="N2378" s="143">
        <f ca="1">(PRODUCT($O$5:$O2378)-1)*36000/_xlfn.DAYS(L2378, $C$2)</f>
        <v>9.3247358208163913</v>
      </c>
      <c r="O2378" s="149">
        <f t="shared" ca="1" si="86"/>
        <v>1.000173611111111</v>
      </c>
    </row>
    <row r="2379" spans="12:15" x14ac:dyDescent="0.25">
      <c r="L2379" s="147">
        <f ca="1"/>
        <v>47618</v>
      </c>
      <c r="M2379" s="92">
        <f t="shared" ca="1" si="85"/>
        <v>6.25</v>
      </c>
      <c r="N2379" s="143">
        <f ca="1">(PRODUCT($O$5:$O2379)-1)*36000/_xlfn.DAYS(L2379, $C$2)</f>
        <v>9.3250593913215596</v>
      </c>
      <c r="O2379" s="149">
        <f t="shared" ca="1" si="86"/>
        <v>1.000173611111111</v>
      </c>
    </row>
    <row r="2380" spans="12:15" x14ac:dyDescent="0.25">
      <c r="L2380" s="147">
        <f ca="1"/>
        <v>47619</v>
      </c>
      <c r="M2380" s="92">
        <f t="shared" ca="1" si="85"/>
        <v>6.25</v>
      </c>
      <c r="N2380" s="143">
        <f ca="1">(PRODUCT($O$5:$O2380)-1)*36000/_xlfn.DAYS(L2380, $C$2)</f>
        <v>9.3253834269586253</v>
      </c>
      <c r="O2380" s="149">
        <f t="shared" ca="1" si="86"/>
        <v>1.000173611111111</v>
      </c>
    </row>
    <row r="2381" spans="12:15" x14ac:dyDescent="0.25">
      <c r="L2381" s="147">
        <f ca="1"/>
        <v>47620</v>
      </c>
      <c r="M2381" s="92">
        <f t="shared" ca="1" si="85"/>
        <v>6.25</v>
      </c>
      <c r="N2381" s="143">
        <f ca="1">(PRODUCT($O$5:$O2381)-1)*36000/_xlfn.DAYS(L2381, $C$2)</f>
        <v>9.3257079272685353</v>
      </c>
      <c r="O2381" s="149">
        <f t="shared" ca="1" si="86"/>
        <v>1.000173611111111</v>
      </c>
    </row>
    <row r="2382" spans="12:15" x14ac:dyDescent="0.25">
      <c r="L2382" s="147">
        <f ca="1"/>
        <v>47621</v>
      </c>
      <c r="M2382" s="92">
        <f t="shared" ca="1" si="85"/>
        <v>6.25</v>
      </c>
      <c r="N2382" s="143">
        <f ca="1">(PRODUCT($O$5:$O2382)-1)*36000/_xlfn.DAYS(L2382, $C$2)</f>
        <v>9.3260328917930284</v>
      </c>
      <c r="O2382" s="149">
        <f t="shared" ca="1" si="86"/>
        <v>1.000173611111111</v>
      </c>
    </row>
    <row r="2383" spans="12:15" x14ac:dyDescent="0.25">
      <c r="L2383" s="147">
        <f ca="1"/>
        <v>47622</v>
      </c>
      <c r="M2383" s="92">
        <f t="shared" ca="1" si="85"/>
        <v>6.25</v>
      </c>
      <c r="N2383" s="143">
        <f ca="1">(PRODUCT($O$5:$O2383)-1)*36000/_xlfn.DAYS(L2383, $C$2)</f>
        <v>9.3263583200746289</v>
      </c>
      <c r="O2383" s="149">
        <f t="shared" ca="1" si="86"/>
        <v>1.000173611111111</v>
      </c>
    </row>
    <row r="2384" spans="12:15" x14ac:dyDescent="0.25">
      <c r="L2384" s="147">
        <f ca="1"/>
        <v>47623</v>
      </c>
      <c r="M2384" s="92">
        <f t="shared" ca="1" si="85"/>
        <v>6.25</v>
      </c>
      <c r="N2384" s="143">
        <f ca="1">(PRODUCT($O$5:$O2384)-1)*36000/_xlfn.DAYS(L2384, $C$2)</f>
        <v>9.3266842116566622</v>
      </c>
      <c r="O2384" s="149">
        <f t="shared" ca="1" si="86"/>
        <v>1.000173611111111</v>
      </c>
    </row>
    <row r="2385" spans="12:15" x14ac:dyDescent="0.25">
      <c r="L2385" s="147">
        <f ca="1"/>
        <v>47624</v>
      </c>
      <c r="M2385" s="92">
        <f t="shared" ca="1" si="85"/>
        <v>6.25</v>
      </c>
      <c r="N2385" s="143">
        <f ca="1">(PRODUCT($O$5:$O2385)-1)*36000/_xlfn.DAYS(L2385, $C$2)</f>
        <v>9.3270105660832421</v>
      </c>
      <c r="O2385" s="149">
        <f t="shared" ca="1" si="86"/>
        <v>1.000173611111111</v>
      </c>
    </row>
    <row r="2386" spans="12:15" x14ac:dyDescent="0.25">
      <c r="L2386" s="147">
        <f ca="1"/>
        <v>47625</v>
      </c>
      <c r="M2386" s="92">
        <f t="shared" ca="1" si="85"/>
        <v>6.25</v>
      </c>
      <c r="N2386" s="143">
        <f ca="1">(PRODUCT($O$5:$O2386)-1)*36000/_xlfn.DAYS(L2386, $C$2)</f>
        <v>9.3273373828992607</v>
      </c>
      <c r="O2386" s="149">
        <f t="shared" ca="1" si="86"/>
        <v>1.000173611111111</v>
      </c>
    </row>
    <row r="2387" spans="12:15" x14ac:dyDescent="0.25">
      <c r="L2387" s="147">
        <f ca="1"/>
        <v>47626</v>
      </c>
      <c r="M2387" s="92">
        <f t="shared" ca="1" si="85"/>
        <v>6.25</v>
      </c>
      <c r="N2387" s="143">
        <f ca="1">(PRODUCT($O$5:$O2387)-1)*36000/_xlfn.DAYS(L2387, $C$2)</f>
        <v>9.3276646616504078</v>
      </c>
      <c r="O2387" s="149">
        <f t="shared" ca="1" si="86"/>
        <v>1.000173611111111</v>
      </c>
    </row>
    <row r="2388" spans="12:15" x14ac:dyDescent="0.25">
      <c r="L2388" s="147">
        <f ca="1"/>
        <v>47627</v>
      </c>
      <c r="M2388" s="92">
        <f t="shared" ca="1" si="85"/>
        <v>6.25</v>
      </c>
      <c r="N2388" s="143">
        <f ca="1">(PRODUCT($O$5:$O2388)-1)*36000/_xlfn.DAYS(L2388, $C$2)</f>
        <v>9.3279924018831508</v>
      </c>
      <c r="O2388" s="149">
        <f t="shared" ca="1" si="86"/>
        <v>1.000173611111111</v>
      </c>
    </row>
    <row r="2389" spans="12:15" x14ac:dyDescent="0.25">
      <c r="L2389" s="147">
        <f ca="1"/>
        <v>47628</v>
      </c>
      <c r="M2389" s="92">
        <f t="shared" ca="1" si="85"/>
        <v>6.25</v>
      </c>
      <c r="N2389" s="143">
        <f ca="1">(PRODUCT($O$5:$O2389)-1)*36000/_xlfn.DAYS(L2389, $C$2)</f>
        <v>9.3283206031447392</v>
      </c>
      <c r="O2389" s="149">
        <f t="shared" ca="1" si="86"/>
        <v>1.000173611111111</v>
      </c>
    </row>
    <row r="2390" spans="12:15" x14ac:dyDescent="0.25">
      <c r="L2390" s="147">
        <f ca="1"/>
        <v>47629</v>
      </c>
      <c r="M2390" s="92">
        <f t="shared" ca="1" si="85"/>
        <v>6.25</v>
      </c>
      <c r="N2390" s="143">
        <f ca="1">(PRODUCT($O$5:$O2390)-1)*36000/_xlfn.DAYS(L2390, $C$2)</f>
        <v>9.3286492649832091</v>
      </c>
      <c r="O2390" s="149">
        <f t="shared" ca="1" si="86"/>
        <v>1.000173611111111</v>
      </c>
    </row>
    <row r="2391" spans="12:15" x14ac:dyDescent="0.25">
      <c r="L2391" s="147">
        <f ca="1"/>
        <v>47630</v>
      </c>
      <c r="M2391" s="92">
        <f t="shared" ca="1" si="85"/>
        <v>6.25</v>
      </c>
      <c r="N2391" s="143">
        <f ca="1">(PRODUCT($O$5:$O2391)-1)*36000/_xlfn.DAYS(L2391, $C$2)</f>
        <v>9.328978386947373</v>
      </c>
      <c r="O2391" s="149">
        <f t="shared" ca="1" si="86"/>
        <v>1.000173611111111</v>
      </c>
    </row>
    <row r="2392" spans="12:15" x14ac:dyDescent="0.25">
      <c r="L2392" s="147">
        <f ca="1"/>
        <v>47631</v>
      </c>
      <c r="M2392" s="92">
        <f t="shared" ca="1" si="85"/>
        <v>6.25</v>
      </c>
      <c r="N2392" s="143">
        <f ca="1">(PRODUCT($O$5:$O2392)-1)*36000/_xlfn.DAYS(L2392, $C$2)</f>
        <v>9.3293079685868197</v>
      </c>
      <c r="O2392" s="149">
        <f t="shared" ca="1" si="86"/>
        <v>1.000173611111111</v>
      </c>
    </row>
    <row r="2393" spans="12:15" x14ac:dyDescent="0.25">
      <c r="L2393" s="147">
        <f ca="1"/>
        <v>47632</v>
      </c>
      <c r="M2393" s="92">
        <f t="shared" ca="1" si="85"/>
        <v>6.25</v>
      </c>
      <c r="N2393" s="143">
        <f ca="1">(PRODUCT($O$5:$O2393)-1)*36000/_xlfn.DAYS(L2393, $C$2)</f>
        <v>9.3296380094519158</v>
      </c>
      <c r="O2393" s="149">
        <f t="shared" ca="1" si="86"/>
        <v>1.000173611111111</v>
      </c>
    </row>
    <row r="2394" spans="12:15" x14ac:dyDescent="0.25">
      <c r="L2394" s="147">
        <f ca="1"/>
        <v>47633</v>
      </c>
      <c r="M2394" s="92">
        <f t="shared" ca="1" si="85"/>
        <v>6.25</v>
      </c>
      <c r="N2394" s="143">
        <f ca="1">(PRODUCT($O$5:$O2394)-1)*36000/_xlfn.DAYS(L2394, $C$2)</f>
        <v>9.3299685090938063</v>
      </c>
      <c r="O2394" s="149">
        <f t="shared" ca="1" si="86"/>
        <v>1.000173611111111</v>
      </c>
    </row>
    <row r="2395" spans="12:15" x14ac:dyDescent="0.25">
      <c r="L2395" s="147">
        <f ca="1"/>
        <v>47634</v>
      </c>
      <c r="M2395" s="92">
        <f t="shared" ca="1" si="85"/>
        <v>6.25</v>
      </c>
      <c r="N2395" s="143">
        <f ca="1">(PRODUCT($O$5:$O2395)-1)*36000/_xlfn.DAYS(L2395, $C$2)</f>
        <v>9.3302994670644033</v>
      </c>
      <c r="O2395" s="149">
        <f t="shared" ca="1" si="86"/>
        <v>1.000173611111111</v>
      </c>
    </row>
    <row r="2396" spans="12:15" x14ac:dyDescent="0.25">
      <c r="L2396" s="147">
        <f ca="1"/>
        <v>47635</v>
      </c>
      <c r="M2396" s="92">
        <f t="shared" ca="1" si="85"/>
        <v>6.25</v>
      </c>
      <c r="N2396" s="143">
        <f ca="1">(PRODUCT($O$5:$O2396)-1)*36000/_xlfn.DAYS(L2396, $C$2)</f>
        <v>9.33063088291639</v>
      </c>
      <c r="O2396" s="149">
        <f t="shared" ca="1" si="86"/>
        <v>1.000173611111111</v>
      </c>
    </row>
    <row r="2397" spans="12:15" x14ac:dyDescent="0.25">
      <c r="L2397" s="147">
        <f ca="1"/>
        <v>47636</v>
      </c>
      <c r="M2397" s="92">
        <f t="shared" ca="1" si="85"/>
        <v>6.25</v>
      </c>
      <c r="N2397" s="143">
        <f ca="1">(PRODUCT($O$5:$O2397)-1)*36000/_xlfn.DAYS(L2397, $C$2)</f>
        <v>9.3309627562032258</v>
      </c>
      <c r="O2397" s="149">
        <f t="shared" ca="1" si="86"/>
        <v>1.000173611111111</v>
      </c>
    </row>
    <row r="2398" spans="12:15" x14ac:dyDescent="0.25">
      <c r="L2398" s="147">
        <f ca="1"/>
        <v>47637</v>
      </c>
      <c r="M2398" s="92">
        <f t="shared" ca="1" si="85"/>
        <v>6.25</v>
      </c>
      <c r="N2398" s="143">
        <f ca="1">(PRODUCT($O$5:$O2398)-1)*36000/_xlfn.DAYS(L2398, $C$2)</f>
        <v>9.3312950864791357</v>
      </c>
      <c r="O2398" s="149">
        <f t="shared" ca="1" si="86"/>
        <v>1.000173611111111</v>
      </c>
    </row>
    <row r="2399" spans="12:15" x14ac:dyDescent="0.25">
      <c r="L2399" s="147">
        <f ca="1"/>
        <v>47638</v>
      </c>
      <c r="M2399" s="92">
        <f t="shared" ca="1" si="85"/>
        <v>6.25</v>
      </c>
      <c r="N2399" s="143">
        <f ca="1">(PRODUCT($O$5:$O2399)-1)*36000/_xlfn.DAYS(L2399, $C$2)</f>
        <v>9.3316278732991105</v>
      </c>
      <c r="O2399" s="149">
        <f t="shared" ca="1" si="86"/>
        <v>1.000173611111111</v>
      </c>
    </row>
    <row r="2400" spans="12:15" x14ac:dyDescent="0.25">
      <c r="L2400" s="147">
        <f ca="1"/>
        <v>47639</v>
      </c>
      <c r="M2400" s="92">
        <f t="shared" ca="1" si="85"/>
        <v>6.25</v>
      </c>
      <c r="N2400" s="143">
        <f ca="1">(PRODUCT($O$5:$O2400)-1)*36000/_xlfn.DAYS(L2400, $C$2)</f>
        <v>9.3319611162188991</v>
      </c>
      <c r="O2400" s="149">
        <f t="shared" ca="1" si="86"/>
        <v>1.000173611111111</v>
      </c>
    </row>
    <row r="2401" spans="12:15" x14ac:dyDescent="0.25">
      <c r="L2401" s="147">
        <f ca="1"/>
        <v>47640</v>
      </c>
      <c r="M2401" s="92">
        <f t="shared" ca="1" si="85"/>
        <v>6.25</v>
      </c>
      <c r="N2401" s="143">
        <f ca="1">(PRODUCT($O$5:$O2401)-1)*36000/_xlfn.DAYS(L2401, $C$2)</f>
        <v>9.3322948147950306</v>
      </c>
      <c r="O2401" s="149">
        <f t="shared" ca="1" si="86"/>
        <v>1.000173611111111</v>
      </c>
    </row>
    <row r="2402" spans="12:15" x14ac:dyDescent="0.25">
      <c r="L2402" s="147">
        <f ca="1"/>
        <v>47641</v>
      </c>
      <c r="M2402" s="92">
        <f t="shared" ca="1" si="85"/>
        <v>6.25</v>
      </c>
      <c r="N2402" s="143">
        <f ca="1">(PRODUCT($O$5:$O2402)-1)*36000/_xlfn.DAYS(L2402, $C$2)</f>
        <v>9.3326289685847801</v>
      </c>
      <c r="O2402" s="149">
        <f t="shared" ca="1" si="86"/>
        <v>1.000173611111111</v>
      </c>
    </row>
    <row r="2403" spans="12:15" x14ac:dyDescent="0.25">
      <c r="L2403" s="147">
        <f ca="1"/>
        <v>47642</v>
      </c>
      <c r="M2403" s="92">
        <f t="shared" ca="1" si="85"/>
        <v>6.25</v>
      </c>
      <c r="N2403" s="143">
        <f ca="1">(PRODUCT($O$5:$O2403)-1)*36000/_xlfn.DAYS(L2403, $C$2)</f>
        <v>9.3329635771461881</v>
      </c>
      <c r="O2403" s="149">
        <f t="shared" ca="1" si="86"/>
        <v>1.000173611111111</v>
      </c>
    </row>
    <row r="2404" spans="12:15" x14ac:dyDescent="0.25">
      <c r="L2404" s="147">
        <f ca="1"/>
        <v>47643</v>
      </c>
      <c r="M2404" s="92">
        <f t="shared" ca="1" si="85"/>
        <v>6.25</v>
      </c>
      <c r="N2404" s="143">
        <f ca="1">(PRODUCT($O$5:$O2404)-1)*36000/_xlfn.DAYS(L2404, $C$2)</f>
        <v>9.3332986400380573</v>
      </c>
      <c r="O2404" s="149">
        <f t="shared" ca="1" si="86"/>
        <v>1.000173611111111</v>
      </c>
    </row>
    <row r="2405" spans="12:15" x14ac:dyDescent="0.25">
      <c r="L2405" s="147">
        <f ca="1"/>
        <v>47644</v>
      </c>
      <c r="M2405" s="92">
        <f t="shared" ca="1" si="85"/>
        <v>6.25</v>
      </c>
      <c r="N2405" s="143">
        <f ca="1">(PRODUCT($O$5:$O2405)-1)*36000/_xlfn.DAYS(L2405, $C$2)</f>
        <v>9.3336341568199437</v>
      </c>
      <c r="O2405" s="149">
        <f t="shared" ca="1" si="86"/>
        <v>1.000173611111111</v>
      </c>
    </row>
    <row r="2406" spans="12:15" x14ac:dyDescent="0.25">
      <c r="L2406" s="147">
        <f ca="1"/>
        <v>47645</v>
      </c>
      <c r="M2406" s="92">
        <f t="shared" ca="1" si="85"/>
        <v>6.25</v>
      </c>
      <c r="N2406" s="143">
        <f ca="1">(PRODUCT($O$5:$O2406)-1)*36000/_xlfn.DAYS(L2406, $C$2)</f>
        <v>9.3339701270521598</v>
      </c>
      <c r="O2406" s="149">
        <f t="shared" ca="1" si="86"/>
        <v>1.000173611111111</v>
      </c>
    </row>
    <row r="2407" spans="12:15" x14ac:dyDescent="0.25">
      <c r="L2407" s="147">
        <f ca="1"/>
        <v>47646</v>
      </c>
      <c r="M2407" s="92">
        <f t="shared" ca="1" si="85"/>
        <v>6.25</v>
      </c>
      <c r="N2407" s="143">
        <f ca="1">(PRODUCT($O$5:$O2407)-1)*36000/_xlfn.DAYS(L2407, $C$2)</f>
        <v>9.3343065502957696</v>
      </c>
      <c r="O2407" s="149">
        <f t="shared" ca="1" si="86"/>
        <v>1.000173611111111</v>
      </c>
    </row>
    <row r="2408" spans="12:15" x14ac:dyDescent="0.25">
      <c r="L2408" s="147">
        <f ca="1"/>
        <v>47647</v>
      </c>
      <c r="M2408" s="92">
        <f t="shared" ca="1" si="85"/>
        <v>6.25</v>
      </c>
      <c r="N2408" s="143">
        <f ca="1">(PRODUCT($O$5:$O2408)-1)*36000/_xlfn.DAYS(L2408, $C$2)</f>
        <v>9.3346434261125957</v>
      </c>
      <c r="O2408" s="149">
        <f t="shared" ca="1" si="86"/>
        <v>1.000173611111111</v>
      </c>
    </row>
    <row r="2409" spans="12:15" x14ac:dyDescent="0.25">
      <c r="L2409" s="147">
        <f ca="1"/>
        <v>47648</v>
      </c>
      <c r="M2409" s="92">
        <f t="shared" ca="1" si="85"/>
        <v>6.25</v>
      </c>
      <c r="N2409" s="143">
        <f ca="1">(PRODUCT($O$5:$O2409)-1)*36000/_xlfn.DAYS(L2409, $C$2)</f>
        <v>9.3349807540652083</v>
      </c>
      <c r="O2409" s="149">
        <f t="shared" ca="1" si="86"/>
        <v>1.000173611111111</v>
      </c>
    </row>
    <row r="2410" spans="12:15" x14ac:dyDescent="0.25">
      <c r="L2410" s="147">
        <f ca="1"/>
        <v>47649</v>
      </c>
      <c r="M2410" s="92">
        <f t="shared" ca="1" si="85"/>
        <v>6.25</v>
      </c>
      <c r="N2410" s="143">
        <f ca="1">(PRODUCT($O$5:$O2410)-1)*36000/_xlfn.DAYS(L2410, $C$2)</f>
        <v>9.3353185337169258</v>
      </c>
      <c r="O2410" s="149">
        <f t="shared" ca="1" si="86"/>
        <v>1.000173611111111</v>
      </c>
    </row>
    <row r="2411" spans="12:15" x14ac:dyDescent="0.25">
      <c r="L2411" s="147">
        <f ca="1"/>
        <v>47650</v>
      </c>
      <c r="M2411" s="92">
        <f t="shared" ca="1" si="85"/>
        <v>6.25</v>
      </c>
      <c r="N2411" s="143">
        <f ca="1">(PRODUCT($O$5:$O2411)-1)*36000/_xlfn.DAYS(L2411, $C$2)</f>
        <v>9.3356567646318123</v>
      </c>
      <c r="O2411" s="149">
        <f t="shared" ca="1" si="86"/>
        <v>1.000173611111111</v>
      </c>
    </row>
    <row r="2412" spans="12:15" x14ac:dyDescent="0.25">
      <c r="L2412" s="147">
        <f ca="1"/>
        <v>47651</v>
      </c>
      <c r="M2412" s="92">
        <f t="shared" ca="1" si="85"/>
        <v>6.25</v>
      </c>
      <c r="N2412" s="143">
        <f ca="1">(PRODUCT($O$5:$O2412)-1)*36000/_xlfn.DAYS(L2412, $C$2)</f>
        <v>9.3359954463746835</v>
      </c>
      <c r="O2412" s="149">
        <f t="shared" ca="1" si="86"/>
        <v>1.000173611111111</v>
      </c>
    </row>
    <row r="2413" spans="12:15" x14ac:dyDescent="0.25">
      <c r="L2413" s="147">
        <f ca="1"/>
        <v>47652</v>
      </c>
      <c r="M2413" s="92">
        <f t="shared" ca="1" si="85"/>
        <v>6.25</v>
      </c>
      <c r="N2413" s="143">
        <f ca="1">(PRODUCT($O$5:$O2413)-1)*36000/_xlfn.DAYS(L2413, $C$2)</f>
        <v>9.3363345785110976</v>
      </c>
      <c r="O2413" s="149">
        <f t="shared" ca="1" si="86"/>
        <v>1.000173611111111</v>
      </c>
    </row>
    <row r="2414" spans="12:15" x14ac:dyDescent="0.25">
      <c r="L2414" s="147">
        <f ca="1"/>
        <v>47653</v>
      </c>
      <c r="M2414" s="92">
        <f t="shared" ca="1" si="85"/>
        <v>6.25</v>
      </c>
      <c r="N2414" s="143">
        <f ca="1">(PRODUCT($O$5:$O2414)-1)*36000/_xlfn.DAYS(L2414, $C$2)</f>
        <v>9.3366741606073518</v>
      </c>
      <c r="O2414" s="149">
        <f t="shared" ca="1" si="86"/>
        <v>1.000173611111111</v>
      </c>
    </row>
    <row r="2415" spans="12:15" x14ac:dyDescent="0.25">
      <c r="L2415" s="147">
        <f ca="1"/>
        <v>47654</v>
      </c>
      <c r="M2415" s="92">
        <f t="shared" ca="1" si="85"/>
        <v>6.25</v>
      </c>
      <c r="N2415" s="143">
        <f ca="1">(PRODUCT($O$5:$O2415)-1)*36000/_xlfn.DAYS(L2415, $C$2)</f>
        <v>9.337014192230491</v>
      </c>
      <c r="O2415" s="149">
        <f t="shared" ca="1" si="86"/>
        <v>1.000173611111111</v>
      </c>
    </row>
    <row r="2416" spans="12:15" x14ac:dyDescent="0.25">
      <c r="L2416" s="147">
        <f ca="1"/>
        <v>47655</v>
      </c>
      <c r="M2416" s="92">
        <f t="shared" ca="1" si="85"/>
        <v>6.25</v>
      </c>
      <c r="N2416" s="143">
        <f ca="1">(PRODUCT($O$5:$O2416)-1)*36000/_xlfn.DAYS(L2416, $C$2)</f>
        <v>9.3373546729482992</v>
      </c>
      <c r="O2416" s="149">
        <f t="shared" ca="1" si="86"/>
        <v>1.000173611111111</v>
      </c>
    </row>
    <row r="2417" spans="12:15" x14ac:dyDescent="0.25">
      <c r="L2417" s="147">
        <f ca="1"/>
        <v>47656</v>
      </c>
      <c r="M2417" s="92">
        <f t="shared" ca="1" si="85"/>
        <v>6.25</v>
      </c>
      <c r="N2417" s="143">
        <f ca="1">(PRODUCT($O$5:$O2417)-1)*36000/_xlfn.DAYS(L2417, $C$2)</f>
        <v>9.3376956023292941</v>
      </c>
      <c r="O2417" s="149">
        <f t="shared" ca="1" si="86"/>
        <v>1.000173611111111</v>
      </c>
    </row>
    <row r="2418" spans="12:15" x14ac:dyDescent="0.25">
      <c r="L2418" s="147">
        <f ca="1"/>
        <v>47657</v>
      </c>
      <c r="M2418" s="92">
        <f t="shared" ca="1" si="85"/>
        <v>6.25</v>
      </c>
      <c r="N2418" s="143">
        <f ca="1">(PRODUCT($O$5:$O2418)-1)*36000/_xlfn.DAYS(L2418, $C$2)</f>
        <v>9.3380369799427392</v>
      </c>
      <c r="O2418" s="149">
        <f t="shared" ca="1" si="86"/>
        <v>1.000173611111111</v>
      </c>
    </row>
    <row r="2419" spans="12:15" x14ac:dyDescent="0.25">
      <c r="L2419" s="147">
        <f ca="1"/>
        <v>47658</v>
      </c>
      <c r="M2419" s="92">
        <f t="shared" ca="1" si="85"/>
        <v>6.25</v>
      </c>
      <c r="N2419" s="143">
        <f ca="1">(PRODUCT($O$5:$O2419)-1)*36000/_xlfn.DAYS(L2419, $C$2)</f>
        <v>9.3383788053586212</v>
      </c>
      <c r="O2419" s="149">
        <f t="shared" ca="1" si="86"/>
        <v>1.000173611111111</v>
      </c>
    </row>
    <row r="2420" spans="12:15" x14ac:dyDescent="0.25">
      <c r="L2420" s="147">
        <f ca="1"/>
        <v>47659</v>
      </c>
      <c r="M2420" s="92">
        <f t="shared" ca="1" si="85"/>
        <v>6.25</v>
      </c>
      <c r="N2420" s="143">
        <f ca="1">(PRODUCT($O$5:$O2420)-1)*36000/_xlfn.DAYS(L2420, $C$2)</f>
        <v>9.3387210781476711</v>
      </c>
      <c r="O2420" s="149">
        <f t="shared" ca="1" si="86"/>
        <v>1.000173611111111</v>
      </c>
    </row>
    <row r="2421" spans="12:15" x14ac:dyDescent="0.25">
      <c r="L2421" s="147">
        <f ca="1"/>
        <v>47660</v>
      </c>
      <c r="M2421" s="92">
        <f t="shared" ca="1" si="85"/>
        <v>6.25</v>
      </c>
      <c r="N2421" s="143">
        <f ca="1">(PRODUCT($O$5:$O2421)-1)*36000/_xlfn.DAYS(L2421, $C$2)</f>
        <v>9.3390637978813444</v>
      </c>
      <c r="O2421" s="149">
        <f t="shared" ca="1" si="86"/>
        <v>1.000173611111111</v>
      </c>
    </row>
    <row r="2422" spans="12:15" x14ac:dyDescent="0.25">
      <c r="L2422" s="147">
        <f ca="1"/>
        <v>47661</v>
      </c>
      <c r="M2422" s="92">
        <f t="shared" ca="1" si="85"/>
        <v>6.25</v>
      </c>
      <c r="N2422" s="143">
        <f ca="1">(PRODUCT($O$5:$O2422)-1)*36000/_xlfn.DAYS(L2422, $C$2)</f>
        <v>9.3394069641318378</v>
      </c>
      <c r="O2422" s="149">
        <f t="shared" ca="1" si="86"/>
        <v>1.000173611111111</v>
      </c>
    </row>
    <row r="2423" spans="12:15" x14ac:dyDescent="0.25">
      <c r="L2423" s="147">
        <f ca="1"/>
        <v>47662</v>
      </c>
      <c r="M2423" s="92">
        <f t="shared" ca="1" si="85"/>
        <v>6.25</v>
      </c>
      <c r="N2423" s="143">
        <f ca="1">(PRODUCT($O$5:$O2423)-1)*36000/_xlfn.DAYS(L2423, $C$2)</f>
        <v>9.3397505764720687</v>
      </c>
      <c r="O2423" s="149">
        <f t="shared" ca="1" si="86"/>
        <v>1.000173611111111</v>
      </c>
    </row>
    <row r="2424" spans="12:15" x14ac:dyDescent="0.25">
      <c r="L2424" s="147">
        <f ca="1"/>
        <v>47663</v>
      </c>
      <c r="M2424" s="92">
        <f t="shared" ca="1" si="85"/>
        <v>6.25</v>
      </c>
      <c r="N2424" s="143">
        <f ca="1">(PRODUCT($O$5:$O2424)-1)*36000/_xlfn.DAYS(L2424, $C$2)</f>
        <v>9.3400946344756814</v>
      </c>
      <c r="O2424" s="149">
        <f t="shared" ca="1" si="86"/>
        <v>1.000173611111111</v>
      </c>
    </row>
    <row r="2425" spans="12:15" x14ac:dyDescent="0.25">
      <c r="L2425" s="147">
        <f ca="1"/>
        <v>47664</v>
      </c>
      <c r="M2425" s="92">
        <f t="shared" ca="1" si="85"/>
        <v>6.25</v>
      </c>
      <c r="N2425" s="143">
        <f ca="1">(PRODUCT($O$5:$O2425)-1)*36000/_xlfn.DAYS(L2425, $C$2)</f>
        <v>9.3404391377170555</v>
      </c>
      <c r="O2425" s="149">
        <f t="shared" ca="1" si="86"/>
        <v>1.000173611111111</v>
      </c>
    </row>
    <row r="2426" spans="12:15" x14ac:dyDescent="0.25">
      <c r="L2426" s="147">
        <f ca="1"/>
        <v>47665</v>
      </c>
      <c r="M2426" s="92">
        <f t="shared" ca="1" si="85"/>
        <v>6.25</v>
      </c>
      <c r="N2426" s="143">
        <f ca="1">(PRODUCT($O$5:$O2426)-1)*36000/_xlfn.DAYS(L2426, $C$2)</f>
        <v>9.340784085771288</v>
      </c>
      <c r="O2426" s="149">
        <f t="shared" ca="1" si="86"/>
        <v>1.000173611111111</v>
      </c>
    </row>
    <row r="2427" spans="12:15" x14ac:dyDescent="0.25">
      <c r="L2427" s="147">
        <f ca="1"/>
        <v>47666</v>
      </c>
      <c r="M2427" s="92">
        <f t="shared" ca="1" si="85"/>
        <v>6.25</v>
      </c>
      <c r="N2427" s="143">
        <f ca="1">(PRODUCT($O$5:$O2427)-1)*36000/_xlfn.DAYS(L2427, $C$2)</f>
        <v>9.3411294782142011</v>
      </c>
      <c r="O2427" s="149">
        <f t="shared" ca="1" si="86"/>
        <v>1.000173611111111</v>
      </c>
    </row>
    <row r="2428" spans="12:15" x14ac:dyDescent="0.25">
      <c r="L2428" s="147">
        <f ca="1"/>
        <v>47667</v>
      </c>
      <c r="M2428" s="92">
        <f t="shared" ca="1" si="85"/>
        <v>6.25</v>
      </c>
      <c r="N2428" s="143">
        <f ca="1">(PRODUCT($O$5:$O2428)-1)*36000/_xlfn.DAYS(L2428, $C$2)</f>
        <v>9.3414753146223379</v>
      </c>
      <c r="O2428" s="149">
        <f t="shared" ca="1" si="86"/>
        <v>1.000173611111111</v>
      </c>
    </row>
    <row r="2429" spans="12:15" x14ac:dyDescent="0.25">
      <c r="L2429" s="147">
        <f ca="1"/>
        <v>47668</v>
      </c>
      <c r="M2429" s="92">
        <f t="shared" ca="1" si="85"/>
        <v>6.25</v>
      </c>
      <c r="N2429" s="143">
        <f ca="1">(PRODUCT($O$5:$O2429)-1)*36000/_xlfn.DAYS(L2429, $C$2)</f>
        <v>9.3418215945729681</v>
      </c>
      <c r="O2429" s="149">
        <f t="shared" ca="1" si="86"/>
        <v>1.000173611111111</v>
      </c>
    </row>
    <row r="2430" spans="12:15" x14ac:dyDescent="0.25">
      <c r="L2430" s="147">
        <f ca="1"/>
        <v>47669</v>
      </c>
      <c r="M2430" s="92">
        <f t="shared" ca="1" si="85"/>
        <v>6.25</v>
      </c>
      <c r="N2430" s="143">
        <f ca="1">(PRODUCT($O$5:$O2430)-1)*36000/_xlfn.DAYS(L2430, $C$2)</f>
        <v>9.3421683176440702</v>
      </c>
      <c r="O2430" s="149">
        <f t="shared" ca="1" si="86"/>
        <v>1.000173611111111</v>
      </c>
    </row>
    <row r="2431" spans="12:15" x14ac:dyDescent="0.25">
      <c r="L2431" s="147">
        <f ca="1"/>
        <v>47670</v>
      </c>
      <c r="M2431" s="92">
        <f t="shared" ca="1" si="85"/>
        <v>6.25</v>
      </c>
      <c r="N2431" s="143">
        <f ca="1">(PRODUCT($O$5:$O2431)-1)*36000/_xlfn.DAYS(L2431, $C$2)</f>
        <v>9.3425154834143509</v>
      </c>
      <c r="O2431" s="149">
        <f t="shared" ca="1" si="86"/>
        <v>1.000173611111111</v>
      </c>
    </row>
    <row r="2432" spans="12:15" x14ac:dyDescent="0.25">
      <c r="L2432" s="147">
        <f ca="1"/>
        <v>47671</v>
      </c>
      <c r="M2432" s="92">
        <f t="shared" ca="1" si="85"/>
        <v>6.25</v>
      </c>
      <c r="N2432" s="143">
        <f ca="1">(PRODUCT($O$5:$O2432)-1)*36000/_xlfn.DAYS(L2432, $C$2)</f>
        <v>9.3428630914632258</v>
      </c>
      <c r="O2432" s="149">
        <f t="shared" ca="1" si="86"/>
        <v>1.000173611111111</v>
      </c>
    </row>
    <row r="2433" spans="12:15" x14ac:dyDescent="0.25">
      <c r="L2433" s="147">
        <f ca="1"/>
        <v>47672</v>
      </c>
      <c r="M2433" s="92">
        <f t="shared" ca="1" si="85"/>
        <v>6.25</v>
      </c>
      <c r="N2433" s="143">
        <f ca="1">(PRODUCT($O$5:$O2433)-1)*36000/_xlfn.DAYS(L2433, $C$2)</f>
        <v>9.3432111413708228</v>
      </c>
      <c r="O2433" s="149">
        <f t="shared" ca="1" si="86"/>
        <v>1.000173611111111</v>
      </c>
    </row>
    <row r="2434" spans="12:15" x14ac:dyDescent="0.25">
      <c r="L2434" s="147">
        <f ca="1"/>
        <v>47673</v>
      </c>
      <c r="M2434" s="92">
        <f t="shared" ca="1" si="85"/>
        <v>6.25</v>
      </c>
      <c r="N2434" s="143">
        <f ca="1">(PRODUCT($O$5:$O2434)-1)*36000/_xlfn.DAYS(L2434, $C$2)</f>
        <v>9.3435596327179908</v>
      </c>
      <c r="O2434" s="149">
        <f t="shared" ca="1" si="86"/>
        <v>1.000173611111111</v>
      </c>
    </row>
    <row r="2435" spans="12:15" x14ac:dyDescent="0.25">
      <c r="L2435" s="147">
        <f ca="1"/>
        <v>47674</v>
      </c>
      <c r="M2435" s="92">
        <f t="shared" ca="1" si="85"/>
        <v>6.25</v>
      </c>
      <c r="N2435" s="143">
        <f ca="1">(PRODUCT($O$5:$O2435)-1)*36000/_xlfn.DAYS(L2435, $C$2)</f>
        <v>9.3439085650862861</v>
      </c>
      <c r="O2435" s="149">
        <f t="shared" ca="1" si="86"/>
        <v>1.000173611111111</v>
      </c>
    </row>
    <row r="2436" spans="12:15" x14ac:dyDescent="0.25">
      <c r="L2436" s="147">
        <f ca="1"/>
        <v>47675</v>
      </c>
      <c r="M2436" s="92">
        <f t="shared" ca="1" si="85"/>
        <v>6.25</v>
      </c>
      <c r="N2436" s="143">
        <f ca="1">(PRODUCT($O$5:$O2436)-1)*36000/_xlfn.DAYS(L2436, $C$2)</f>
        <v>9.3442579380579787</v>
      </c>
      <c r="O2436" s="149">
        <f t="shared" ca="1" si="86"/>
        <v>1.000173611111111</v>
      </c>
    </row>
    <row r="2437" spans="12:15" x14ac:dyDescent="0.25">
      <c r="L2437" s="147">
        <f ca="1"/>
        <v>47676</v>
      </c>
      <c r="M2437" s="92">
        <f t="shared" ref="M2437:M2500" ca="1" si="87">IFERROR(INDEX($E$27:$H$47, MATCH(L2437, $F$27:$F$47, 0), 4), IF(ISNUMBER(M2436), M2436, $C$5))</f>
        <v>6.25</v>
      </c>
      <c r="N2437" s="143">
        <f ca="1">(PRODUCT($O$5:$O2437)-1)*36000/_xlfn.DAYS(L2437, $C$2)</f>
        <v>9.3446077512160368</v>
      </c>
      <c r="O2437" s="149">
        <f t="shared" ca="1" si="86"/>
        <v>1.000173611111111</v>
      </c>
    </row>
    <row r="2438" spans="12:15" x14ac:dyDescent="0.25">
      <c r="L2438" s="147">
        <f ca="1"/>
        <v>47677</v>
      </c>
      <c r="M2438" s="92">
        <f t="shared" ca="1" si="87"/>
        <v>6.25</v>
      </c>
      <c r="N2438" s="143">
        <f ca="1">(PRODUCT($O$5:$O2438)-1)*36000/_xlfn.DAYS(L2438, $C$2)</f>
        <v>9.3449580041441518</v>
      </c>
      <c r="O2438" s="149">
        <f t="shared" ref="O2438:O2501" ca="1" si="88">1+M2438*IFERROR(_xlfn.DAYS(L2438, L2437), _xlfn.DAYS(L2438, $C$2))/36000</f>
        <v>1.000173611111111</v>
      </c>
    </row>
    <row r="2439" spans="12:15" x14ac:dyDescent="0.25">
      <c r="L2439" s="147">
        <f ca="1"/>
        <v>47678</v>
      </c>
      <c r="M2439" s="92">
        <f t="shared" ca="1" si="87"/>
        <v>6.25</v>
      </c>
      <c r="N2439" s="143">
        <f ca="1">(PRODUCT($O$5:$O2439)-1)*36000/_xlfn.DAYS(L2439, $C$2)</f>
        <v>9.3453086964267076</v>
      </c>
      <c r="O2439" s="149">
        <f t="shared" ca="1" si="88"/>
        <v>1.000173611111111</v>
      </c>
    </row>
    <row r="2440" spans="12:15" x14ac:dyDescent="0.25">
      <c r="L2440" s="147">
        <f ca="1"/>
        <v>47679</v>
      </c>
      <c r="M2440" s="92">
        <f t="shared" ca="1" si="87"/>
        <v>6.25</v>
      </c>
      <c r="N2440" s="143">
        <f ca="1">(PRODUCT($O$5:$O2440)-1)*36000/_xlfn.DAYS(L2440, $C$2)</f>
        <v>9.3456598276487934</v>
      </c>
      <c r="O2440" s="149">
        <f t="shared" ca="1" si="88"/>
        <v>1.000173611111111</v>
      </c>
    </row>
    <row r="2441" spans="12:15" x14ac:dyDescent="0.25">
      <c r="L2441" s="147">
        <f ca="1"/>
        <v>47680</v>
      </c>
      <c r="M2441" s="92">
        <f t="shared" ca="1" si="87"/>
        <v>6.25</v>
      </c>
      <c r="N2441" s="143">
        <f ca="1">(PRODUCT($O$5:$O2441)-1)*36000/_xlfn.DAYS(L2441, $C$2)</f>
        <v>9.3460113973962127</v>
      </c>
      <c r="O2441" s="149">
        <f t="shared" ca="1" si="88"/>
        <v>1.000173611111111</v>
      </c>
    </row>
    <row r="2442" spans="12:15" x14ac:dyDescent="0.25">
      <c r="L2442" s="147">
        <f ca="1"/>
        <v>47681</v>
      </c>
      <c r="M2442" s="92">
        <f t="shared" ca="1" si="87"/>
        <v>6.25</v>
      </c>
      <c r="N2442" s="143">
        <f ca="1">(PRODUCT($O$5:$O2442)-1)*36000/_xlfn.DAYS(L2442, $C$2)</f>
        <v>9.3463634052554561</v>
      </c>
      <c r="O2442" s="149">
        <f t="shared" ca="1" si="88"/>
        <v>1.000173611111111</v>
      </c>
    </row>
    <row r="2443" spans="12:15" x14ac:dyDescent="0.25">
      <c r="L2443" s="147">
        <f ca="1"/>
        <v>47682</v>
      </c>
      <c r="M2443" s="92">
        <f t="shared" ca="1" si="87"/>
        <v>6.25</v>
      </c>
      <c r="N2443" s="143">
        <f ca="1">(PRODUCT($O$5:$O2443)-1)*36000/_xlfn.DAYS(L2443, $C$2)</f>
        <v>9.3467158508137249</v>
      </c>
      <c r="O2443" s="149">
        <f t="shared" ca="1" si="88"/>
        <v>1.000173611111111</v>
      </c>
    </row>
    <row r="2444" spans="12:15" x14ac:dyDescent="0.25">
      <c r="L2444" s="147">
        <f ca="1"/>
        <v>47683</v>
      </c>
      <c r="M2444" s="92">
        <f t="shared" ca="1" si="87"/>
        <v>6.25</v>
      </c>
      <c r="N2444" s="143">
        <f ca="1">(PRODUCT($O$5:$O2444)-1)*36000/_xlfn.DAYS(L2444, $C$2)</f>
        <v>9.3470687336589133</v>
      </c>
      <c r="O2444" s="149">
        <f t="shared" ca="1" si="88"/>
        <v>1.000173611111111</v>
      </c>
    </row>
    <row r="2445" spans="12:15" x14ac:dyDescent="0.25">
      <c r="L2445" s="147">
        <f ca="1"/>
        <v>47684</v>
      </c>
      <c r="M2445" s="92">
        <f t="shared" ca="1" si="87"/>
        <v>6.25</v>
      </c>
      <c r="N2445" s="143">
        <f ca="1">(PRODUCT($O$5:$O2445)-1)*36000/_xlfn.DAYS(L2445, $C$2)</f>
        <v>9.3474220533796153</v>
      </c>
      <c r="O2445" s="149">
        <f t="shared" ca="1" si="88"/>
        <v>1.000173611111111</v>
      </c>
    </row>
    <row r="2446" spans="12:15" x14ac:dyDescent="0.25">
      <c r="L2446" s="147">
        <f ca="1"/>
        <v>47685</v>
      </c>
      <c r="M2446" s="92">
        <f t="shared" ca="1" si="87"/>
        <v>6.25</v>
      </c>
      <c r="N2446" s="143">
        <f ca="1">(PRODUCT($O$5:$O2446)-1)*36000/_xlfn.DAYS(L2446, $C$2)</f>
        <v>9.3477758095651193</v>
      </c>
      <c r="O2446" s="149">
        <f t="shared" ca="1" si="88"/>
        <v>1.000173611111111</v>
      </c>
    </row>
    <row r="2447" spans="12:15" x14ac:dyDescent="0.25">
      <c r="L2447" s="147">
        <f ca="1"/>
        <v>47686</v>
      </c>
      <c r="M2447" s="92">
        <f t="shared" ca="1" si="87"/>
        <v>6.25</v>
      </c>
      <c r="N2447" s="143">
        <f ca="1">(PRODUCT($O$5:$O2447)-1)*36000/_xlfn.DAYS(L2447, $C$2)</f>
        <v>9.3481300018054103</v>
      </c>
      <c r="O2447" s="149">
        <f t="shared" ca="1" si="88"/>
        <v>1.000173611111111</v>
      </c>
    </row>
    <row r="2448" spans="12:15" x14ac:dyDescent="0.25">
      <c r="L2448" s="147">
        <f ca="1"/>
        <v>47687</v>
      </c>
      <c r="M2448" s="92">
        <f t="shared" ca="1" si="87"/>
        <v>6.25</v>
      </c>
      <c r="N2448" s="143">
        <f ca="1">(PRODUCT($O$5:$O2448)-1)*36000/_xlfn.DAYS(L2448, $C$2)</f>
        <v>9.3484846296911606</v>
      </c>
      <c r="O2448" s="149">
        <f t="shared" ca="1" si="88"/>
        <v>1.000173611111111</v>
      </c>
    </row>
    <row r="2449" spans="12:15" x14ac:dyDescent="0.25">
      <c r="L2449" s="147">
        <f ca="1"/>
        <v>47688</v>
      </c>
      <c r="M2449" s="92">
        <f t="shared" ca="1" si="87"/>
        <v>6.25</v>
      </c>
      <c r="N2449" s="143">
        <f ca="1">(PRODUCT($O$5:$O2449)-1)*36000/_xlfn.DAYS(L2449, $C$2)</f>
        <v>9.3488396928137405</v>
      </c>
      <c r="O2449" s="149">
        <f t="shared" ca="1" si="88"/>
        <v>1.000173611111111</v>
      </c>
    </row>
    <row r="2450" spans="12:15" x14ac:dyDescent="0.25">
      <c r="L2450" s="147">
        <f ca="1"/>
        <v>47689</v>
      </c>
      <c r="M2450" s="92">
        <f t="shared" ca="1" si="87"/>
        <v>6.25</v>
      </c>
      <c r="N2450" s="143">
        <f ca="1">(PRODUCT($O$5:$O2450)-1)*36000/_xlfn.DAYS(L2450, $C$2)</f>
        <v>9.349195190765208</v>
      </c>
      <c r="O2450" s="149">
        <f t="shared" ca="1" si="88"/>
        <v>1.000173611111111</v>
      </c>
    </row>
    <row r="2451" spans="12:15" x14ac:dyDescent="0.25">
      <c r="L2451" s="147">
        <f ca="1"/>
        <v>47690</v>
      </c>
      <c r="M2451" s="92">
        <f t="shared" ca="1" si="87"/>
        <v>6.25</v>
      </c>
      <c r="N2451" s="143">
        <f ca="1">(PRODUCT($O$5:$O2451)-1)*36000/_xlfn.DAYS(L2451, $C$2)</f>
        <v>9.3495511231383048</v>
      </c>
      <c r="O2451" s="149">
        <f t="shared" ca="1" si="88"/>
        <v>1.000173611111111</v>
      </c>
    </row>
    <row r="2452" spans="12:15" x14ac:dyDescent="0.25">
      <c r="L2452" s="147">
        <f ca="1"/>
        <v>47691</v>
      </c>
      <c r="M2452" s="92">
        <f t="shared" ca="1" si="87"/>
        <v>6.25</v>
      </c>
      <c r="N2452" s="143">
        <f ca="1">(PRODUCT($O$5:$O2452)-1)*36000/_xlfn.DAYS(L2452, $C$2)</f>
        <v>9.3499074895264727</v>
      </c>
      <c r="O2452" s="149">
        <f t="shared" ca="1" si="88"/>
        <v>1.000173611111111</v>
      </c>
    </row>
    <row r="2453" spans="12:15" x14ac:dyDescent="0.25">
      <c r="L2453" s="147">
        <f ca="1"/>
        <v>47692</v>
      </c>
      <c r="M2453" s="92">
        <f t="shared" ca="1" si="87"/>
        <v>6.25</v>
      </c>
      <c r="N2453" s="143">
        <f ca="1">(PRODUCT($O$5:$O2453)-1)*36000/_xlfn.DAYS(L2453, $C$2)</f>
        <v>9.3502642895238246</v>
      </c>
      <c r="O2453" s="149">
        <f t="shared" ca="1" si="88"/>
        <v>1.000173611111111</v>
      </c>
    </row>
    <row r="2454" spans="12:15" x14ac:dyDescent="0.25">
      <c r="L2454" s="147">
        <f ca="1"/>
        <v>47693</v>
      </c>
      <c r="M2454" s="92">
        <f t="shared" ca="1" si="87"/>
        <v>6.25</v>
      </c>
      <c r="N2454" s="143">
        <f ca="1">(PRODUCT($O$5:$O2454)-1)*36000/_xlfn.DAYS(L2454, $C$2)</f>
        <v>9.3506215227251683</v>
      </c>
      <c r="O2454" s="149">
        <f t="shared" ca="1" si="88"/>
        <v>1.000173611111111</v>
      </c>
    </row>
    <row r="2455" spans="12:15" x14ac:dyDescent="0.25">
      <c r="L2455" s="147">
        <f ca="1"/>
        <v>47694</v>
      </c>
      <c r="M2455" s="92">
        <f t="shared" ca="1" si="87"/>
        <v>6.25</v>
      </c>
      <c r="N2455" s="143">
        <f ca="1">(PRODUCT($O$5:$O2455)-1)*36000/_xlfn.DAYS(L2455, $C$2)</f>
        <v>9.3509791887259901</v>
      </c>
      <c r="O2455" s="149">
        <f t="shared" ca="1" si="88"/>
        <v>1.000173611111111</v>
      </c>
    </row>
    <row r="2456" spans="12:15" x14ac:dyDescent="0.25">
      <c r="L2456" s="147">
        <f ca="1"/>
        <v>47695</v>
      </c>
      <c r="M2456" s="92">
        <f t="shared" ca="1" si="87"/>
        <v>6.25</v>
      </c>
      <c r="N2456" s="143">
        <f ca="1">(PRODUCT($O$5:$O2456)-1)*36000/_xlfn.DAYS(L2456, $C$2)</f>
        <v>9.3513372871224583</v>
      </c>
      <c r="O2456" s="149">
        <f t="shared" ca="1" si="88"/>
        <v>1.000173611111111</v>
      </c>
    </row>
    <row r="2457" spans="12:15" x14ac:dyDescent="0.25">
      <c r="L2457" s="147">
        <f ca="1"/>
        <v>47696</v>
      </c>
      <c r="M2457" s="92">
        <f t="shared" ca="1" si="87"/>
        <v>6.25</v>
      </c>
      <c r="N2457" s="143">
        <f ca="1">(PRODUCT($O$5:$O2457)-1)*36000/_xlfn.DAYS(L2457, $C$2)</f>
        <v>9.3516958175114215</v>
      </c>
      <c r="O2457" s="149">
        <f t="shared" ca="1" si="88"/>
        <v>1.000173611111111</v>
      </c>
    </row>
    <row r="2458" spans="12:15" x14ac:dyDescent="0.25">
      <c r="L2458" s="147">
        <f ca="1"/>
        <v>47697</v>
      </c>
      <c r="M2458" s="92">
        <f t="shared" ca="1" si="87"/>
        <v>6.25</v>
      </c>
      <c r="N2458" s="143">
        <f ca="1">(PRODUCT($O$5:$O2458)-1)*36000/_xlfn.DAYS(L2458, $C$2)</f>
        <v>9.352054779490409</v>
      </c>
      <c r="O2458" s="149">
        <f t="shared" ca="1" si="88"/>
        <v>1.000173611111111</v>
      </c>
    </row>
    <row r="2459" spans="12:15" x14ac:dyDescent="0.25">
      <c r="L2459" s="147">
        <f ca="1"/>
        <v>47698</v>
      </c>
      <c r="M2459" s="92">
        <f t="shared" ca="1" si="87"/>
        <v>6.25</v>
      </c>
      <c r="N2459" s="143">
        <f ca="1">(PRODUCT($O$5:$O2459)-1)*36000/_xlfn.DAYS(L2459, $C$2)</f>
        <v>9.3524141726576246</v>
      </c>
      <c r="O2459" s="149">
        <f t="shared" ca="1" si="88"/>
        <v>1.000173611111111</v>
      </c>
    </row>
    <row r="2460" spans="12:15" x14ac:dyDescent="0.25">
      <c r="L2460" s="147">
        <f ca="1"/>
        <v>47699</v>
      </c>
      <c r="M2460" s="92">
        <f t="shared" ca="1" si="87"/>
        <v>6.25</v>
      </c>
      <c r="N2460" s="143">
        <f ca="1">(PRODUCT($O$5:$O2460)-1)*36000/_xlfn.DAYS(L2460, $C$2)</f>
        <v>9.352773996611953</v>
      </c>
      <c r="O2460" s="149">
        <f t="shared" ca="1" si="88"/>
        <v>1.000173611111111</v>
      </c>
    </row>
    <row r="2461" spans="12:15" x14ac:dyDescent="0.25">
      <c r="L2461" s="147">
        <f ca="1"/>
        <v>47700</v>
      </c>
      <c r="M2461" s="92">
        <f t="shared" ca="1" si="87"/>
        <v>6.25</v>
      </c>
      <c r="N2461" s="143">
        <f ca="1">(PRODUCT($O$5:$O2461)-1)*36000/_xlfn.DAYS(L2461, $C$2)</f>
        <v>9.353134250952948</v>
      </c>
      <c r="O2461" s="149">
        <f t="shared" ca="1" si="88"/>
        <v>1.000173611111111</v>
      </c>
    </row>
    <row r="2462" spans="12:15" x14ac:dyDescent="0.25">
      <c r="L2462" s="147">
        <f ca="1"/>
        <v>47701</v>
      </c>
      <c r="M2462" s="92">
        <f t="shared" ca="1" si="87"/>
        <v>6.25</v>
      </c>
      <c r="N2462" s="143">
        <f ca="1">(PRODUCT($O$5:$O2462)-1)*36000/_xlfn.DAYS(L2462, $C$2)</f>
        <v>9.3534949352808407</v>
      </c>
      <c r="O2462" s="149">
        <f t="shared" ca="1" si="88"/>
        <v>1.000173611111111</v>
      </c>
    </row>
    <row r="2463" spans="12:15" x14ac:dyDescent="0.25">
      <c r="L2463" s="147">
        <f ca="1"/>
        <v>47702</v>
      </c>
      <c r="M2463" s="92">
        <f t="shared" ca="1" si="87"/>
        <v>6.25</v>
      </c>
      <c r="N2463" s="143">
        <f ca="1">(PRODUCT($O$5:$O2463)-1)*36000/_xlfn.DAYS(L2463, $C$2)</f>
        <v>9.353856049196537</v>
      </c>
      <c r="O2463" s="149">
        <f t="shared" ca="1" si="88"/>
        <v>1.000173611111111</v>
      </c>
    </row>
    <row r="2464" spans="12:15" x14ac:dyDescent="0.25">
      <c r="L2464" s="147">
        <f ca="1"/>
        <v>47703</v>
      </c>
      <c r="M2464" s="92">
        <f t="shared" ca="1" si="87"/>
        <v>6.25</v>
      </c>
      <c r="N2464" s="143">
        <f ca="1">(PRODUCT($O$5:$O2464)-1)*36000/_xlfn.DAYS(L2464, $C$2)</f>
        <v>9.3542175923016071</v>
      </c>
      <c r="O2464" s="149">
        <f t="shared" ca="1" si="88"/>
        <v>1.000173611111111</v>
      </c>
    </row>
    <row r="2465" spans="12:15" x14ac:dyDescent="0.25">
      <c r="L2465" s="147">
        <f ca="1"/>
        <v>47704</v>
      </c>
      <c r="M2465" s="92">
        <f t="shared" ca="1" si="87"/>
        <v>6.25</v>
      </c>
      <c r="N2465" s="143">
        <f ca="1">(PRODUCT($O$5:$O2465)-1)*36000/_xlfn.DAYS(L2465, $C$2)</f>
        <v>9.354579564198291</v>
      </c>
      <c r="O2465" s="149">
        <f t="shared" ca="1" si="88"/>
        <v>1.000173611111111</v>
      </c>
    </row>
    <row r="2466" spans="12:15" x14ac:dyDescent="0.25">
      <c r="L2466" s="147">
        <f ca="1"/>
        <v>47705</v>
      </c>
      <c r="M2466" s="92">
        <f t="shared" ca="1" si="87"/>
        <v>6.25</v>
      </c>
      <c r="N2466" s="143">
        <f ca="1">(PRODUCT($O$5:$O2466)-1)*36000/_xlfn.DAYS(L2466, $C$2)</f>
        <v>9.3549419644895018</v>
      </c>
      <c r="O2466" s="149">
        <f t="shared" ca="1" si="88"/>
        <v>1.000173611111111</v>
      </c>
    </row>
    <row r="2467" spans="12:15" x14ac:dyDescent="0.25">
      <c r="L2467" s="147">
        <f ca="1"/>
        <v>47706</v>
      </c>
      <c r="M2467" s="92">
        <f t="shared" ca="1" si="87"/>
        <v>6.25</v>
      </c>
      <c r="N2467" s="143">
        <f ca="1">(PRODUCT($O$5:$O2467)-1)*36000/_xlfn.DAYS(L2467, $C$2)</f>
        <v>9.3553047927788135</v>
      </c>
      <c r="O2467" s="149">
        <f t="shared" ca="1" si="88"/>
        <v>1.000173611111111</v>
      </c>
    </row>
    <row r="2468" spans="12:15" x14ac:dyDescent="0.25">
      <c r="L2468" s="147">
        <f ca="1"/>
        <v>47707</v>
      </c>
      <c r="M2468" s="92">
        <f t="shared" ca="1" si="87"/>
        <v>6.25</v>
      </c>
      <c r="N2468" s="143">
        <f ca="1">(PRODUCT($O$5:$O2468)-1)*36000/_xlfn.DAYS(L2468, $C$2)</f>
        <v>9.35566804867047</v>
      </c>
      <c r="O2468" s="149">
        <f t="shared" ca="1" si="88"/>
        <v>1.000173611111111</v>
      </c>
    </row>
    <row r="2469" spans="12:15" x14ac:dyDescent="0.25">
      <c r="L2469" s="147">
        <f ca="1"/>
        <v>47708</v>
      </c>
      <c r="M2469" s="92">
        <f t="shared" ca="1" si="87"/>
        <v>6.25</v>
      </c>
      <c r="N2469" s="143">
        <f ca="1">(PRODUCT($O$5:$O2469)-1)*36000/_xlfn.DAYS(L2469, $C$2)</f>
        <v>9.3560317317693809</v>
      </c>
      <c r="O2469" s="149">
        <f t="shared" ca="1" si="88"/>
        <v>1.000173611111111</v>
      </c>
    </row>
    <row r="2470" spans="12:15" x14ac:dyDescent="0.25">
      <c r="L2470" s="147">
        <f ca="1"/>
        <v>47709</v>
      </c>
      <c r="M2470" s="92">
        <f t="shared" ca="1" si="87"/>
        <v>6.25</v>
      </c>
      <c r="N2470" s="143">
        <f ca="1">(PRODUCT($O$5:$O2470)-1)*36000/_xlfn.DAYS(L2470, $C$2)</f>
        <v>9.3563958416811115</v>
      </c>
      <c r="O2470" s="149">
        <f t="shared" ca="1" si="88"/>
        <v>1.000173611111111</v>
      </c>
    </row>
    <row r="2471" spans="12:15" x14ac:dyDescent="0.25">
      <c r="L2471" s="147">
        <f ca="1"/>
        <v>47710</v>
      </c>
      <c r="M2471" s="92">
        <f t="shared" ca="1" si="87"/>
        <v>6.25</v>
      </c>
      <c r="N2471" s="143">
        <f ca="1">(PRODUCT($O$5:$O2471)-1)*36000/_xlfn.DAYS(L2471, $C$2)</f>
        <v>9.3567603780118898</v>
      </c>
      <c r="O2471" s="149">
        <f t="shared" ca="1" si="88"/>
        <v>1.000173611111111</v>
      </c>
    </row>
    <row r="2472" spans="12:15" x14ac:dyDescent="0.25">
      <c r="L2472" s="147">
        <f ca="1"/>
        <v>47711</v>
      </c>
      <c r="M2472" s="92">
        <f t="shared" ca="1" si="87"/>
        <v>6.25</v>
      </c>
      <c r="N2472" s="143">
        <f ca="1">(PRODUCT($O$5:$O2472)-1)*36000/_xlfn.DAYS(L2472, $C$2)</f>
        <v>9.3571253403686114</v>
      </c>
      <c r="O2472" s="149">
        <f t="shared" ca="1" si="88"/>
        <v>1.000173611111111</v>
      </c>
    </row>
    <row r="2473" spans="12:15" x14ac:dyDescent="0.25">
      <c r="L2473" s="147">
        <f ca="1"/>
        <v>47712</v>
      </c>
      <c r="M2473" s="92">
        <f t="shared" ca="1" si="87"/>
        <v>6.25</v>
      </c>
      <c r="N2473" s="143">
        <f ca="1">(PRODUCT($O$5:$O2473)-1)*36000/_xlfn.DAYS(L2473, $C$2)</f>
        <v>9.3574907283588189</v>
      </c>
      <c r="O2473" s="149">
        <f t="shared" ca="1" si="88"/>
        <v>1.000173611111111</v>
      </c>
    </row>
    <row r="2474" spans="12:15" x14ac:dyDescent="0.25">
      <c r="L2474" s="147">
        <f ca="1"/>
        <v>47713</v>
      </c>
      <c r="M2474" s="92">
        <f t="shared" ca="1" si="87"/>
        <v>6.25</v>
      </c>
      <c r="N2474" s="143">
        <f ca="1">(PRODUCT($O$5:$O2474)-1)*36000/_xlfn.DAYS(L2474, $C$2)</f>
        <v>9.3578565415907242</v>
      </c>
      <c r="O2474" s="149">
        <f t="shared" ca="1" si="88"/>
        <v>1.000173611111111</v>
      </c>
    </row>
    <row r="2475" spans="12:15" x14ac:dyDescent="0.25">
      <c r="L2475" s="147">
        <f ca="1"/>
        <v>47714</v>
      </c>
      <c r="M2475" s="92">
        <f t="shared" ca="1" si="87"/>
        <v>6.25</v>
      </c>
      <c r="N2475" s="143">
        <f ca="1">(PRODUCT($O$5:$O2475)-1)*36000/_xlfn.DAYS(L2475, $C$2)</f>
        <v>9.3582227796731807</v>
      </c>
      <c r="O2475" s="149">
        <f t="shared" ca="1" si="88"/>
        <v>1.000173611111111</v>
      </c>
    </row>
    <row r="2476" spans="12:15" x14ac:dyDescent="0.25">
      <c r="L2476" s="147">
        <f ca="1"/>
        <v>47715</v>
      </c>
      <c r="M2476" s="92">
        <f t="shared" ca="1" si="87"/>
        <v>6.25</v>
      </c>
      <c r="N2476" s="143">
        <f ca="1">(PRODUCT($O$5:$O2476)-1)*36000/_xlfn.DAYS(L2476, $C$2)</f>
        <v>9.358589442215715</v>
      </c>
      <c r="O2476" s="149">
        <f t="shared" ca="1" si="88"/>
        <v>1.000173611111111</v>
      </c>
    </row>
    <row r="2477" spans="12:15" x14ac:dyDescent="0.25">
      <c r="L2477" s="147">
        <f ca="1"/>
        <v>47716</v>
      </c>
      <c r="M2477" s="92">
        <f t="shared" ca="1" si="87"/>
        <v>6.25</v>
      </c>
      <c r="N2477" s="143">
        <f ca="1">(PRODUCT($O$5:$O2477)-1)*36000/_xlfn.DAYS(L2477, $C$2)</f>
        <v>9.358956528828493</v>
      </c>
      <c r="O2477" s="149">
        <f t="shared" ca="1" si="88"/>
        <v>1.000173611111111</v>
      </c>
    </row>
    <row r="2478" spans="12:15" x14ac:dyDescent="0.25">
      <c r="L2478" s="147">
        <f ca="1"/>
        <v>47717</v>
      </c>
      <c r="M2478" s="92">
        <f t="shared" ca="1" si="87"/>
        <v>6.25</v>
      </c>
      <c r="N2478" s="143">
        <f ca="1">(PRODUCT($O$5:$O2478)-1)*36000/_xlfn.DAYS(L2478, $C$2)</f>
        <v>9.3593240391223347</v>
      </c>
      <c r="O2478" s="149">
        <f t="shared" ca="1" si="88"/>
        <v>1.000173611111111</v>
      </c>
    </row>
    <row r="2479" spans="12:15" x14ac:dyDescent="0.25">
      <c r="L2479" s="147">
        <f ca="1"/>
        <v>47718</v>
      </c>
      <c r="M2479" s="92">
        <f t="shared" ca="1" si="87"/>
        <v>6.25</v>
      </c>
      <c r="N2479" s="143">
        <f ca="1">(PRODUCT($O$5:$O2479)-1)*36000/_xlfn.DAYS(L2479, $C$2)</f>
        <v>9.3596919727087133</v>
      </c>
      <c r="O2479" s="149">
        <f t="shared" ca="1" si="88"/>
        <v>1.000173611111111</v>
      </c>
    </row>
    <row r="2480" spans="12:15" x14ac:dyDescent="0.25">
      <c r="L2480" s="147">
        <f ca="1"/>
        <v>47719</v>
      </c>
      <c r="M2480" s="92">
        <f t="shared" ca="1" si="87"/>
        <v>6.25</v>
      </c>
      <c r="N2480" s="143">
        <f ca="1">(PRODUCT($O$5:$O2480)-1)*36000/_xlfn.DAYS(L2480, $C$2)</f>
        <v>9.3600603291997508</v>
      </c>
      <c r="O2480" s="149">
        <f t="shared" ca="1" si="88"/>
        <v>1.000173611111111</v>
      </c>
    </row>
    <row r="2481" spans="12:15" x14ac:dyDescent="0.25">
      <c r="L2481" s="147">
        <f ca="1"/>
        <v>47720</v>
      </c>
      <c r="M2481" s="92">
        <f t="shared" ca="1" si="87"/>
        <v>6.25</v>
      </c>
      <c r="N2481" s="143">
        <f ca="1">(PRODUCT($O$5:$O2481)-1)*36000/_xlfn.DAYS(L2481, $C$2)</f>
        <v>9.3604291082082156</v>
      </c>
      <c r="O2481" s="149">
        <f t="shared" ca="1" si="88"/>
        <v>1.000173611111111</v>
      </c>
    </row>
    <row r="2482" spans="12:15" x14ac:dyDescent="0.25">
      <c r="L2482" s="147">
        <f ca="1"/>
        <v>47721</v>
      </c>
      <c r="M2482" s="92">
        <f t="shared" ca="1" si="87"/>
        <v>6.25</v>
      </c>
      <c r="N2482" s="143">
        <f ca="1">(PRODUCT($O$5:$O2482)-1)*36000/_xlfn.DAYS(L2482, $C$2)</f>
        <v>9.360798309347528</v>
      </c>
      <c r="O2482" s="149">
        <f t="shared" ca="1" si="88"/>
        <v>1.000173611111111</v>
      </c>
    </row>
    <row r="2483" spans="12:15" x14ac:dyDescent="0.25">
      <c r="L2483" s="147">
        <f ca="1"/>
        <v>47722</v>
      </c>
      <c r="M2483" s="92">
        <f t="shared" ca="1" si="87"/>
        <v>6.25</v>
      </c>
      <c r="N2483" s="143">
        <f ca="1">(PRODUCT($O$5:$O2483)-1)*36000/_xlfn.DAYS(L2483, $C$2)</f>
        <v>9.3611679322317478</v>
      </c>
      <c r="O2483" s="149">
        <f t="shared" ca="1" si="88"/>
        <v>1.000173611111111</v>
      </c>
    </row>
    <row r="2484" spans="12:15" x14ac:dyDescent="0.25">
      <c r="L2484" s="147">
        <f ca="1"/>
        <v>47723</v>
      </c>
      <c r="M2484" s="92">
        <f t="shared" ca="1" si="87"/>
        <v>6.25</v>
      </c>
      <c r="N2484" s="143">
        <f ca="1">(PRODUCT($O$5:$O2484)-1)*36000/_xlfn.DAYS(L2484, $C$2)</f>
        <v>9.3615379764755815</v>
      </c>
      <c r="O2484" s="149">
        <f t="shared" ca="1" si="88"/>
        <v>1.000173611111111</v>
      </c>
    </row>
    <row r="2485" spans="12:15" x14ac:dyDescent="0.25">
      <c r="L2485" s="147">
        <f ca="1"/>
        <v>47724</v>
      </c>
      <c r="M2485" s="92">
        <f t="shared" ca="1" si="87"/>
        <v>6.25</v>
      </c>
      <c r="N2485" s="143">
        <f ca="1">(PRODUCT($O$5:$O2485)-1)*36000/_xlfn.DAYS(L2485, $C$2)</f>
        <v>9.3619084416943785</v>
      </c>
      <c r="O2485" s="149">
        <f t="shared" ca="1" si="88"/>
        <v>1.000173611111111</v>
      </c>
    </row>
    <row r="2486" spans="12:15" x14ac:dyDescent="0.25">
      <c r="L2486" s="147">
        <f ca="1"/>
        <v>47725</v>
      </c>
      <c r="M2486" s="92">
        <f t="shared" ca="1" si="87"/>
        <v>6.25</v>
      </c>
      <c r="N2486" s="143">
        <f ca="1">(PRODUCT($O$5:$O2486)-1)*36000/_xlfn.DAYS(L2486, $C$2)</f>
        <v>9.3622793275041278</v>
      </c>
      <c r="O2486" s="149">
        <f t="shared" ca="1" si="88"/>
        <v>1.000173611111111</v>
      </c>
    </row>
    <row r="2487" spans="12:15" x14ac:dyDescent="0.25">
      <c r="L2487" s="147">
        <f ca="1"/>
        <v>47726</v>
      </c>
      <c r="M2487" s="92">
        <f t="shared" ca="1" si="87"/>
        <v>6.25</v>
      </c>
      <c r="N2487" s="143">
        <f ca="1">(PRODUCT($O$5:$O2487)-1)*36000/_xlfn.DAYS(L2487, $C$2)</f>
        <v>9.3626506335214632</v>
      </c>
      <c r="O2487" s="149">
        <f t="shared" ca="1" si="88"/>
        <v>1.000173611111111</v>
      </c>
    </row>
    <row r="2488" spans="12:15" x14ac:dyDescent="0.25">
      <c r="L2488" s="147">
        <f ca="1"/>
        <v>47727</v>
      </c>
      <c r="M2488" s="92">
        <f t="shared" ca="1" si="87"/>
        <v>6.25</v>
      </c>
      <c r="N2488" s="143">
        <f ca="1">(PRODUCT($O$5:$O2488)-1)*36000/_xlfn.DAYS(L2488, $C$2)</f>
        <v>9.3630223593636526</v>
      </c>
      <c r="O2488" s="149">
        <f t="shared" ca="1" si="88"/>
        <v>1.000173611111111</v>
      </c>
    </row>
    <row r="2489" spans="12:15" x14ac:dyDescent="0.25">
      <c r="L2489" s="147">
        <f ca="1"/>
        <v>47728</v>
      </c>
      <c r="M2489" s="92">
        <f t="shared" ca="1" si="87"/>
        <v>6.25</v>
      </c>
      <c r="N2489" s="143">
        <f ca="1">(PRODUCT($O$5:$O2489)-1)*36000/_xlfn.DAYS(L2489, $C$2)</f>
        <v>9.3633945046486051</v>
      </c>
      <c r="O2489" s="149">
        <f t="shared" ca="1" si="88"/>
        <v>1.000173611111111</v>
      </c>
    </row>
    <row r="2490" spans="12:15" x14ac:dyDescent="0.25">
      <c r="L2490" s="147">
        <f ca="1"/>
        <v>47729</v>
      </c>
      <c r="M2490" s="92">
        <f t="shared" ca="1" si="87"/>
        <v>6.25</v>
      </c>
      <c r="N2490" s="143">
        <f ca="1">(PRODUCT($O$5:$O2490)-1)*36000/_xlfn.DAYS(L2490, $C$2)</f>
        <v>9.3637670689948642</v>
      </c>
      <c r="O2490" s="149">
        <f t="shared" ca="1" si="88"/>
        <v>1.000173611111111</v>
      </c>
    </row>
    <row r="2491" spans="12:15" x14ac:dyDescent="0.25">
      <c r="L2491" s="147">
        <f ca="1"/>
        <v>47730</v>
      </c>
      <c r="M2491" s="92">
        <f t="shared" ca="1" si="87"/>
        <v>6.25</v>
      </c>
      <c r="N2491" s="143">
        <f ca="1">(PRODUCT($O$5:$O2491)-1)*36000/_xlfn.DAYS(L2491, $C$2)</f>
        <v>9.3641400520216074</v>
      </c>
      <c r="O2491" s="149">
        <f t="shared" ca="1" si="88"/>
        <v>1.000173611111111</v>
      </c>
    </row>
    <row r="2492" spans="12:15" x14ac:dyDescent="0.25">
      <c r="L2492" s="147">
        <f ca="1"/>
        <v>47731</v>
      </c>
      <c r="M2492" s="92">
        <f t="shared" ca="1" si="87"/>
        <v>6.25</v>
      </c>
      <c r="N2492" s="143">
        <f ca="1">(PRODUCT($O$5:$O2492)-1)*36000/_xlfn.DAYS(L2492, $C$2)</f>
        <v>9.3645134533486516</v>
      </c>
      <c r="O2492" s="149">
        <f t="shared" ca="1" si="88"/>
        <v>1.000173611111111</v>
      </c>
    </row>
    <row r="2493" spans="12:15" x14ac:dyDescent="0.25">
      <c r="L2493" s="147">
        <f ca="1"/>
        <v>47732</v>
      </c>
      <c r="M2493" s="92">
        <f t="shared" ca="1" si="87"/>
        <v>6.25</v>
      </c>
      <c r="N2493" s="143">
        <f ca="1">(PRODUCT($O$5:$O2493)-1)*36000/_xlfn.DAYS(L2493, $C$2)</f>
        <v>9.3648872725964409</v>
      </c>
      <c r="O2493" s="149">
        <f t="shared" ca="1" si="88"/>
        <v>1.000173611111111</v>
      </c>
    </row>
    <row r="2494" spans="12:15" x14ac:dyDescent="0.25">
      <c r="L2494" s="147">
        <f ca="1"/>
        <v>47733</v>
      </c>
      <c r="M2494" s="92">
        <f t="shared" ca="1" si="87"/>
        <v>6.25</v>
      </c>
      <c r="N2494" s="143">
        <f ca="1">(PRODUCT($O$5:$O2494)-1)*36000/_xlfn.DAYS(L2494, $C$2)</f>
        <v>9.3652615093860518</v>
      </c>
      <c r="O2494" s="149">
        <f t="shared" ca="1" si="88"/>
        <v>1.000173611111111</v>
      </c>
    </row>
    <row r="2495" spans="12:15" x14ac:dyDescent="0.25">
      <c r="L2495" s="147">
        <f ca="1"/>
        <v>47734</v>
      </c>
      <c r="M2495" s="92">
        <f t="shared" ca="1" si="87"/>
        <v>6.25</v>
      </c>
      <c r="N2495" s="143">
        <f ca="1">(PRODUCT($O$5:$O2495)-1)*36000/_xlfn.DAYS(L2495, $C$2)</f>
        <v>9.3656361633391931</v>
      </c>
      <c r="O2495" s="149">
        <f t="shared" ca="1" si="88"/>
        <v>1.000173611111111</v>
      </c>
    </row>
    <row r="2496" spans="12:15" x14ac:dyDescent="0.25">
      <c r="L2496" s="147">
        <f ca="1"/>
        <v>47735</v>
      </c>
      <c r="M2496" s="92">
        <f t="shared" ca="1" si="87"/>
        <v>6.25</v>
      </c>
      <c r="N2496" s="143">
        <f ca="1">(PRODUCT($O$5:$O2496)-1)*36000/_xlfn.DAYS(L2496, $C$2)</f>
        <v>9.3660112340781954</v>
      </c>
      <c r="O2496" s="149">
        <f t="shared" ca="1" si="88"/>
        <v>1.000173611111111</v>
      </c>
    </row>
    <row r="2497" spans="12:15" x14ac:dyDescent="0.25">
      <c r="L2497" s="147">
        <f ca="1"/>
        <v>47736</v>
      </c>
      <c r="M2497" s="92">
        <f t="shared" ca="1" si="87"/>
        <v>6.25</v>
      </c>
      <c r="N2497" s="143">
        <f ca="1">(PRODUCT($O$5:$O2497)-1)*36000/_xlfn.DAYS(L2497, $C$2)</f>
        <v>9.3663867212260321</v>
      </c>
      <c r="O2497" s="149">
        <f t="shared" ca="1" si="88"/>
        <v>1.000173611111111</v>
      </c>
    </row>
    <row r="2498" spans="12:15" x14ac:dyDescent="0.25">
      <c r="L2498" s="147">
        <f ca="1"/>
        <v>47737</v>
      </c>
      <c r="M2498" s="92">
        <f t="shared" ca="1" si="87"/>
        <v>6.25</v>
      </c>
      <c r="N2498" s="143">
        <f ca="1">(PRODUCT($O$5:$O2498)-1)*36000/_xlfn.DAYS(L2498, $C$2)</f>
        <v>9.3667626244062863</v>
      </c>
      <c r="O2498" s="149">
        <f t="shared" ca="1" si="88"/>
        <v>1.000173611111111</v>
      </c>
    </row>
    <row r="2499" spans="12:15" x14ac:dyDescent="0.25">
      <c r="L2499" s="147">
        <f ca="1"/>
        <v>47738</v>
      </c>
      <c r="M2499" s="92">
        <f t="shared" ca="1" si="87"/>
        <v>6.25</v>
      </c>
      <c r="N2499" s="143">
        <f ca="1">(PRODUCT($O$5:$O2499)-1)*36000/_xlfn.DAYS(L2499, $C$2)</f>
        <v>9.3671389432431731</v>
      </c>
      <c r="O2499" s="149">
        <f t="shared" ca="1" si="88"/>
        <v>1.000173611111111</v>
      </c>
    </row>
    <row r="2500" spans="12:15" x14ac:dyDescent="0.25">
      <c r="L2500" s="147">
        <f ca="1"/>
        <v>47739</v>
      </c>
      <c r="M2500" s="92">
        <f t="shared" ca="1" si="87"/>
        <v>6.25</v>
      </c>
      <c r="N2500" s="143">
        <f ca="1">(PRODUCT($O$5:$O2500)-1)*36000/_xlfn.DAYS(L2500, $C$2)</f>
        <v>9.3675156773615331</v>
      </c>
      <c r="O2500" s="149">
        <f t="shared" ca="1" si="88"/>
        <v>1.000173611111111</v>
      </c>
    </row>
    <row r="2501" spans="12:15" x14ac:dyDescent="0.25">
      <c r="L2501" s="147">
        <f ca="1"/>
        <v>47740</v>
      </c>
      <c r="M2501" s="92">
        <f t="shared" ref="M2501:M2564" ca="1" si="89">IFERROR(INDEX($E$27:$H$47, MATCH(L2501, $F$27:$F$47, 0), 4), IF(ISNUMBER(M2500), M2500, $C$5))</f>
        <v>6.25</v>
      </c>
      <c r="N2501" s="143">
        <f ca="1">(PRODUCT($O$5:$O2501)-1)*36000/_xlfn.DAYS(L2501, $C$2)</f>
        <v>9.3678928263868251</v>
      </c>
      <c r="O2501" s="149">
        <f t="shared" ca="1" si="88"/>
        <v>1.000173611111111</v>
      </c>
    </row>
    <row r="2502" spans="12:15" x14ac:dyDescent="0.25">
      <c r="L2502" s="147">
        <f ca="1"/>
        <v>47741</v>
      </c>
      <c r="M2502" s="92">
        <f t="shared" ca="1" si="89"/>
        <v>6.25</v>
      </c>
      <c r="N2502" s="143">
        <f ca="1">(PRODUCT($O$5:$O2502)-1)*36000/_xlfn.DAYS(L2502, $C$2)</f>
        <v>9.3682703899451347</v>
      </c>
      <c r="O2502" s="149">
        <f t="shared" ref="O2502:O2565" ca="1" si="90">1+M2502*IFERROR(_xlfn.DAYS(L2502, L2501), _xlfn.DAYS(L2502, $C$2))/36000</f>
        <v>1.000173611111111</v>
      </c>
    </row>
    <row r="2503" spans="12:15" x14ac:dyDescent="0.25">
      <c r="L2503" s="147">
        <f ca="1"/>
        <v>47742</v>
      </c>
      <c r="M2503" s="92">
        <f t="shared" ca="1" si="89"/>
        <v>6.25</v>
      </c>
      <c r="N2503" s="143">
        <f ca="1">(PRODUCT($O$5:$O2503)-1)*36000/_xlfn.DAYS(L2503, $C$2)</f>
        <v>9.3686483676631642</v>
      </c>
      <c r="O2503" s="149">
        <f t="shared" ca="1" si="90"/>
        <v>1.000173611111111</v>
      </c>
    </row>
    <row r="2504" spans="12:15" x14ac:dyDescent="0.25">
      <c r="L2504" s="147">
        <f ca="1"/>
        <v>47743</v>
      </c>
      <c r="M2504" s="92">
        <f t="shared" ca="1" si="89"/>
        <v>6.25</v>
      </c>
      <c r="N2504" s="143">
        <f ca="1">(PRODUCT($O$5:$O2504)-1)*36000/_xlfn.DAYS(L2504, $C$2)</f>
        <v>9.3690267591682357</v>
      </c>
      <c r="O2504" s="149">
        <f t="shared" ca="1" si="90"/>
        <v>1.000173611111111</v>
      </c>
    </row>
    <row r="2505" spans="12:15" x14ac:dyDescent="0.25">
      <c r="L2505" s="147">
        <f ca="1"/>
        <v>47744</v>
      </c>
      <c r="M2505" s="92">
        <f t="shared" ca="1" si="89"/>
        <v>6.25</v>
      </c>
      <c r="N2505" s="143">
        <f ca="1">(PRODUCT($O$5:$O2505)-1)*36000/_xlfn.DAYS(L2505, $C$2)</f>
        <v>9.3694055640882858</v>
      </c>
      <c r="O2505" s="149">
        <f t="shared" ca="1" si="90"/>
        <v>1.000173611111111</v>
      </c>
    </row>
    <row r="2506" spans="12:15" x14ac:dyDescent="0.25">
      <c r="L2506" s="147">
        <f ca="1"/>
        <v>47745</v>
      </c>
      <c r="M2506" s="92">
        <f t="shared" ca="1" si="89"/>
        <v>6.25</v>
      </c>
      <c r="N2506" s="143">
        <f ca="1">(PRODUCT($O$5:$O2506)-1)*36000/_xlfn.DAYS(L2506, $C$2)</f>
        <v>9.3697847820518732</v>
      </c>
      <c r="O2506" s="149">
        <f t="shared" ca="1" si="90"/>
        <v>1.000173611111111</v>
      </c>
    </row>
    <row r="2507" spans="12:15" x14ac:dyDescent="0.25">
      <c r="L2507" s="147">
        <f ca="1"/>
        <v>47746</v>
      </c>
      <c r="M2507" s="92">
        <f t="shared" ca="1" si="89"/>
        <v>6.25</v>
      </c>
      <c r="N2507" s="143">
        <f ca="1">(PRODUCT($O$5:$O2507)-1)*36000/_xlfn.DAYS(L2507, $C$2)</f>
        <v>9.3701644126881671</v>
      </c>
      <c r="O2507" s="149">
        <f t="shared" ca="1" si="90"/>
        <v>1.000173611111111</v>
      </c>
    </row>
    <row r="2508" spans="12:15" x14ac:dyDescent="0.25">
      <c r="L2508" s="147">
        <f ca="1"/>
        <v>47747</v>
      </c>
      <c r="M2508" s="92">
        <f t="shared" ca="1" si="89"/>
        <v>6.25</v>
      </c>
      <c r="N2508" s="143">
        <f ca="1">(PRODUCT($O$5:$O2508)-1)*36000/_xlfn.DAYS(L2508, $C$2)</f>
        <v>9.3705444556269573</v>
      </c>
      <c r="O2508" s="149">
        <f t="shared" ca="1" si="90"/>
        <v>1.000173611111111</v>
      </c>
    </row>
    <row r="2509" spans="12:15" x14ac:dyDescent="0.25">
      <c r="L2509" s="147">
        <f ca="1"/>
        <v>47748</v>
      </c>
      <c r="M2509" s="92">
        <f t="shared" ca="1" si="89"/>
        <v>6.25</v>
      </c>
      <c r="N2509" s="143">
        <f ca="1">(PRODUCT($O$5:$O2509)-1)*36000/_xlfn.DAYS(L2509, $C$2)</f>
        <v>9.3709249104986334</v>
      </c>
      <c r="O2509" s="149">
        <f t="shared" ca="1" si="90"/>
        <v>1.000173611111111</v>
      </c>
    </row>
    <row r="2510" spans="12:15" x14ac:dyDescent="0.25">
      <c r="L2510" s="147">
        <f ca="1"/>
        <v>47749</v>
      </c>
      <c r="M2510" s="92">
        <f t="shared" ca="1" si="89"/>
        <v>6.25</v>
      </c>
      <c r="N2510" s="143">
        <f ca="1">(PRODUCT($O$5:$O2510)-1)*36000/_xlfn.DAYS(L2510, $C$2)</f>
        <v>9.3713057769342107</v>
      </c>
      <c r="O2510" s="149">
        <f t="shared" ca="1" si="90"/>
        <v>1.000173611111111</v>
      </c>
    </row>
    <row r="2511" spans="12:15" x14ac:dyDescent="0.25">
      <c r="L2511" s="147">
        <f ca="1"/>
        <v>47750</v>
      </c>
      <c r="M2511" s="92">
        <f t="shared" ca="1" si="89"/>
        <v>6.25</v>
      </c>
      <c r="N2511" s="143">
        <f ca="1">(PRODUCT($O$5:$O2511)-1)*36000/_xlfn.DAYS(L2511, $C$2)</f>
        <v>9.371687054565303</v>
      </c>
      <c r="O2511" s="149">
        <f t="shared" ca="1" si="90"/>
        <v>1.000173611111111</v>
      </c>
    </row>
    <row r="2512" spans="12:15" x14ac:dyDescent="0.25">
      <c r="L2512" s="147">
        <f ca="1"/>
        <v>47751</v>
      </c>
      <c r="M2512" s="92">
        <f t="shared" ca="1" si="89"/>
        <v>6.25</v>
      </c>
      <c r="N2512" s="143">
        <f ca="1">(PRODUCT($O$5:$O2512)-1)*36000/_xlfn.DAYS(L2512, $C$2)</f>
        <v>9.3720687430241441</v>
      </c>
      <c r="O2512" s="149">
        <f t="shared" ca="1" si="90"/>
        <v>1.000173611111111</v>
      </c>
    </row>
    <row r="2513" spans="12:15" x14ac:dyDescent="0.25">
      <c r="L2513" s="147">
        <f ca="1"/>
        <v>47752</v>
      </c>
      <c r="M2513" s="92">
        <f t="shared" ca="1" si="89"/>
        <v>6.25</v>
      </c>
      <c r="N2513" s="143">
        <f ca="1">(PRODUCT($O$5:$O2513)-1)*36000/_xlfn.DAYS(L2513, $C$2)</f>
        <v>9.3724508419435661</v>
      </c>
      <c r="O2513" s="149">
        <f t="shared" ca="1" si="90"/>
        <v>1.000173611111111</v>
      </c>
    </row>
    <row r="2514" spans="12:15" x14ac:dyDescent="0.25">
      <c r="L2514" s="147">
        <f ca="1"/>
        <v>47753</v>
      </c>
      <c r="M2514" s="92">
        <f t="shared" ca="1" si="89"/>
        <v>6.25</v>
      </c>
      <c r="N2514" s="143">
        <f ca="1">(PRODUCT($O$5:$O2514)-1)*36000/_xlfn.DAYS(L2514, $C$2)</f>
        <v>9.3728333509570128</v>
      </c>
      <c r="O2514" s="149">
        <f t="shared" ca="1" si="90"/>
        <v>1.000173611111111</v>
      </c>
    </row>
    <row r="2515" spans="12:15" x14ac:dyDescent="0.25">
      <c r="L2515" s="147">
        <f ca="1"/>
        <v>47754</v>
      </c>
      <c r="M2515" s="92">
        <f t="shared" ca="1" si="89"/>
        <v>6.25</v>
      </c>
      <c r="N2515" s="143">
        <f ca="1">(PRODUCT($O$5:$O2515)-1)*36000/_xlfn.DAYS(L2515, $C$2)</f>
        <v>9.3732162696985331</v>
      </c>
      <c r="O2515" s="149">
        <f t="shared" ca="1" si="90"/>
        <v>1.000173611111111</v>
      </c>
    </row>
    <row r="2516" spans="12:15" x14ac:dyDescent="0.25">
      <c r="L2516" s="147">
        <f ca="1"/>
        <v>47755</v>
      </c>
      <c r="M2516" s="92">
        <f t="shared" ca="1" si="89"/>
        <v>6.25</v>
      </c>
      <c r="N2516" s="143">
        <f ca="1">(PRODUCT($O$5:$O2516)-1)*36000/_xlfn.DAYS(L2516, $C$2)</f>
        <v>9.3735995978027802</v>
      </c>
      <c r="O2516" s="149">
        <f t="shared" ca="1" si="90"/>
        <v>1.000173611111111</v>
      </c>
    </row>
    <row r="2517" spans="12:15" x14ac:dyDescent="0.25">
      <c r="L2517" s="147">
        <f ca="1"/>
        <v>47756</v>
      </c>
      <c r="M2517" s="92">
        <f t="shared" ca="1" si="89"/>
        <v>6.25</v>
      </c>
      <c r="N2517" s="143">
        <f ca="1">(PRODUCT($O$5:$O2517)-1)*36000/_xlfn.DAYS(L2517, $C$2)</f>
        <v>9.3739833349050077</v>
      </c>
      <c r="O2517" s="149">
        <f t="shared" ca="1" si="90"/>
        <v>1.000173611111111</v>
      </c>
    </row>
    <row r="2518" spans="12:15" x14ac:dyDescent="0.25">
      <c r="L2518" s="147">
        <f ca="1"/>
        <v>47757</v>
      </c>
      <c r="M2518" s="92">
        <f t="shared" ca="1" si="89"/>
        <v>6.25</v>
      </c>
      <c r="N2518" s="143">
        <f ca="1">(PRODUCT($O$5:$O2518)-1)*36000/_xlfn.DAYS(L2518, $C$2)</f>
        <v>9.3743674806410748</v>
      </c>
      <c r="O2518" s="149">
        <f t="shared" ca="1" si="90"/>
        <v>1.000173611111111</v>
      </c>
    </row>
    <row r="2519" spans="12:15" x14ac:dyDescent="0.25">
      <c r="L2519" s="147">
        <f ca="1"/>
        <v>47758</v>
      </c>
      <c r="M2519" s="92">
        <f t="shared" ca="1" si="89"/>
        <v>6.25</v>
      </c>
      <c r="N2519" s="143">
        <f ca="1">(PRODUCT($O$5:$O2519)-1)*36000/_xlfn.DAYS(L2519, $C$2)</f>
        <v>9.3747520346474413</v>
      </c>
      <c r="O2519" s="149">
        <f t="shared" ca="1" si="90"/>
        <v>1.000173611111111</v>
      </c>
    </row>
    <row r="2520" spans="12:15" x14ac:dyDescent="0.25">
      <c r="L2520" s="147">
        <f ca="1"/>
        <v>47759</v>
      </c>
      <c r="M2520" s="92">
        <f t="shared" ca="1" si="89"/>
        <v>6.25</v>
      </c>
      <c r="N2520" s="143">
        <f ca="1">(PRODUCT($O$5:$O2520)-1)*36000/_xlfn.DAYS(L2520, $C$2)</f>
        <v>9.3751369965611602</v>
      </c>
      <c r="O2520" s="149">
        <f t="shared" ca="1" si="90"/>
        <v>1.000173611111111</v>
      </c>
    </row>
    <row r="2521" spans="12:15" x14ac:dyDescent="0.25">
      <c r="L2521" s="147">
        <f ca="1"/>
        <v>47760</v>
      </c>
      <c r="M2521" s="92">
        <f t="shared" ca="1" si="89"/>
        <v>6.25</v>
      </c>
      <c r="N2521" s="143">
        <f ca="1">(PRODUCT($O$5:$O2521)-1)*36000/_xlfn.DAYS(L2521, $C$2)</f>
        <v>9.3755223660198901</v>
      </c>
      <c r="O2521" s="149">
        <f t="shared" ca="1" si="90"/>
        <v>1.000173611111111</v>
      </c>
    </row>
    <row r="2522" spans="12:15" x14ac:dyDescent="0.25">
      <c r="L2522" s="147">
        <f ca="1"/>
        <v>47761</v>
      </c>
      <c r="M2522" s="92">
        <f t="shared" ca="1" si="89"/>
        <v>6.25</v>
      </c>
      <c r="N2522" s="143">
        <f ca="1">(PRODUCT($O$5:$O2522)-1)*36000/_xlfn.DAYS(L2522, $C$2)</f>
        <v>9.3759081426618849</v>
      </c>
      <c r="O2522" s="149">
        <f t="shared" ca="1" si="90"/>
        <v>1.000173611111111</v>
      </c>
    </row>
    <row r="2523" spans="12:15" x14ac:dyDescent="0.25">
      <c r="L2523" s="147">
        <f ca="1"/>
        <v>47762</v>
      </c>
      <c r="M2523" s="92">
        <f t="shared" ca="1" si="89"/>
        <v>6.25</v>
      </c>
      <c r="N2523" s="143">
        <f ca="1">(PRODUCT($O$5:$O2523)-1)*36000/_xlfn.DAYS(L2523, $C$2)</f>
        <v>9.3762943261259917</v>
      </c>
      <c r="O2523" s="149">
        <f t="shared" ca="1" si="90"/>
        <v>1.000173611111111</v>
      </c>
    </row>
    <row r="2524" spans="12:15" x14ac:dyDescent="0.25">
      <c r="L2524" s="147">
        <f ca="1"/>
        <v>47763</v>
      </c>
      <c r="M2524" s="92">
        <f t="shared" ca="1" si="89"/>
        <v>6.25</v>
      </c>
      <c r="N2524" s="143">
        <f ca="1">(PRODUCT($O$5:$O2524)-1)*36000/_xlfn.DAYS(L2524, $C$2)</f>
        <v>9.376680916051658</v>
      </c>
      <c r="O2524" s="149">
        <f t="shared" ca="1" si="90"/>
        <v>1.000173611111111</v>
      </c>
    </row>
    <row r="2525" spans="12:15" x14ac:dyDescent="0.25">
      <c r="L2525" s="147">
        <f ca="1"/>
        <v>47764</v>
      </c>
      <c r="M2525" s="92">
        <f t="shared" ca="1" si="89"/>
        <v>6.25</v>
      </c>
      <c r="N2525" s="143">
        <f ca="1">(PRODUCT($O$5:$O2525)-1)*36000/_xlfn.DAYS(L2525, $C$2)</f>
        <v>9.377067912078914</v>
      </c>
      <c r="O2525" s="149">
        <f t="shared" ca="1" si="90"/>
        <v>1.000173611111111</v>
      </c>
    </row>
    <row r="2526" spans="12:15" x14ac:dyDescent="0.25">
      <c r="L2526" s="147">
        <f ca="1"/>
        <v>47765</v>
      </c>
      <c r="M2526" s="92">
        <f t="shared" ca="1" si="89"/>
        <v>6.25</v>
      </c>
      <c r="N2526" s="143">
        <f ca="1">(PRODUCT($O$5:$O2526)-1)*36000/_xlfn.DAYS(L2526, $C$2)</f>
        <v>9.3774553138483956</v>
      </c>
      <c r="O2526" s="149">
        <f t="shared" ca="1" si="90"/>
        <v>1.000173611111111</v>
      </c>
    </row>
    <row r="2527" spans="12:15" x14ac:dyDescent="0.25">
      <c r="L2527" s="147">
        <f ca="1"/>
        <v>47766</v>
      </c>
      <c r="M2527" s="92">
        <f t="shared" ca="1" si="89"/>
        <v>6.25</v>
      </c>
      <c r="N2527" s="143">
        <f ca="1">(PRODUCT($O$5:$O2527)-1)*36000/_xlfn.DAYS(L2527, $C$2)</f>
        <v>9.3778431210013213</v>
      </c>
      <c r="O2527" s="149">
        <f t="shared" ca="1" si="90"/>
        <v>1.000173611111111</v>
      </c>
    </row>
    <row r="2528" spans="12:15" x14ac:dyDescent="0.25">
      <c r="L2528" s="147">
        <f ca="1"/>
        <v>47767</v>
      </c>
      <c r="M2528" s="92">
        <f t="shared" ca="1" si="89"/>
        <v>6.25</v>
      </c>
      <c r="N2528" s="143">
        <f ca="1">(PRODUCT($O$5:$O2528)-1)*36000/_xlfn.DAYS(L2528, $C$2)</f>
        <v>9.3782313331795013</v>
      </c>
      <c r="O2528" s="149">
        <f t="shared" ca="1" si="90"/>
        <v>1.000173611111111</v>
      </c>
    </row>
    <row r="2529" spans="12:15" x14ac:dyDescent="0.25">
      <c r="L2529" s="147">
        <f ca="1"/>
        <v>47768</v>
      </c>
      <c r="M2529" s="92">
        <f t="shared" ca="1" si="89"/>
        <v>6.25</v>
      </c>
      <c r="N2529" s="143">
        <f ca="1">(PRODUCT($O$5:$O2529)-1)*36000/_xlfn.DAYS(L2529, $C$2)</f>
        <v>9.3786199500253318</v>
      </c>
      <c r="O2529" s="149">
        <f t="shared" ca="1" si="90"/>
        <v>1.000173611111111</v>
      </c>
    </row>
    <row r="2530" spans="12:15" x14ac:dyDescent="0.25">
      <c r="L2530" s="147">
        <f ca="1"/>
        <v>47769</v>
      </c>
      <c r="M2530" s="92">
        <f t="shared" ca="1" si="89"/>
        <v>6.25</v>
      </c>
      <c r="N2530" s="143">
        <f ca="1">(PRODUCT($O$5:$O2530)-1)*36000/_xlfn.DAYS(L2530, $C$2)</f>
        <v>9.3790089711818094</v>
      </c>
      <c r="O2530" s="149">
        <f t="shared" ca="1" si="90"/>
        <v>1.000173611111111</v>
      </c>
    </row>
    <row r="2531" spans="12:15" x14ac:dyDescent="0.25">
      <c r="L2531" s="147">
        <f ca="1"/>
        <v>47770</v>
      </c>
      <c r="M2531" s="92">
        <f t="shared" ca="1" si="89"/>
        <v>6.25</v>
      </c>
      <c r="N2531" s="143">
        <f ca="1">(PRODUCT($O$5:$O2531)-1)*36000/_xlfn.DAYS(L2531, $C$2)</f>
        <v>9.3793983962924994</v>
      </c>
      <c r="O2531" s="149">
        <f t="shared" ca="1" si="90"/>
        <v>1.000173611111111</v>
      </c>
    </row>
    <row r="2532" spans="12:15" x14ac:dyDescent="0.25">
      <c r="L2532" s="147">
        <f ca="1"/>
        <v>47771</v>
      </c>
      <c r="M2532" s="92">
        <f t="shared" ca="1" si="89"/>
        <v>6.25</v>
      </c>
      <c r="N2532" s="143">
        <f ca="1">(PRODUCT($O$5:$O2532)-1)*36000/_xlfn.DAYS(L2532, $C$2)</f>
        <v>9.3797882250015654</v>
      </c>
      <c r="O2532" s="149">
        <f t="shared" ca="1" si="90"/>
        <v>1.000173611111111</v>
      </c>
    </row>
    <row r="2533" spans="12:15" x14ac:dyDescent="0.25">
      <c r="L2533" s="147">
        <f ca="1"/>
        <v>47772</v>
      </c>
      <c r="M2533" s="92">
        <f t="shared" ca="1" si="89"/>
        <v>6.25</v>
      </c>
      <c r="N2533" s="143">
        <f ca="1">(PRODUCT($O$5:$O2533)-1)*36000/_xlfn.DAYS(L2533, $C$2)</f>
        <v>9.3801784569537503</v>
      </c>
      <c r="O2533" s="149">
        <f t="shared" ca="1" si="90"/>
        <v>1.000173611111111</v>
      </c>
    </row>
    <row r="2534" spans="12:15" x14ac:dyDescent="0.25">
      <c r="L2534" s="147">
        <f ca="1"/>
        <v>47773</v>
      </c>
      <c r="M2534" s="92">
        <f t="shared" ca="1" si="89"/>
        <v>6.25</v>
      </c>
      <c r="N2534" s="143">
        <f ca="1">(PRODUCT($O$5:$O2534)-1)*36000/_xlfn.DAYS(L2534, $C$2)</f>
        <v>9.3805690917943814</v>
      </c>
      <c r="O2534" s="149">
        <f t="shared" ca="1" si="90"/>
        <v>1.000173611111111</v>
      </c>
    </row>
    <row r="2535" spans="12:15" x14ac:dyDescent="0.25">
      <c r="L2535" s="147">
        <f ca="1"/>
        <v>47774</v>
      </c>
      <c r="M2535" s="92">
        <f t="shared" ca="1" si="89"/>
        <v>6.25</v>
      </c>
      <c r="N2535" s="143">
        <f ca="1">(PRODUCT($O$5:$O2535)-1)*36000/_xlfn.DAYS(L2535, $C$2)</f>
        <v>9.3809601291693667</v>
      </c>
      <c r="O2535" s="149">
        <f t="shared" ca="1" si="90"/>
        <v>1.000173611111111</v>
      </c>
    </row>
    <row r="2536" spans="12:15" x14ac:dyDescent="0.25">
      <c r="L2536" s="147">
        <f ca="1"/>
        <v>47775</v>
      </c>
      <c r="M2536" s="92">
        <f t="shared" ca="1" si="89"/>
        <v>6.25</v>
      </c>
      <c r="N2536" s="143">
        <f ca="1">(PRODUCT($O$5:$O2536)-1)*36000/_xlfn.DAYS(L2536, $C$2)</f>
        <v>9.3813515687251954</v>
      </c>
      <c r="O2536" s="149">
        <f t="shared" ca="1" si="90"/>
        <v>1.000173611111111</v>
      </c>
    </row>
    <row r="2537" spans="12:15" x14ac:dyDescent="0.25">
      <c r="L2537" s="147">
        <f ca="1"/>
        <v>47776</v>
      </c>
      <c r="M2537" s="92">
        <f t="shared" ca="1" si="89"/>
        <v>6.25</v>
      </c>
      <c r="N2537" s="143">
        <f ca="1">(PRODUCT($O$5:$O2537)-1)*36000/_xlfn.DAYS(L2537, $C$2)</f>
        <v>9.3817434101089408</v>
      </c>
      <c r="O2537" s="149">
        <f t="shared" ca="1" si="90"/>
        <v>1.000173611111111</v>
      </c>
    </row>
    <row r="2538" spans="12:15" x14ac:dyDescent="0.25">
      <c r="L2538" s="147">
        <f ca="1"/>
        <v>47777</v>
      </c>
      <c r="M2538" s="92">
        <f t="shared" ca="1" si="89"/>
        <v>6.25</v>
      </c>
      <c r="N2538" s="143">
        <f ca="1">(PRODUCT($O$5:$O2538)-1)*36000/_xlfn.DAYS(L2538, $C$2)</f>
        <v>9.3821356529682447</v>
      </c>
      <c r="O2538" s="149">
        <f t="shared" ca="1" si="90"/>
        <v>1.000173611111111</v>
      </c>
    </row>
    <row r="2539" spans="12:15" x14ac:dyDescent="0.25">
      <c r="L2539" s="147">
        <f ca="1"/>
        <v>47778</v>
      </c>
      <c r="M2539" s="92">
        <f t="shared" ca="1" si="89"/>
        <v>6.25</v>
      </c>
      <c r="N2539" s="143">
        <f ca="1">(PRODUCT($O$5:$O2539)-1)*36000/_xlfn.DAYS(L2539, $C$2)</f>
        <v>9.3825282969513353</v>
      </c>
      <c r="O2539" s="149">
        <f t="shared" ca="1" si="90"/>
        <v>1.000173611111111</v>
      </c>
    </row>
    <row r="2540" spans="12:15" x14ac:dyDescent="0.25">
      <c r="L2540" s="147">
        <f ca="1"/>
        <v>47779</v>
      </c>
      <c r="M2540" s="92">
        <f t="shared" ca="1" si="89"/>
        <v>6.25</v>
      </c>
      <c r="N2540" s="143">
        <f ca="1">(PRODUCT($O$5:$O2540)-1)*36000/_xlfn.DAYS(L2540, $C$2)</f>
        <v>9.3829213417070125</v>
      </c>
      <c r="O2540" s="149">
        <f t="shared" ca="1" si="90"/>
        <v>1.000173611111111</v>
      </c>
    </row>
    <row r="2541" spans="12:15" x14ac:dyDescent="0.25">
      <c r="L2541" s="147">
        <f ca="1"/>
        <v>47780</v>
      </c>
      <c r="M2541" s="92">
        <f t="shared" ca="1" si="89"/>
        <v>6.25</v>
      </c>
      <c r="N2541" s="143">
        <f ca="1">(PRODUCT($O$5:$O2541)-1)*36000/_xlfn.DAYS(L2541, $C$2)</f>
        <v>9.3833147868846538</v>
      </c>
      <c r="O2541" s="149">
        <f t="shared" ca="1" si="90"/>
        <v>1.000173611111111</v>
      </c>
    </row>
    <row r="2542" spans="12:15" x14ac:dyDescent="0.25">
      <c r="L2542" s="147">
        <f ca="1"/>
        <v>47781</v>
      </c>
      <c r="M2542" s="92">
        <f t="shared" ca="1" si="89"/>
        <v>6.25</v>
      </c>
      <c r="N2542" s="143">
        <f ca="1">(PRODUCT($O$5:$O2542)-1)*36000/_xlfn.DAYS(L2542, $C$2)</f>
        <v>9.3837086321342102</v>
      </c>
      <c r="O2542" s="149">
        <f t="shared" ca="1" si="90"/>
        <v>1.000173611111111</v>
      </c>
    </row>
    <row r="2543" spans="12:15" x14ac:dyDescent="0.25">
      <c r="L2543" s="147">
        <f ca="1"/>
        <v>47782</v>
      </c>
      <c r="M2543" s="92">
        <f t="shared" ca="1" si="89"/>
        <v>6.25</v>
      </c>
      <c r="N2543" s="143">
        <f ca="1">(PRODUCT($O$5:$O2543)-1)*36000/_xlfn.DAYS(L2543, $C$2)</f>
        <v>9.3841028771062049</v>
      </c>
      <c r="O2543" s="149">
        <f t="shared" ca="1" si="90"/>
        <v>1.000173611111111</v>
      </c>
    </row>
    <row r="2544" spans="12:15" x14ac:dyDescent="0.25">
      <c r="L2544" s="147">
        <f ca="1"/>
        <v>47783</v>
      </c>
      <c r="M2544" s="92">
        <f t="shared" ca="1" si="89"/>
        <v>6.25</v>
      </c>
      <c r="N2544" s="143">
        <f ca="1">(PRODUCT($O$5:$O2544)-1)*36000/_xlfn.DAYS(L2544, $C$2)</f>
        <v>9.384497521451733</v>
      </c>
      <c r="O2544" s="149">
        <f t="shared" ca="1" si="90"/>
        <v>1.000173611111111</v>
      </c>
    </row>
    <row r="2545" spans="12:15" x14ac:dyDescent="0.25">
      <c r="L2545" s="147">
        <f ca="1"/>
        <v>47784</v>
      </c>
      <c r="M2545" s="92">
        <f t="shared" ca="1" si="89"/>
        <v>6.25</v>
      </c>
      <c r="N2545" s="143">
        <f ca="1">(PRODUCT($O$5:$O2545)-1)*36000/_xlfn.DAYS(L2545, $C$2)</f>
        <v>9.3848925648224597</v>
      </c>
      <c r="O2545" s="149">
        <f t="shared" ca="1" si="90"/>
        <v>1.000173611111111</v>
      </c>
    </row>
    <row r="2546" spans="12:15" x14ac:dyDescent="0.25">
      <c r="L2546" s="147">
        <f ca="1"/>
        <v>47785</v>
      </c>
      <c r="M2546" s="92">
        <f t="shared" ca="1" si="89"/>
        <v>6.25</v>
      </c>
      <c r="N2546" s="143">
        <f ca="1">(PRODUCT($O$5:$O2546)-1)*36000/_xlfn.DAYS(L2546, $C$2)</f>
        <v>9.3852880068706206</v>
      </c>
      <c r="O2546" s="149">
        <f t="shared" ca="1" si="90"/>
        <v>1.000173611111111</v>
      </c>
    </row>
    <row r="2547" spans="12:15" x14ac:dyDescent="0.25">
      <c r="L2547" s="147">
        <f ca="1"/>
        <v>47786</v>
      </c>
      <c r="M2547" s="92">
        <f t="shared" ca="1" si="89"/>
        <v>6.25</v>
      </c>
      <c r="N2547" s="143">
        <f ca="1">(PRODUCT($O$5:$O2547)-1)*36000/_xlfn.DAYS(L2547, $C$2)</f>
        <v>9.3856838472490178</v>
      </c>
      <c r="O2547" s="149">
        <f t="shared" ca="1" si="90"/>
        <v>1.000173611111111</v>
      </c>
    </row>
    <row r="2548" spans="12:15" x14ac:dyDescent="0.25">
      <c r="L2548" s="147">
        <f ca="1"/>
        <v>47787</v>
      </c>
      <c r="M2548" s="92">
        <f t="shared" ca="1" si="89"/>
        <v>6.25</v>
      </c>
      <c r="N2548" s="143">
        <f ca="1">(PRODUCT($O$5:$O2548)-1)*36000/_xlfn.DAYS(L2548, $C$2)</f>
        <v>9.3860800856110256</v>
      </c>
      <c r="O2548" s="149">
        <f t="shared" ca="1" si="90"/>
        <v>1.000173611111111</v>
      </c>
    </row>
    <row r="2549" spans="12:15" x14ac:dyDescent="0.25">
      <c r="L2549" s="147">
        <f ca="1"/>
        <v>47788</v>
      </c>
      <c r="M2549" s="92">
        <f t="shared" ca="1" si="89"/>
        <v>6.25</v>
      </c>
      <c r="N2549" s="143">
        <f ca="1">(PRODUCT($O$5:$O2549)-1)*36000/_xlfn.DAYS(L2549, $C$2)</f>
        <v>9.3864767216105776</v>
      </c>
      <c r="O2549" s="149">
        <f t="shared" ca="1" si="90"/>
        <v>1.000173611111111</v>
      </c>
    </row>
    <row r="2550" spans="12:15" x14ac:dyDescent="0.25">
      <c r="L2550" s="147">
        <f ca="1"/>
        <v>47789</v>
      </c>
      <c r="M2550" s="92">
        <f t="shared" ca="1" si="89"/>
        <v>6.25</v>
      </c>
      <c r="N2550" s="143">
        <f ca="1">(PRODUCT($O$5:$O2550)-1)*36000/_xlfn.DAYS(L2550, $C$2)</f>
        <v>9.3868737549021795</v>
      </c>
      <c r="O2550" s="149">
        <f t="shared" ca="1" si="90"/>
        <v>1.000173611111111</v>
      </c>
    </row>
    <row r="2551" spans="12:15" x14ac:dyDescent="0.25">
      <c r="L2551" s="147">
        <f ca="1"/>
        <v>47790</v>
      </c>
      <c r="M2551" s="92">
        <f t="shared" ca="1" si="89"/>
        <v>6.25</v>
      </c>
      <c r="N2551" s="143">
        <f ca="1">(PRODUCT($O$5:$O2551)-1)*36000/_xlfn.DAYS(L2551, $C$2)</f>
        <v>9.387271185140893</v>
      </c>
      <c r="O2551" s="149">
        <f t="shared" ca="1" si="90"/>
        <v>1.000173611111111</v>
      </c>
    </row>
    <row r="2552" spans="12:15" x14ac:dyDescent="0.25">
      <c r="L2552" s="147">
        <f ca="1"/>
        <v>47791</v>
      </c>
      <c r="M2552" s="92">
        <f t="shared" ca="1" si="89"/>
        <v>6.25</v>
      </c>
      <c r="N2552" s="143">
        <f ca="1">(PRODUCT($O$5:$O2552)-1)*36000/_xlfn.DAYS(L2552, $C$2)</f>
        <v>9.38766901198235</v>
      </c>
      <c r="O2552" s="149">
        <f t="shared" ca="1" si="90"/>
        <v>1.000173611111111</v>
      </c>
    </row>
    <row r="2553" spans="12:15" x14ac:dyDescent="0.25">
      <c r="L2553" s="147">
        <f ca="1"/>
        <v>47792</v>
      </c>
      <c r="M2553" s="92">
        <f t="shared" ca="1" si="89"/>
        <v>6.25</v>
      </c>
      <c r="N2553" s="143">
        <f ca="1">(PRODUCT($O$5:$O2553)-1)*36000/_xlfn.DAYS(L2553, $C$2)</f>
        <v>9.3880672350827385</v>
      </c>
      <c r="O2553" s="149">
        <f t="shared" ca="1" si="90"/>
        <v>1.000173611111111</v>
      </c>
    </row>
    <row r="2554" spans="12:15" x14ac:dyDescent="0.25">
      <c r="L2554" s="147">
        <f ca="1"/>
        <v>47793</v>
      </c>
      <c r="M2554" s="92">
        <f t="shared" ca="1" si="89"/>
        <v>6.25</v>
      </c>
      <c r="N2554" s="143">
        <f ca="1">(PRODUCT($O$5:$O2554)-1)*36000/_xlfn.DAYS(L2554, $C$2)</f>
        <v>9.3884658540988148</v>
      </c>
      <c r="O2554" s="149">
        <f t="shared" ca="1" si="90"/>
        <v>1.000173611111111</v>
      </c>
    </row>
    <row r="2555" spans="12:15" x14ac:dyDescent="0.25">
      <c r="L2555" s="147">
        <f ca="1"/>
        <v>47794</v>
      </c>
      <c r="M2555" s="92">
        <f t="shared" ca="1" si="89"/>
        <v>6.25</v>
      </c>
      <c r="N2555" s="143">
        <f ca="1">(PRODUCT($O$5:$O2555)-1)*36000/_xlfn.DAYS(L2555, $C$2)</f>
        <v>9.3888648686878859</v>
      </c>
      <c r="O2555" s="149">
        <f t="shared" ca="1" si="90"/>
        <v>1.000173611111111</v>
      </c>
    </row>
    <row r="2556" spans="12:15" x14ac:dyDescent="0.25">
      <c r="L2556" s="147">
        <f ca="1"/>
        <v>47795</v>
      </c>
      <c r="M2556" s="92">
        <f t="shared" ca="1" si="89"/>
        <v>6.25</v>
      </c>
      <c r="N2556" s="143">
        <f ca="1">(PRODUCT($O$5:$O2556)-1)*36000/_xlfn.DAYS(L2556, $C$2)</f>
        <v>9.3892642785078237</v>
      </c>
      <c r="O2556" s="149">
        <f t="shared" ca="1" si="90"/>
        <v>1.000173611111111</v>
      </c>
    </row>
    <row r="2557" spans="12:15" x14ac:dyDescent="0.25">
      <c r="L2557" s="147">
        <f ca="1"/>
        <v>47796</v>
      </c>
      <c r="M2557" s="92">
        <f t="shared" ca="1" si="89"/>
        <v>6.25</v>
      </c>
      <c r="N2557" s="143">
        <f ca="1">(PRODUCT($O$5:$O2557)-1)*36000/_xlfn.DAYS(L2557, $C$2)</f>
        <v>9.3896640832170508</v>
      </c>
      <c r="O2557" s="149">
        <f t="shared" ca="1" si="90"/>
        <v>1.000173611111111</v>
      </c>
    </row>
    <row r="2558" spans="12:15" x14ac:dyDescent="0.25">
      <c r="L2558" s="147">
        <f ca="1"/>
        <v>47797</v>
      </c>
      <c r="M2558" s="92">
        <f t="shared" ca="1" si="89"/>
        <v>6.25</v>
      </c>
      <c r="N2558" s="143">
        <f ca="1">(PRODUCT($O$5:$O2558)-1)*36000/_xlfn.DAYS(L2558, $C$2)</f>
        <v>9.3900642824745528</v>
      </c>
      <c r="O2558" s="149">
        <f t="shared" ca="1" si="90"/>
        <v>1.000173611111111</v>
      </c>
    </row>
    <row r="2559" spans="12:15" x14ac:dyDescent="0.25">
      <c r="L2559" s="147">
        <f ca="1"/>
        <v>47798</v>
      </c>
      <c r="M2559" s="92">
        <f t="shared" ca="1" si="89"/>
        <v>6.25</v>
      </c>
      <c r="N2559" s="143">
        <f ca="1">(PRODUCT($O$5:$O2559)-1)*36000/_xlfn.DAYS(L2559, $C$2)</f>
        <v>9.3904648759398697</v>
      </c>
      <c r="O2559" s="149">
        <f t="shared" ca="1" si="90"/>
        <v>1.000173611111111</v>
      </c>
    </row>
    <row r="2560" spans="12:15" x14ac:dyDescent="0.25">
      <c r="L2560" s="147">
        <f ca="1"/>
        <v>47799</v>
      </c>
      <c r="M2560" s="92">
        <f t="shared" ca="1" si="89"/>
        <v>6.25</v>
      </c>
      <c r="N2560" s="143">
        <f ca="1">(PRODUCT($O$5:$O2560)-1)*36000/_xlfn.DAYS(L2560, $C$2)</f>
        <v>9.3908658632730901</v>
      </c>
      <c r="O2560" s="149">
        <f t="shared" ca="1" si="90"/>
        <v>1.000173611111111</v>
      </c>
    </row>
    <row r="2561" spans="12:15" x14ac:dyDescent="0.25">
      <c r="L2561" s="147">
        <f ca="1"/>
        <v>47800</v>
      </c>
      <c r="M2561" s="92">
        <f t="shared" ca="1" si="89"/>
        <v>6.25</v>
      </c>
      <c r="N2561" s="143">
        <f ca="1">(PRODUCT($O$5:$O2561)-1)*36000/_xlfn.DAYS(L2561, $C$2)</f>
        <v>9.3912672441348608</v>
      </c>
      <c r="O2561" s="149">
        <f t="shared" ca="1" si="90"/>
        <v>1.000173611111111</v>
      </c>
    </row>
    <row r="2562" spans="12:15" x14ac:dyDescent="0.25">
      <c r="L2562" s="147">
        <f ca="1"/>
        <v>47801</v>
      </c>
      <c r="M2562" s="92">
        <f t="shared" ca="1" si="89"/>
        <v>6.25</v>
      </c>
      <c r="N2562" s="143">
        <f ca="1">(PRODUCT($O$5:$O2562)-1)*36000/_xlfn.DAYS(L2562, $C$2)</f>
        <v>9.3916690181863824</v>
      </c>
      <c r="O2562" s="149">
        <f t="shared" ca="1" si="90"/>
        <v>1.000173611111111</v>
      </c>
    </row>
    <row r="2563" spans="12:15" x14ac:dyDescent="0.25">
      <c r="L2563" s="147">
        <f ca="1"/>
        <v>47802</v>
      </c>
      <c r="M2563" s="92">
        <f t="shared" ca="1" si="89"/>
        <v>6.25</v>
      </c>
      <c r="N2563" s="143">
        <f ca="1">(PRODUCT($O$5:$O2563)-1)*36000/_xlfn.DAYS(L2563, $C$2)</f>
        <v>9.3920711850893994</v>
      </c>
      <c r="O2563" s="149">
        <f t="shared" ca="1" si="90"/>
        <v>1.000173611111111</v>
      </c>
    </row>
    <row r="2564" spans="12:15" x14ac:dyDescent="0.25">
      <c r="L2564" s="147">
        <f ca="1"/>
        <v>47803</v>
      </c>
      <c r="M2564" s="92">
        <f t="shared" ca="1" si="89"/>
        <v>6.25</v>
      </c>
      <c r="N2564" s="143">
        <f ca="1">(PRODUCT($O$5:$O2564)-1)*36000/_xlfn.DAYS(L2564, $C$2)</f>
        <v>9.3924737445062085</v>
      </c>
      <c r="O2564" s="149">
        <f t="shared" ca="1" si="90"/>
        <v>1.000173611111111</v>
      </c>
    </row>
    <row r="2565" spans="12:15" x14ac:dyDescent="0.25">
      <c r="L2565" s="147">
        <f ca="1"/>
        <v>47804</v>
      </c>
      <c r="M2565" s="92">
        <f t="shared" ref="M2565:M2628" ca="1" si="91">IFERROR(INDEX($E$27:$H$47, MATCH(L2565, $F$27:$F$47, 0), 4), IF(ISNUMBER(M2564), M2564, $C$5))</f>
        <v>6.25</v>
      </c>
      <c r="N2565" s="143">
        <f ca="1">(PRODUCT($O$5:$O2565)-1)*36000/_xlfn.DAYS(L2565, $C$2)</f>
        <v>9.3928766960996573</v>
      </c>
      <c r="O2565" s="149">
        <f t="shared" ca="1" si="90"/>
        <v>1.000173611111111</v>
      </c>
    </row>
    <row r="2566" spans="12:15" x14ac:dyDescent="0.25">
      <c r="L2566" s="147">
        <f ca="1"/>
        <v>47805</v>
      </c>
      <c r="M2566" s="92">
        <f t="shared" ca="1" si="91"/>
        <v>6.25</v>
      </c>
      <c r="N2566" s="143">
        <f ca="1">(PRODUCT($O$5:$O2566)-1)*36000/_xlfn.DAYS(L2566, $C$2)</f>
        <v>9.3932800395331419</v>
      </c>
      <c r="O2566" s="149">
        <f t="shared" ref="O2566:O2629" ca="1" si="92">1+M2566*IFERROR(_xlfn.DAYS(L2566, L2565), _xlfn.DAYS(L2566, $C$2))/36000</f>
        <v>1.000173611111111</v>
      </c>
    </row>
    <row r="2567" spans="12:15" x14ac:dyDescent="0.25">
      <c r="L2567" s="147">
        <f ca="1"/>
        <v>47806</v>
      </c>
      <c r="M2567" s="92">
        <f t="shared" ca="1" si="91"/>
        <v>6.25</v>
      </c>
      <c r="N2567" s="143">
        <f ca="1">(PRODUCT($O$5:$O2567)-1)*36000/_xlfn.DAYS(L2567, $C$2)</f>
        <v>9.3936837744706008</v>
      </c>
      <c r="O2567" s="149">
        <f t="shared" ca="1" si="92"/>
        <v>1.000173611111111</v>
      </c>
    </row>
    <row r="2568" spans="12:15" x14ac:dyDescent="0.25">
      <c r="L2568" s="147">
        <f ca="1"/>
        <v>47807</v>
      </c>
      <c r="M2568" s="92">
        <f t="shared" ca="1" si="91"/>
        <v>6.25</v>
      </c>
      <c r="N2568" s="143">
        <f ca="1">(PRODUCT($O$5:$O2568)-1)*36000/_xlfn.DAYS(L2568, $C$2)</f>
        <v>9.3940879005765261</v>
      </c>
      <c r="O2568" s="149">
        <f t="shared" ca="1" si="92"/>
        <v>1.000173611111111</v>
      </c>
    </row>
    <row r="2569" spans="12:15" x14ac:dyDescent="0.25">
      <c r="L2569" s="147">
        <f ca="1"/>
        <v>47808</v>
      </c>
      <c r="M2569" s="92">
        <f t="shared" ca="1" si="91"/>
        <v>6.25</v>
      </c>
      <c r="N2569" s="143">
        <f ca="1">(PRODUCT($O$5:$O2569)-1)*36000/_xlfn.DAYS(L2569, $C$2)</f>
        <v>9.3944924175159432</v>
      </c>
      <c r="O2569" s="149">
        <f t="shared" ca="1" si="92"/>
        <v>1.000173611111111</v>
      </c>
    </row>
    <row r="2570" spans="12:15" x14ac:dyDescent="0.25">
      <c r="L2570" s="147">
        <f ca="1"/>
        <v>47809</v>
      </c>
      <c r="M2570" s="92">
        <f t="shared" ca="1" si="91"/>
        <v>6.25</v>
      </c>
      <c r="N2570" s="143">
        <f ca="1">(PRODUCT($O$5:$O2570)-1)*36000/_xlfn.DAYS(L2570, $C$2)</f>
        <v>9.3948973249544281</v>
      </c>
      <c r="O2570" s="149">
        <f t="shared" ca="1" si="92"/>
        <v>1.000173611111111</v>
      </c>
    </row>
    <row r="2571" spans="12:15" x14ac:dyDescent="0.25">
      <c r="L2571" s="147">
        <f ca="1"/>
        <v>47810</v>
      </c>
      <c r="M2571" s="92">
        <f t="shared" ca="1" si="91"/>
        <v>6.25</v>
      </c>
      <c r="N2571" s="143">
        <f ca="1">(PRODUCT($O$5:$O2571)-1)*36000/_xlfn.DAYS(L2571, $C$2)</f>
        <v>9.3953026225580984</v>
      </c>
      <c r="O2571" s="149">
        <f t="shared" ca="1" si="92"/>
        <v>1.000173611111111</v>
      </c>
    </row>
    <row r="2572" spans="12:15" x14ac:dyDescent="0.25">
      <c r="L2572" s="147">
        <f ca="1"/>
        <v>47811</v>
      </c>
      <c r="M2572" s="92">
        <f t="shared" ca="1" si="91"/>
        <v>6.25</v>
      </c>
      <c r="N2572" s="143">
        <f ca="1">(PRODUCT($O$5:$O2572)-1)*36000/_xlfn.DAYS(L2572, $C$2)</f>
        <v>9.3957083099936138</v>
      </c>
      <c r="O2572" s="149">
        <f t="shared" ca="1" si="92"/>
        <v>1.000173611111111</v>
      </c>
    </row>
    <row r="2573" spans="12:15" x14ac:dyDescent="0.25">
      <c r="L2573" s="147">
        <f ca="1"/>
        <v>47812</v>
      </c>
      <c r="M2573" s="92">
        <f t="shared" ca="1" si="91"/>
        <v>6.25</v>
      </c>
      <c r="N2573" s="143">
        <f ca="1">(PRODUCT($O$5:$O2573)-1)*36000/_xlfn.DAYS(L2573, $C$2)</f>
        <v>9.3961143869281685</v>
      </c>
      <c r="O2573" s="149">
        <f t="shared" ca="1" si="92"/>
        <v>1.000173611111111</v>
      </c>
    </row>
    <row r="2574" spans="12:15" x14ac:dyDescent="0.25">
      <c r="L2574" s="147">
        <f ca="1"/>
        <v>47813</v>
      </c>
      <c r="M2574" s="92">
        <f t="shared" ca="1" si="91"/>
        <v>6.25</v>
      </c>
      <c r="N2574" s="143">
        <f ca="1">(PRODUCT($O$5:$O2574)-1)*36000/_xlfn.DAYS(L2574, $C$2)</f>
        <v>9.3965208530295037</v>
      </c>
      <c r="O2574" s="149">
        <f t="shared" ca="1" si="92"/>
        <v>1.000173611111111</v>
      </c>
    </row>
    <row r="2575" spans="12:15" x14ac:dyDescent="0.25">
      <c r="L2575" s="147">
        <f ca="1"/>
        <v>47814</v>
      </c>
      <c r="M2575" s="92">
        <f t="shared" ca="1" si="91"/>
        <v>6.25</v>
      </c>
      <c r="N2575" s="143">
        <f ca="1">(PRODUCT($O$5:$O2575)-1)*36000/_xlfn.DAYS(L2575, $C$2)</f>
        <v>9.3969277079658955</v>
      </c>
      <c r="O2575" s="149">
        <f t="shared" ca="1" si="92"/>
        <v>1.000173611111111</v>
      </c>
    </row>
    <row r="2576" spans="12:15" x14ac:dyDescent="0.25">
      <c r="L2576" s="147">
        <f ca="1"/>
        <v>47815</v>
      </c>
      <c r="M2576" s="92">
        <f t="shared" ca="1" si="91"/>
        <v>6.25</v>
      </c>
      <c r="N2576" s="143">
        <f ca="1">(PRODUCT($O$5:$O2576)-1)*36000/_xlfn.DAYS(L2576, $C$2)</f>
        <v>9.3973349514061546</v>
      </c>
      <c r="O2576" s="149">
        <f t="shared" ca="1" si="92"/>
        <v>1.000173611111111</v>
      </c>
    </row>
    <row r="2577" spans="12:15" x14ac:dyDescent="0.25">
      <c r="L2577" s="147">
        <f ca="1"/>
        <v>47816</v>
      </c>
      <c r="M2577" s="92">
        <f t="shared" ca="1" si="91"/>
        <v>6.25</v>
      </c>
      <c r="N2577" s="143">
        <f ca="1">(PRODUCT($O$5:$O2577)-1)*36000/_xlfn.DAYS(L2577, $C$2)</f>
        <v>9.3977425830196299</v>
      </c>
      <c r="O2577" s="149">
        <f t="shared" ca="1" si="92"/>
        <v>1.000173611111111</v>
      </c>
    </row>
    <row r="2578" spans="12:15" x14ac:dyDescent="0.25">
      <c r="L2578" s="147">
        <f ca="1"/>
        <v>47817</v>
      </c>
      <c r="M2578" s="92">
        <f t="shared" ca="1" si="91"/>
        <v>6.25</v>
      </c>
      <c r="N2578" s="143">
        <f ca="1">(PRODUCT($O$5:$O2578)-1)*36000/_xlfn.DAYS(L2578, $C$2)</f>
        <v>9.3981506024762087</v>
      </c>
      <c r="O2578" s="149">
        <f t="shared" ca="1" si="92"/>
        <v>1.000173611111111</v>
      </c>
    </row>
    <row r="2579" spans="12:15" x14ac:dyDescent="0.25">
      <c r="L2579" s="147">
        <f ca="1"/>
        <v>47818</v>
      </c>
      <c r="M2579" s="92">
        <f t="shared" ca="1" si="91"/>
        <v>6.25</v>
      </c>
      <c r="N2579" s="143">
        <f ca="1">(PRODUCT($O$5:$O2579)-1)*36000/_xlfn.DAYS(L2579, $C$2)</f>
        <v>9.3985590094463056</v>
      </c>
      <c r="O2579" s="149">
        <f t="shared" ca="1" si="92"/>
        <v>1.000173611111111</v>
      </c>
    </row>
    <row r="2580" spans="12:15" x14ac:dyDescent="0.25">
      <c r="L2580" s="147">
        <f ca="1"/>
        <v>47819</v>
      </c>
      <c r="M2580" s="92">
        <f t="shared" ca="1" si="91"/>
        <v>6.25</v>
      </c>
      <c r="N2580" s="143">
        <f ca="1">(PRODUCT($O$5:$O2580)-1)*36000/_xlfn.DAYS(L2580, $C$2)</f>
        <v>9.3989678036008737</v>
      </c>
      <c r="O2580" s="149">
        <f t="shared" ca="1" si="92"/>
        <v>1.000173611111111</v>
      </c>
    </row>
    <row r="2581" spans="12:15" x14ac:dyDescent="0.25">
      <c r="L2581" s="147">
        <f ca="1"/>
        <v>47820</v>
      </c>
      <c r="M2581" s="92">
        <f t="shared" ca="1" si="91"/>
        <v>6.25</v>
      </c>
      <c r="N2581" s="143">
        <f ca="1">(PRODUCT($O$5:$O2581)-1)*36000/_xlfn.DAYS(L2581, $C$2)</f>
        <v>9.399376984611397</v>
      </c>
      <c r="O2581" s="149">
        <f t="shared" ca="1" si="92"/>
        <v>1.000173611111111</v>
      </c>
    </row>
    <row r="2582" spans="12:15" x14ac:dyDescent="0.25">
      <c r="L2582" s="147">
        <f ca="1"/>
        <v>47821</v>
      </c>
      <c r="M2582" s="92">
        <f t="shared" ca="1" si="91"/>
        <v>6.25</v>
      </c>
      <c r="N2582" s="143">
        <f ca="1">(PRODUCT($O$5:$O2582)-1)*36000/_xlfn.DAYS(L2582, $C$2)</f>
        <v>9.3997865521498856</v>
      </c>
      <c r="O2582" s="149">
        <f t="shared" ca="1" si="92"/>
        <v>1.000173611111111</v>
      </c>
    </row>
    <row r="2583" spans="12:15" x14ac:dyDescent="0.25">
      <c r="L2583" s="147">
        <f ca="1"/>
        <v>47822</v>
      </c>
      <c r="M2583" s="92">
        <f t="shared" ca="1" si="91"/>
        <v>6.25</v>
      </c>
      <c r="N2583" s="143">
        <f ca="1">(PRODUCT($O$5:$O2583)-1)*36000/_xlfn.DAYS(L2583, $C$2)</f>
        <v>9.4001965058888874</v>
      </c>
      <c r="O2583" s="149">
        <f t="shared" ca="1" si="92"/>
        <v>1.000173611111111</v>
      </c>
    </row>
    <row r="2584" spans="12:15" x14ac:dyDescent="0.25">
      <c r="L2584" s="147">
        <f ca="1"/>
        <v>47823</v>
      </c>
      <c r="M2584" s="92">
        <f t="shared" ca="1" si="91"/>
        <v>6.25</v>
      </c>
      <c r="N2584" s="143">
        <f ca="1">(PRODUCT($O$5:$O2584)-1)*36000/_xlfn.DAYS(L2584, $C$2)</f>
        <v>9.4006068455014749</v>
      </c>
      <c r="O2584" s="149">
        <f t="shared" ca="1" si="92"/>
        <v>1.000173611111111</v>
      </c>
    </row>
    <row r="2585" spans="12:15" x14ac:dyDescent="0.25">
      <c r="L2585" s="147">
        <f ca="1"/>
        <v>47824</v>
      </c>
      <c r="M2585" s="92">
        <f t="shared" ca="1" si="91"/>
        <v>6.25</v>
      </c>
      <c r="N2585" s="143">
        <f ca="1">(PRODUCT($O$5:$O2585)-1)*36000/_xlfn.DAYS(L2585, $C$2)</f>
        <v>9.4010175706612475</v>
      </c>
      <c r="O2585" s="149">
        <f t="shared" ca="1" si="92"/>
        <v>1.000173611111111</v>
      </c>
    </row>
    <row r="2586" spans="12:15" x14ac:dyDescent="0.25">
      <c r="L2586" s="147">
        <f ca="1"/>
        <v>47825</v>
      </c>
      <c r="M2586" s="92">
        <f t="shared" ca="1" si="91"/>
        <v>6.25</v>
      </c>
      <c r="N2586" s="143">
        <f ca="1">(PRODUCT($O$5:$O2586)-1)*36000/_xlfn.DAYS(L2586, $C$2)</f>
        <v>9.4014286810423329</v>
      </c>
      <c r="O2586" s="149">
        <f t="shared" ca="1" si="92"/>
        <v>1.000173611111111</v>
      </c>
    </row>
    <row r="2587" spans="12:15" x14ac:dyDescent="0.25">
      <c r="L2587" s="147">
        <f ca="1"/>
        <v>47826</v>
      </c>
      <c r="M2587" s="92">
        <f t="shared" ca="1" si="91"/>
        <v>6.25</v>
      </c>
      <c r="N2587" s="143">
        <f ca="1">(PRODUCT($O$5:$O2587)-1)*36000/_xlfn.DAYS(L2587, $C$2)</f>
        <v>9.4018401763193875</v>
      </c>
      <c r="O2587" s="149">
        <f t="shared" ca="1" si="92"/>
        <v>1.000173611111111</v>
      </c>
    </row>
    <row r="2588" spans="12:15" x14ac:dyDescent="0.25">
      <c r="L2588" s="147">
        <f ca="1"/>
        <v>47827</v>
      </c>
      <c r="M2588" s="92">
        <f t="shared" ca="1" si="91"/>
        <v>6.25</v>
      </c>
      <c r="N2588" s="143">
        <f ca="1">(PRODUCT($O$5:$O2588)-1)*36000/_xlfn.DAYS(L2588, $C$2)</f>
        <v>9.4022520561675833</v>
      </c>
      <c r="O2588" s="149">
        <f t="shared" ca="1" si="92"/>
        <v>1.000173611111111</v>
      </c>
    </row>
    <row r="2589" spans="12:15" x14ac:dyDescent="0.25">
      <c r="L2589" s="147">
        <f ca="1"/>
        <v>47828</v>
      </c>
      <c r="M2589" s="92">
        <f t="shared" ca="1" si="91"/>
        <v>6.25</v>
      </c>
      <c r="N2589" s="143">
        <f ca="1">(PRODUCT($O$5:$O2589)-1)*36000/_xlfn.DAYS(L2589, $C$2)</f>
        <v>9.4026643202626303</v>
      </c>
      <c r="O2589" s="149">
        <f t="shared" ca="1" si="92"/>
        <v>1.000173611111111</v>
      </c>
    </row>
    <row r="2590" spans="12:15" x14ac:dyDescent="0.25">
      <c r="L2590" s="147">
        <f ca="1"/>
        <v>47829</v>
      </c>
      <c r="M2590" s="92">
        <f t="shared" ca="1" si="91"/>
        <v>6.25</v>
      </c>
      <c r="N2590" s="143">
        <f ca="1">(PRODUCT($O$5:$O2590)-1)*36000/_xlfn.DAYS(L2590, $C$2)</f>
        <v>9.4030769682807467</v>
      </c>
      <c r="O2590" s="149">
        <f t="shared" ca="1" si="92"/>
        <v>1.000173611111111</v>
      </c>
    </row>
    <row r="2591" spans="12:15" x14ac:dyDescent="0.25">
      <c r="L2591" s="147">
        <f ca="1"/>
        <v>47830</v>
      </c>
      <c r="M2591" s="92">
        <f t="shared" ca="1" si="91"/>
        <v>6.25</v>
      </c>
      <c r="N2591" s="143">
        <f ca="1">(PRODUCT($O$5:$O2591)-1)*36000/_xlfn.DAYS(L2591, $C$2)</f>
        <v>9.4034899998986834</v>
      </c>
      <c r="O2591" s="149">
        <f t="shared" ca="1" si="92"/>
        <v>1.000173611111111</v>
      </c>
    </row>
    <row r="2592" spans="12:15" x14ac:dyDescent="0.25">
      <c r="L2592" s="147">
        <f ca="1"/>
        <v>47831</v>
      </c>
      <c r="M2592" s="92">
        <f t="shared" ca="1" si="91"/>
        <v>6.25</v>
      </c>
      <c r="N2592" s="143">
        <f ca="1">(PRODUCT($O$5:$O2592)-1)*36000/_xlfn.DAYS(L2592, $C$2)</f>
        <v>9.4039034147937031</v>
      </c>
      <c r="O2592" s="149">
        <f t="shared" ca="1" si="92"/>
        <v>1.000173611111111</v>
      </c>
    </row>
    <row r="2593" spans="12:15" x14ac:dyDescent="0.25">
      <c r="L2593" s="147">
        <f ca="1"/>
        <v>47832</v>
      </c>
      <c r="M2593" s="92">
        <f t="shared" ca="1" si="91"/>
        <v>6.25</v>
      </c>
      <c r="N2593" s="143">
        <f ca="1">(PRODUCT($O$5:$O2593)-1)*36000/_xlfn.DAYS(L2593, $C$2)</f>
        <v>9.4043172126435994</v>
      </c>
      <c r="O2593" s="149">
        <f t="shared" ca="1" si="92"/>
        <v>1.000173611111111</v>
      </c>
    </row>
    <row r="2594" spans="12:15" x14ac:dyDescent="0.25">
      <c r="L2594" s="147">
        <f ca="1"/>
        <v>47833</v>
      </c>
      <c r="M2594" s="92">
        <f t="shared" ca="1" si="91"/>
        <v>6.25</v>
      </c>
      <c r="N2594" s="143">
        <f ca="1">(PRODUCT($O$5:$O2594)-1)*36000/_xlfn.DAYS(L2594, $C$2)</f>
        <v>9.4047313931266725</v>
      </c>
      <c r="O2594" s="149">
        <f t="shared" ca="1" si="92"/>
        <v>1.000173611111111</v>
      </c>
    </row>
    <row r="2595" spans="12:15" x14ac:dyDescent="0.25">
      <c r="L2595" s="147">
        <f ca="1"/>
        <v>47834</v>
      </c>
      <c r="M2595" s="92">
        <f t="shared" ca="1" si="91"/>
        <v>6.25</v>
      </c>
      <c r="N2595" s="143">
        <f ca="1">(PRODUCT($O$5:$O2595)-1)*36000/_xlfn.DAYS(L2595, $C$2)</f>
        <v>9.4051459559217498</v>
      </c>
      <c r="O2595" s="149">
        <f t="shared" ca="1" si="92"/>
        <v>1.000173611111111</v>
      </c>
    </row>
    <row r="2596" spans="12:15" x14ac:dyDescent="0.25">
      <c r="L2596" s="147">
        <f ca="1"/>
        <v>47835</v>
      </c>
      <c r="M2596" s="92">
        <f t="shared" ca="1" si="91"/>
        <v>6.25</v>
      </c>
      <c r="N2596" s="143">
        <f ca="1">(PRODUCT($O$5:$O2596)-1)*36000/_xlfn.DAYS(L2596, $C$2)</f>
        <v>9.4055609007081689</v>
      </c>
      <c r="O2596" s="149">
        <f t="shared" ca="1" si="92"/>
        <v>1.000173611111111</v>
      </c>
    </row>
    <row r="2597" spans="12:15" x14ac:dyDescent="0.25">
      <c r="L2597" s="147">
        <f ca="1"/>
        <v>47836</v>
      </c>
      <c r="M2597" s="92">
        <f t="shared" ca="1" si="91"/>
        <v>6.25</v>
      </c>
      <c r="N2597" s="143">
        <f ca="1">(PRODUCT($O$5:$O2597)-1)*36000/_xlfn.DAYS(L2597, $C$2)</f>
        <v>9.4059762271657874</v>
      </c>
      <c r="O2597" s="149">
        <f t="shared" ca="1" si="92"/>
        <v>1.000173611111111</v>
      </c>
    </row>
    <row r="2598" spans="12:15" x14ac:dyDescent="0.25">
      <c r="L2598" s="147">
        <f ca="1"/>
        <v>47837</v>
      </c>
      <c r="M2598" s="92">
        <f t="shared" ca="1" si="91"/>
        <v>6.25</v>
      </c>
      <c r="N2598" s="143">
        <f ca="1">(PRODUCT($O$5:$O2598)-1)*36000/_xlfn.DAYS(L2598, $C$2)</f>
        <v>9.4063919349749785</v>
      </c>
      <c r="O2598" s="149">
        <f t="shared" ca="1" si="92"/>
        <v>1.000173611111111</v>
      </c>
    </row>
    <row r="2599" spans="12:15" x14ac:dyDescent="0.25">
      <c r="L2599" s="147">
        <f ca="1"/>
        <v>47838</v>
      </c>
      <c r="M2599" s="92">
        <f t="shared" ca="1" si="91"/>
        <v>6.25</v>
      </c>
      <c r="N2599" s="143">
        <f ca="1">(PRODUCT($O$5:$O2599)-1)*36000/_xlfn.DAYS(L2599, $C$2)</f>
        <v>9.4068080238166232</v>
      </c>
      <c r="O2599" s="149">
        <f t="shared" ca="1" si="92"/>
        <v>1.000173611111111</v>
      </c>
    </row>
    <row r="2600" spans="12:15" x14ac:dyDescent="0.25">
      <c r="L2600" s="147">
        <f ca="1"/>
        <v>47839</v>
      </c>
      <c r="M2600" s="92">
        <f t="shared" ca="1" si="91"/>
        <v>6.25</v>
      </c>
      <c r="N2600" s="143">
        <f ca="1">(PRODUCT($O$5:$O2600)-1)*36000/_xlfn.DAYS(L2600, $C$2)</f>
        <v>9.4072244933721194</v>
      </c>
      <c r="O2600" s="149">
        <f t="shared" ca="1" si="92"/>
        <v>1.000173611111111</v>
      </c>
    </row>
    <row r="2601" spans="12:15" x14ac:dyDescent="0.25">
      <c r="L2601" s="147">
        <f ca="1"/>
        <v>47840</v>
      </c>
      <c r="M2601" s="92">
        <f t="shared" ca="1" si="91"/>
        <v>6.25</v>
      </c>
      <c r="N2601" s="143">
        <f ca="1">(PRODUCT($O$5:$O2601)-1)*36000/_xlfn.DAYS(L2601, $C$2)</f>
        <v>9.4076413433233839</v>
      </c>
      <c r="O2601" s="149">
        <f t="shared" ca="1" si="92"/>
        <v>1.000173611111111</v>
      </c>
    </row>
    <row r="2602" spans="12:15" x14ac:dyDescent="0.25">
      <c r="L2602" s="147">
        <f ca="1"/>
        <v>47841</v>
      </c>
      <c r="M2602" s="92">
        <f t="shared" ca="1" si="91"/>
        <v>6.25</v>
      </c>
      <c r="N2602" s="143">
        <f ca="1">(PRODUCT($O$5:$O2602)-1)*36000/_xlfn.DAYS(L2602, $C$2)</f>
        <v>9.4080585733528288</v>
      </c>
      <c r="O2602" s="149">
        <f t="shared" ca="1" si="92"/>
        <v>1.000173611111111</v>
      </c>
    </row>
    <row r="2603" spans="12:15" x14ac:dyDescent="0.25">
      <c r="L2603" s="147">
        <f ca="1"/>
        <v>47842</v>
      </c>
      <c r="M2603" s="92">
        <f t="shared" ca="1" si="91"/>
        <v>6.25</v>
      </c>
      <c r="N2603" s="143">
        <f ca="1">(PRODUCT($O$5:$O2603)-1)*36000/_xlfn.DAYS(L2603, $C$2)</f>
        <v>9.4084761831433887</v>
      </c>
      <c r="O2603" s="149">
        <f t="shared" ca="1" si="92"/>
        <v>1.000173611111111</v>
      </c>
    </row>
    <row r="2604" spans="12:15" x14ac:dyDescent="0.25">
      <c r="L2604" s="147">
        <f ca="1"/>
        <v>47843</v>
      </c>
      <c r="M2604" s="92">
        <f t="shared" ca="1" si="91"/>
        <v>6.25</v>
      </c>
      <c r="N2604" s="143">
        <f ca="1">(PRODUCT($O$5:$O2604)-1)*36000/_xlfn.DAYS(L2604, $C$2)</f>
        <v>9.4088941723785045</v>
      </c>
      <c r="O2604" s="149">
        <f t="shared" ca="1" si="92"/>
        <v>1.000173611111111</v>
      </c>
    </row>
    <row r="2605" spans="12:15" x14ac:dyDescent="0.25">
      <c r="L2605" s="147">
        <f ca="1"/>
        <v>47844</v>
      </c>
      <c r="M2605" s="92">
        <f t="shared" ca="1" si="91"/>
        <v>6.25</v>
      </c>
      <c r="N2605" s="143">
        <f ca="1">(PRODUCT($O$5:$O2605)-1)*36000/_xlfn.DAYS(L2605, $C$2)</f>
        <v>9.4093125407421176</v>
      </c>
      <c r="O2605" s="149">
        <f t="shared" ca="1" si="92"/>
        <v>1.000173611111111</v>
      </c>
    </row>
    <row r="2606" spans="12:15" x14ac:dyDescent="0.25">
      <c r="L2606" s="147">
        <f ca="1"/>
        <v>47845</v>
      </c>
      <c r="M2606" s="92">
        <f t="shared" ca="1" si="91"/>
        <v>6.25</v>
      </c>
      <c r="N2606" s="143">
        <f ca="1">(PRODUCT($O$5:$O2606)-1)*36000/_xlfn.DAYS(L2606, $C$2)</f>
        <v>9.409731287918687</v>
      </c>
      <c r="O2606" s="149">
        <f t="shared" ca="1" si="92"/>
        <v>1.000173611111111</v>
      </c>
    </row>
    <row r="2607" spans="12:15" x14ac:dyDescent="0.25">
      <c r="L2607" s="147">
        <f ca="1"/>
        <v>47846</v>
      </c>
      <c r="M2607" s="92">
        <f t="shared" ca="1" si="91"/>
        <v>6.25</v>
      </c>
      <c r="N2607" s="143">
        <f ca="1">(PRODUCT($O$5:$O2607)-1)*36000/_xlfn.DAYS(L2607, $C$2)</f>
        <v>9.4101504135931719</v>
      </c>
      <c r="O2607" s="149">
        <f t="shared" ca="1" si="92"/>
        <v>1.000173611111111</v>
      </c>
    </row>
    <row r="2608" spans="12:15" x14ac:dyDescent="0.25">
      <c r="L2608" s="147">
        <f ca="1"/>
        <v>47847</v>
      </c>
      <c r="M2608" s="92">
        <f t="shared" ca="1" si="91"/>
        <v>6.25</v>
      </c>
      <c r="N2608" s="143">
        <f ca="1">(PRODUCT($O$5:$O2608)-1)*36000/_xlfn.DAYS(L2608, $C$2)</f>
        <v>9.4105699174510367</v>
      </c>
      <c r="O2608" s="149">
        <f t="shared" ca="1" si="92"/>
        <v>1.000173611111111</v>
      </c>
    </row>
    <row r="2609" spans="12:15" x14ac:dyDescent="0.25">
      <c r="L2609" s="147">
        <f ca="1"/>
        <v>47848</v>
      </c>
      <c r="M2609" s="92">
        <f t="shared" ca="1" si="91"/>
        <v>6.25</v>
      </c>
      <c r="N2609" s="143">
        <f ca="1">(PRODUCT($O$5:$O2609)-1)*36000/_xlfn.DAYS(L2609, $C$2)</f>
        <v>9.4109897991782478</v>
      </c>
      <c r="O2609" s="149">
        <f t="shared" ca="1" si="92"/>
        <v>1.000173611111111</v>
      </c>
    </row>
    <row r="2610" spans="12:15" x14ac:dyDescent="0.25">
      <c r="L2610" s="147">
        <f ca="1"/>
        <v>47849</v>
      </c>
      <c r="M2610" s="92">
        <f t="shared" ca="1" si="91"/>
        <v>6.25</v>
      </c>
      <c r="N2610" s="143">
        <f ca="1">(PRODUCT($O$5:$O2610)-1)*36000/_xlfn.DAYS(L2610, $C$2)</f>
        <v>9.4114100584612856</v>
      </c>
      <c r="O2610" s="149">
        <f t="shared" ca="1" si="92"/>
        <v>1.000173611111111</v>
      </c>
    </row>
    <row r="2611" spans="12:15" x14ac:dyDescent="0.25">
      <c r="L2611" s="147">
        <f ca="1"/>
        <v>47850</v>
      </c>
      <c r="M2611" s="92">
        <f t="shared" ca="1" si="91"/>
        <v>6.25</v>
      </c>
      <c r="N2611" s="143">
        <f ca="1">(PRODUCT($O$5:$O2611)-1)*36000/_xlfn.DAYS(L2611, $C$2)</f>
        <v>9.4118306949871169</v>
      </c>
      <c r="O2611" s="149">
        <f t="shared" ca="1" si="92"/>
        <v>1.000173611111111</v>
      </c>
    </row>
    <row r="2612" spans="12:15" x14ac:dyDescent="0.25">
      <c r="L2612" s="147">
        <f ca="1"/>
        <v>47851</v>
      </c>
      <c r="M2612" s="92">
        <f t="shared" ca="1" si="91"/>
        <v>6.25</v>
      </c>
      <c r="N2612" s="143">
        <f ca="1">(PRODUCT($O$5:$O2612)-1)*36000/_xlfn.DAYS(L2612, $C$2)</f>
        <v>9.4122517084432236</v>
      </c>
      <c r="O2612" s="149">
        <f t="shared" ca="1" si="92"/>
        <v>1.000173611111111</v>
      </c>
    </row>
    <row r="2613" spans="12:15" x14ac:dyDescent="0.25">
      <c r="L2613" s="147">
        <f ca="1"/>
        <v>47852</v>
      </c>
      <c r="M2613" s="92">
        <f t="shared" ca="1" si="91"/>
        <v>6.25</v>
      </c>
      <c r="N2613" s="143">
        <f ca="1">(PRODUCT($O$5:$O2613)-1)*36000/_xlfn.DAYS(L2613, $C$2)</f>
        <v>9.4126730985175779</v>
      </c>
      <c r="O2613" s="149">
        <f t="shared" ca="1" si="92"/>
        <v>1.000173611111111</v>
      </c>
    </row>
    <row r="2614" spans="12:15" x14ac:dyDescent="0.25">
      <c r="L2614" s="147">
        <f ca="1"/>
        <v>47853</v>
      </c>
      <c r="M2614" s="92">
        <f t="shared" ca="1" si="91"/>
        <v>6.25</v>
      </c>
      <c r="N2614" s="143">
        <f ca="1">(PRODUCT($O$5:$O2614)-1)*36000/_xlfn.DAYS(L2614, $C$2)</f>
        <v>9.4130948648986532</v>
      </c>
      <c r="O2614" s="149">
        <f t="shared" ca="1" si="92"/>
        <v>1.000173611111111</v>
      </c>
    </row>
    <row r="2615" spans="12:15" x14ac:dyDescent="0.25">
      <c r="L2615" s="147">
        <f ca="1"/>
        <v>47854</v>
      </c>
      <c r="M2615" s="92">
        <f t="shared" ca="1" si="91"/>
        <v>6.25</v>
      </c>
      <c r="N2615" s="143">
        <f ca="1">(PRODUCT($O$5:$O2615)-1)*36000/_xlfn.DAYS(L2615, $C$2)</f>
        <v>9.4135170072754271</v>
      </c>
      <c r="O2615" s="149">
        <f t="shared" ca="1" si="92"/>
        <v>1.000173611111111</v>
      </c>
    </row>
    <row r="2616" spans="12:15" x14ac:dyDescent="0.25">
      <c r="L2616" s="147">
        <f ca="1"/>
        <v>47855</v>
      </c>
      <c r="M2616" s="92">
        <f t="shared" ca="1" si="91"/>
        <v>6.25</v>
      </c>
      <c r="N2616" s="143">
        <f ca="1">(PRODUCT($O$5:$O2616)-1)*36000/_xlfn.DAYS(L2616, $C$2)</f>
        <v>9.4139395253373692</v>
      </c>
      <c r="O2616" s="149">
        <f t="shared" ca="1" si="92"/>
        <v>1.000173611111111</v>
      </c>
    </row>
    <row r="2617" spans="12:15" x14ac:dyDescent="0.25">
      <c r="L2617" s="147">
        <f ca="1"/>
        <v>47856</v>
      </c>
      <c r="M2617" s="92">
        <f t="shared" ca="1" si="91"/>
        <v>6.25</v>
      </c>
      <c r="N2617" s="143">
        <f ca="1">(PRODUCT($O$5:$O2617)-1)*36000/_xlfn.DAYS(L2617, $C$2)</f>
        <v>9.414362418774445</v>
      </c>
      <c r="O2617" s="149">
        <f t="shared" ca="1" si="92"/>
        <v>1.000173611111111</v>
      </c>
    </row>
    <row r="2618" spans="12:15" x14ac:dyDescent="0.25">
      <c r="L2618" s="147">
        <f ca="1"/>
        <v>47857</v>
      </c>
      <c r="M2618" s="92">
        <f t="shared" ca="1" si="91"/>
        <v>6.25</v>
      </c>
      <c r="N2618" s="143">
        <f ca="1">(PRODUCT($O$5:$O2618)-1)*36000/_xlfn.DAYS(L2618, $C$2)</f>
        <v>9.4147856872771172</v>
      </c>
      <c r="O2618" s="149">
        <f t="shared" ca="1" si="92"/>
        <v>1.000173611111111</v>
      </c>
    </row>
    <row r="2619" spans="12:15" x14ac:dyDescent="0.25">
      <c r="L2619" s="147">
        <f ca="1"/>
        <v>47858</v>
      </c>
      <c r="M2619" s="92">
        <f t="shared" ca="1" si="91"/>
        <v>6.25</v>
      </c>
      <c r="N2619" s="143">
        <f ca="1">(PRODUCT($O$5:$O2619)-1)*36000/_xlfn.DAYS(L2619, $C$2)</f>
        <v>9.4152093305363476</v>
      </c>
      <c r="O2619" s="149">
        <f t="shared" ca="1" si="92"/>
        <v>1.000173611111111</v>
      </c>
    </row>
    <row r="2620" spans="12:15" x14ac:dyDescent="0.25">
      <c r="L2620" s="147">
        <f ca="1"/>
        <v>47859</v>
      </c>
      <c r="M2620" s="92">
        <f t="shared" ca="1" si="91"/>
        <v>6.25</v>
      </c>
      <c r="N2620" s="143">
        <f ca="1">(PRODUCT($O$5:$O2620)-1)*36000/_xlfn.DAYS(L2620, $C$2)</f>
        <v>9.4156333482435794</v>
      </c>
      <c r="O2620" s="149">
        <f t="shared" ca="1" si="92"/>
        <v>1.000173611111111</v>
      </c>
    </row>
    <row r="2621" spans="12:15" x14ac:dyDescent="0.25">
      <c r="L2621" s="147">
        <f ca="1"/>
        <v>47860</v>
      </c>
      <c r="M2621" s="92">
        <f t="shared" ca="1" si="91"/>
        <v>6.25</v>
      </c>
      <c r="N2621" s="143">
        <f ca="1">(PRODUCT($O$5:$O2621)-1)*36000/_xlfn.DAYS(L2621, $C$2)</f>
        <v>9.4160577400907624</v>
      </c>
      <c r="O2621" s="149">
        <f t="shared" ca="1" si="92"/>
        <v>1.000173611111111</v>
      </c>
    </row>
    <row r="2622" spans="12:15" x14ac:dyDescent="0.25">
      <c r="L2622" s="147">
        <f ca="1"/>
        <v>47861</v>
      </c>
      <c r="M2622" s="92">
        <f t="shared" ca="1" si="91"/>
        <v>6.25</v>
      </c>
      <c r="N2622" s="143">
        <f ca="1">(PRODUCT($O$5:$O2622)-1)*36000/_xlfn.DAYS(L2622, $C$2)</f>
        <v>9.416482505770329</v>
      </c>
      <c r="O2622" s="149">
        <f t="shared" ca="1" si="92"/>
        <v>1.000173611111111</v>
      </c>
    </row>
    <row r="2623" spans="12:15" x14ac:dyDescent="0.25">
      <c r="L2623" s="147">
        <f ca="1"/>
        <v>47862</v>
      </c>
      <c r="M2623" s="92">
        <f t="shared" ca="1" si="91"/>
        <v>6.25</v>
      </c>
      <c r="N2623" s="143">
        <f ca="1">(PRODUCT($O$5:$O2623)-1)*36000/_xlfn.DAYS(L2623, $C$2)</f>
        <v>9.4169076449752058</v>
      </c>
      <c r="O2623" s="149">
        <f t="shared" ca="1" si="92"/>
        <v>1.000173611111111</v>
      </c>
    </row>
    <row r="2624" spans="12:15" x14ac:dyDescent="0.25">
      <c r="L2624" s="147">
        <f ca="1"/>
        <v>47863</v>
      </c>
      <c r="M2624" s="92">
        <f t="shared" ca="1" si="91"/>
        <v>6.25</v>
      </c>
      <c r="N2624" s="143">
        <f ca="1">(PRODUCT($O$5:$O2624)-1)*36000/_xlfn.DAYS(L2624, $C$2)</f>
        <v>9.4173331573988115</v>
      </c>
      <c r="O2624" s="149">
        <f t="shared" ca="1" si="92"/>
        <v>1.000173611111111</v>
      </c>
    </row>
    <row r="2625" spans="12:15" x14ac:dyDescent="0.25">
      <c r="L2625" s="147">
        <f ca="1"/>
        <v>47864</v>
      </c>
      <c r="M2625" s="92">
        <f t="shared" ca="1" si="91"/>
        <v>6.25</v>
      </c>
      <c r="N2625" s="143">
        <f ca="1">(PRODUCT($O$5:$O2625)-1)*36000/_xlfn.DAYS(L2625, $C$2)</f>
        <v>9.4177590427350477</v>
      </c>
      <c r="O2625" s="149">
        <f t="shared" ca="1" si="92"/>
        <v>1.000173611111111</v>
      </c>
    </row>
    <row r="2626" spans="12:15" x14ac:dyDescent="0.25">
      <c r="L2626" s="147">
        <f ca="1"/>
        <v>47865</v>
      </c>
      <c r="M2626" s="92">
        <f t="shared" ca="1" si="91"/>
        <v>6.25</v>
      </c>
      <c r="N2626" s="143">
        <f ca="1">(PRODUCT($O$5:$O2626)-1)*36000/_xlfn.DAYS(L2626, $C$2)</f>
        <v>9.4181853006783065</v>
      </c>
      <c r="O2626" s="149">
        <f t="shared" ca="1" si="92"/>
        <v>1.000173611111111</v>
      </c>
    </row>
    <row r="2627" spans="12:15" x14ac:dyDescent="0.25">
      <c r="L2627" s="147">
        <f ca="1"/>
        <v>47866</v>
      </c>
      <c r="M2627" s="92">
        <f t="shared" ca="1" si="91"/>
        <v>6.25</v>
      </c>
      <c r="N2627" s="143">
        <f ca="1">(PRODUCT($O$5:$O2627)-1)*36000/_xlfn.DAYS(L2627, $C$2)</f>
        <v>9.4186119309234702</v>
      </c>
      <c r="O2627" s="149">
        <f t="shared" ca="1" si="92"/>
        <v>1.000173611111111</v>
      </c>
    </row>
    <row r="2628" spans="12:15" x14ac:dyDescent="0.25">
      <c r="L2628" s="147">
        <f ca="1"/>
        <v>47867</v>
      </c>
      <c r="M2628" s="92">
        <f t="shared" ca="1" si="91"/>
        <v>6.25</v>
      </c>
      <c r="N2628" s="143">
        <f ca="1">(PRODUCT($O$5:$O2628)-1)*36000/_xlfn.DAYS(L2628, $C$2)</f>
        <v>9.4190389331659023</v>
      </c>
      <c r="O2628" s="149">
        <f t="shared" ca="1" si="92"/>
        <v>1.000173611111111</v>
      </c>
    </row>
    <row r="2629" spans="12:15" x14ac:dyDescent="0.25">
      <c r="L2629" s="147">
        <f ca="1"/>
        <v>47868</v>
      </c>
      <c r="M2629" s="92">
        <f t="shared" ref="M2629:M2692" ca="1" si="93">IFERROR(INDEX($E$27:$H$47, MATCH(L2629, $F$27:$F$47, 0), 4), IF(ISNUMBER(M2628), M2628, $C$5))</f>
        <v>6.25</v>
      </c>
      <c r="N2629" s="143">
        <f ca="1">(PRODUCT($O$5:$O2629)-1)*36000/_xlfn.DAYS(L2629, $C$2)</f>
        <v>9.419466307101457</v>
      </c>
      <c r="O2629" s="149">
        <f t="shared" ca="1" si="92"/>
        <v>1.000173611111111</v>
      </c>
    </row>
    <row r="2630" spans="12:15" x14ac:dyDescent="0.25">
      <c r="L2630" s="147">
        <f ca="1"/>
        <v>47869</v>
      </c>
      <c r="M2630" s="92">
        <f t="shared" ca="1" si="93"/>
        <v>6.25</v>
      </c>
      <c r="N2630" s="143">
        <f ca="1">(PRODUCT($O$5:$O2630)-1)*36000/_xlfn.DAYS(L2630, $C$2)</f>
        <v>9.4198940524264643</v>
      </c>
      <c r="O2630" s="149">
        <f t="shared" ref="O2630:O2693" ca="1" si="94">1+M2630*IFERROR(_xlfn.DAYS(L2630, L2629), _xlfn.DAYS(L2630, $C$2))/36000</f>
        <v>1.000173611111111</v>
      </c>
    </row>
    <row r="2631" spans="12:15" x14ac:dyDescent="0.25">
      <c r="L2631" s="147">
        <f ca="1"/>
        <v>47870</v>
      </c>
      <c r="M2631" s="92">
        <f t="shared" ca="1" si="93"/>
        <v>6.25</v>
      </c>
      <c r="N2631" s="143">
        <f ca="1">(PRODUCT($O$5:$O2631)-1)*36000/_xlfn.DAYS(L2631, $C$2)</f>
        <v>9.4203221688377479</v>
      </c>
      <c r="O2631" s="149">
        <f t="shared" ca="1" si="94"/>
        <v>1.000173611111111</v>
      </c>
    </row>
    <row r="2632" spans="12:15" x14ac:dyDescent="0.25">
      <c r="L2632" s="147">
        <f ca="1"/>
        <v>47871</v>
      </c>
      <c r="M2632" s="92">
        <f t="shared" ca="1" si="93"/>
        <v>6.25</v>
      </c>
      <c r="N2632" s="143">
        <f ca="1">(PRODUCT($O$5:$O2632)-1)*36000/_xlfn.DAYS(L2632, $C$2)</f>
        <v>9.4207506560326078</v>
      </c>
      <c r="O2632" s="149">
        <f t="shared" ca="1" si="94"/>
        <v>1.000173611111111</v>
      </c>
    </row>
    <row r="2633" spans="12:15" x14ac:dyDescent="0.25">
      <c r="L2633" s="147">
        <f ca="1"/>
        <v>47872</v>
      </c>
      <c r="M2633" s="92">
        <f t="shared" ca="1" si="93"/>
        <v>6.25</v>
      </c>
      <c r="N2633" s="143">
        <f ca="1">(PRODUCT($O$5:$O2633)-1)*36000/_xlfn.DAYS(L2633, $C$2)</f>
        <v>9.4211795137088252</v>
      </c>
      <c r="O2633" s="149">
        <f t="shared" ca="1" si="94"/>
        <v>1.000173611111111</v>
      </c>
    </row>
    <row r="2634" spans="12:15" x14ac:dyDescent="0.25">
      <c r="L2634" s="147">
        <f ca="1"/>
        <v>47873</v>
      </c>
      <c r="M2634" s="92">
        <f t="shared" ca="1" si="93"/>
        <v>6.25</v>
      </c>
      <c r="N2634" s="143">
        <f ca="1">(PRODUCT($O$5:$O2634)-1)*36000/_xlfn.DAYS(L2634, $C$2)</f>
        <v>9.4216087415646648</v>
      </c>
      <c r="O2634" s="149">
        <f t="shared" ca="1" si="94"/>
        <v>1.000173611111111</v>
      </c>
    </row>
    <row r="2635" spans="12:15" x14ac:dyDescent="0.25">
      <c r="L2635" s="147">
        <f ca="1"/>
        <v>47874</v>
      </c>
      <c r="M2635" s="92">
        <f t="shared" ca="1" si="93"/>
        <v>6.25</v>
      </c>
      <c r="N2635" s="143">
        <f ca="1">(PRODUCT($O$5:$O2635)-1)*36000/_xlfn.DAYS(L2635, $C$2)</f>
        <v>9.4220383392988722</v>
      </c>
      <c r="O2635" s="149">
        <f t="shared" ca="1" si="94"/>
        <v>1.000173611111111</v>
      </c>
    </row>
    <row r="2636" spans="12:15" x14ac:dyDescent="0.25">
      <c r="L2636" s="147">
        <f ca="1"/>
        <v>47875</v>
      </c>
      <c r="M2636" s="92">
        <f t="shared" ca="1" si="93"/>
        <v>6.25</v>
      </c>
      <c r="N2636" s="143">
        <f ca="1">(PRODUCT($O$5:$O2636)-1)*36000/_xlfn.DAYS(L2636, $C$2)</f>
        <v>9.4224683066106643</v>
      </c>
      <c r="O2636" s="149">
        <f t="shared" ca="1" si="94"/>
        <v>1.000173611111111</v>
      </c>
    </row>
    <row r="2637" spans="12:15" x14ac:dyDescent="0.25">
      <c r="L2637" s="147">
        <f ca="1"/>
        <v>47876</v>
      </c>
      <c r="M2637" s="92">
        <f t="shared" ca="1" si="93"/>
        <v>6.25</v>
      </c>
      <c r="N2637" s="143">
        <f ca="1">(PRODUCT($O$5:$O2637)-1)*36000/_xlfn.DAYS(L2637, $C$2)</f>
        <v>9.4228986431997424</v>
      </c>
      <c r="O2637" s="149">
        <f t="shared" ca="1" si="94"/>
        <v>1.000173611111111</v>
      </c>
    </row>
    <row r="2638" spans="12:15" x14ac:dyDescent="0.25">
      <c r="L2638" s="147">
        <f ca="1"/>
        <v>47877</v>
      </c>
      <c r="M2638" s="92">
        <f t="shared" ca="1" si="93"/>
        <v>6.25</v>
      </c>
      <c r="N2638" s="143">
        <f ca="1">(PRODUCT($O$5:$O2638)-1)*36000/_xlfn.DAYS(L2638, $C$2)</f>
        <v>9.4233293487662859</v>
      </c>
      <c r="O2638" s="149">
        <f t="shared" ca="1" si="94"/>
        <v>1.000173611111111</v>
      </c>
    </row>
    <row r="2639" spans="12:15" x14ac:dyDescent="0.25">
      <c r="L2639" s="147">
        <f ca="1"/>
        <v>47878</v>
      </c>
      <c r="M2639" s="92">
        <f t="shared" ca="1" si="93"/>
        <v>6.25</v>
      </c>
      <c r="N2639" s="143">
        <f ca="1">(PRODUCT($O$5:$O2639)-1)*36000/_xlfn.DAYS(L2639, $C$2)</f>
        <v>9.4237604230109433</v>
      </c>
      <c r="O2639" s="149">
        <f t="shared" ca="1" si="94"/>
        <v>1.000173611111111</v>
      </c>
    </row>
    <row r="2640" spans="12:15" x14ac:dyDescent="0.25">
      <c r="L2640" s="147">
        <f ca="1"/>
        <v>47879</v>
      </c>
      <c r="M2640" s="92">
        <f t="shared" ca="1" si="93"/>
        <v>6.25</v>
      </c>
      <c r="N2640" s="143">
        <f ca="1">(PRODUCT($O$5:$O2640)-1)*36000/_xlfn.DAYS(L2640, $C$2)</f>
        <v>9.4241918656348478</v>
      </c>
      <c r="O2640" s="149">
        <f t="shared" ca="1" si="94"/>
        <v>1.000173611111111</v>
      </c>
    </row>
    <row r="2641" spans="12:15" x14ac:dyDescent="0.25">
      <c r="L2641" s="147">
        <f ca="1"/>
        <v>47880</v>
      </c>
      <c r="M2641" s="92">
        <f t="shared" ca="1" si="93"/>
        <v>6.25</v>
      </c>
      <c r="N2641" s="143">
        <f ca="1">(PRODUCT($O$5:$O2641)-1)*36000/_xlfn.DAYS(L2641, $C$2)</f>
        <v>9.4246236763395945</v>
      </c>
      <c r="O2641" s="149">
        <f t="shared" ca="1" si="94"/>
        <v>1.000173611111111</v>
      </c>
    </row>
    <row r="2642" spans="12:15" x14ac:dyDescent="0.25">
      <c r="L2642" s="147">
        <f ca="1"/>
        <v>47881</v>
      </c>
      <c r="M2642" s="92">
        <f t="shared" ca="1" si="93"/>
        <v>6.25</v>
      </c>
      <c r="N2642" s="143">
        <f ca="1">(PRODUCT($O$5:$O2642)-1)*36000/_xlfn.DAYS(L2642, $C$2)</f>
        <v>9.4250558548272689</v>
      </c>
      <c r="O2642" s="149">
        <f t="shared" ca="1" si="94"/>
        <v>1.000173611111111</v>
      </c>
    </row>
    <row r="2643" spans="12:15" x14ac:dyDescent="0.25">
      <c r="L2643" s="147">
        <f ca="1"/>
        <v>47882</v>
      </c>
      <c r="M2643" s="92">
        <f t="shared" ca="1" si="93"/>
        <v>6.25</v>
      </c>
      <c r="N2643" s="143">
        <f ca="1">(PRODUCT($O$5:$O2643)-1)*36000/_xlfn.DAYS(L2643, $C$2)</f>
        <v>9.4254884008004112</v>
      </c>
      <c r="O2643" s="149">
        <f t="shared" ca="1" si="94"/>
        <v>1.000173611111111</v>
      </c>
    </row>
    <row r="2644" spans="12:15" x14ac:dyDescent="0.25">
      <c r="L2644" s="147">
        <f ca="1"/>
        <v>47883</v>
      </c>
      <c r="M2644" s="92">
        <f t="shared" ca="1" si="93"/>
        <v>6.25</v>
      </c>
      <c r="N2644" s="143">
        <f ca="1">(PRODUCT($O$5:$O2644)-1)*36000/_xlfn.DAYS(L2644, $C$2)</f>
        <v>9.4259213139620464</v>
      </c>
      <c r="O2644" s="149">
        <f t="shared" ca="1" si="94"/>
        <v>1.000173611111111</v>
      </c>
    </row>
    <row r="2645" spans="12:15" x14ac:dyDescent="0.25">
      <c r="L2645" s="147">
        <f ca="1"/>
        <v>47884</v>
      </c>
      <c r="M2645" s="92">
        <f t="shared" ca="1" si="93"/>
        <v>6.25</v>
      </c>
      <c r="N2645" s="143">
        <f ca="1">(PRODUCT($O$5:$O2645)-1)*36000/_xlfn.DAYS(L2645, $C$2)</f>
        <v>9.4263545940156614</v>
      </c>
      <c r="O2645" s="149">
        <f t="shared" ca="1" si="94"/>
        <v>1.000173611111111</v>
      </c>
    </row>
    <row r="2646" spans="12:15" x14ac:dyDescent="0.25">
      <c r="L2646" s="147">
        <f ca="1"/>
        <v>47885</v>
      </c>
      <c r="M2646" s="92">
        <f t="shared" ca="1" si="93"/>
        <v>6.25</v>
      </c>
      <c r="N2646" s="143">
        <f ca="1">(PRODUCT($O$5:$O2646)-1)*36000/_xlfn.DAYS(L2646, $C$2)</f>
        <v>9.4267882406652177</v>
      </c>
      <c r="O2646" s="149">
        <f t="shared" ca="1" si="94"/>
        <v>1.000173611111111</v>
      </c>
    </row>
    <row r="2647" spans="12:15" x14ac:dyDescent="0.25">
      <c r="L2647" s="147">
        <f ca="1"/>
        <v>47886</v>
      </c>
      <c r="M2647" s="92">
        <f t="shared" ca="1" si="93"/>
        <v>6.25</v>
      </c>
      <c r="N2647" s="143">
        <f ca="1">(PRODUCT($O$5:$O2647)-1)*36000/_xlfn.DAYS(L2647, $C$2)</f>
        <v>9.4272222536151453</v>
      </c>
      <c r="O2647" s="149">
        <f t="shared" ca="1" si="94"/>
        <v>1.000173611111111</v>
      </c>
    </row>
    <row r="2648" spans="12:15" x14ac:dyDescent="0.25">
      <c r="L2648" s="147">
        <f ca="1"/>
        <v>47887</v>
      </c>
      <c r="M2648" s="92">
        <f t="shared" ca="1" si="93"/>
        <v>6.25</v>
      </c>
      <c r="N2648" s="143">
        <f ca="1">(PRODUCT($O$5:$O2648)-1)*36000/_xlfn.DAYS(L2648, $C$2)</f>
        <v>9.4276566325703453</v>
      </c>
      <c r="O2648" s="149">
        <f t="shared" ca="1" si="94"/>
        <v>1.000173611111111</v>
      </c>
    </row>
    <row r="2649" spans="12:15" x14ac:dyDescent="0.25">
      <c r="L2649" s="147">
        <f ca="1"/>
        <v>47888</v>
      </c>
      <c r="M2649" s="92">
        <f t="shared" ca="1" si="93"/>
        <v>6.25</v>
      </c>
      <c r="N2649" s="143">
        <f ca="1">(PRODUCT($O$5:$O2649)-1)*36000/_xlfn.DAYS(L2649, $C$2)</f>
        <v>9.4280913772361767</v>
      </c>
      <c r="O2649" s="149">
        <f t="shared" ca="1" si="94"/>
        <v>1.000173611111111</v>
      </c>
    </row>
    <row r="2650" spans="12:15" x14ac:dyDescent="0.25">
      <c r="L2650" s="147">
        <f ca="1"/>
        <v>47889</v>
      </c>
      <c r="M2650" s="92">
        <f t="shared" ca="1" si="93"/>
        <v>6.25</v>
      </c>
      <c r="N2650" s="143">
        <f ca="1">(PRODUCT($O$5:$O2650)-1)*36000/_xlfn.DAYS(L2650, $C$2)</f>
        <v>9.4285264873184733</v>
      </c>
      <c r="O2650" s="149">
        <f t="shared" ca="1" si="94"/>
        <v>1.000173611111111</v>
      </c>
    </row>
    <row r="2651" spans="12:15" x14ac:dyDescent="0.25">
      <c r="L2651" s="147">
        <f ca="1"/>
        <v>47890</v>
      </c>
      <c r="M2651" s="92">
        <f t="shared" ca="1" si="93"/>
        <v>6.25</v>
      </c>
      <c r="N2651" s="143">
        <f ca="1">(PRODUCT($O$5:$O2651)-1)*36000/_xlfn.DAYS(L2651, $C$2)</f>
        <v>9.4289619625235286</v>
      </c>
      <c r="O2651" s="149">
        <f t="shared" ca="1" si="94"/>
        <v>1.000173611111111</v>
      </c>
    </row>
    <row r="2652" spans="12:15" x14ac:dyDescent="0.25">
      <c r="L2652" s="147">
        <f ca="1"/>
        <v>47891</v>
      </c>
      <c r="M2652" s="92">
        <f t="shared" ca="1" si="93"/>
        <v>6.25</v>
      </c>
      <c r="N2652" s="143">
        <f ca="1">(PRODUCT($O$5:$O2652)-1)*36000/_xlfn.DAYS(L2652, $C$2)</f>
        <v>9.4293978025581104</v>
      </c>
      <c r="O2652" s="149">
        <f t="shared" ca="1" si="94"/>
        <v>1.000173611111111</v>
      </c>
    </row>
    <row r="2653" spans="12:15" x14ac:dyDescent="0.25">
      <c r="L2653" s="147">
        <f ca="1"/>
        <v>47892</v>
      </c>
      <c r="M2653" s="92">
        <f t="shared" ca="1" si="93"/>
        <v>6.25</v>
      </c>
      <c r="N2653" s="143">
        <f ca="1">(PRODUCT($O$5:$O2653)-1)*36000/_xlfn.DAYS(L2653, $C$2)</f>
        <v>9.429834007129438</v>
      </c>
      <c r="O2653" s="149">
        <f t="shared" ca="1" si="94"/>
        <v>1.000173611111111</v>
      </c>
    </row>
    <row r="2654" spans="12:15" x14ac:dyDescent="0.25">
      <c r="L2654" s="147">
        <f ca="1"/>
        <v>47893</v>
      </c>
      <c r="M2654" s="92">
        <f t="shared" ca="1" si="93"/>
        <v>6.25</v>
      </c>
      <c r="N2654" s="143">
        <f ca="1">(PRODUCT($O$5:$O2654)-1)*36000/_xlfn.DAYS(L2654, $C$2)</f>
        <v>9.430270575945201</v>
      </c>
      <c r="O2654" s="149">
        <f t="shared" ca="1" si="94"/>
        <v>1.000173611111111</v>
      </c>
    </row>
    <row r="2655" spans="12:15" x14ac:dyDescent="0.25">
      <c r="L2655" s="147">
        <f ca="1"/>
        <v>47894</v>
      </c>
      <c r="M2655" s="92">
        <f t="shared" ca="1" si="93"/>
        <v>6.25</v>
      </c>
      <c r="N2655" s="143">
        <f ca="1">(PRODUCT($O$5:$O2655)-1)*36000/_xlfn.DAYS(L2655, $C$2)</f>
        <v>9.4307075087135477</v>
      </c>
      <c r="O2655" s="149">
        <f t="shared" ca="1" si="94"/>
        <v>1.000173611111111</v>
      </c>
    </row>
    <row r="2656" spans="12:15" x14ac:dyDescent="0.25">
      <c r="L2656" s="147">
        <f ca="1"/>
        <v>47895</v>
      </c>
      <c r="M2656" s="92">
        <f t="shared" ca="1" si="93"/>
        <v>6.25</v>
      </c>
      <c r="N2656" s="143">
        <f ca="1">(PRODUCT($O$5:$O2656)-1)*36000/_xlfn.DAYS(L2656, $C$2)</f>
        <v>9.4311448051430862</v>
      </c>
      <c r="O2656" s="149">
        <f t="shared" ca="1" si="94"/>
        <v>1.000173611111111</v>
      </c>
    </row>
    <row r="2657" spans="12:15" x14ac:dyDescent="0.25">
      <c r="L2657" s="147">
        <f ca="1"/>
        <v>47896</v>
      </c>
      <c r="M2657" s="92">
        <f t="shared" ca="1" si="93"/>
        <v>6.25</v>
      </c>
      <c r="N2657" s="143">
        <f ca="1">(PRODUCT($O$5:$O2657)-1)*36000/_xlfn.DAYS(L2657, $C$2)</f>
        <v>9.4315824649428937</v>
      </c>
      <c r="O2657" s="149">
        <f t="shared" ca="1" si="94"/>
        <v>1.000173611111111</v>
      </c>
    </row>
    <row r="2658" spans="12:15" x14ac:dyDescent="0.25">
      <c r="L2658" s="147">
        <f ca="1"/>
        <v>47897</v>
      </c>
      <c r="M2658" s="92">
        <f t="shared" ca="1" si="93"/>
        <v>6.25</v>
      </c>
      <c r="N2658" s="143">
        <f ca="1">(PRODUCT($O$5:$O2658)-1)*36000/_xlfn.DAYS(L2658, $C$2)</f>
        <v>9.4320204878224949</v>
      </c>
      <c r="O2658" s="149">
        <f t="shared" ca="1" si="94"/>
        <v>1.000173611111111</v>
      </c>
    </row>
    <row r="2659" spans="12:15" x14ac:dyDescent="0.25">
      <c r="L2659" s="147">
        <f ca="1"/>
        <v>47898</v>
      </c>
      <c r="M2659" s="92">
        <f t="shared" ca="1" si="93"/>
        <v>6.25</v>
      </c>
      <c r="N2659" s="143">
        <f ca="1">(PRODUCT($O$5:$O2659)-1)*36000/_xlfn.DAYS(L2659, $C$2)</f>
        <v>9.4324588734918837</v>
      </c>
      <c r="O2659" s="149">
        <f t="shared" ca="1" si="94"/>
        <v>1.000173611111111</v>
      </c>
    </row>
    <row r="2660" spans="12:15" x14ac:dyDescent="0.25">
      <c r="L2660" s="147">
        <f ca="1"/>
        <v>47899</v>
      </c>
      <c r="M2660" s="92">
        <f t="shared" ca="1" si="93"/>
        <v>6.25</v>
      </c>
      <c r="N2660" s="143">
        <f ca="1">(PRODUCT($O$5:$O2660)-1)*36000/_xlfn.DAYS(L2660, $C$2)</f>
        <v>9.4328976216614997</v>
      </c>
      <c r="O2660" s="149">
        <f t="shared" ca="1" si="94"/>
        <v>1.000173611111111</v>
      </c>
    </row>
    <row r="2661" spans="12:15" x14ac:dyDescent="0.25">
      <c r="L2661" s="147">
        <f ca="1"/>
        <v>47900</v>
      </c>
      <c r="M2661" s="92">
        <f t="shared" ca="1" si="93"/>
        <v>6.25</v>
      </c>
      <c r="N2661" s="143">
        <f ca="1">(PRODUCT($O$5:$O2661)-1)*36000/_xlfn.DAYS(L2661, $C$2)</f>
        <v>9.4333367320422497</v>
      </c>
      <c r="O2661" s="149">
        <f t="shared" ca="1" si="94"/>
        <v>1.000173611111111</v>
      </c>
    </row>
    <row r="2662" spans="12:15" x14ac:dyDescent="0.25">
      <c r="L2662" s="147">
        <f ca="1"/>
        <v>47901</v>
      </c>
      <c r="M2662" s="92">
        <f t="shared" ca="1" si="93"/>
        <v>6.25</v>
      </c>
      <c r="N2662" s="143">
        <f ca="1">(PRODUCT($O$5:$O2662)-1)*36000/_xlfn.DAYS(L2662, $C$2)</f>
        <v>9.4337762043454951</v>
      </c>
      <c r="O2662" s="149">
        <f t="shared" ca="1" si="94"/>
        <v>1.000173611111111</v>
      </c>
    </row>
    <row r="2663" spans="12:15" x14ac:dyDescent="0.25">
      <c r="L2663" s="147">
        <f ca="1"/>
        <v>47902</v>
      </c>
      <c r="M2663" s="92">
        <f t="shared" ca="1" si="93"/>
        <v>6.25</v>
      </c>
      <c r="N2663" s="143">
        <f ca="1">(PRODUCT($O$5:$O2663)-1)*36000/_xlfn.DAYS(L2663, $C$2)</f>
        <v>9.4342160382830453</v>
      </c>
      <c r="O2663" s="149">
        <f t="shared" ca="1" si="94"/>
        <v>1.000173611111111</v>
      </c>
    </row>
    <row r="2664" spans="12:15" x14ac:dyDescent="0.25">
      <c r="L2664" s="147">
        <f ca="1"/>
        <v>47903</v>
      </c>
      <c r="M2664" s="92">
        <f t="shared" ca="1" si="93"/>
        <v>6.25</v>
      </c>
      <c r="N2664" s="143">
        <f ca="1">(PRODUCT($O$5:$O2664)-1)*36000/_xlfn.DAYS(L2664, $C$2)</f>
        <v>9.4346562335671713</v>
      </c>
      <c r="O2664" s="149">
        <f t="shared" ca="1" si="94"/>
        <v>1.000173611111111</v>
      </c>
    </row>
    <row r="2665" spans="12:15" x14ac:dyDescent="0.25">
      <c r="L2665" s="147">
        <f ca="1"/>
        <v>47904</v>
      </c>
      <c r="M2665" s="92">
        <f t="shared" ca="1" si="93"/>
        <v>6.25</v>
      </c>
      <c r="N2665" s="143">
        <f ca="1">(PRODUCT($O$5:$O2665)-1)*36000/_xlfn.DAYS(L2665, $C$2)</f>
        <v>9.4350967899105935</v>
      </c>
      <c r="O2665" s="149">
        <f t="shared" ca="1" si="94"/>
        <v>1.000173611111111</v>
      </c>
    </row>
    <row r="2666" spans="12:15" x14ac:dyDescent="0.25">
      <c r="L2666" s="147">
        <f ca="1"/>
        <v>47905</v>
      </c>
      <c r="M2666" s="92">
        <f t="shared" ca="1" si="93"/>
        <v>6.25</v>
      </c>
      <c r="N2666" s="143">
        <f ca="1">(PRODUCT($O$5:$O2666)-1)*36000/_xlfn.DAYS(L2666, $C$2)</f>
        <v>9.4355377070264854</v>
      </c>
      <c r="O2666" s="149">
        <f t="shared" ca="1" si="94"/>
        <v>1.000173611111111</v>
      </c>
    </row>
    <row r="2667" spans="12:15" x14ac:dyDescent="0.25">
      <c r="L2667" s="147">
        <f ca="1"/>
        <v>47906</v>
      </c>
      <c r="M2667" s="92">
        <f t="shared" ca="1" si="93"/>
        <v>6.25</v>
      </c>
      <c r="N2667" s="143">
        <f ca="1">(PRODUCT($O$5:$O2667)-1)*36000/_xlfn.DAYS(L2667, $C$2)</f>
        <v>9.4359789846284752</v>
      </c>
      <c r="O2667" s="149">
        <f t="shared" ca="1" si="94"/>
        <v>1.000173611111111</v>
      </c>
    </row>
    <row r="2668" spans="12:15" x14ac:dyDescent="0.25">
      <c r="L2668" s="147">
        <f ca="1"/>
        <v>47907</v>
      </c>
      <c r="M2668" s="92">
        <f t="shared" ca="1" si="93"/>
        <v>6.25</v>
      </c>
      <c r="N2668" s="143">
        <f ca="1">(PRODUCT($O$5:$O2668)-1)*36000/_xlfn.DAYS(L2668, $C$2)</f>
        <v>9.4364206224306404</v>
      </c>
      <c r="O2668" s="149">
        <f t="shared" ca="1" si="94"/>
        <v>1.000173611111111</v>
      </c>
    </row>
    <row r="2669" spans="12:15" x14ac:dyDescent="0.25">
      <c r="L2669" s="147">
        <f ca="1"/>
        <v>47908</v>
      </c>
      <c r="M2669" s="92">
        <f t="shared" ca="1" si="93"/>
        <v>6.25</v>
      </c>
      <c r="N2669" s="143">
        <f ca="1">(PRODUCT($O$5:$O2669)-1)*36000/_xlfn.DAYS(L2669, $C$2)</f>
        <v>9.436862620147501</v>
      </c>
      <c r="O2669" s="149">
        <f t="shared" ca="1" si="94"/>
        <v>1.000173611111111</v>
      </c>
    </row>
    <row r="2670" spans="12:15" x14ac:dyDescent="0.25">
      <c r="L2670" s="147">
        <f ca="1"/>
        <v>47909</v>
      </c>
      <c r="M2670" s="92">
        <f t="shared" ca="1" si="93"/>
        <v>6.25</v>
      </c>
      <c r="N2670" s="143">
        <f ca="1">(PRODUCT($O$5:$O2670)-1)*36000/_xlfn.DAYS(L2670, $C$2)</f>
        <v>9.4373049774940405</v>
      </c>
      <c r="O2670" s="149">
        <f t="shared" ca="1" si="94"/>
        <v>1.000173611111111</v>
      </c>
    </row>
    <row r="2671" spans="12:15" x14ac:dyDescent="0.25">
      <c r="L2671" s="147">
        <f ca="1"/>
        <v>47910</v>
      </c>
      <c r="M2671" s="92">
        <f t="shared" ca="1" si="93"/>
        <v>6.25</v>
      </c>
      <c r="N2671" s="143">
        <f ca="1">(PRODUCT($O$5:$O2671)-1)*36000/_xlfn.DAYS(L2671, $C$2)</f>
        <v>9.4377476941856795</v>
      </c>
      <c r="O2671" s="149">
        <f t="shared" ca="1" si="94"/>
        <v>1.000173611111111</v>
      </c>
    </row>
    <row r="2672" spans="12:15" x14ac:dyDescent="0.25">
      <c r="L2672" s="147">
        <f ca="1"/>
        <v>47911</v>
      </c>
      <c r="M2672" s="92">
        <f t="shared" ca="1" si="93"/>
        <v>6.25</v>
      </c>
      <c r="N2672" s="143">
        <f ca="1">(PRODUCT($O$5:$O2672)-1)*36000/_xlfn.DAYS(L2672, $C$2)</f>
        <v>9.4381907699382879</v>
      </c>
      <c r="O2672" s="149">
        <f t="shared" ca="1" si="94"/>
        <v>1.000173611111111</v>
      </c>
    </row>
    <row r="2673" spans="12:15" x14ac:dyDescent="0.25">
      <c r="L2673" s="147">
        <f ca="1"/>
        <v>47912</v>
      </c>
      <c r="M2673" s="92">
        <f t="shared" ca="1" si="93"/>
        <v>6.25</v>
      </c>
      <c r="N2673" s="143">
        <f ca="1">(PRODUCT($O$5:$O2673)-1)*36000/_xlfn.DAYS(L2673, $C$2)</f>
        <v>9.4386342044681868</v>
      </c>
      <c r="O2673" s="149">
        <f t="shared" ca="1" si="94"/>
        <v>1.000173611111111</v>
      </c>
    </row>
    <row r="2674" spans="12:15" x14ac:dyDescent="0.25">
      <c r="L2674" s="147">
        <f ca="1"/>
        <v>47913</v>
      </c>
      <c r="M2674" s="92">
        <f t="shared" ca="1" si="93"/>
        <v>6.25</v>
      </c>
      <c r="N2674" s="143">
        <f ca="1">(PRODUCT($O$5:$O2674)-1)*36000/_xlfn.DAYS(L2674, $C$2)</f>
        <v>9.4390779974921379</v>
      </c>
      <c r="O2674" s="149">
        <f t="shared" ca="1" si="94"/>
        <v>1.000173611111111</v>
      </c>
    </row>
    <row r="2675" spans="12:15" x14ac:dyDescent="0.25">
      <c r="L2675" s="147">
        <f ca="1"/>
        <v>47914</v>
      </c>
      <c r="M2675" s="92">
        <f t="shared" ca="1" si="93"/>
        <v>6.25</v>
      </c>
      <c r="N2675" s="143">
        <f ca="1">(PRODUCT($O$5:$O2675)-1)*36000/_xlfn.DAYS(L2675, $C$2)</f>
        <v>9.4395221487273542</v>
      </c>
      <c r="O2675" s="149">
        <f t="shared" ca="1" si="94"/>
        <v>1.000173611111111</v>
      </c>
    </row>
    <row r="2676" spans="12:15" x14ac:dyDescent="0.25">
      <c r="L2676" s="147">
        <f ca="1"/>
        <v>47915</v>
      </c>
      <c r="M2676" s="92">
        <f t="shared" ca="1" si="93"/>
        <v>6.25</v>
      </c>
      <c r="N2676" s="143">
        <f ca="1">(PRODUCT($O$5:$O2676)-1)*36000/_xlfn.DAYS(L2676, $C$2)</f>
        <v>9.4399666578914836</v>
      </c>
      <c r="O2676" s="149">
        <f t="shared" ca="1" si="94"/>
        <v>1.000173611111111</v>
      </c>
    </row>
    <row r="2677" spans="12:15" x14ac:dyDescent="0.25">
      <c r="L2677" s="147">
        <f ca="1"/>
        <v>47916</v>
      </c>
      <c r="M2677" s="92">
        <f t="shared" ca="1" si="93"/>
        <v>6.25</v>
      </c>
      <c r="N2677" s="143">
        <f ca="1">(PRODUCT($O$5:$O2677)-1)*36000/_xlfn.DAYS(L2677, $C$2)</f>
        <v>9.4404115247026255</v>
      </c>
      <c r="O2677" s="149">
        <f t="shared" ca="1" si="94"/>
        <v>1.000173611111111</v>
      </c>
    </row>
    <row r="2678" spans="12:15" x14ac:dyDescent="0.25">
      <c r="L2678" s="147">
        <f ca="1"/>
        <v>47917</v>
      </c>
      <c r="M2678" s="92">
        <f t="shared" ca="1" si="93"/>
        <v>6.25</v>
      </c>
      <c r="N2678" s="143">
        <f ca="1">(PRODUCT($O$5:$O2678)-1)*36000/_xlfn.DAYS(L2678, $C$2)</f>
        <v>9.4408567488793196</v>
      </c>
      <c r="O2678" s="149">
        <f t="shared" ca="1" si="94"/>
        <v>1.000173611111111</v>
      </c>
    </row>
    <row r="2679" spans="12:15" x14ac:dyDescent="0.25">
      <c r="L2679" s="147">
        <f ca="1"/>
        <v>47918</v>
      </c>
      <c r="M2679" s="92">
        <f t="shared" ca="1" si="93"/>
        <v>6.25</v>
      </c>
      <c r="N2679" s="143">
        <f ca="1">(PRODUCT($O$5:$O2679)-1)*36000/_xlfn.DAYS(L2679, $C$2)</f>
        <v>9.4413023301405445</v>
      </c>
      <c r="O2679" s="149">
        <f t="shared" ca="1" si="94"/>
        <v>1.000173611111111</v>
      </c>
    </row>
    <row r="2680" spans="12:15" x14ac:dyDescent="0.25">
      <c r="L2680" s="147">
        <f ca="1"/>
        <v>47919</v>
      </c>
      <c r="M2680" s="92">
        <f t="shared" ca="1" si="93"/>
        <v>6.25</v>
      </c>
      <c r="N2680" s="143">
        <f ca="1">(PRODUCT($O$5:$O2680)-1)*36000/_xlfn.DAYS(L2680, $C$2)</f>
        <v>9.4417482682057194</v>
      </c>
      <c r="O2680" s="149">
        <f t="shared" ca="1" si="94"/>
        <v>1.000173611111111</v>
      </c>
    </row>
    <row r="2681" spans="12:15" x14ac:dyDescent="0.25">
      <c r="L2681" s="147">
        <f ca="1"/>
        <v>47920</v>
      </c>
      <c r="M2681" s="92">
        <f t="shared" ca="1" si="93"/>
        <v>6.25</v>
      </c>
      <c r="N2681" s="143">
        <f ca="1">(PRODUCT($O$5:$O2681)-1)*36000/_xlfn.DAYS(L2681, $C$2)</f>
        <v>9.442194562794711</v>
      </c>
      <c r="O2681" s="149">
        <f t="shared" ca="1" si="94"/>
        <v>1.000173611111111</v>
      </c>
    </row>
    <row r="2682" spans="12:15" x14ac:dyDescent="0.25">
      <c r="L2682" s="147">
        <f ca="1"/>
        <v>47921</v>
      </c>
      <c r="M2682" s="92">
        <f t="shared" ca="1" si="93"/>
        <v>6.25</v>
      </c>
      <c r="N2682" s="143">
        <f ca="1">(PRODUCT($O$5:$O2682)-1)*36000/_xlfn.DAYS(L2682, $C$2)</f>
        <v>9.4426412136278159</v>
      </c>
      <c r="O2682" s="149">
        <f t="shared" ca="1" si="94"/>
        <v>1.000173611111111</v>
      </c>
    </row>
    <row r="2683" spans="12:15" x14ac:dyDescent="0.25">
      <c r="L2683" s="147">
        <f ca="1"/>
        <v>47922</v>
      </c>
      <c r="M2683" s="92">
        <f t="shared" ca="1" si="93"/>
        <v>6.25</v>
      </c>
      <c r="N2683" s="143">
        <f ca="1">(PRODUCT($O$5:$O2683)-1)*36000/_xlfn.DAYS(L2683, $C$2)</f>
        <v>9.4430882204257731</v>
      </c>
      <c r="O2683" s="149">
        <f t="shared" ca="1" si="94"/>
        <v>1.000173611111111</v>
      </c>
    </row>
    <row r="2684" spans="12:15" x14ac:dyDescent="0.25">
      <c r="L2684" s="147">
        <f ca="1"/>
        <v>47923</v>
      </c>
      <c r="M2684" s="92">
        <f t="shared" ca="1" si="93"/>
        <v>6.25</v>
      </c>
      <c r="N2684" s="143">
        <f ca="1">(PRODUCT($O$5:$O2684)-1)*36000/_xlfn.DAYS(L2684, $C$2)</f>
        <v>9.4435355829097656</v>
      </c>
      <c r="O2684" s="149">
        <f t="shared" ca="1" si="94"/>
        <v>1.000173611111111</v>
      </c>
    </row>
    <row r="2685" spans="12:15" x14ac:dyDescent="0.25">
      <c r="L2685" s="147">
        <f ca="1"/>
        <v>47924</v>
      </c>
      <c r="M2685" s="92">
        <f t="shared" ca="1" si="93"/>
        <v>6.25</v>
      </c>
      <c r="N2685" s="143">
        <f ca="1">(PRODUCT($O$5:$O2685)-1)*36000/_xlfn.DAYS(L2685, $C$2)</f>
        <v>9.4439833008013956</v>
      </c>
      <c r="O2685" s="149">
        <f t="shared" ca="1" si="94"/>
        <v>1.000173611111111</v>
      </c>
    </row>
    <row r="2686" spans="12:15" x14ac:dyDescent="0.25">
      <c r="L2686" s="147">
        <f ca="1"/>
        <v>47925</v>
      </c>
      <c r="M2686" s="92">
        <f t="shared" ca="1" si="93"/>
        <v>6.25</v>
      </c>
      <c r="N2686" s="143">
        <f ca="1">(PRODUCT($O$5:$O2686)-1)*36000/_xlfn.DAYS(L2686, $C$2)</f>
        <v>9.4444313738227219</v>
      </c>
      <c r="O2686" s="149">
        <f t="shared" ca="1" si="94"/>
        <v>1.000173611111111</v>
      </c>
    </row>
    <row r="2687" spans="12:15" x14ac:dyDescent="0.25">
      <c r="L2687" s="147">
        <f ca="1"/>
        <v>47926</v>
      </c>
      <c r="M2687" s="92">
        <f t="shared" ca="1" si="93"/>
        <v>6.25</v>
      </c>
      <c r="N2687" s="143">
        <f ca="1">(PRODUCT($O$5:$O2687)-1)*36000/_xlfn.DAYS(L2687, $C$2)</f>
        <v>9.4448798016962261</v>
      </c>
      <c r="O2687" s="149">
        <f t="shared" ca="1" si="94"/>
        <v>1.000173611111111</v>
      </c>
    </row>
    <row r="2688" spans="12:15" x14ac:dyDescent="0.25">
      <c r="L2688" s="147">
        <f ca="1"/>
        <v>47927</v>
      </c>
      <c r="M2688" s="92">
        <f t="shared" ca="1" si="93"/>
        <v>6.25</v>
      </c>
      <c r="N2688" s="143">
        <f ca="1">(PRODUCT($O$5:$O2688)-1)*36000/_xlfn.DAYS(L2688, $C$2)</f>
        <v>9.4453285841448231</v>
      </c>
      <c r="O2688" s="149">
        <f t="shared" ca="1" si="94"/>
        <v>1.000173611111111</v>
      </c>
    </row>
    <row r="2689" spans="12:15" x14ac:dyDescent="0.25">
      <c r="L2689" s="147">
        <f ca="1"/>
        <v>47928</v>
      </c>
      <c r="M2689" s="92">
        <f t="shared" ca="1" si="93"/>
        <v>6.25</v>
      </c>
      <c r="N2689" s="143">
        <f ca="1">(PRODUCT($O$5:$O2689)-1)*36000/_xlfn.DAYS(L2689, $C$2)</f>
        <v>9.4457777208918721</v>
      </c>
      <c r="O2689" s="149">
        <f t="shared" ca="1" si="94"/>
        <v>1.000173611111111</v>
      </c>
    </row>
    <row r="2690" spans="12:15" x14ac:dyDescent="0.25">
      <c r="L2690" s="147">
        <f ca="1"/>
        <v>47929</v>
      </c>
      <c r="M2690" s="92">
        <f t="shared" ca="1" si="93"/>
        <v>6.25</v>
      </c>
      <c r="N2690" s="143">
        <f ca="1">(PRODUCT($O$5:$O2690)-1)*36000/_xlfn.DAYS(L2690, $C$2)</f>
        <v>9.446227211661153</v>
      </c>
      <c r="O2690" s="149">
        <f t="shared" ca="1" si="94"/>
        <v>1.000173611111111</v>
      </c>
    </row>
    <row r="2691" spans="12:15" x14ac:dyDescent="0.25">
      <c r="L2691" s="147">
        <f ca="1"/>
        <v>47930</v>
      </c>
      <c r="M2691" s="92">
        <f t="shared" ca="1" si="93"/>
        <v>6.25</v>
      </c>
      <c r="N2691" s="143">
        <f ca="1">(PRODUCT($O$5:$O2691)-1)*36000/_xlfn.DAYS(L2691, $C$2)</f>
        <v>9.4466770561768847</v>
      </c>
      <c r="O2691" s="149">
        <f t="shared" ca="1" si="94"/>
        <v>1.000173611111111</v>
      </c>
    </row>
    <row r="2692" spans="12:15" x14ac:dyDescent="0.25">
      <c r="L2692" s="147">
        <f ca="1"/>
        <v>47931</v>
      </c>
      <c r="M2692" s="92">
        <f t="shared" ca="1" si="93"/>
        <v>6.25</v>
      </c>
      <c r="N2692" s="143">
        <f ca="1">(PRODUCT($O$5:$O2692)-1)*36000/_xlfn.DAYS(L2692, $C$2)</f>
        <v>9.4471272541637141</v>
      </c>
      <c r="O2692" s="149">
        <f t="shared" ca="1" si="94"/>
        <v>1.000173611111111</v>
      </c>
    </row>
    <row r="2693" spans="12:15" x14ac:dyDescent="0.25">
      <c r="L2693" s="147">
        <f ca="1"/>
        <v>47932</v>
      </c>
      <c r="M2693" s="92">
        <f t="shared" ref="M2693:M2756" ca="1" si="95">IFERROR(INDEX($E$27:$H$47, MATCH(L2693, $F$27:$F$47, 0), 4), IF(ISNUMBER(M2692), M2692, $C$5))</f>
        <v>6.25</v>
      </c>
      <c r="N2693" s="143">
        <f ca="1">(PRODUCT($O$5:$O2693)-1)*36000/_xlfn.DAYS(L2693, $C$2)</f>
        <v>9.4475778053467252</v>
      </c>
      <c r="O2693" s="149">
        <f t="shared" ca="1" si="94"/>
        <v>1.000173611111111</v>
      </c>
    </row>
    <row r="2694" spans="12:15" x14ac:dyDescent="0.25">
      <c r="L2694" s="147">
        <f ca="1"/>
        <v>47933</v>
      </c>
      <c r="M2694" s="92">
        <f t="shared" ca="1" si="95"/>
        <v>6.25</v>
      </c>
      <c r="N2694" s="143">
        <f ca="1">(PRODUCT($O$5:$O2694)-1)*36000/_xlfn.DAYS(L2694, $C$2)</f>
        <v>9.4480287094514175</v>
      </c>
      <c r="O2694" s="149">
        <f t="shared" ref="O2694:O2757" ca="1" si="96">1+M2694*IFERROR(_xlfn.DAYS(L2694, L2693), _xlfn.DAYS(L2694, $C$2))/36000</f>
        <v>1.000173611111111</v>
      </c>
    </row>
    <row r="2695" spans="12:15" x14ac:dyDescent="0.25">
      <c r="L2695" s="147">
        <f ca="1"/>
        <v>47934</v>
      </c>
      <c r="M2695" s="92">
        <f t="shared" ca="1" si="95"/>
        <v>6.25</v>
      </c>
      <c r="N2695" s="143">
        <f ca="1">(PRODUCT($O$5:$O2695)-1)*36000/_xlfn.DAYS(L2695, $C$2)</f>
        <v>9.4484799662037311</v>
      </c>
      <c r="O2695" s="149">
        <f t="shared" ca="1" si="96"/>
        <v>1.000173611111111</v>
      </c>
    </row>
    <row r="2696" spans="12:15" x14ac:dyDescent="0.25">
      <c r="L2696" s="147">
        <f ca="1"/>
        <v>47935</v>
      </c>
      <c r="M2696" s="92">
        <f t="shared" ca="1" si="95"/>
        <v>6.25</v>
      </c>
      <c r="N2696" s="143">
        <f ca="1">(PRODUCT($O$5:$O2696)-1)*36000/_xlfn.DAYS(L2696, $C$2)</f>
        <v>9.4489315753300342</v>
      </c>
      <c r="O2696" s="149">
        <f t="shared" ca="1" si="96"/>
        <v>1.000173611111111</v>
      </c>
    </row>
    <row r="2697" spans="12:15" x14ac:dyDescent="0.25">
      <c r="L2697" s="147">
        <f ca="1"/>
        <v>47936</v>
      </c>
      <c r="M2697" s="92">
        <f t="shared" ca="1" si="95"/>
        <v>6.25</v>
      </c>
      <c r="N2697" s="143">
        <f ca="1">(PRODUCT($O$5:$O2697)-1)*36000/_xlfn.DAYS(L2697, $C$2)</f>
        <v>9.4493835365571108</v>
      </c>
      <c r="O2697" s="149">
        <f t="shared" ca="1" si="96"/>
        <v>1.000173611111111</v>
      </c>
    </row>
    <row r="2698" spans="12:15" x14ac:dyDescent="0.25">
      <c r="L2698" s="147">
        <f ca="1"/>
        <v>47937</v>
      </c>
      <c r="M2698" s="92">
        <f t="shared" ca="1" si="95"/>
        <v>6.25</v>
      </c>
      <c r="N2698" s="143">
        <f ca="1">(PRODUCT($O$5:$O2698)-1)*36000/_xlfn.DAYS(L2698, $C$2)</f>
        <v>9.4498358496121853</v>
      </c>
      <c r="O2698" s="149">
        <f t="shared" ca="1" si="96"/>
        <v>1.000173611111111</v>
      </c>
    </row>
    <row r="2699" spans="12:15" x14ac:dyDescent="0.25">
      <c r="L2699" s="147">
        <f ca="1"/>
        <v>47938</v>
      </c>
      <c r="M2699" s="92">
        <f t="shared" ca="1" si="95"/>
        <v>6.25</v>
      </c>
      <c r="N2699" s="143">
        <f ca="1">(PRODUCT($O$5:$O2699)-1)*36000/_xlfn.DAYS(L2699, $C$2)</f>
        <v>9.4502885142229012</v>
      </c>
      <c r="O2699" s="149">
        <f t="shared" ca="1" si="96"/>
        <v>1.000173611111111</v>
      </c>
    </row>
    <row r="2700" spans="12:15" x14ac:dyDescent="0.25">
      <c r="L2700" s="147">
        <f ca="1"/>
        <v>47939</v>
      </c>
      <c r="M2700" s="92">
        <f t="shared" ca="1" si="95"/>
        <v>6.25</v>
      </c>
      <c r="N2700" s="143">
        <f ca="1">(PRODUCT($O$5:$O2700)-1)*36000/_xlfn.DAYS(L2700, $C$2)</f>
        <v>9.450741530117325</v>
      </c>
      <c r="O2700" s="149">
        <f t="shared" ca="1" si="96"/>
        <v>1.000173611111111</v>
      </c>
    </row>
    <row r="2701" spans="12:15" x14ac:dyDescent="0.25">
      <c r="L2701" s="147">
        <f ca="1"/>
        <v>47940</v>
      </c>
      <c r="M2701" s="92">
        <f t="shared" ca="1" si="95"/>
        <v>6.25</v>
      </c>
      <c r="N2701" s="143">
        <f ca="1">(PRODUCT($O$5:$O2701)-1)*36000/_xlfn.DAYS(L2701, $C$2)</f>
        <v>9.4511948970239494</v>
      </c>
      <c r="O2701" s="149">
        <f t="shared" ca="1" si="96"/>
        <v>1.000173611111111</v>
      </c>
    </row>
    <row r="2702" spans="12:15" x14ac:dyDescent="0.25">
      <c r="L2702" s="147">
        <f ca="1"/>
        <v>47941</v>
      </c>
      <c r="M2702" s="92">
        <f t="shared" ca="1" si="95"/>
        <v>6.25</v>
      </c>
      <c r="N2702" s="143">
        <f ca="1">(PRODUCT($O$5:$O2702)-1)*36000/_xlfn.DAYS(L2702, $C$2)</f>
        <v>9.4516486146716918</v>
      </c>
      <c r="O2702" s="149">
        <f t="shared" ca="1" si="96"/>
        <v>1.000173611111111</v>
      </c>
    </row>
    <row r="2703" spans="12:15" x14ac:dyDescent="0.25">
      <c r="L2703" s="147">
        <f ca="1"/>
        <v>47942</v>
      </c>
      <c r="M2703" s="92">
        <f t="shared" ca="1" si="95"/>
        <v>6.25</v>
      </c>
      <c r="N2703" s="143">
        <f ca="1">(PRODUCT($O$5:$O2703)-1)*36000/_xlfn.DAYS(L2703, $C$2)</f>
        <v>9.4521026827898904</v>
      </c>
      <c r="O2703" s="149">
        <f t="shared" ca="1" si="96"/>
        <v>1.000173611111111</v>
      </c>
    </row>
    <row r="2704" spans="12:15" x14ac:dyDescent="0.25">
      <c r="L2704" s="147">
        <f ca="1"/>
        <v>47943</v>
      </c>
      <c r="M2704" s="92">
        <f t="shared" ca="1" si="95"/>
        <v>6.25</v>
      </c>
      <c r="N2704" s="143">
        <f ca="1">(PRODUCT($O$5:$O2704)-1)*36000/_xlfn.DAYS(L2704, $C$2)</f>
        <v>9.4525571011083009</v>
      </c>
      <c r="O2704" s="149">
        <f t="shared" ca="1" si="96"/>
        <v>1.000173611111111</v>
      </c>
    </row>
    <row r="2705" spans="12:15" x14ac:dyDescent="0.25">
      <c r="L2705" s="147">
        <f ca="1"/>
        <v>47944</v>
      </c>
      <c r="M2705" s="92">
        <f t="shared" ca="1" si="95"/>
        <v>6.25</v>
      </c>
      <c r="N2705" s="143">
        <f ca="1">(PRODUCT($O$5:$O2705)-1)*36000/_xlfn.DAYS(L2705, $C$2)</f>
        <v>9.4530118693571108</v>
      </c>
      <c r="O2705" s="149">
        <f t="shared" ca="1" si="96"/>
        <v>1.000173611111111</v>
      </c>
    </row>
    <row r="2706" spans="12:15" x14ac:dyDescent="0.25">
      <c r="L2706" s="147">
        <f ca="1"/>
        <v>47945</v>
      </c>
      <c r="M2706" s="92">
        <f t="shared" ca="1" si="95"/>
        <v>6.25</v>
      </c>
      <c r="N2706" s="143">
        <f ca="1">(PRODUCT($O$5:$O2706)-1)*36000/_xlfn.DAYS(L2706, $C$2)</f>
        <v>9.4534669872669141</v>
      </c>
      <c r="O2706" s="149">
        <f t="shared" ca="1" si="96"/>
        <v>1.000173611111111</v>
      </c>
    </row>
    <row r="2707" spans="12:15" x14ac:dyDescent="0.25">
      <c r="L2707" s="147">
        <f ca="1"/>
        <v>47946</v>
      </c>
      <c r="M2707" s="92">
        <f t="shared" ca="1" si="95"/>
        <v>6.25</v>
      </c>
      <c r="N2707" s="143">
        <f ca="1">(PRODUCT($O$5:$O2707)-1)*36000/_xlfn.DAYS(L2707, $C$2)</f>
        <v>9.453922454568735</v>
      </c>
      <c r="O2707" s="149">
        <f t="shared" ca="1" si="96"/>
        <v>1.000173611111111</v>
      </c>
    </row>
    <row r="2708" spans="12:15" x14ac:dyDescent="0.25">
      <c r="L2708" s="147">
        <f ca="1"/>
        <v>47947</v>
      </c>
      <c r="M2708" s="92">
        <f t="shared" ca="1" si="95"/>
        <v>6.25</v>
      </c>
      <c r="N2708" s="143">
        <f ca="1">(PRODUCT($O$5:$O2708)-1)*36000/_xlfn.DAYS(L2708, $C$2)</f>
        <v>9.4543782709940114</v>
      </c>
      <c r="O2708" s="149">
        <f t="shared" ca="1" si="96"/>
        <v>1.000173611111111</v>
      </c>
    </row>
    <row r="2709" spans="12:15" x14ac:dyDescent="0.25">
      <c r="L2709" s="147">
        <f ca="1"/>
        <v>47948</v>
      </c>
      <c r="M2709" s="92">
        <f t="shared" ca="1" si="95"/>
        <v>6.25</v>
      </c>
      <c r="N2709" s="143">
        <f ca="1">(PRODUCT($O$5:$O2709)-1)*36000/_xlfn.DAYS(L2709, $C$2)</f>
        <v>9.4548344362746004</v>
      </c>
      <c r="O2709" s="149">
        <f t="shared" ca="1" si="96"/>
        <v>1.000173611111111</v>
      </c>
    </row>
    <row r="2710" spans="12:15" x14ac:dyDescent="0.25">
      <c r="L2710" s="147">
        <f ca="1"/>
        <v>47949</v>
      </c>
      <c r="M2710" s="92">
        <f t="shared" ca="1" si="95"/>
        <v>6.25</v>
      </c>
      <c r="N2710" s="143">
        <f ca="1">(PRODUCT($O$5:$O2710)-1)*36000/_xlfn.DAYS(L2710, $C$2)</f>
        <v>9.4552909501427749</v>
      </c>
      <c r="O2710" s="149">
        <f t="shared" ca="1" si="96"/>
        <v>1.000173611111111</v>
      </c>
    </row>
    <row r="2711" spans="12:15" x14ac:dyDescent="0.25">
      <c r="L2711" s="147">
        <f ca="1"/>
        <v>47950</v>
      </c>
      <c r="M2711" s="92">
        <f t="shared" ca="1" si="95"/>
        <v>6.25</v>
      </c>
      <c r="N2711" s="143">
        <f ca="1">(PRODUCT($O$5:$O2711)-1)*36000/_xlfn.DAYS(L2711, $C$2)</f>
        <v>9.4557478123312251</v>
      </c>
      <c r="O2711" s="149">
        <f t="shared" ca="1" si="96"/>
        <v>1.000173611111111</v>
      </c>
    </row>
    <row r="2712" spans="12:15" x14ac:dyDescent="0.25">
      <c r="L2712" s="147">
        <f ca="1"/>
        <v>47951</v>
      </c>
      <c r="M2712" s="92">
        <f t="shared" ca="1" si="95"/>
        <v>6.25</v>
      </c>
      <c r="N2712" s="143">
        <f ca="1">(PRODUCT($O$5:$O2712)-1)*36000/_xlfn.DAYS(L2712, $C$2)</f>
        <v>9.456205022573057</v>
      </c>
      <c r="O2712" s="149">
        <f t="shared" ca="1" si="96"/>
        <v>1.000173611111111</v>
      </c>
    </row>
    <row r="2713" spans="12:15" x14ac:dyDescent="0.25">
      <c r="L2713" s="147">
        <f ca="1"/>
        <v>47952</v>
      </c>
      <c r="M2713" s="92">
        <f t="shared" ca="1" si="95"/>
        <v>6.25</v>
      </c>
      <c r="N2713" s="143">
        <f ca="1">(PRODUCT($O$5:$O2713)-1)*36000/_xlfn.DAYS(L2713, $C$2)</f>
        <v>9.4566625806017903</v>
      </c>
      <c r="O2713" s="149">
        <f t="shared" ca="1" si="96"/>
        <v>1.000173611111111</v>
      </c>
    </row>
    <row r="2714" spans="12:15" x14ac:dyDescent="0.25">
      <c r="L2714" s="147">
        <f ca="1"/>
        <v>47953</v>
      </c>
      <c r="M2714" s="92">
        <f t="shared" ca="1" si="95"/>
        <v>6.25</v>
      </c>
      <c r="N2714" s="143">
        <f ca="1">(PRODUCT($O$5:$O2714)-1)*36000/_xlfn.DAYS(L2714, $C$2)</f>
        <v>9.4571204861513607</v>
      </c>
      <c r="O2714" s="149">
        <f t="shared" ca="1" si="96"/>
        <v>1.000173611111111</v>
      </c>
    </row>
    <row r="2715" spans="12:15" x14ac:dyDescent="0.25">
      <c r="L2715" s="147">
        <f ca="1"/>
        <v>47954</v>
      </c>
      <c r="M2715" s="92">
        <f t="shared" ca="1" si="95"/>
        <v>6.25</v>
      </c>
      <c r="N2715" s="143">
        <f ca="1">(PRODUCT($O$5:$O2715)-1)*36000/_xlfn.DAYS(L2715, $C$2)</f>
        <v>9.4575787389561121</v>
      </c>
      <c r="O2715" s="149">
        <f t="shared" ca="1" si="96"/>
        <v>1.000173611111111</v>
      </c>
    </row>
    <row r="2716" spans="12:15" x14ac:dyDescent="0.25">
      <c r="L2716" s="147">
        <f ca="1"/>
        <v>47955</v>
      </c>
      <c r="M2716" s="92">
        <f t="shared" ca="1" si="95"/>
        <v>6.25</v>
      </c>
      <c r="N2716" s="143">
        <f ca="1">(PRODUCT($O$5:$O2716)-1)*36000/_xlfn.DAYS(L2716, $C$2)</f>
        <v>9.4580373387508061</v>
      </c>
      <c r="O2716" s="149">
        <f t="shared" ca="1" si="96"/>
        <v>1.000173611111111</v>
      </c>
    </row>
    <row r="2717" spans="12:15" x14ac:dyDescent="0.25">
      <c r="L2717" s="147">
        <f ca="1"/>
        <v>47956</v>
      </c>
      <c r="M2717" s="92">
        <f t="shared" ca="1" si="95"/>
        <v>6.25</v>
      </c>
      <c r="N2717" s="143">
        <f ca="1">(PRODUCT($O$5:$O2717)-1)*36000/_xlfn.DAYS(L2717, $C$2)</f>
        <v>9.4584962852706145</v>
      </c>
      <c r="O2717" s="149">
        <f t="shared" ca="1" si="96"/>
        <v>1.000173611111111</v>
      </c>
    </row>
    <row r="2718" spans="12:15" x14ac:dyDescent="0.25">
      <c r="L2718" s="147">
        <f ca="1"/>
        <v>47957</v>
      </c>
      <c r="M2718" s="92">
        <f t="shared" ca="1" si="95"/>
        <v>6.25</v>
      </c>
      <c r="N2718" s="143">
        <f ca="1">(PRODUCT($O$5:$O2718)-1)*36000/_xlfn.DAYS(L2718, $C$2)</f>
        <v>9.4589555782511194</v>
      </c>
      <c r="O2718" s="149">
        <f t="shared" ca="1" si="96"/>
        <v>1.000173611111111</v>
      </c>
    </row>
    <row r="2719" spans="12:15" x14ac:dyDescent="0.25">
      <c r="L2719" s="147">
        <f ca="1"/>
        <v>47958</v>
      </c>
      <c r="M2719" s="92">
        <f t="shared" ca="1" si="95"/>
        <v>6.25</v>
      </c>
      <c r="N2719" s="143">
        <f ca="1">(PRODUCT($O$5:$O2719)-1)*36000/_xlfn.DAYS(L2719, $C$2)</f>
        <v>9.4594152174283135</v>
      </c>
      <c r="O2719" s="149">
        <f t="shared" ca="1" si="96"/>
        <v>1.000173611111111</v>
      </c>
    </row>
    <row r="2720" spans="12:15" x14ac:dyDescent="0.25">
      <c r="L2720" s="147">
        <f ca="1"/>
        <v>47959</v>
      </c>
      <c r="M2720" s="92">
        <f t="shared" ca="1" si="95"/>
        <v>6.25</v>
      </c>
      <c r="N2720" s="143">
        <f ca="1">(PRODUCT($O$5:$O2720)-1)*36000/_xlfn.DAYS(L2720, $C$2)</f>
        <v>9.4598752025385959</v>
      </c>
      <c r="O2720" s="149">
        <f t="shared" ca="1" si="96"/>
        <v>1.000173611111111</v>
      </c>
    </row>
    <row r="2721" spans="12:15" x14ac:dyDescent="0.25">
      <c r="L2721" s="147">
        <f ca="1"/>
        <v>47960</v>
      </c>
      <c r="M2721" s="92">
        <f t="shared" ca="1" si="95"/>
        <v>6.25</v>
      </c>
      <c r="N2721" s="143">
        <f ca="1">(PRODUCT($O$5:$O2721)-1)*36000/_xlfn.DAYS(L2721, $C$2)</f>
        <v>9.4603355333187817</v>
      </c>
      <c r="O2721" s="149">
        <f t="shared" ca="1" si="96"/>
        <v>1.000173611111111</v>
      </c>
    </row>
    <row r="2722" spans="12:15" x14ac:dyDescent="0.25">
      <c r="L2722" s="147">
        <f ca="1"/>
        <v>47961</v>
      </c>
      <c r="M2722" s="92">
        <f t="shared" ca="1" si="95"/>
        <v>6.25</v>
      </c>
      <c r="N2722" s="143">
        <f ca="1">(PRODUCT($O$5:$O2722)-1)*36000/_xlfn.DAYS(L2722, $C$2)</f>
        <v>9.4607962095060856</v>
      </c>
      <c r="O2722" s="149">
        <f t="shared" ca="1" si="96"/>
        <v>1.000173611111111</v>
      </c>
    </row>
    <row r="2723" spans="12:15" x14ac:dyDescent="0.25">
      <c r="L2723" s="147">
        <f ca="1"/>
        <v>47962</v>
      </c>
      <c r="M2723" s="92">
        <f t="shared" ca="1" si="95"/>
        <v>6.25</v>
      </c>
      <c r="N2723" s="143">
        <f ca="1">(PRODUCT($O$5:$O2723)-1)*36000/_xlfn.DAYS(L2723, $C$2)</f>
        <v>9.4612572308381395</v>
      </c>
      <c r="O2723" s="149">
        <f t="shared" ca="1" si="96"/>
        <v>1.000173611111111</v>
      </c>
    </row>
    <row r="2724" spans="12:15" x14ac:dyDescent="0.25">
      <c r="L2724" s="147">
        <f ca="1"/>
        <v>47963</v>
      </c>
      <c r="M2724" s="92">
        <f t="shared" ca="1" si="95"/>
        <v>6.25</v>
      </c>
      <c r="N2724" s="143">
        <f ca="1">(PRODUCT($O$5:$O2724)-1)*36000/_xlfn.DAYS(L2724, $C$2)</f>
        <v>9.46171859705297</v>
      </c>
      <c r="O2724" s="149">
        <f t="shared" ca="1" si="96"/>
        <v>1.000173611111111</v>
      </c>
    </row>
    <row r="2725" spans="12:15" x14ac:dyDescent="0.25">
      <c r="L2725" s="147">
        <f ca="1"/>
        <v>47964</v>
      </c>
      <c r="M2725" s="92">
        <f t="shared" ca="1" si="95"/>
        <v>6.25</v>
      </c>
      <c r="N2725" s="143">
        <f ca="1">(PRODUCT($O$5:$O2725)-1)*36000/_xlfn.DAYS(L2725, $C$2)</f>
        <v>9.4621803078890174</v>
      </c>
      <c r="O2725" s="149">
        <f t="shared" ca="1" si="96"/>
        <v>1.000173611111111</v>
      </c>
    </row>
    <row r="2726" spans="12:15" x14ac:dyDescent="0.25">
      <c r="L2726" s="147">
        <f ca="1"/>
        <v>47965</v>
      </c>
      <c r="M2726" s="92">
        <f t="shared" ca="1" si="95"/>
        <v>6.25</v>
      </c>
      <c r="N2726" s="143">
        <f ca="1">(PRODUCT($O$5:$O2726)-1)*36000/_xlfn.DAYS(L2726, $C$2)</f>
        <v>9.4626423630851235</v>
      </c>
      <c r="O2726" s="149">
        <f t="shared" ca="1" si="96"/>
        <v>1.000173611111111</v>
      </c>
    </row>
    <row r="2727" spans="12:15" x14ac:dyDescent="0.25">
      <c r="L2727" s="147">
        <f ca="1"/>
        <v>47966</v>
      </c>
      <c r="M2727" s="92">
        <f t="shared" ca="1" si="95"/>
        <v>6.25</v>
      </c>
      <c r="N2727" s="143">
        <f ca="1">(PRODUCT($O$5:$O2727)-1)*36000/_xlfn.DAYS(L2727, $C$2)</f>
        <v>9.4631047623805351</v>
      </c>
      <c r="O2727" s="149">
        <f t="shared" ca="1" si="96"/>
        <v>1.000173611111111</v>
      </c>
    </row>
    <row r="2728" spans="12:15" x14ac:dyDescent="0.25">
      <c r="L2728" s="147">
        <f ca="1"/>
        <v>47967</v>
      </c>
      <c r="M2728" s="92">
        <f t="shared" ca="1" si="95"/>
        <v>6.25</v>
      </c>
      <c r="N2728" s="143">
        <f ca="1">(PRODUCT($O$5:$O2728)-1)*36000/_xlfn.DAYS(L2728, $C$2)</f>
        <v>9.463567505514904</v>
      </c>
      <c r="O2728" s="149">
        <f t="shared" ca="1" si="96"/>
        <v>1.000173611111111</v>
      </c>
    </row>
    <row r="2729" spans="12:15" x14ac:dyDescent="0.25">
      <c r="L2729" s="147">
        <f ca="1"/>
        <v>47968</v>
      </c>
      <c r="M2729" s="92">
        <f t="shared" ca="1" si="95"/>
        <v>6.25</v>
      </c>
      <c r="N2729" s="143">
        <f ca="1">(PRODUCT($O$5:$O2729)-1)*36000/_xlfn.DAYS(L2729, $C$2)</f>
        <v>9.4640305922282852</v>
      </c>
      <c r="O2729" s="149">
        <f t="shared" ca="1" si="96"/>
        <v>1.000173611111111</v>
      </c>
    </row>
    <row r="2730" spans="12:15" x14ac:dyDescent="0.25">
      <c r="L2730" s="147">
        <f ca="1"/>
        <v>47969</v>
      </c>
      <c r="M2730" s="92">
        <f t="shared" ca="1" si="95"/>
        <v>6.25</v>
      </c>
      <c r="N2730" s="143">
        <f ca="1">(PRODUCT($O$5:$O2730)-1)*36000/_xlfn.DAYS(L2730, $C$2)</f>
        <v>9.4644940222611336</v>
      </c>
      <c r="O2730" s="149">
        <f t="shared" ca="1" si="96"/>
        <v>1.000173611111111</v>
      </c>
    </row>
    <row r="2731" spans="12:15" x14ac:dyDescent="0.25">
      <c r="L2731" s="147">
        <f ca="1"/>
        <v>47970</v>
      </c>
      <c r="M2731" s="92">
        <f t="shared" ca="1" si="95"/>
        <v>6.25</v>
      </c>
      <c r="N2731" s="143">
        <f ca="1">(PRODUCT($O$5:$O2731)-1)*36000/_xlfn.DAYS(L2731, $C$2)</f>
        <v>9.4649577953543051</v>
      </c>
      <c r="O2731" s="149">
        <f t="shared" ca="1" si="96"/>
        <v>1.000173611111111</v>
      </c>
    </row>
    <row r="2732" spans="12:15" x14ac:dyDescent="0.25">
      <c r="L2732" s="147">
        <f ca="1"/>
        <v>47971</v>
      </c>
      <c r="M2732" s="92">
        <f t="shared" ca="1" si="95"/>
        <v>6.25</v>
      </c>
      <c r="N2732" s="143">
        <f ca="1">(PRODUCT($O$5:$O2732)-1)*36000/_xlfn.DAYS(L2732, $C$2)</f>
        <v>9.4654219112490523</v>
      </c>
      <c r="O2732" s="149">
        <f t="shared" ca="1" si="96"/>
        <v>1.000173611111111</v>
      </c>
    </row>
    <row r="2733" spans="12:15" x14ac:dyDescent="0.25">
      <c r="L2733" s="147">
        <f ca="1"/>
        <v>47972</v>
      </c>
      <c r="M2733" s="92">
        <f t="shared" ca="1" si="95"/>
        <v>6.25</v>
      </c>
      <c r="N2733" s="143">
        <f ca="1">(PRODUCT($O$5:$O2733)-1)*36000/_xlfn.DAYS(L2733, $C$2)</f>
        <v>9.4658863696870412</v>
      </c>
      <c r="O2733" s="149">
        <f t="shared" ca="1" si="96"/>
        <v>1.000173611111111</v>
      </c>
    </row>
    <row r="2734" spans="12:15" x14ac:dyDescent="0.25">
      <c r="L2734" s="147">
        <f ca="1"/>
        <v>47973</v>
      </c>
      <c r="M2734" s="92">
        <f t="shared" ca="1" si="95"/>
        <v>6.25</v>
      </c>
      <c r="N2734" s="143">
        <f ca="1">(PRODUCT($O$5:$O2734)-1)*36000/_xlfn.DAYS(L2734, $C$2)</f>
        <v>9.4663511704103218</v>
      </c>
      <c r="O2734" s="149">
        <f t="shared" ca="1" si="96"/>
        <v>1.000173611111111</v>
      </c>
    </row>
    <row r="2735" spans="12:15" x14ac:dyDescent="0.25">
      <c r="L2735" s="147">
        <f ca="1"/>
        <v>47974</v>
      </c>
      <c r="M2735" s="92">
        <f t="shared" ca="1" si="95"/>
        <v>6.25</v>
      </c>
      <c r="N2735" s="143">
        <f ca="1">(PRODUCT($O$5:$O2735)-1)*36000/_xlfn.DAYS(L2735, $C$2)</f>
        <v>9.4668163131613507</v>
      </c>
      <c r="O2735" s="149">
        <f t="shared" ca="1" si="96"/>
        <v>1.000173611111111</v>
      </c>
    </row>
    <row r="2736" spans="12:15" x14ac:dyDescent="0.25">
      <c r="L2736" s="147">
        <f ca="1"/>
        <v>47975</v>
      </c>
      <c r="M2736" s="92">
        <f t="shared" ca="1" si="95"/>
        <v>6.25</v>
      </c>
      <c r="N2736" s="143">
        <f ca="1">(PRODUCT($O$5:$O2736)-1)*36000/_xlfn.DAYS(L2736, $C$2)</f>
        <v>9.4672817976829808</v>
      </c>
      <c r="O2736" s="149">
        <f t="shared" ca="1" si="96"/>
        <v>1.000173611111111</v>
      </c>
    </row>
    <row r="2737" spans="12:15" x14ac:dyDescent="0.25">
      <c r="L2737" s="147">
        <f ca="1"/>
        <v>47976</v>
      </c>
      <c r="M2737" s="92">
        <f t="shared" ca="1" si="95"/>
        <v>6.25</v>
      </c>
      <c r="N2737" s="143">
        <f ca="1">(PRODUCT($O$5:$O2737)-1)*36000/_xlfn.DAYS(L2737, $C$2)</f>
        <v>9.4677476237184592</v>
      </c>
      <c r="O2737" s="149">
        <f t="shared" ca="1" si="96"/>
        <v>1.000173611111111</v>
      </c>
    </row>
    <row r="2738" spans="12:15" x14ac:dyDescent="0.25">
      <c r="L2738" s="147">
        <f ca="1"/>
        <v>47977</v>
      </c>
      <c r="M2738" s="92">
        <f t="shared" ca="1" si="95"/>
        <v>6.25</v>
      </c>
      <c r="N2738" s="143">
        <f ca="1">(PRODUCT($O$5:$O2738)-1)*36000/_xlfn.DAYS(L2738, $C$2)</f>
        <v>9.4682137910114346</v>
      </c>
      <c r="O2738" s="149">
        <f t="shared" ca="1" si="96"/>
        <v>1.000173611111111</v>
      </c>
    </row>
    <row r="2739" spans="12:15" x14ac:dyDescent="0.25">
      <c r="L2739" s="147">
        <f ca="1"/>
        <v>47978</v>
      </c>
      <c r="M2739" s="92">
        <f t="shared" ca="1" si="95"/>
        <v>6.25</v>
      </c>
      <c r="N2739" s="143">
        <f ca="1">(PRODUCT($O$5:$O2739)-1)*36000/_xlfn.DAYS(L2739, $C$2)</f>
        <v>9.4686802993059427</v>
      </c>
      <c r="O2739" s="149">
        <f t="shared" ca="1" si="96"/>
        <v>1.000173611111111</v>
      </c>
    </row>
    <row r="2740" spans="12:15" x14ac:dyDescent="0.25">
      <c r="L2740" s="147">
        <f ca="1"/>
        <v>47979</v>
      </c>
      <c r="M2740" s="92">
        <f t="shared" ca="1" si="95"/>
        <v>6.25</v>
      </c>
      <c r="N2740" s="143">
        <f ca="1">(PRODUCT($O$5:$O2740)-1)*36000/_xlfn.DAYS(L2740, $C$2)</f>
        <v>9.4691471483464227</v>
      </c>
      <c r="O2740" s="149">
        <f t="shared" ca="1" si="96"/>
        <v>1.000173611111111</v>
      </c>
    </row>
    <row r="2741" spans="12:15" x14ac:dyDescent="0.25">
      <c r="L2741" s="147">
        <f ca="1"/>
        <v>47980</v>
      </c>
      <c r="M2741" s="92">
        <f t="shared" ca="1" si="95"/>
        <v>6.25</v>
      </c>
      <c r="N2741" s="143">
        <f ca="1">(PRODUCT($O$5:$O2741)-1)*36000/_xlfn.DAYS(L2741, $C$2)</f>
        <v>9.4696143378777027</v>
      </c>
      <c r="O2741" s="149">
        <f t="shared" ca="1" si="96"/>
        <v>1.000173611111111</v>
      </c>
    </row>
    <row r="2742" spans="12:15" x14ac:dyDescent="0.25">
      <c r="L2742" s="147">
        <f ca="1"/>
        <v>47981</v>
      </c>
      <c r="M2742" s="92">
        <f t="shared" ca="1" si="95"/>
        <v>6.25</v>
      </c>
      <c r="N2742" s="143">
        <f ca="1">(PRODUCT($O$5:$O2742)-1)*36000/_xlfn.DAYS(L2742, $C$2)</f>
        <v>9.4700818676450051</v>
      </c>
      <c r="O2742" s="149">
        <f t="shared" ca="1" si="96"/>
        <v>1.000173611111111</v>
      </c>
    </row>
    <row r="2743" spans="12:15" x14ac:dyDescent="0.25">
      <c r="L2743" s="147">
        <f ca="1"/>
        <v>47982</v>
      </c>
      <c r="M2743" s="92">
        <f t="shared" ca="1" si="95"/>
        <v>6.25</v>
      </c>
      <c r="N2743" s="143">
        <f ca="1">(PRODUCT($O$5:$O2743)-1)*36000/_xlfn.DAYS(L2743, $C$2)</f>
        <v>9.4705497373939469</v>
      </c>
      <c r="O2743" s="149">
        <f t="shared" ca="1" si="96"/>
        <v>1.000173611111111</v>
      </c>
    </row>
    <row r="2744" spans="12:15" x14ac:dyDescent="0.25">
      <c r="L2744" s="147">
        <f ca="1"/>
        <v>47983</v>
      </c>
      <c r="M2744" s="92">
        <f t="shared" ca="1" si="95"/>
        <v>6.25</v>
      </c>
      <c r="N2744" s="143">
        <f ca="1">(PRODUCT($O$5:$O2744)-1)*36000/_xlfn.DAYS(L2744, $C$2)</f>
        <v>9.4710179468705356</v>
      </c>
      <c r="O2744" s="149">
        <f t="shared" ca="1" si="96"/>
        <v>1.000173611111111</v>
      </c>
    </row>
    <row r="2745" spans="12:15" x14ac:dyDescent="0.25">
      <c r="L2745" s="147">
        <f ca="1"/>
        <v>47984</v>
      </c>
      <c r="M2745" s="92">
        <f t="shared" ca="1" si="95"/>
        <v>6.25</v>
      </c>
      <c r="N2745" s="143">
        <f ca="1">(PRODUCT($O$5:$O2745)-1)*36000/_xlfn.DAYS(L2745, $C$2)</f>
        <v>9.4714864958211678</v>
      </c>
      <c r="O2745" s="149">
        <f t="shared" ca="1" si="96"/>
        <v>1.000173611111111</v>
      </c>
    </row>
    <row r="2746" spans="12:15" x14ac:dyDescent="0.25">
      <c r="L2746" s="147">
        <f ca="1"/>
        <v>47985</v>
      </c>
      <c r="M2746" s="92">
        <f t="shared" ca="1" si="95"/>
        <v>6.25</v>
      </c>
      <c r="N2746" s="143">
        <f ca="1">(PRODUCT($O$5:$O2746)-1)*36000/_xlfn.DAYS(L2746, $C$2)</f>
        <v>9.4719553839926327</v>
      </c>
      <c r="O2746" s="149">
        <f t="shared" ca="1" si="96"/>
        <v>1.000173611111111</v>
      </c>
    </row>
    <row r="2747" spans="12:15" x14ac:dyDescent="0.25">
      <c r="L2747" s="147">
        <f ca="1"/>
        <v>47986</v>
      </c>
      <c r="M2747" s="92">
        <f t="shared" ca="1" si="95"/>
        <v>6.25</v>
      </c>
      <c r="N2747" s="143">
        <f ca="1">(PRODUCT($O$5:$O2747)-1)*36000/_xlfn.DAYS(L2747, $C$2)</f>
        <v>9.4724246111321122</v>
      </c>
      <c r="O2747" s="149">
        <f t="shared" ca="1" si="96"/>
        <v>1.000173611111111</v>
      </c>
    </row>
    <row r="2748" spans="12:15" x14ac:dyDescent="0.25">
      <c r="L2748" s="147">
        <f ca="1"/>
        <v>47987</v>
      </c>
      <c r="M2748" s="92">
        <f t="shared" ca="1" si="95"/>
        <v>6.25</v>
      </c>
      <c r="N2748" s="143">
        <f ca="1">(PRODUCT($O$5:$O2748)-1)*36000/_xlfn.DAYS(L2748, $C$2)</f>
        <v>9.4728941769871717</v>
      </c>
      <c r="O2748" s="149">
        <f t="shared" ca="1" si="96"/>
        <v>1.000173611111111</v>
      </c>
    </row>
    <row r="2749" spans="12:15" x14ac:dyDescent="0.25">
      <c r="L2749" s="147">
        <f ca="1"/>
        <v>47988</v>
      </c>
      <c r="M2749" s="92">
        <f t="shared" ca="1" si="95"/>
        <v>6.25</v>
      </c>
      <c r="N2749" s="143">
        <f ca="1">(PRODUCT($O$5:$O2749)-1)*36000/_xlfn.DAYS(L2749, $C$2)</f>
        <v>9.4733640813057658</v>
      </c>
      <c r="O2749" s="149">
        <f t="shared" ca="1" si="96"/>
        <v>1.000173611111111</v>
      </c>
    </row>
    <row r="2750" spans="12:15" x14ac:dyDescent="0.25">
      <c r="L2750" s="147">
        <f ca="1"/>
        <v>47989</v>
      </c>
      <c r="M2750" s="92">
        <f t="shared" ca="1" si="95"/>
        <v>6.25</v>
      </c>
      <c r="N2750" s="143">
        <f ca="1">(PRODUCT($O$5:$O2750)-1)*36000/_xlfn.DAYS(L2750, $C$2)</f>
        <v>9.4738343238362415</v>
      </c>
      <c r="O2750" s="149">
        <f t="shared" ca="1" si="96"/>
        <v>1.000173611111111</v>
      </c>
    </row>
    <row r="2751" spans="12:15" x14ac:dyDescent="0.25">
      <c r="L2751" s="147">
        <f ca="1"/>
        <v>47990</v>
      </c>
      <c r="M2751" s="92">
        <f t="shared" ca="1" si="95"/>
        <v>6.25</v>
      </c>
      <c r="N2751" s="143">
        <f ca="1">(PRODUCT($O$5:$O2751)-1)*36000/_xlfn.DAYS(L2751, $C$2)</f>
        <v>9.4743049043273277</v>
      </c>
      <c r="O2751" s="149">
        <f t="shared" ca="1" si="96"/>
        <v>1.000173611111111</v>
      </c>
    </row>
    <row r="2752" spans="12:15" x14ac:dyDescent="0.25">
      <c r="L2752" s="147">
        <f ca="1"/>
        <v>47991</v>
      </c>
      <c r="M2752" s="92">
        <f t="shared" ca="1" si="95"/>
        <v>6.25</v>
      </c>
      <c r="N2752" s="143">
        <f ca="1">(PRODUCT($O$5:$O2752)-1)*36000/_xlfn.DAYS(L2752, $C$2)</f>
        <v>9.4747758225281427</v>
      </c>
      <c r="O2752" s="149">
        <f t="shared" ca="1" si="96"/>
        <v>1.000173611111111</v>
      </c>
    </row>
    <row r="2753" spans="12:15" x14ac:dyDescent="0.25">
      <c r="L2753" s="147">
        <f ca="1"/>
        <v>47992</v>
      </c>
      <c r="M2753" s="92">
        <f t="shared" ca="1" si="95"/>
        <v>6.25</v>
      </c>
      <c r="N2753" s="143">
        <f ca="1">(PRODUCT($O$5:$O2753)-1)*36000/_xlfn.DAYS(L2753, $C$2)</f>
        <v>9.4752470781881861</v>
      </c>
      <c r="O2753" s="149">
        <f t="shared" ca="1" si="96"/>
        <v>1.000173611111111</v>
      </c>
    </row>
    <row r="2754" spans="12:15" x14ac:dyDescent="0.25">
      <c r="L2754" s="147">
        <f ca="1"/>
        <v>47993</v>
      </c>
      <c r="M2754" s="92">
        <f t="shared" ca="1" si="95"/>
        <v>6.25</v>
      </c>
      <c r="N2754" s="143">
        <f ca="1">(PRODUCT($O$5:$O2754)-1)*36000/_xlfn.DAYS(L2754, $C$2)</f>
        <v>9.4757186710573489</v>
      </c>
      <c r="O2754" s="149">
        <f t="shared" ca="1" si="96"/>
        <v>1.000173611111111</v>
      </c>
    </row>
    <row r="2755" spans="12:15" x14ac:dyDescent="0.25">
      <c r="L2755" s="147">
        <f ca="1"/>
        <v>47994</v>
      </c>
      <c r="M2755" s="92">
        <f t="shared" ca="1" si="95"/>
        <v>6.25</v>
      </c>
      <c r="N2755" s="143">
        <f ca="1">(PRODUCT($O$5:$O2755)-1)*36000/_xlfn.DAYS(L2755, $C$2)</f>
        <v>9.4761906008859018</v>
      </c>
      <c r="O2755" s="149">
        <f t="shared" ca="1" si="96"/>
        <v>1.000173611111111</v>
      </c>
    </row>
    <row r="2756" spans="12:15" x14ac:dyDescent="0.25">
      <c r="L2756" s="147">
        <f ca="1"/>
        <v>47995</v>
      </c>
      <c r="M2756" s="92">
        <f t="shared" ca="1" si="95"/>
        <v>6.25</v>
      </c>
      <c r="N2756" s="143">
        <f ca="1">(PRODUCT($O$5:$O2756)-1)*36000/_xlfn.DAYS(L2756, $C$2)</f>
        <v>9.4766628674245013</v>
      </c>
      <c r="O2756" s="149">
        <f t="shared" ca="1" si="96"/>
        <v>1.000173611111111</v>
      </c>
    </row>
    <row r="2757" spans="12:15" x14ac:dyDescent="0.25">
      <c r="L2757" s="147">
        <f ca="1"/>
        <v>47996</v>
      </c>
      <c r="M2757" s="92">
        <f t="shared" ref="M2757:M2820" ca="1" si="97">IFERROR(INDEX($E$27:$H$47, MATCH(L2757, $F$27:$F$47, 0), 4), IF(ISNUMBER(M2756), M2756, $C$5))</f>
        <v>6.25</v>
      </c>
      <c r="N2757" s="143">
        <f ca="1">(PRODUCT($O$5:$O2757)-1)*36000/_xlfn.DAYS(L2757, $C$2)</f>
        <v>9.4771354704241819</v>
      </c>
      <c r="O2757" s="149">
        <f t="shared" ca="1" si="96"/>
        <v>1.000173611111111</v>
      </c>
    </row>
    <row r="2758" spans="12:15" x14ac:dyDescent="0.25">
      <c r="L2758" s="147">
        <f ca="1"/>
        <v>47997</v>
      </c>
      <c r="M2758" s="92">
        <f t="shared" ca="1" si="97"/>
        <v>6.25</v>
      </c>
      <c r="N2758" s="143">
        <f ca="1">(PRODUCT($O$5:$O2758)-1)*36000/_xlfn.DAYS(L2758, $C$2)</f>
        <v>9.477608409636364</v>
      </c>
      <c r="O2758" s="149">
        <f t="shared" ref="O2758:O2821" ca="1" si="98">1+M2758*IFERROR(_xlfn.DAYS(L2758, L2757), _xlfn.DAYS(L2758, $C$2))/36000</f>
        <v>1.000173611111111</v>
      </c>
    </row>
    <row r="2759" spans="12:15" x14ac:dyDescent="0.25">
      <c r="L2759" s="147">
        <f ca="1"/>
        <v>47998</v>
      </c>
      <c r="M2759" s="92">
        <f t="shared" ca="1" si="97"/>
        <v>6.25</v>
      </c>
      <c r="N2759" s="143">
        <f ca="1">(PRODUCT($O$5:$O2759)-1)*36000/_xlfn.DAYS(L2759, $C$2)</f>
        <v>9.478081684812846</v>
      </c>
      <c r="O2759" s="149">
        <f t="shared" ca="1" si="98"/>
        <v>1.000173611111111</v>
      </c>
    </row>
    <row r="2760" spans="12:15" x14ac:dyDescent="0.25">
      <c r="L2760" s="147">
        <f ca="1"/>
        <v>47999</v>
      </c>
      <c r="M2760" s="92">
        <f t="shared" ca="1" si="97"/>
        <v>6.25</v>
      </c>
      <c r="N2760" s="143">
        <f ca="1">(PRODUCT($O$5:$O2760)-1)*36000/_xlfn.DAYS(L2760, $C$2)</f>
        <v>9.4785552957058172</v>
      </c>
      <c r="O2760" s="149">
        <f t="shared" ca="1" si="98"/>
        <v>1.000173611111111</v>
      </c>
    </row>
    <row r="2761" spans="12:15" x14ac:dyDescent="0.25">
      <c r="L2761" s="147">
        <f ca="1"/>
        <v>48000</v>
      </c>
      <c r="M2761" s="92">
        <f t="shared" ca="1" si="97"/>
        <v>6.25</v>
      </c>
      <c r="N2761" s="143">
        <f ca="1">(PRODUCT($O$5:$O2761)-1)*36000/_xlfn.DAYS(L2761, $C$2)</f>
        <v>9.4790292420678348</v>
      </c>
      <c r="O2761" s="149">
        <f t="shared" ca="1" si="98"/>
        <v>1.000173611111111</v>
      </c>
    </row>
    <row r="2762" spans="12:15" x14ac:dyDescent="0.25">
      <c r="L2762" s="147">
        <f ca="1"/>
        <v>48001</v>
      </c>
      <c r="M2762" s="92">
        <f t="shared" ca="1" si="97"/>
        <v>6.25</v>
      </c>
      <c r="N2762" s="143">
        <f ca="1">(PRODUCT($O$5:$O2762)-1)*36000/_xlfn.DAYS(L2762, $C$2)</f>
        <v>9.4795035236518395</v>
      </c>
      <c r="O2762" s="149">
        <f t="shared" ca="1" si="98"/>
        <v>1.000173611111111</v>
      </c>
    </row>
    <row r="2763" spans="12:15" x14ac:dyDescent="0.25">
      <c r="L2763" s="147">
        <f ca="1"/>
        <v>48002</v>
      </c>
      <c r="M2763" s="92">
        <f t="shared" ca="1" si="97"/>
        <v>6.25</v>
      </c>
      <c r="N2763" s="143">
        <f ca="1">(PRODUCT($O$5:$O2763)-1)*36000/_xlfn.DAYS(L2763, $C$2)</f>
        <v>9.479978140211152</v>
      </c>
      <c r="O2763" s="149">
        <f t="shared" ca="1" si="98"/>
        <v>1.000173611111111</v>
      </c>
    </row>
    <row r="2764" spans="12:15" x14ac:dyDescent="0.25">
      <c r="L2764" s="147">
        <f ca="1"/>
        <v>48003</v>
      </c>
      <c r="M2764" s="92">
        <f t="shared" ca="1" si="97"/>
        <v>6.25</v>
      </c>
      <c r="N2764" s="143">
        <f ca="1">(PRODUCT($O$5:$O2764)-1)*36000/_xlfn.DAYS(L2764, $C$2)</f>
        <v>9.4804530914994718</v>
      </c>
      <c r="O2764" s="149">
        <f t="shared" ca="1" si="98"/>
        <v>1.000173611111111</v>
      </c>
    </row>
    <row r="2765" spans="12:15" x14ac:dyDescent="0.25">
      <c r="L2765" s="147">
        <f ca="1"/>
        <v>48004</v>
      </c>
      <c r="M2765" s="92">
        <f t="shared" ca="1" si="97"/>
        <v>6.25</v>
      </c>
      <c r="N2765" s="143">
        <f ca="1">(PRODUCT($O$5:$O2765)-1)*36000/_xlfn.DAYS(L2765, $C$2)</f>
        <v>9.480928377270871</v>
      </c>
      <c r="O2765" s="149">
        <f t="shared" ca="1" si="98"/>
        <v>1.000173611111111</v>
      </c>
    </row>
    <row r="2766" spans="12:15" x14ac:dyDescent="0.25">
      <c r="L2766" s="147">
        <f ca="1"/>
        <v>48005</v>
      </c>
      <c r="M2766" s="92">
        <f t="shared" ca="1" si="97"/>
        <v>6.25</v>
      </c>
      <c r="N2766" s="143">
        <f ca="1">(PRODUCT($O$5:$O2766)-1)*36000/_xlfn.DAYS(L2766, $C$2)</f>
        <v>9.4814039972798074</v>
      </c>
      <c r="O2766" s="149">
        <f t="shared" ca="1" si="98"/>
        <v>1.000173611111111</v>
      </c>
    </row>
    <row r="2767" spans="12:15" x14ac:dyDescent="0.25">
      <c r="L2767" s="147">
        <f ca="1"/>
        <v>48006</v>
      </c>
      <c r="M2767" s="92">
        <f t="shared" ca="1" si="97"/>
        <v>6.25</v>
      </c>
      <c r="N2767" s="143">
        <f ca="1">(PRODUCT($O$5:$O2767)-1)*36000/_xlfn.DAYS(L2767, $C$2)</f>
        <v>9.4818799512811012</v>
      </c>
      <c r="O2767" s="149">
        <f t="shared" ca="1" si="98"/>
        <v>1.000173611111111</v>
      </c>
    </row>
    <row r="2768" spans="12:15" x14ac:dyDescent="0.25">
      <c r="L2768" s="147">
        <f ca="1"/>
        <v>48007</v>
      </c>
      <c r="M2768" s="92">
        <f t="shared" ca="1" si="97"/>
        <v>6.25</v>
      </c>
      <c r="N2768" s="143">
        <f ca="1">(PRODUCT($O$5:$O2768)-1)*36000/_xlfn.DAYS(L2768, $C$2)</f>
        <v>9.4823562390299596</v>
      </c>
      <c r="O2768" s="149">
        <f t="shared" ca="1" si="98"/>
        <v>1.000173611111111</v>
      </c>
    </row>
    <row r="2769" spans="12:15" x14ac:dyDescent="0.25">
      <c r="L2769" s="147">
        <f ca="1"/>
        <v>48008</v>
      </c>
      <c r="M2769" s="92">
        <f t="shared" ca="1" si="97"/>
        <v>6.25</v>
      </c>
      <c r="N2769" s="143">
        <f ca="1">(PRODUCT($O$5:$O2769)-1)*36000/_xlfn.DAYS(L2769, $C$2)</f>
        <v>9.4828328602819596</v>
      </c>
      <c r="O2769" s="149">
        <f t="shared" ca="1" si="98"/>
        <v>1.000173611111111</v>
      </c>
    </row>
    <row r="2770" spans="12:15" x14ac:dyDescent="0.25">
      <c r="L2770" s="147">
        <f ca="1"/>
        <v>48009</v>
      </c>
      <c r="M2770" s="92">
        <f t="shared" ca="1" si="97"/>
        <v>6.25</v>
      </c>
      <c r="N2770" s="143">
        <f ca="1">(PRODUCT($O$5:$O2770)-1)*36000/_xlfn.DAYS(L2770, $C$2)</f>
        <v>9.4833098147930492</v>
      </c>
      <c r="O2770" s="149">
        <f t="shared" ca="1" si="98"/>
        <v>1.000173611111111</v>
      </c>
    </row>
    <row r="2771" spans="12:15" x14ac:dyDescent="0.25">
      <c r="L2771" s="147">
        <f ca="1"/>
        <v>48010</v>
      </c>
      <c r="M2771" s="92">
        <f t="shared" ca="1" si="97"/>
        <v>6.25</v>
      </c>
      <c r="N2771" s="143">
        <f ca="1">(PRODUCT($O$5:$O2771)-1)*36000/_xlfn.DAYS(L2771, $C$2)</f>
        <v>9.483787102319555</v>
      </c>
      <c r="O2771" s="149">
        <f t="shared" ca="1" si="98"/>
        <v>1.000173611111111</v>
      </c>
    </row>
    <row r="2772" spans="12:15" x14ac:dyDescent="0.25">
      <c r="L2772" s="147">
        <f ca="1"/>
        <v>48011</v>
      </c>
      <c r="M2772" s="92">
        <f t="shared" ca="1" si="97"/>
        <v>6.25</v>
      </c>
      <c r="N2772" s="143">
        <f ca="1">(PRODUCT($O$5:$O2772)-1)*36000/_xlfn.DAYS(L2772, $C$2)</f>
        <v>9.4842647226181782</v>
      </c>
      <c r="O2772" s="149">
        <f t="shared" ca="1" si="98"/>
        <v>1.000173611111111</v>
      </c>
    </row>
    <row r="2773" spans="12:15" x14ac:dyDescent="0.25">
      <c r="L2773" s="147">
        <f ca="1"/>
        <v>48012</v>
      </c>
      <c r="M2773" s="92">
        <f t="shared" ca="1" si="97"/>
        <v>6.25</v>
      </c>
      <c r="N2773" s="143">
        <f ca="1">(PRODUCT($O$5:$O2773)-1)*36000/_xlfn.DAYS(L2773, $C$2)</f>
        <v>9.4847426754459843</v>
      </c>
      <c r="O2773" s="149">
        <f t="shared" ca="1" si="98"/>
        <v>1.000173611111111</v>
      </c>
    </row>
    <row r="2774" spans="12:15" x14ac:dyDescent="0.25">
      <c r="L2774" s="147">
        <f ca="1"/>
        <v>48013</v>
      </c>
      <c r="M2774" s="92">
        <f t="shared" ca="1" si="97"/>
        <v>6.25</v>
      </c>
      <c r="N2774" s="143">
        <f ca="1">(PRODUCT($O$5:$O2774)-1)*36000/_xlfn.DAYS(L2774, $C$2)</f>
        <v>9.4852209605604116</v>
      </c>
      <c r="O2774" s="149">
        <f t="shared" ca="1" si="98"/>
        <v>1.000173611111111</v>
      </c>
    </row>
    <row r="2775" spans="12:15" x14ac:dyDescent="0.25">
      <c r="L2775" s="147">
        <f ca="1"/>
        <v>48014</v>
      </c>
      <c r="M2775" s="92">
        <f t="shared" ca="1" si="97"/>
        <v>6.25</v>
      </c>
      <c r="N2775" s="143">
        <f ca="1">(PRODUCT($O$5:$O2775)-1)*36000/_xlfn.DAYS(L2775, $C$2)</f>
        <v>9.4856995777192719</v>
      </c>
      <c r="O2775" s="149">
        <f t="shared" ca="1" si="98"/>
        <v>1.000173611111111</v>
      </c>
    </row>
    <row r="2776" spans="12:15" x14ac:dyDescent="0.25">
      <c r="L2776" s="147">
        <f ca="1"/>
        <v>48015</v>
      </c>
      <c r="M2776" s="92">
        <f t="shared" ca="1" si="97"/>
        <v>6.25</v>
      </c>
      <c r="N2776" s="143">
        <f ca="1">(PRODUCT($O$5:$O2776)-1)*36000/_xlfn.DAYS(L2776, $C$2)</f>
        <v>9.4861785266807477</v>
      </c>
      <c r="O2776" s="149">
        <f t="shared" ca="1" si="98"/>
        <v>1.000173611111111</v>
      </c>
    </row>
    <row r="2777" spans="12:15" x14ac:dyDescent="0.25">
      <c r="L2777" s="147">
        <f ca="1"/>
        <v>48016</v>
      </c>
      <c r="M2777" s="92">
        <f t="shared" ca="1" si="97"/>
        <v>6.25</v>
      </c>
      <c r="N2777" s="143">
        <f ca="1">(PRODUCT($O$5:$O2777)-1)*36000/_xlfn.DAYS(L2777, $C$2)</f>
        <v>9.486657807203386</v>
      </c>
      <c r="O2777" s="149">
        <f t="shared" ca="1" si="98"/>
        <v>1.000173611111111</v>
      </c>
    </row>
    <row r="2778" spans="12:15" x14ac:dyDescent="0.25">
      <c r="L2778" s="147">
        <f ca="1"/>
        <v>48017</v>
      </c>
      <c r="M2778" s="92">
        <f t="shared" ca="1" si="97"/>
        <v>6.25</v>
      </c>
      <c r="N2778" s="143">
        <f ca="1">(PRODUCT($O$5:$O2778)-1)*36000/_xlfn.DAYS(L2778, $C$2)</f>
        <v>9.4871374190461086</v>
      </c>
      <c r="O2778" s="149">
        <f t="shared" ca="1" si="98"/>
        <v>1.000173611111111</v>
      </c>
    </row>
    <row r="2779" spans="12:15" x14ac:dyDescent="0.25">
      <c r="L2779" s="147">
        <f ca="1"/>
        <v>48018</v>
      </c>
      <c r="M2779" s="92">
        <f t="shared" ca="1" si="97"/>
        <v>6.25</v>
      </c>
      <c r="N2779" s="143">
        <f ca="1">(PRODUCT($O$5:$O2779)-1)*36000/_xlfn.DAYS(L2779, $C$2)</f>
        <v>9.4876173619681978</v>
      </c>
      <c r="O2779" s="149">
        <f t="shared" ca="1" si="98"/>
        <v>1.000173611111111</v>
      </c>
    </row>
    <row r="2780" spans="12:15" x14ac:dyDescent="0.25">
      <c r="L2780" s="147">
        <f ca="1"/>
        <v>48019</v>
      </c>
      <c r="M2780" s="92">
        <f t="shared" ca="1" si="97"/>
        <v>6.25</v>
      </c>
      <c r="N2780" s="143">
        <f ca="1">(PRODUCT($O$5:$O2780)-1)*36000/_xlfn.DAYS(L2780, $C$2)</f>
        <v>9.4880976357293108</v>
      </c>
      <c r="O2780" s="149">
        <f t="shared" ca="1" si="98"/>
        <v>1.000173611111111</v>
      </c>
    </row>
    <row r="2781" spans="12:15" x14ac:dyDescent="0.25">
      <c r="L2781" s="147">
        <f ca="1"/>
        <v>48020</v>
      </c>
      <c r="M2781" s="92">
        <f t="shared" ca="1" si="97"/>
        <v>6.25</v>
      </c>
      <c r="N2781" s="143">
        <f ca="1">(PRODUCT($O$5:$O2781)-1)*36000/_xlfn.DAYS(L2781, $C$2)</f>
        <v>9.4885782400894652</v>
      </c>
      <c r="O2781" s="149">
        <f t="shared" ca="1" si="98"/>
        <v>1.000173611111111</v>
      </c>
    </row>
    <row r="2782" spans="12:15" x14ac:dyDescent="0.25">
      <c r="L2782" s="147">
        <f ca="1"/>
        <v>48021</v>
      </c>
      <c r="M2782" s="92">
        <f t="shared" ca="1" si="97"/>
        <v>6.25</v>
      </c>
      <c r="N2782" s="143">
        <f ca="1">(PRODUCT($O$5:$O2782)-1)*36000/_xlfn.DAYS(L2782, $C$2)</f>
        <v>9.4890591748090483</v>
      </c>
      <c r="O2782" s="149">
        <f t="shared" ca="1" si="98"/>
        <v>1.000173611111111</v>
      </c>
    </row>
    <row r="2783" spans="12:15" x14ac:dyDescent="0.25">
      <c r="L2783" s="147">
        <f ca="1"/>
        <v>48022</v>
      </c>
      <c r="M2783" s="92">
        <f t="shared" ca="1" si="97"/>
        <v>6.25</v>
      </c>
      <c r="N2783" s="143">
        <f ca="1">(PRODUCT($O$5:$O2783)-1)*36000/_xlfn.DAYS(L2783, $C$2)</f>
        <v>9.4895404396488114</v>
      </c>
      <c r="O2783" s="149">
        <f t="shared" ca="1" si="98"/>
        <v>1.000173611111111</v>
      </c>
    </row>
    <row r="2784" spans="12:15" x14ac:dyDescent="0.25">
      <c r="L2784" s="147">
        <f ca="1"/>
        <v>48023</v>
      </c>
      <c r="M2784" s="92">
        <f t="shared" ca="1" si="97"/>
        <v>6.25</v>
      </c>
      <c r="N2784" s="143">
        <f ca="1">(PRODUCT($O$5:$O2784)-1)*36000/_xlfn.DAYS(L2784, $C$2)</f>
        <v>9.4900220343698702</v>
      </c>
      <c r="O2784" s="149">
        <f t="shared" ca="1" si="98"/>
        <v>1.000173611111111</v>
      </c>
    </row>
    <row r="2785" spans="12:15" x14ac:dyDescent="0.25">
      <c r="L2785" s="147">
        <f ca="1"/>
        <v>48024</v>
      </c>
      <c r="M2785" s="92">
        <f t="shared" ca="1" si="97"/>
        <v>6.25</v>
      </c>
      <c r="N2785" s="143">
        <f ca="1">(PRODUCT($O$5:$O2785)-1)*36000/_xlfn.DAYS(L2785, $C$2)</f>
        <v>9.4905039587337043</v>
      </c>
      <c r="O2785" s="149">
        <f t="shared" ca="1" si="98"/>
        <v>1.000173611111111</v>
      </c>
    </row>
    <row r="2786" spans="12:15" x14ac:dyDescent="0.25">
      <c r="L2786" s="147">
        <f ca="1"/>
        <v>48025</v>
      </c>
      <c r="M2786" s="92">
        <f t="shared" ca="1" si="97"/>
        <v>6.25</v>
      </c>
      <c r="N2786" s="143">
        <f ca="1">(PRODUCT($O$5:$O2786)-1)*36000/_xlfn.DAYS(L2786, $C$2)</f>
        <v>9.4909862125021576</v>
      </c>
      <c r="O2786" s="149">
        <f t="shared" ca="1" si="98"/>
        <v>1.000173611111111</v>
      </c>
    </row>
    <row r="2787" spans="12:15" x14ac:dyDescent="0.25">
      <c r="L2787" s="147">
        <f ca="1"/>
        <v>48026</v>
      </c>
      <c r="M2787" s="92">
        <f t="shared" ca="1" si="97"/>
        <v>6.25</v>
      </c>
      <c r="N2787" s="143">
        <f ca="1">(PRODUCT($O$5:$O2787)-1)*36000/_xlfn.DAYS(L2787, $C$2)</f>
        <v>9.4914687954374362</v>
      </c>
      <c r="O2787" s="149">
        <f t="shared" ca="1" si="98"/>
        <v>1.000173611111111</v>
      </c>
    </row>
    <row r="2788" spans="12:15" x14ac:dyDescent="0.25">
      <c r="L2788" s="147">
        <f ca="1"/>
        <v>48027</v>
      </c>
      <c r="M2788" s="92">
        <f t="shared" ca="1" si="97"/>
        <v>6.25</v>
      </c>
      <c r="N2788" s="143">
        <f ca="1">(PRODUCT($O$5:$O2788)-1)*36000/_xlfn.DAYS(L2788, $C$2)</f>
        <v>9.4919517073021051</v>
      </c>
      <c r="O2788" s="149">
        <f t="shared" ca="1" si="98"/>
        <v>1.000173611111111</v>
      </c>
    </row>
    <row r="2789" spans="12:15" x14ac:dyDescent="0.25">
      <c r="L2789" s="147">
        <f ca="1"/>
        <v>48028</v>
      </c>
      <c r="M2789" s="92">
        <f t="shared" ca="1" si="97"/>
        <v>6.25</v>
      </c>
      <c r="N2789" s="143">
        <f ca="1">(PRODUCT($O$5:$O2789)-1)*36000/_xlfn.DAYS(L2789, $C$2)</f>
        <v>9.4924349478590955</v>
      </c>
      <c r="O2789" s="149">
        <f t="shared" ca="1" si="98"/>
        <v>1.000173611111111</v>
      </c>
    </row>
    <row r="2790" spans="12:15" x14ac:dyDescent="0.25">
      <c r="L2790" s="147">
        <f ca="1"/>
        <v>48029</v>
      </c>
      <c r="M2790" s="92">
        <f t="shared" ca="1" si="97"/>
        <v>6.25</v>
      </c>
      <c r="N2790" s="143">
        <f ca="1">(PRODUCT($O$5:$O2790)-1)*36000/_xlfn.DAYS(L2790, $C$2)</f>
        <v>9.4929185168716987</v>
      </c>
      <c r="O2790" s="149">
        <f t="shared" ca="1" si="98"/>
        <v>1.000173611111111</v>
      </c>
    </row>
    <row r="2791" spans="12:15" x14ac:dyDescent="0.25">
      <c r="L2791" s="147">
        <f ca="1"/>
        <v>48030</v>
      </c>
      <c r="M2791" s="92">
        <f t="shared" ca="1" si="97"/>
        <v>6.25</v>
      </c>
      <c r="N2791" s="143">
        <f ca="1">(PRODUCT($O$5:$O2791)-1)*36000/_xlfn.DAYS(L2791, $C$2)</f>
        <v>9.4934024141035636</v>
      </c>
      <c r="O2791" s="149">
        <f t="shared" ca="1" si="98"/>
        <v>1.000173611111111</v>
      </c>
    </row>
    <row r="2792" spans="12:15" x14ac:dyDescent="0.25">
      <c r="L2792" s="147">
        <f ca="1"/>
        <v>48031</v>
      </c>
      <c r="M2792" s="92">
        <f t="shared" ca="1" si="97"/>
        <v>6.25</v>
      </c>
      <c r="N2792" s="143">
        <f ca="1">(PRODUCT($O$5:$O2792)-1)*36000/_xlfn.DAYS(L2792, $C$2)</f>
        <v>9.4938866393186991</v>
      </c>
      <c r="O2792" s="149">
        <f t="shared" ca="1" si="98"/>
        <v>1.000173611111111</v>
      </c>
    </row>
    <row r="2793" spans="12:15" x14ac:dyDescent="0.25">
      <c r="L2793" s="147">
        <f ca="1"/>
        <v>48032</v>
      </c>
      <c r="M2793" s="92">
        <f t="shared" ca="1" si="97"/>
        <v>6.25</v>
      </c>
      <c r="N2793" s="143">
        <f ca="1">(PRODUCT($O$5:$O2793)-1)*36000/_xlfn.DAYS(L2793, $C$2)</f>
        <v>9.4943711922814753</v>
      </c>
      <c r="O2793" s="149">
        <f t="shared" ca="1" si="98"/>
        <v>1.000173611111111</v>
      </c>
    </row>
    <row r="2794" spans="12:15" x14ac:dyDescent="0.25">
      <c r="L2794" s="147">
        <f ca="1"/>
        <v>48033</v>
      </c>
      <c r="M2794" s="92">
        <f t="shared" ca="1" si="97"/>
        <v>6.25</v>
      </c>
      <c r="N2794" s="143">
        <f ca="1">(PRODUCT($O$5:$O2794)-1)*36000/_xlfn.DAYS(L2794, $C$2)</f>
        <v>9.4948560727566154</v>
      </c>
      <c r="O2794" s="149">
        <f t="shared" ca="1" si="98"/>
        <v>1.000173611111111</v>
      </c>
    </row>
    <row r="2795" spans="12:15" x14ac:dyDescent="0.25">
      <c r="L2795" s="147">
        <f ca="1"/>
        <v>48034</v>
      </c>
      <c r="M2795" s="92">
        <f t="shared" ca="1" si="97"/>
        <v>6.25</v>
      </c>
      <c r="N2795" s="143">
        <f ca="1">(PRODUCT($O$5:$O2795)-1)*36000/_xlfn.DAYS(L2795, $C$2)</f>
        <v>9.4953412805092068</v>
      </c>
      <c r="O2795" s="149">
        <f t="shared" ca="1" si="98"/>
        <v>1.000173611111111</v>
      </c>
    </row>
    <row r="2796" spans="12:15" x14ac:dyDescent="0.25">
      <c r="L2796" s="147">
        <f ca="1"/>
        <v>48035</v>
      </c>
      <c r="M2796" s="92">
        <f t="shared" ca="1" si="97"/>
        <v>6.25</v>
      </c>
      <c r="N2796" s="143">
        <f ca="1">(PRODUCT($O$5:$O2796)-1)*36000/_xlfn.DAYS(L2796, $C$2)</f>
        <v>9.4958268153046888</v>
      </c>
      <c r="O2796" s="149">
        <f t="shared" ca="1" si="98"/>
        <v>1.000173611111111</v>
      </c>
    </row>
    <row r="2797" spans="12:15" x14ac:dyDescent="0.25">
      <c r="L2797" s="147">
        <f ca="1"/>
        <v>48036</v>
      </c>
      <c r="M2797" s="92">
        <f t="shared" ca="1" si="97"/>
        <v>6.25</v>
      </c>
      <c r="N2797" s="143">
        <f ca="1">(PRODUCT($O$5:$O2797)-1)*36000/_xlfn.DAYS(L2797, $C$2)</f>
        <v>9.4963126769088557</v>
      </c>
      <c r="O2797" s="149">
        <f t="shared" ca="1" si="98"/>
        <v>1.000173611111111</v>
      </c>
    </row>
    <row r="2798" spans="12:15" x14ac:dyDescent="0.25">
      <c r="L2798" s="147">
        <f ca="1"/>
        <v>48037</v>
      </c>
      <c r="M2798" s="92">
        <f t="shared" ca="1" si="97"/>
        <v>6.25</v>
      </c>
      <c r="N2798" s="143">
        <f ca="1">(PRODUCT($O$5:$O2798)-1)*36000/_xlfn.DAYS(L2798, $C$2)</f>
        <v>9.4967988650878645</v>
      </c>
      <c r="O2798" s="149">
        <f t="shared" ca="1" si="98"/>
        <v>1.000173611111111</v>
      </c>
    </row>
    <row r="2799" spans="12:15" x14ac:dyDescent="0.25">
      <c r="L2799" s="147">
        <f ca="1"/>
        <v>48038</v>
      </c>
      <c r="M2799" s="92">
        <f t="shared" ca="1" si="97"/>
        <v>6.25</v>
      </c>
      <c r="N2799" s="143">
        <f ca="1">(PRODUCT($O$5:$O2799)-1)*36000/_xlfn.DAYS(L2799, $C$2)</f>
        <v>9.4972853796082202</v>
      </c>
      <c r="O2799" s="149">
        <f t="shared" ca="1" si="98"/>
        <v>1.000173611111111</v>
      </c>
    </row>
    <row r="2800" spans="12:15" x14ac:dyDescent="0.25">
      <c r="L2800" s="147">
        <f ca="1"/>
        <v>48039</v>
      </c>
      <c r="M2800" s="92">
        <f t="shared" ca="1" si="97"/>
        <v>6.25</v>
      </c>
      <c r="N2800" s="143">
        <f ca="1">(PRODUCT($O$5:$O2800)-1)*36000/_xlfn.DAYS(L2800, $C$2)</f>
        <v>9.4977722202367865</v>
      </c>
      <c r="O2800" s="149">
        <f t="shared" ca="1" si="98"/>
        <v>1.000173611111111</v>
      </c>
    </row>
    <row r="2801" spans="12:15" x14ac:dyDescent="0.25">
      <c r="L2801" s="147">
        <f ca="1"/>
        <v>48040</v>
      </c>
      <c r="M2801" s="92">
        <f t="shared" ca="1" si="97"/>
        <v>6.25</v>
      </c>
      <c r="N2801" s="143">
        <f ca="1">(PRODUCT($O$5:$O2801)-1)*36000/_xlfn.DAYS(L2801, $C$2)</f>
        <v>9.498259386740779</v>
      </c>
      <c r="O2801" s="149">
        <f t="shared" ca="1" si="98"/>
        <v>1.000173611111111</v>
      </c>
    </row>
    <row r="2802" spans="12:15" x14ac:dyDescent="0.25">
      <c r="L2802" s="147">
        <f ca="1"/>
        <v>48041</v>
      </c>
      <c r="M2802" s="92">
        <f t="shared" ca="1" si="97"/>
        <v>6.25</v>
      </c>
      <c r="N2802" s="143">
        <f ca="1">(PRODUCT($O$5:$O2802)-1)*36000/_xlfn.DAYS(L2802, $C$2)</f>
        <v>9.4987468788877631</v>
      </c>
      <c r="O2802" s="149">
        <f t="shared" ca="1" si="98"/>
        <v>1.000173611111111</v>
      </c>
    </row>
    <row r="2803" spans="12:15" x14ac:dyDescent="0.25">
      <c r="L2803" s="147">
        <f ca="1"/>
        <v>48042</v>
      </c>
      <c r="M2803" s="92">
        <f t="shared" ca="1" si="97"/>
        <v>6.25</v>
      </c>
      <c r="N2803" s="143">
        <f ca="1">(PRODUCT($O$5:$O2803)-1)*36000/_xlfn.DAYS(L2803, $C$2)</f>
        <v>9.4992346964456651</v>
      </c>
      <c r="O2803" s="149">
        <f t="shared" ca="1" si="98"/>
        <v>1.000173611111111</v>
      </c>
    </row>
    <row r="2804" spans="12:15" x14ac:dyDescent="0.25">
      <c r="L2804" s="147">
        <f ca="1"/>
        <v>48043</v>
      </c>
      <c r="M2804" s="92">
        <f t="shared" ca="1" si="97"/>
        <v>6.25</v>
      </c>
      <c r="N2804" s="143">
        <f ca="1">(PRODUCT($O$5:$O2804)-1)*36000/_xlfn.DAYS(L2804, $C$2)</f>
        <v>9.4997228391827555</v>
      </c>
      <c r="O2804" s="149">
        <f t="shared" ca="1" si="98"/>
        <v>1.000173611111111</v>
      </c>
    </row>
    <row r="2805" spans="12:15" x14ac:dyDescent="0.25">
      <c r="L2805" s="147">
        <f ca="1"/>
        <v>48044</v>
      </c>
      <c r="M2805" s="92">
        <f t="shared" ca="1" si="97"/>
        <v>6.25</v>
      </c>
      <c r="N2805" s="143">
        <f ca="1">(PRODUCT($O$5:$O2805)-1)*36000/_xlfn.DAYS(L2805, $C$2)</f>
        <v>9.5002113068676586</v>
      </c>
      <c r="O2805" s="149">
        <f t="shared" ca="1" si="98"/>
        <v>1.000173611111111</v>
      </c>
    </row>
    <row r="2806" spans="12:15" x14ac:dyDescent="0.25">
      <c r="L2806" s="147">
        <f ca="1"/>
        <v>48045</v>
      </c>
      <c r="M2806" s="92">
        <f t="shared" ca="1" si="97"/>
        <v>6.25</v>
      </c>
      <c r="N2806" s="143">
        <f ca="1">(PRODUCT($O$5:$O2806)-1)*36000/_xlfn.DAYS(L2806, $C$2)</f>
        <v>9.5007000992693484</v>
      </c>
      <c r="O2806" s="149">
        <f t="shared" ca="1" si="98"/>
        <v>1.000173611111111</v>
      </c>
    </row>
    <row r="2807" spans="12:15" x14ac:dyDescent="0.25">
      <c r="L2807" s="147">
        <f ca="1"/>
        <v>48046</v>
      </c>
      <c r="M2807" s="92">
        <f t="shared" ca="1" si="97"/>
        <v>6.25</v>
      </c>
      <c r="N2807" s="143">
        <f ca="1">(PRODUCT($O$5:$O2807)-1)*36000/_xlfn.DAYS(L2807, $C$2)</f>
        <v>9.5011892161571527</v>
      </c>
      <c r="O2807" s="149">
        <f t="shared" ca="1" si="98"/>
        <v>1.000173611111111</v>
      </c>
    </row>
    <row r="2808" spans="12:15" x14ac:dyDescent="0.25">
      <c r="L2808" s="147">
        <f ca="1"/>
        <v>48047</v>
      </c>
      <c r="M2808" s="92">
        <f t="shared" ca="1" si="97"/>
        <v>6.25</v>
      </c>
      <c r="N2808" s="143">
        <f ca="1">(PRODUCT($O$5:$O2808)-1)*36000/_xlfn.DAYS(L2808, $C$2)</f>
        <v>9.5016786573007437</v>
      </c>
      <c r="O2808" s="149">
        <f t="shared" ca="1" si="98"/>
        <v>1.000173611111111</v>
      </c>
    </row>
    <row r="2809" spans="12:15" x14ac:dyDescent="0.25">
      <c r="L2809" s="147">
        <f ca="1"/>
        <v>48048</v>
      </c>
      <c r="M2809" s="92">
        <f t="shared" ca="1" si="97"/>
        <v>6.25</v>
      </c>
      <c r="N2809" s="143">
        <f ca="1">(PRODUCT($O$5:$O2809)-1)*36000/_xlfn.DAYS(L2809, $C$2)</f>
        <v>9.502168422470147</v>
      </c>
      <c r="O2809" s="149">
        <f t="shared" ca="1" si="98"/>
        <v>1.000173611111111</v>
      </c>
    </row>
    <row r="2810" spans="12:15" x14ac:dyDescent="0.25">
      <c r="L2810" s="147">
        <f ca="1"/>
        <v>48049</v>
      </c>
      <c r="M2810" s="92">
        <f t="shared" ca="1" si="97"/>
        <v>6.25</v>
      </c>
      <c r="N2810" s="143">
        <f ca="1">(PRODUCT($O$5:$O2810)-1)*36000/_xlfn.DAYS(L2810, $C$2)</f>
        <v>9.5026585114357296</v>
      </c>
      <c r="O2810" s="149">
        <f t="shared" ca="1" si="98"/>
        <v>1.000173611111111</v>
      </c>
    </row>
    <row r="2811" spans="12:15" x14ac:dyDescent="0.25">
      <c r="L2811" s="147">
        <f ca="1"/>
        <v>48050</v>
      </c>
      <c r="M2811" s="92">
        <f t="shared" ca="1" si="97"/>
        <v>6.25</v>
      </c>
      <c r="N2811" s="143">
        <f ca="1">(PRODUCT($O$5:$O2811)-1)*36000/_xlfn.DAYS(L2811, $C$2)</f>
        <v>9.5031489239682116</v>
      </c>
      <c r="O2811" s="149">
        <f t="shared" ca="1" si="98"/>
        <v>1.000173611111111</v>
      </c>
    </row>
    <row r="2812" spans="12:15" x14ac:dyDescent="0.25">
      <c r="L2812" s="147">
        <f ca="1"/>
        <v>48051</v>
      </c>
      <c r="M2812" s="92">
        <f t="shared" ca="1" si="97"/>
        <v>6.25</v>
      </c>
      <c r="N2812" s="143">
        <f ca="1">(PRODUCT($O$5:$O2812)-1)*36000/_xlfn.DAYS(L2812, $C$2)</f>
        <v>9.5036396598386581</v>
      </c>
      <c r="O2812" s="149">
        <f t="shared" ca="1" si="98"/>
        <v>1.000173611111111</v>
      </c>
    </row>
    <row r="2813" spans="12:15" x14ac:dyDescent="0.25">
      <c r="L2813" s="147">
        <f ca="1"/>
        <v>48052</v>
      </c>
      <c r="M2813" s="92">
        <f t="shared" ca="1" si="97"/>
        <v>6.25</v>
      </c>
      <c r="N2813" s="143">
        <f ca="1">(PRODUCT($O$5:$O2813)-1)*36000/_xlfn.DAYS(L2813, $C$2)</f>
        <v>9.504130718818482</v>
      </c>
      <c r="O2813" s="149">
        <f t="shared" ca="1" si="98"/>
        <v>1.000173611111111</v>
      </c>
    </row>
    <row r="2814" spans="12:15" x14ac:dyDescent="0.25">
      <c r="L2814" s="147">
        <f ca="1"/>
        <v>48053</v>
      </c>
      <c r="M2814" s="92">
        <f t="shared" ca="1" si="97"/>
        <v>6.25</v>
      </c>
      <c r="N2814" s="143">
        <f ca="1">(PRODUCT($O$5:$O2814)-1)*36000/_xlfn.DAYS(L2814, $C$2)</f>
        <v>9.5046221006794411</v>
      </c>
      <c r="O2814" s="149">
        <f t="shared" ca="1" si="98"/>
        <v>1.000173611111111</v>
      </c>
    </row>
    <row r="2815" spans="12:15" x14ac:dyDescent="0.25">
      <c r="L2815" s="147">
        <f ca="1"/>
        <v>48054</v>
      </c>
      <c r="M2815" s="92">
        <f t="shared" ca="1" si="97"/>
        <v>6.25</v>
      </c>
      <c r="N2815" s="143">
        <f ca="1">(PRODUCT($O$5:$O2815)-1)*36000/_xlfn.DAYS(L2815, $C$2)</f>
        <v>9.5051138051936359</v>
      </c>
      <c r="O2815" s="149">
        <f t="shared" ca="1" si="98"/>
        <v>1.000173611111111</v>
      </c>
    </row>
    <row r="2816" spans="12:15" x14ac:dyDescent="0.25">
      <c r="L2816" s="147">
        <f ca="1"/>
        <v>48055</v>
      </c>
      <c r="M2816" s="92">
        <f t="shared" ca="1" si="97"/>
        <v>6.25</v>
      </c>
      <c r="N2816" s="143">
        <f ca="1">(PRODUCT($O$5:$O2816)-1)*36000/_xlfn.DAYS(L2816, $C$2)</f>
        <v>9.5056058321335151</v>
      </c>
      <c r="O2816" s="149">
        <f t="shared" ca="1" si="98"/>
        <v>1.000173611111111</v>
      </c>
    </row>
    <row r="2817" spans="12:15" x14ac:dyDescent="0.25">
      <c r="L2817" s="147">
        <f ca="1"/>
        <v>48056</v>
      </c>
      <c r="M2817" s="92">
        <f t="shared" ca="1" si="97"/>
        <v>6.25</v>
      </c>
      <c r="N2817" s="143">
        <f ca="1">(PRODUCT($O$5:$O2817)-1)*36000/_xlfn.DAYS(L2817, $C$2)</f>
        <v>9.5060981812718666</v>
      </c>
      <c r="O2817" s="149">
        <f t="shared" ca="1" si="98"/>
        <v>1.000173611111111</v>
      </c>
    </row>
    <row r="2818" spans="12:15" x14ac:dyDescent="0.25">
      <c r="L2818" s="147">
        <f ca="1"/>
        <v>48057</v>
      </c>
      <c r="M2818" s="92">
        <f t="shared" ca="1" si="97"/>
        <v>6.25</v>
      </c>
      <c r="N2818" s="143">
        <f ca="1">(PRODUCT($O$5:$O2818)-1)*36000/_xlfn.DAYS(L2818, $C$2)</f>
        <v>9.5065908523818283</v>
      </c>
      <c r="O2818" s="149">
        <f t="shared" ca="1" si="98"/>
        <v>1.000173611111111</v>
      </c>
    </row>
    <row r="2819" spans="12:15" x14ac:dyDescent="0.25">
      <c r="L2819" s="147">
        <f ca="1"/>
        <v>48058</v>
      </c>
      <c r="M2819" s="92">
        <f t="shared" ca="1" si="97"/>
        <v>6.25</v>
      </c>
      <c r="N2819" s="143">
        <f ca="1">(PRODUCT($O$5:$O2819)-1)*36000/_xlfn.DAYS(L2819, $C$2)</f>
        <v>9.507083845236874</v>
      </c>
      <c r="O2819" s="149">
        <f t="shared" ca="1" si="98"/>
        <v>1.000173611111111</v>
      </c>
    </row>
    <row r="2820" spans="12:15" x14ac:dyDescent="0.25">
      <c r="L2820" s="147">
        <f ca="1"/>
        <v>48059</v>
      </c>
      <c r="M2820" s="92">
        <f t="shared" ca="1" si="97"/>
        <v>6.25</v>
      </c>
      <c r="N2820" s="143">
        <f ca="1">(PRODUCT($O$5:$O2820)-1)*36000/_xlfn.DAYS(L2820, $C$2)</f>
        <v>9.5075771596108236</v>
      </c>
      <c r="O2820" s="149">
        <f t="shared" ca="1" si="98"/>
        <v>1.000173611111111</v>
      </c>
    </row>
    <row r="2821" spans="12:15" x14ac:dyDescent="0.25">
      <c r="L2821" s="147">
        <f ca="1"/>
        <v>48060</v>
      </c>
      <c r="M2821" s="92">
        <f t="shared" ref="M2821:M2884" ca="1" si="99">IFERROR(INDEX($E$27:$H$47, MATCH(L2821, $F$27:$F$47, 0), 4), IF(ISNUMBER(M2820), M2820, $C$5))</f>
        <v>6.25</v>
      </c>
      <c r="N2821" s="143">
        <f ca="1">(PRODUCT($O$5:$O2821)-1)*36000/_xlfn.DAYS(L2821, $C$2)</f>
        <v>9.5080707952778329</v>
      </c>
      <c r="O2821" s="149">
        <f t="shared" ca="1" si="98"/>
        <v>1.000173611111111</v>
      </c>
    </row>
    <row r="2822" spans="12:15" x14ac:dyDescent="0.25">
      <c r="L2822" s="147">
        <f ca="1"/>
        <v>48061</v>
      </c>
      <c r="M2822" s="92">
        <f t="shared" ca="1" si="99"/>
        <v>6.25</v>
      </c>
      <c r="N2822" s="143">
        <f ca="1">(PRODUCT($O$5:$O2822)-1)*36000/_xlfn.DAYS(L2822, $C$2)</f>
        <v>9.5085647520124095</v>
      </c>
      <c r="O2822" s="149">
        <f t="shared" ref="O2822:O2885" ca="1" si="100">1+M2822*IFERROR(_xlfn.DAYS(L2822, L2821), _xlfn.DAYS(L2822, $C$2))/36000</f>
        <v>1.000173611111111</v>
      </c>
    </row>
    <row r="2823" spans="12:15" x14ac:dyDescent="0.25">
      <c r="L2823" s="147">
        <f ca="1"/>
        <v>48062</v>
      </c>
      <c r="M2823" s="92">
        <f t="shared" ca="1" si="99"/>
        <v>6.25</v>
      </c>
      <c r="N2823" s="143">
        <f ca="1">(PRODUCT($O$5:$O2823)-1)*36000/_xlfn.DAYS(L2823, $C$2)</f>
        <v>9.5090590295893893</v>
      </c>
      <c r="O2823" s="149">
        <f t="shared" ca="1" si="100"/>
        <v>1.000173611111111</v>
      </c>
    </row>
    <row r="2824" spans="12:15" x14ac:dyDescent="0.25">
      <c r="L2824" s="147">
        <f ca="1"/>
        <v>48063</v>
      </c>
      <c r="M2824" s="92">
        <f t="shared" ca="1" si="99"/>
        <v>6.25</v>
      </c>
      <c r="N2824" s="143">
        <f ca="1">(PRODUCT($O$5:$O2824)-1)*36000/_xlfn.DAYS(L2824, $C$2)</f>
        <v>9.5095536277839532</v>
      </c>
      <c r="O2824" s="149">
        <f t="shared" ca="1" si="100"/>
        <v>1.000173611111111</v>
      </c>
    </row>
    <row r="2825" spans="12:15" x14ac:dyDescent="0.25">
      <c r="L2825" s="147">
        <f ca="1"/>
        <v>48064</v>
      </c>
      <c r="M2825" s="92">
        <f t="shared" ca="1" si="99"/>
        <v>6.25</v>
      </c>
      <c r="N2825" s="143">
        <f ca="1">(PRODUCT($O$5:$O2825)-1)*36000/_xlfn.DAYS(L2825, $C$2)</f>
        <v>9.5100485463716229</v>
      </c>
      <c r="O2825" s="149">
        <f t="shared" ca="1" si="100"/>
        <v>1.000173611111111</v>
      </c>
    </row>
    <row r="2826" spans="12:15" x14ac:dyDescent="0.25">
      <c r="L2826" s="147">
        <f ca="1"/>
        <v>48065</v>
      </c>
      <c r="M2826" s="92">
        <f t="shared" ca="1" si="99"/>
        <v>6.25</v>
      </c>
      <c r="N2826" s="143">
        <f ca="1">(PRODUCT($O$5:$O2826)-1)*36000/_xlfn.DAYS(L2826, $C$2)</f>
        <v>9.5105437851282524</v>
      </c>
      <c r="O2826" s="149">
        <f t="shared" ca="1" si="100"/>
        <v>1.000173611111111</v>
      </c>
    </row>
    <row r="2827" spans="12:15" x14ac:dyDescent="0.25">
      <c r="L2827" s="147">
        <f ca="1"/>
        <v>48066</v>
      </c>
      <c r="M2827" s="92">
        <f t="shared" ca="1" si="99"/>
        <v>6.25</v>
      </c>
      <c r="N2827" s="143">
        <f ca="1">(PRODUCT($O$5:$O2827)-1)*36000/_xlfn.DAYS(L2827, $C$2)</f>
        <v>9.5110393438300402</v>
      </c>
      <c r="O2827" s="149">
        <f t="shared" ca="1" si="100"/>
        <v>1.000173611111111</v>
      </c>
    </row>
    <row r="2828" spans="12:15" x14ac:dyDescent="0.25">
      <c r="L2828" s="147">
        <f ca="1"/>
        <v>48067</v>
      </c>
      <c r="M2828" s="92">
        <f t="shared" ca="1" si="99"/>
        <v>6.25</v>
      </c>
      <c r="N2828" s="143">
        <f ca="1">(PRODUCT($O$5:$O2828)-1)*36000/_xlfn.DAYS(L2828, $C$2)</f>
        <v>9.511535222253519</v>
      </c>
      <c r="O2828" s="149">
        <f t="shared" ca="1" si="100"/>
        <v>1.000173611111111</v>
      </c>
    </row>
    <row r="2829" spans="12:15" x14ac:dyDescent="0.25">
      <c r="L2829" s="147">
        <f ca="1"/>
        <v>48068</v>
      </c>
      <c r="M2829" s="92">
        <f t="shared" ca="1" si="99"/>
        <v>6.25</v>
      </c>
      <c r="N2829" s="143">
        <f ca="1">(PRODUCT($O$5:$O2829)-1)*36000/_xlfn.DAYS(L2829, $C$2)</f>
        <v>9.5120314201755605</v>
      </c>
      <c r="O2829" s="149">
        <f t="shared" ca="1" si="100"/>
        <v>1.000173611111111</v>
      </c>
    </row>
    <row r="2830" spans="12:15" x14ac:dyDescent="0.25">
      <c r="L2830" s="147">
        <f ca="1"/>
        <v>48069</v>
      </c>
      <c r="M2830" s="92">
        <f t="shared" ca="1" si="99"/>
        <v>6.25</v>
      </c>
      <c r="N2830" s="143">
        <f ca="1">(PRODUCT($O$5:$O2830)-1)*36000/_xlfn.DAYS(L2830, $C$2)</f>
        <v>9.5125279373733669</v>
      </c>
      <c r="O2830" s="149">
        <f t="shared" ca="1" si="100"/>
        <v>1.000173611111111</v>
      </c>
    </row>
    <row r="2831" spans="12:15" x14ac:dyDescent="0.25">
      <c r="L2831" s="147">
        <f ca="1"/>
        <v>48070</v>
      </c>
      <c r="M2831" s="92">
        <f t="shared" ca="1" si="99"/>
        <v>6.25</v>
      </c>
      <c r="N2831" s="143">
        <f ca="1">(PRODUCT($O$5:$O2831)-1)*36000/_xlfn.DAYS(L2831, $C$2)</f>
        <v>9.5130247736244797</v>
      </c>
      <c r="O2831" s="149">
        <f t="shared" ca="1" si="100"/>
        <v>1.000173611111111</v>
      </c>
    </row>
    <row r="2832" spans="12:15" x14ac:dyDescent="0.25">
      <c r="L2832" s="147">
        <f ca="1"/>
        <v>48071</v>
      </c>
      <c r="M2832" s="92">
        <f t="shared" ca="1" si="99"/>
        <v>6.25</v>
      </c>
      <c r="N2832" s="143">
        <f ca="1">(PRODUCT($O$5:$O2832)-1)*36000/_xlfn.DAYS(L2832, $C$2)</f>
        <v>9.5135219287067763</v>
      </c>
      <c r="O2832" s="149">
        <f t="shared" ca="1" si="100"/>
        <v>1.000173611111111</v>
      </c>
    </row>
    <row r="2833" spans="12:15" x14ac:dyDescent="0.25">
      <c r="L2833" s="147">
        <f ca="1"/>
        <v>48072</v>
      </c>
      <c r="M2833" s="92">
        <f t="shared" ca="1" si="99"/>
        <v>6.25</v>
      </c>
      <c r="N2833" s="143">
        <f ca="1">(PRODUCT($O$5:$O2833)-1)*36000/_xlfn.DAYS(L2833, $C$2)</f>
        <v>9.5140194023984641</v>
      </c>
      <c r="O2833" s="149">
        <f t="shared" ca="1" si="100"/>
        <v>1.000173611111111</v>
      </c>
    </row>
    <row r="2834" spans="12:15" x14ac:dyDescent="0.25">
      <c r="L2834" s="147">
        <f ca="1"/>
        <v>48073</v>
      </c>
      <c r="M2834" s="92">
        <f t="shared" ca="1" si="99"/>
        <v>6.25</v>
      </c>
      <c r="N2834" s="143">
        <f ca="1">(PRODUCT($O$5:$O2834)-1)*36000/_xlfn.DAYS(L2834, $C$2)</f>
        <v>9.5145171944780884</v>
      </c>
      <c r="O2834" s="149">
        <f t="shared" ca="1" si="100"/>
        <v>1.000173611111111</v>
      </c>
    </row>
    <row r="2835" spans="12:15" x14ac:dyDescent="0.25">
      <c r="L2835" s="147">
        <f ca="1"/>
        <v>48074</v>
      </c>
      <c r="M2835" s="92">
        <f t="shared" ca="1" si="99"/>
        <v>6.25</v>
      </c>
      <c r="N2835" s="143">
        <f ca="1">(PRODUCT($O$5:$O2835)-1)*36000/_xlfn.DAYS(L2835, $C$2)</f>
        <v>9.5150153047245265</v>
      </c>
      <c r="O2835" s="149">
        <f t="shared" ca="1" si="100"/>
        <v>1.000173611111111</v>
      </c>
    </row>
    <row r="2836" spans="12:15" x14ac:dyDescent="0.25">
      <c r="L2836" s="147">
        <f ca="1"/>
        <v>48075</v>
      </c>
      <c r="M2836" s="92">
        <f t="shared" ca="1" si="99"/>
        <v>6.25</v>
      </c>
      <c r="N2836" s="143">
        <f ca="1">(PRODUCT($O$5:$O2836)-1)*36000/_xlfn.DAYS(L2836, $C$2)</f>
        <v>9.5155137329169861</v>
      </c>
      <c r="O2836" s="149">
        <f t="shared" ca="1" si="100"/>
        <v>1.000173611111111</v>
      </c>
    </row>
    <row r="2837" spans="12:15" x14ac:dyDescent="0.25">
      <c r="L2837" s="147">
        <f ca="1"/>
        <v>48076</v>
      </c>
      <c r="M2837" s="92">
        <f t="shared" ca="1" si="99"/>
        <v>6.25</v>
      </c>
      <c r="N2837" s="143">
        <f ca="1">(PRODUCT($O$5:$O2837)-1)*36000/_xlfn.DAYS(L2837, $C$2)</f>
        <v>9.5160124788350107</v>
      </c>
      <c r="O2837" s="149">
        <f t="shared" ca="1" si="100"/>
        <v>1.000173611111111</v>
      </c>
    </row>
    <row r="2838" spans="12:15" x14ac:dyDescent="0.25">
      <c r="L2838" s="147">
        <f ca="1"/>
        <v>48077</v>
      </c>
      <c r="M2838" s="92">
        <f t="shared" ca="1" si="99"/>
        <v>6.25</v>
      </c>
      <c r="N2838" s="143">
        <f ca="1">(PRODUCT($O$5:$O2838)-1)*36000/_xlfn.DAYS(L2838, $C$2)</f>
        <v>9.5165115422584705</v>
      </c>
      <c r="O2838" s="149">
        <f t="shared" ca="1" si="100"/>
        <v>1.000173611111111</v>
      </c>
    </row>
    <row r="2839" spans="12:15" x14ac:dyDescent="0.25">
      <c r="L2839" s="147">
        <f ca="1"/>
        <v>48078</v>
      </c>
      <c r="M2839" s="92">
        <f t="shared" ca="1" si="99"/>
        <v>6.25</v>
      </c>
      <c r="N2839" s="143">
        <f ca="1">(PRODUCT($O$5:$O2839)-1)*36000/_xlfn.DAYS(L2839, $C$2)</f>
        <v>9.5170109229675699</v>
      </c>
      <c r="O2839" s="149">
        <f t="shared" ca="1" si="100"/>
        <v>1.000173611111111</v>
      </c>
    </row>
    <row r="2840" spans="12:15" x14ac:dyDescent="0.25">
      <c r="L2840" s="147">
        <f ca="1"/>
        <v>48079</v>
      </c>
      <c r="M2840" s="92">
        <f t="shared" ca="1" si="99"/>
        <v>6.25</v>
      </c>
      <c r="N2840" s="143">
        <f ca="1">(PRODUCT($O$5:$O2840)-1)*36000/_xlfn.DAYS(L2840, $C$2)</f>
        <v>9.5175106207428435</v>
      </c>
      <c r="O2840" s="149">
        <f t="shared" ca="1" si="100"/>
        <v>1.000173611111111</v>
      </c>
    </row>
    <row r="2841" spans="12:15" x14ac:dyDescent="0.25">
      <c r="L2841" s="147">
        <f ca="1"/>
        <v>48080</v>
      </c>
      <c r="M2841" s="92">
        <f t="shared" ca="1" si="99"/>
        <v>6.25</v>
      </c>
      <c r="N2841" s="143">
        <f ca="1">(PRODUCT($O$5:$O2841)-1)*36000/_xlfn.DAYS(L2841, $C$2)</f>
        <v>9.5180106353651528</v>
      </c>
      <c r="O2841" s="149">
        <f t="shared" ca="1" si="100"/>
        <v>1.000173611111111</v>
      </c>
    </row>
    <row r="2842" spans="12:15" x14ac:dyDescent="0.25">
      <c r="L2842" s="147">
        <f ca="1"/>
        <v>48081</v>
      </c>
      <c r="M2842" s="92">
        <f t="shared" ca="1" si="99"/>
        <v>6.25</v>
      </c>
      <c r="N2842" s="143">
        <f ca="1">(PRODUCT($O$5:$O2842)-1)*36000/_xlfn.DAYS(L2842, $C$2)</f>
        <v>9.5185109666156915</v>
      </c>
      <c r="O2842" s="149">
        <f t="shared" ca="1" si="100"/>
        <v>1.000173611111111</v>
      </c>
    </row>
    <row r="2843" spans="12:15" x14ac:dyDescent="0.25">
      <c r="L2843" s="147">
        <f ca="1"/>
        <v>48082</v>
      </c>
      <c r="M2843" s="92">
        <f t="shared" ca="1" si="99"/>
        <v>6.25</v>
      </c>
      <c r="N2843" s="143">
        <f ca="1">(PRODUCT($O$5:$O2843)-1)*36000/_xlfn.DAYS(L2843, $C$2)</f>
        <v>9.5190116142759784</v>
      </c>
      <c r="O2843" s="149">
        <f t="shared" ca="1" si="100"/>
        <v>1.000173611111111</v>
      </c>
    </row>
    <row r="2844" spans="12:15" x14ac:dyDescent="0.25">
      <c r="L2844" s="147">
        <f ca="1"/>
        <v>48083</v>
      </c>
      <c r="M2844" s="92">
        <f t="shared" ca="1" si="99"/>
        <v>6.25</v>
      </c>
      <c r="N2844" s="143">
        <f ca="1">(PRODUCT($O$5:$O2844)-1)*36000/_xlfn.DAYS(L2844, $C$2)</f>
        <v>9.5195125781278627</v>
      </c>
      <c r="O2844" s="149">
        <f t="shared" ca="1" si="100"/>
        <v>1.000173611111111</v>
      </c>
    </row>
    <row r="2845" spans="12:15" x14ac:dyDescent="0.25">
      <c r="L2845" s="147">
        <f ca="1"/>
        <v>48084</v>
      </c>
      <c r="M2845" s="92">
        <f t="shared" ca="1" si="99"/>
        <v>6.25</v>
      </c>
      <c r="N2845" s="143">
        <f ca="1">(PRODUCT($O$5:$O2845)-1)*36000/_xlfn.DAYS(L2845, $C$2)</f>
        <v>9.5200138579535203</v>
      </c>
      <c r="O2845" s="149">
        <f t="shared" ca="1" si="100"/>
        <v>1.000173611111111</v>
      </c>
    </row>
    <row r="2846" spans="12:15" x14ac:dyDescent="0.25">
      <c r="L2846" s="147">
        <f ca="1"/>
        <v>48085</v>
      </c>
      <c r="M2846" s="92">
        <f t="shared" ca="1" si="99"/>
        <v>6.25</v>
      </c>
      <c r="N2846" s="143">
        <f ca="1">(PRODUCT($O$5:$O2846)-1)*36000/_xlfn.DAYS(L2846, $C$2)</f>
        <v>9.5205154535354541</v>
      </c>
      <c r="O2846" s="149">
        <f t="shared" ca="1" si="100"/>
        <v>1.000173611111111</v>
      </c>
    </row>
    <row r="2847" spans="12:15" x14ac:dyDescent="0.25">
      <c r="L2847" s="147">
        <f ca="1"/>
        <v>48086</v>
      </c>
      <c r="M2847" s="92">
        <f t="shared" ca="1" si="99"/>
        <v>6.25</v>
      </c>
      <c r="N2847" s="143">
        <f ca="1">(PRODUCT($O$5:$O2847)-1)*36000/_xlfn.DAYS(L2847, $C$2)</f>
        <v>9.5210173646564922</v>
      </c>
      <c r="O2847" s="149">
        <f t="shared" ca="1" si="100"/>
        <v>1.000173611111111</v>
      </c>
    </row>
    <row r="2848" spans="12:15" x14ac:dyDescent="0.25">
      <c r="L2848" s="147">
        <f ca="1"/>
        <v>48087</v>
      </c>
      <c r="M2848" s="92">
        <f t="shared" ca="1" si="99"/>
        <v>6.25</v>
      </c>
      <c r="N2848" s="143">
        <f ca="1">(PRODUCT($O$5:$O2848)-1)*36000/_xlfn.DAYS(L2848, $C$2)</f>
        <v>9.5215195910997892</v>
      </c>
      <c r="O2848" s="149">
        <f t="shared" ca="1" si="100"/>
        <v>1.000173611111111</v>
      </c>
    </row>
    <row r="2849" spans="12:15" x14ac:dyDescent="0.25">
      <c r="L2849" s="147">
        <f ca="1"/>
        <v>48088</v>
      </c>
      <c r="M2849" s="92">
        <f t="shared" ca="1" si="99"/>
        <v>6.25</v>
      </c>
      <c r="N2849" s="143">
        <f ca="1">(PRODUCT($O$5:$O2849)-1)*36000/_xlfn.DAYS(L2849, $C$2)</f>
        <v>9.5220221326488232</v>
      </c>
      <c r="O2849" s="149">
        <f t="shared" ca="1" si="100"/>
        <v>1.000173611111111</v>
      </c>
    </row>
    <row r="2850" spans="12:15" x14ac:dyDescent="0.25">
      <c r="L2850" s="147">
        <f ca="1"/>
        <v>48089</v>
      </c>
      <c r="M2850" s="92">
        <f t="shared" ca="1" si="99"/>
        <v>6.25</v>
      </c>
      <c r="N2850" s="143">
        <f ca="1">(PRODUCT($O$5:$O2850)-1)*36000/_xlfn.DAYS(L2850, $C$2)</f>
        <v>9.5225249890873975</v>
      </c>
      <c r="O2850" s="149">
        <f t="shared" ca="1" si="100"/>
        <v>1.000173611111111</v>
      </c>
    </row>
    <row r="2851" spans="12:15" x14ac:dyDescent="0.25">
      <c r="L2851" s="147">
        <f ca="1"/>
        <v>48090</v>
      </c>
      <c r="M2851" s="92">
        <f t="shared" ca="1" si="99"/>
        <v>6.25</v>
      </c>
      <c r="N2851" s="143">
        <f ca="1">(PRODUCT($O$5:$O2851)-1)*36000/_xlfn.DAYS(L2851, $C$2)</f>
        <v>9.5230281601996403</v>
      </c>
      <c r="O2851" s="149">
        <f t="shared" ca="1" si="100"/>
        <v>1.000173611111111</v>
      </c>
    </row>
    <row r="2852" spans="12:15" x14ac:dyDescent="0.25">
      <c r="L2852" s="147">
        <f ca="1"/>
        <v>48091</v>
      </c>
      <c r="M2852" s="92">
        <f t="shared" ca="1" si="99"/>
        <v>6.25</v>
      </c>
      <c r="N2852" s="143">
        <f ca="1">(PRODUCT($O$5:$O2852)-1)*36000/_xlfn.DAYS(L2852, $C$2)</f>
        <v>9.523531645770003</v>
      </c>
      <c r="O2852" s="149">
        <f t="shared" ca="1" si="100"/>
        <v>1.000173611111111</v>
      </c>
    </row>
    <row r="2853" spans="12:15" x14ac:dyDescent="0.25">
      <c r="L2853" s="147">
        <f ca="1"/>
        <v>48092</v>
      </c>
      <c r="M2853" s="92">
        <f t="shared" ca="1" si="99"/>
        <v>6.25</v>
      </c>
      <c r="N2853" s="143">
        <f ca="1">(PRODUCT($O$5:$O2853)-1)*36000/_xlfn.DAYS(L2853, $C$2)</f>
        <v>9.5240354455832588</v>
      </c>
      <c r="O2853" s="149">
        <f t="shared" ca="1" si="100"/>
        <v>1.000173611111111</v>
      </c>
    </row>
    <row r="2854" spans="12:15" x14ac:dyDescent="0.25">
      <c r="L2854" s="147">
        <f ca="1"/>
        <v>48093</v>
      </c>
      <c r="M2854" s="92">
        <f t="shared" ca="1" si="99"/>
        <v>6.25</v>
      </c>
      <c r="N2854" s="143">
        <f ca="1">(PRODUCT($O$5:$O2854)-1)*36000/_xlfn.DAYS(L2854, $C$2)</f>
        <v>9.5245395594245039</v>
      </c>
      <c r="O2854" s="149">
        <f t="shared" ca="1" si="100"/>
        <v>1.000173611111111</v>
      </c>
    </row>
    <row r="2855" spans="12:15" x14ac:dyDescent="0.25">
      <c r="L2855" s="147">
        <f ca="1"/>
        <v>48094</v>
      </c>
      <c r="M2855" s="92">
        <f t="shared" ca="1" si="99"/>
        <v>6.25</v>
      </c>
      <c r="N2855" s="143">
        <f ca="1">(PRODUCT($O$5:$O2855)-1)*36000/_xlfn.DAYS(L2855, $C$2)</f>
        <v>9.5250439870791546</v>
      </c>
      <c r="O2855" s="149">
        <f t="shared" ca="1" si="100"/>
        <v>1.000173611111111</v>
      </c>
    </row>
    <row r="2856" spans="12:15" x14ac:dyDescent="0.25">
      <c r="L2856" s="147">
        <f ca="1"/>
        <v>48095</v>
      </c>
      <c r="M2856" s="92">
        <f t="shared" ca="1" si="99"/>
        <v>6.25</v>
      </c>
      <c r="N2856" s="143">
        <f ca="1">(PRODUCT($O$5:$O2856)-1)*36000/_xlfn.DAYS(L2856, $C$2)</f>
        <v>9.5255487283329501</v>
      </c>
      <c r="O2856" s="149">
        <f t="shared" ca="1" si="100"/>
        <v>1.000173611111111</v>
      </c>
    </row>
    <row r="2857" spans="12:15" x14ac:dyDescent="0.25">
      <c r="L2857" s="147">
        <f ca="1"/>
        <v>48096</v>
      </c>
      <c r="M2857" s="92">
        <f t="shared" ca="1" si="99"/>
        <v>6.25</v>
      </c>
      <c r="N2857" s="143">
        <f ca="1">(PRODUCT($O$5:$O2857)-1)*36000/_xlfn.DAYS(L2857, $C$2)</f>
        <v>9.5260537829719478</v>
      </c>
      <c r="O2857" s="149">
        <f t="shared" ca="1" si="100"/>
        <v>1.000173611111111</v>
      </c>
    </row>
    <row r="2858" spans="12:15" x14ac:dyDescent="0.25">
      <c r="L2858" s="147">
        <f ca="1"/>
        <v>48097</v>
      </c>
      <c r="M2858" s="92">
        <f t="shared" ca="1" si="99"/>
        <v>6.25</v>
      </c>
      <c r="N2858" s="143">
        <f ca="1">(PRODUCT($O$5:$O2858)-1)*36000/_xlfn.DAYS(L2858, $C$2)</f>
        <v>9.5265591507825302</v>
      </c>
      <c r="O2858" s="149">
        <f t="shared" ca="1" si="100"/>
        <v>1.000173611111111</v>
      </c>
    </row>
    <row r="2859" spans="12:15" x14ac:dyDescent="0.25">
      <c r="L2859" s="147">
        <f ca="1"/>
        <v>48098</v>
      </c>
      <c r="M2859" s="92">
        <f t="shared" ca="1" si="99"/>
        <v>6.25</v>
      </c>
      <c r="N2859" s="143">
        <f ca="1">(PRODUCT($O$5:$O2859)-1)*36000/_xlfn.DAYS(L2859, $C$2)</f>
        <v>9.5270648315513924</v>
      </c>
      <c r="O2859" s="149">
        <f t="shared" ca="1" si="100"/>
        <v>1.000173611111111</v>
      </c>
    </row>
    <row r="2860" spans="12:15" x14ac:dyDescent="0.25">
      <c r="L2860" s="147">
        <f ca="1"/>
        <v>48099</v>
      </c>
      <c r="M2860" s="92">
        <f t="shared" ca="1" si="99"/>
        <v>6.25</v>
      </c>
      <c r="N2860" s="143">
        <f ca="1">(PRODUCT($O$5:$O2860)-1)*36000/_xlfn.DAYS(L2860, $C$2)</f>
        <v>9.5275708250655526</v>
      </c>
      <c r="O2860" s="149">
        <f t="shared" ca="1" si="100"/>
        <v>1.000173611111111</v>
      </c>
    </row>
    <row r="2861" spans="12:15" x14ac:dyDescent="0.25">
      <c r="L2861" s="147">
        <f ca="1"/>
        <v>48100</v>
      </c>
      <c r="M2861" s="92">
        <f t="shared" ca="1" si="99"/>
        <v>6.25</v>
      </c>
      <c r="N2861" s="143">
        <f ca="1">(PRODUCT($O$5:$O2861)-1)*36000/_xlfn.DAYS(L2861, $C$2)</f>
        <v>9.5280771311123473</v>
      </c>
      <c r="O2861" s="149">
        <f t="shared" ca="1" si="100"/>
        <v>1.000173611111111</v>
      </c>
    </row>
    <row r="2862" spans="12:15" x14ac:dyDescent="0.25">
      <c r="L2862" s="147">
        <f ca="1"/>
        <v>48101</v>
      </c>
      <c r="M2862" s="92">
        <f t="shared" ca="1" si="99"/>
        <v>6.25</v>
      </c>
      <c r="N2862" s="143">
        <f ca="1">(PRODUCT($O$5:$O2862)-1)*36000/_xlfn.DAYS(L2862, $C$2)</f>
        <v>9.5285837494794272</v>
      </c>
      <c r="O2862" s="149">
        <f t="shared" ca="1" si="100"/>
        <v>1.000173611111111</v>
      </c>
    </row>
    <row r="2863" spans="12:15" x14ac:dyDescent="0.25">
      <c r="L2863" s="147">
        <f ca="1"/>
        <v>48102</v>
      </c>
      <c r="M2863" s="92">
        <f t="shared" ca="1" si="99"/>
        <v>6.25</v>
      </c>
      <c r="N2863" s="143">
        <f ca="1">(PRODUCT($O$5:$O2863)-1)*36000/_xlfn.DAYS(L2863, $C$2)</f>
        <v>9.5290906799547628</v>
      </c>
      <c r="O2863" s="149">
        <f t="shared" ca="1" si="100"/>
        <v>1.000173611111111</v>
      </c>
    </row>
    <row r="2864" spans="12:15" x14ac:dyDescent="0.25">
      <c r="L2864" s="147">
        <f ca="1"/>
        <v>48103</v>
      </c>
      <c r="M2864" s="92">
        <f t="shared" ca="1" si="99"/>
        <v>6.25</v>
      </c>
      <c r="N2864" s="143">
        <f ca="1">(PRODUCT($O$5:$O2864)-1)*36000/_xlfn.DAYS(L2864, $C$2)</f>
        <v>9.5295979223266443</v>
      </c>
      <c r="O2864" s="149">
        <f t="shared" ca="1" si="100"/>
        <v>1.000173611111111</v>
      </c>
    </row>
    <row r="2865" spans="12:15" x14ac:dyDescent="0.25">
      <c r="L2865" s="147">
        <f ca="1"/>
        <v>48104</v>
      </c>
      <c r="M2865" s="92">
        <f t="shared" ca="1" si="99"/>
        <v>6.25</v>
      </c>
      <c r="N2865" s="143">
        <f ca="1">(PRODUCT($O$5:$O2865)-1)*36000/_xlfn.DAYS(L2865, $C$2)</f>
        <v>9.5301054763836728</v>
      </c>
      <c r="O2865" s="149">
        <f t="shared" ca="1" si="100"/>
        <v>1.000173611111111</v>
      </c>
    </row>
    <row r="2866" spans="12:15" x14ac:dyDescent="0.25">
      <c r="L2866" s="147">
        <f ca="1"/>
        <v>48105</v>
      </c>
      <c r="M2866" s="92">
        <f t="shared" ca="1" si="99"/>
        <v>6.25</v>
      </c>
      <c r="N2866" s="143">
        <f ca="1">(PRODUCT($O$5:$O2866)-1)*36000/_xlfn.DAYS(L2866, $C$2)</f>
        <v>9.5306133419147674</v>
      </c>
      <c r="O2866" s="149">
        <f t="shared" ca="1" si="100"/>
        <v>1.000173611111111</v>
      </c>
    </row>
    <row r="2867" spans="12:15" x14ac:dyDescent="0.25">
      <c r="L2867" s="147">
        <f ca="1"/>
        <v>48106</v>
      </c>
      <c r="M2867" s="92">
        <f t="shared" ca="1" si="99"/>
        <v>6.25</v>
      </c>
      <c r="N2867" s="143">
        <f ca="1">(PRODUCT($O$5:$O2867)-1)*36000/_xlfn.DAYS(L2867, $C$2)</f>
        <v>9.5311215187091616</v>
      </c>
      <c r="O2867" s="149">
        <f t="shared" ca="1" si="100"/>
        <v>1.000173611111111</v>
      </c>
    </row>
    <row r="2868" spans="12:15" x14ac:dyDescent="0.25">
      <c r="L2868" s="147">
        <f ca="1"/>
        <v>48107</v>
      </c>
      <c r="M2868" s="92">
        <f t="shared" ca="1" si="99"/>
        <v>6.25</v>
      </c>
      <c r="N2868" s="143">
        <f ca="1">(PRODUCT($O$5:$O2868)-1)*36000/_xlfn.DAYS(L2868, $C$2)</f>
        <v>9.5316300065563979</v>
      </c>
      <c r="O2868" s="149">
        <f t="shared" ca="1" si="100"/>
        <v>1.000173611111111</v>
      </c>
    </row>
    <row r="2869" spans="12:15" x14ac:dyDescent="0.25">
      <c r="L2869" s="147">
        <f ca="1"/>
        <v>48108</v>
      </c>
      <c r="M2869" s="92">
        <f t="shared" ca="1" si="99"/>
        <v>6.25</v>
      </c>
      <c r="N2869" s="143">
        <f ca="1">(PRODUCT($O$5:$O2869)-1)*36000/_xlfn.DAYS(L2869, $C$2)</f>
        <v>9.5321388052463458</v>
      </c>
      <c r="O2869" s="149">
        <f t="shared" ca="1" si="100"/>
        <v>1.000173611111111</v>
      </c>
    </row>
    <row r="2870" spans="12:15" x14ac:dyDescent="0.25">
      <c r="L2870" s="147">
        <f ca="1"/>
        <v>48109</v>
      </c>
      <c r="M2870" s="92">
        <f t="shared" ca="1" si="99"/>
        <v>6.25</v>
      </c>
      <c r="N2870" s="143">
        <f ca="1">(PRODUCT($O$5:$O2870)-1)*36000/_xlfn.DAYS(L2870, $C$2)</f>
        <v>9.5326479145691767</v>
      </c>
      <c r="O2870" s="149">
        <f t="shared" ca="1" si="100"/>
        <v>1.000173611111111</v>
      </c>
    </row>
    <row r="2871" spans="12:15" x14ac:dyDescent="0.25">
      <c r="L2871" s="147">
        <f ca="1"/>
        <v>48110</v>
      </c>
      <c r="M2871" s="92">
        <f t="shared" ca="1" si="99"/>
        <v>6.25</v>
      </c>
      <c r="N2871" s="143">
        <f ca="1">(PRODUCT($O$5:$O2871)-1)*36000/_xlfn.DAYS(L2871, $C$2)</f>
        <v>9.5331573343153782</v>
      </c>
      <c r="O2871" s="149">
        <f t="shared" ca="1" si="100"/>
        <v>1.000173611111111</v>
      </c>
    </row>
    <row r="2872" spans="12:15" x14ac:dyDescent="0.25">
      <c r="L2872" s="147">
        <f ca="1"/>
        <v>48111</v>
      </c>
      <c r="M2872" s="92">
        <f t="shared" ca="1" si="99"/>
        <v>6.25</v>
      </c>
      <c r="N2872" s="143">
        <f ca="1">(PRODUCT($O$5:$O2872)-1)*36000/_xlfn.DAYS(L2872, $C$2)</f>
        <v>9.5336670642757539</v>
      </c>
      <c r="O2872" s="149">
        <f t="shared" ca="1" si="100"/>
        <v>1.000173611111111</v>
      </c>
    </row>
    <row r="2873" spans="12:15" x14ac:dyDescent="0.25">
      <c r="L2873" s="147">
        <f ca="1"/>
        <v>48112</v>
      </c>
      <c r="M2873" s="92">
        <f t="shared" ca="1" si="99"/>
        <v>6.25</v>
      </c>
      <c r="N2873" s="143">
        <f ca="1">(PRODUCT($O$5:$O2873)-1)*36000/_xlfn.DAYS(L2873, $C$2)</f>
        <v>9.5341771042414099</v>
      </c>
      <c r="O2873" s="149">
        <f t="shared" ca="1" si="100"/>
        <v>1.000173611111111</v>
      </c>
    </row>
    <row r="2874" spans="12:15" x14ac:dyDescent="0.25">
      <c r="L2874" s="147">
        <f ca="1"/>
        <v>48113</v>
      </c>
      <c r="M2874" s="92">
        <f t="shared" ca="1" si="99"/>
        <v>6.25</v>
      </c>
      <c r="N2874" s="143">
        <f ca="1">(PRODUCT($O$5:$O2874)-1)*36000/_xlfn.DAYS(L2874, $C$2)</f>
        <v>9.5346874540037749</v>
      </c>
      <c r="O2874" s="149">
        <f t="shared" ca="1" si="100"/>
        <v>1.000173611111111</v>
      </c>
    </row>
    <row r="2875" spans="12:15" x14ac:dyDescent="0.25">
      <c r="L2875" s="147">
        <f ca="1"/>
        <v>48114</v>
      </c>
      <c r="M2875" s="92">
        <f t="shared" ca="1" si="99"/>
        <v>6.25</v>
      </c>
      <c r="N2875" s="143">
        <f ca="1">(PRODUCT($O$5:$O2875)-1)*36000/_xlfn.DAYS(L2875, $C$2)</f>
        <v>9.535198113354582</v>
      </c>
      <c r="O2875" s="149">
        <f t="shared" ca="1" si="100"/>
        <v>1.000173611111111</v>
      </c>
    </row>
    <row r="2876" spans="12:15" x14ac:dyDescent="0.25">
      <c r="L2876" s="147">
        <f ca="1"/>
        <v>48115</v>
      </c>
      <c r="M2876" s="92">
        <f t="shared" ca="1" si="99"/>
        <v>6.25</v>
      </c>
      <c r="N2876" s="143">
        <f ca="1">(PRODUCT($O$5:$O2876)-1)*36000/_xlfn.DAYS(L2876, $C$2)</f>
        <v>9.5357090820858694</v>
      </c>
      <c r="O2876" s="149">
        <f t="shared" ca="1" si="100"/>
        <v>1.000173611111111</v>
      </c>
    </row>
    <row r="2877" spans="12:15" x14ac:dyDescent="0.25">
      <c r="L2877" s="147">
        <f ca="1"/>
        <v>48116</v>
      </c>
      <c r="M2877" s="92">
        <f t="shared" ca="1" si="99"/>
        <v>6.25</v>
      </c>
      <c r="N2877" s="143">
        <f ca="1">(PRODUCT($O$5:$O2877)-1)*36000/_xlfn.DAYS(L2877, $C$2)</f>
        <v>9.5362203599899988</v>
      </c>
      <c r="O2877" s="149">
        <f t="shared" ca="1" si="100"/>
        <v>1.000173611111111</v>
      </c>
    </row>
    <row r="2878" spans="12:15" x14ac:dyDescent="0.25">
      <c r="L2878" s="147">
        <f ca="1"/>
        <v>48117</v>
      </c>
      <c r="M2878" s="92">
        <f t="shared" ca="1" si="99"/>
        <v>6.25</v>
      </c>
      <c r="N2878" s="143">
        <f ca="1">(PRODUCT($O$5:$O2878)-1)*36000/_xlfn.DAYS(L2878, $C$2)</f>
        <v>9.5367319468596268</v>
      </c>
      <c r="O2878" s="149">
        <f t="shared" ca="1" si="100"/>
        <v>1.000173611111111</v>
      </c>
    </row>
    <row r="2879" spans="12:15" x14ac:dyDescent="0.25">
      <c r="L2879" s="147">
        <f ca="1"/>
        <v>48118</v>
      </c>
      <c r="M2879" s="92">
        <f t="shared" ca="1" si="99"/>
        <v>6.25</v>
      </c>
      <c r="N2879" s="143">
        <f ca="1">(PRODUCT($O$5:$O2879)-1)*36000/_xlfn.DAYS(L2879, $C$2)</f>
        <v>9.5372438424877277</v>
      </c>
      <c r="O2879" s="149">
        <f t="shared" ca="1" si="100"/>
        <v>1.000173611111111</v>
      </c>
    </row>
    <row r="2880" spans="12:15" x14ac:dyDescent="0.25">
      <c r="L2880" s="147">
        <f ca="1"/>
        <v>48119</v>
      </c>
      <c r="M2880" s="92">
        <f t="shared" ca="1" si="99"/>
        <v>6.25</v>
      </c>
      <c r="N2880" s="143">
        <f ca="1">(PRODUCT($O$5:$O2880)-1)*36000/_xlfn.DAYS(L2880, $C$2)</f>
        <v>9.5377560466675764</v>
      </c>
      <c r="O2880" s="149">
        <f t="shared" ca="1" si="100"/>
        <v>1.000173611111111</v>
      </c>
    </row>
    <row r="2881" spans="12:15" x14ac:dyDescent="0.25">
      <c r="L2881" s="147">
        <f ca="1"/>
        <v>48120</v>
      </c>
      <c r="M2881" s="92">
        <f t="shared" ca="1" si="99"/>
        <v>6.25</v>
      </c>
      <c r="N2881" s="143">
        <f ca="1">(PRODUCT($O$5:$O2881)-1)*36000/_xlfn.DAYS(L2881, $C$2)</f>
        <v>9.5382685591927618</v>
      </c>
      <c r="O2881" s="149">
        <f t="shared" ca="1" si="100"/>
        <v>1.000173611111111</v>
      </c>
    </row>
    <row r="2882" spans="12:15" x14ac:dyDescent="0.25">
      <c r="L2882" s="147">
        <f ca="1"/>
        <v>48121</v>
      </c>
      <c r="M2882" s="92">
        <f t="shared" ca="1" si="99"/>
        <v>6.25</v>
      </c>
      <c r="N2882" s="143">
        <f ca="1">(PRODUCT($O$5:$O2882)-1)*36000/_xlfn.DAYS(L2882, $C$2)</f>
        <v>9.5387813798571788</v>
      </c>
      <c r="O2882" s="149">
        <f t="shared" ca="1" si="100"/>
        <v>1.000173611111111</v>
      </c>
    </row>
    <row r="2883" spans="12:15" x14ac:dyDescent="0.25">
      <c r="L2883" s="147">
        <f ca="1"/>
        <v>48122</v>
      </c>
      <c r="M2883" s="92">
        <f t="shared" ca="1" si="99"/>
        <v>6.25</v>
      </c>
      <c r="N2883" s="143">
        <f ca="1">(PRODUCT($O$5:$O2883)-1)*36000/_xlfn.DAYS(L2883, $C$2)</f>
        <v>9.5392945084550238</v>
      </c>
      <c r="O2883" s="149">
        <f t="shared" ca="1" si="100"/>
        <v>1.000173611111111</v>
      </c>
    </row>
    <row r="2884" spans="12:15" x14ac:dyDescent="0.25">
      <c r="L2884" s="147">
        <f ca="1"/>
        <v>48123</v>
      </c>
      <c r="M2884" s="92">
        <f t="shared" ca="1" si="99"/>
        <v>6.25</v>
      </c>
      <c r="N2884" s="143">
        <f ca="1">(PRODUCT($O$5:$O2884)-1)*36000/_xlfn.DAYS(L2884, $C$2)</f>
        <v>9.5398079447808026</v>
      </c>
      <c r="O2884" s="149">
        <f t="shared" ca="1" si="100"/>
        <v>1.000173611111111</v>
      </c>
    </row>
    <row r="2885" spans="12:15" x14ac:dyDescent="0.25">
      <c r="L2885" s="147">
        <f ca="1"/>
        <v>48124</v>
      </c>
      <c r="M2885" s="92">
        <f t="shared" ref="M2885:M2948" ca="1" si="101">IFERROR(INDEX($E$27:$H$47, MATCH(L2885, $F$27:$F$47, 0), 4), IF(ISNUMBER(M2884), M2884, $C$5))</f>
        <v>6.25</v>
      </c>
      <c r="N2885" s="143">
        <f ca="1">(PRODUCT($O$5:$O2885)-1)*36000/_xlfn.DAYS(L2885, $C$2)</f>
        <v>9.5403216886293301</v>
      </c>
      <c r="O2885" s="149">
        <f t="shared" ca="1" si="100"/>
        <v>1.000173611111111</v>
      </c>
    </row>
    <row r="2886" spans="12:15" x14ac:dyDescent="0.25">
      <c r="L2886" s="147">
        <f ca="1"/>
        <v>48125</v>
      </c>
      <c r="M2886" s="92">
        <f t="shared" ca="1" si="101"/>
        <v>6.25</v>
      </c>
      <c r="N2886" s="143">
        <f ca="1">(PRODUCT($O$5:$O2886)-1)*36000/_xlfn.DAYS(L2886, $C$2)</f>
        <v>9.5408357397957175</v>
      </c>
      <c r="O2886" s="149">
        <f t="shared" ref="O2886:O2949" ca="1" si="102">1+M2886*IFERROR(_xlfn.DAYS(L2886, L2885), _xlfn.DAYS(L2886, $C$2))/36000</f>
        <v>1.000173611111111</v>
      </c>
    </row>
    <row r="2887" spans="12:15" x14ac:dyDescent="0.25">
      <c r="L2887" s="147">
        <f ca="1"/>
        <v>48126</v>
      </c>
      <c r="M2887" s="92">
        <f t="shared" ca="1" si="101"/>
        <v>6.25</v>
      </c>
      <c r="N2887" s="143">
        <f ca="1">(PRODUCT($O$5:$O2887)-1)*36000/_xlfn.DAYS(L2887, $C$2)</f>
        <v>9.5413500980753838</v>
      </c>
      <c r="O2887" s="149">
        <f t="shared" ca="1" si="102"/>
        <v>1.000173611111111</v>
      </c>
    </row>
    <row r="2888" spans="12:15" x14ac:dyDescent="0.25">
      <c r="L2888" s="147">
        <f ca="1"/>
        <v>48127</v>
      </c>
      <c r="M2888" s="92">
        <f t="shared" ca="1" si="101"/>
        <v>6.25</v>
      </c>
      <c r="N2888" s="143">
        <f ca="1">(PRODUCT($O$5:$O2888)-1)*36000/_xlfn.DAYS(L2888, $C$2)</f>
        <v>9.5418647632640585</v>
      </c>
      <c r="O2888" s="149">
        <f t="shared" ca="1" si="102"/>
        <v>1.000173611111111</v>
      </c>
    </row>
    <row r="2889" spans="12:15" x14ac:dyDescent="0.25">
      <c r="L2889" s="147">
        <f ca="1"/>
        <v>48128</v>
      </c>
      <c r="M2889" s="92">
        <f t="shared" ca="1" si="101"/>
        <v>6.25</v>
      </c>
      <c r="N2889" s="143">
        <f ca="1">(PRODUCT($O$5:$O2889)-1)*36000/_xlfn.DAYS(L2889, $C$2)</f>
        <v>9.5423797351577626</v>
      </c>
      <c r="O2889" s="149">
        <f t="shared" ca="1" si="102"/>
        <v>1.000173611111111</v>
      </c>
    </row>
    <row r="2890" spans="12:15" x14ac:dyDescent="0.25">
      <c r="L2890" s="147">
        <f ca="1"/>
        <v>48129</v>
      </c>
      <c r="M2890" s="92">
        <f t="shared" ca="1" si="101"/>
        <v>6.25</v>
      </c>
      <c r="N2890" s="143">
        <f ca="1">(PRODUCT($O$5:$O2890)-1)*36000/_xlfn.DAYS(L2890, $C$2)</f>
        <v>9.5428950135528297</v>
      </c>
      <c r="O2890" s="149">
        <f t="shared" ca="1" si="102"/>
        <v>1.000173611111111</v>
      </c>
    </row>
    <row r="2891" spans="12:15" x14ac:dyDescent="0.25">
      <c r="L2891" s="147">
        <f ca="1"/>
        <v>48130</v>
      </c>
      <c r="M2891" s="92">
        <f t="shared" ca="1" si="101"/>
        <v>6.25</v>
      </c>
      <c r="N2891" s="143">
        <f ca="1">(PRODUCT($O$5:$O2891)-1)*36000/_xlfn.DAYS(L2891, $C$2)</f>
        <v>9.5434105982458881</v>
      </c>
      <c r="O2891" s="149">
        <f t="shared" ca="1" si="102"/>
        <v>1.000173611111111</v>
      </c>
    </row>
    <row r="2892" spans="12:15" x14ac:dyDescent="0.25">
      <c r="L2892" s="147">
        <f ca="1"/>
        <v>48131</v>
      </c>
      <c r="M2892" s="92">
        <f t="shared" ca="1" si="101"/>
        <v>6.25</v>
      </c>
      <c r="N2892" s="143">
        <f ca="1">(PRODUCT($O$5:$O2892)-1)*36000/_xlfn.DAYS(L2892, $C$2)</f>
        <v>9.5439264890338702</v>
      </c>
      <c r="O2892" s="149">
        <f t="shared" ca="1" si="102"/>
        <v>1.000173611111111</v>
      </c>
    </row>
    <row r="2893" spans="12:15" x14ac:dyDescent="0.25">
      <c r="L2893" s="147">
        <f ca="1"/>
        <v>48132</v>
      </c>
      <c r="M2893" s="92">
        <f t="shared" ca="1" si="101"/>
        <v>6.25</v>
      </c>
      <c r="N2893" s="143">
        <f ca="1">(PRODUCT($O$5:$O2893)-1)*36000/_xlfn.DAYS(L2893, $C$2)</f>
        <v>9.5444426857140137</v>
      </c>
      <c r="O2893" s="149">
        <f t="shared" ca="1" si="102"/>
        <v>1.000173611111111</v>
      </c>
    </row>
    <row r="2894" spans="12:15" x14ac:dyDescent="0.25">
      <c r="L2894" s="147">
        <f ca="1"/>
        <v>48133</v>
      </c>
      <c r="M2894" s="92">
        <f t="shared" ca="1" si="101"/>
        <v>6.25</v>
      </c>
      <c r="N2894" s="143">
        <f ca="1">(PRODUCT($O$5:$O2894)-1)*36000/_xlfn.DAYS(L2894, $C$2)</f>
        <v>9.5449591880838529</v>
      </c>
      <c r="O2894" s="149">
        <f t="shared" ca="1" si="102"/>
        <v>1.000173611111111</v>
      </c>
    </row>
    <row r="2895" spans="12:15" x14ac:dyDescent="0.25">
      <c r="L2895" s="147">
        <f ca="1"/>
        <v>48134</v>
      </c>
      <c r="M2895" s="92">
        <f t="shared" ca="1" si="101"/>
        <v>6.25</v>
      </c>
      <c r="N2895" s="143">
        <f ca="1">(PRODUCT($O$5:$O2895)-1)*36000/_xlfn.DAYS(L2895, $C$2)</f>
        <v>9.5454759959412208</v>
      </c>
      <c r="O2895" s="149">
        <f t="shared" ca="1" si="102"/>
        <v>1.000173611111111</v>
      </c>
    </row>
    <row r="2896" spans="12:15" x14ac:dyDescent="0.25">
      <c r="L2896" s="147">
        <f ca="1"/>
        <v>48135</v>
      </c>
      <c r="M2896" s="92">
        <f t="shared" ca="1" si="101"/>
        <v>6.25</v>
      </c>
      <c r="N2896" s="143">
        <f ca="1">(PRODUCT($O$5:$O2896)-1)*36000/_xlfn.DAYS(L2896, $C$2)</f>
        <v>9.5459931090842556</v>
      </c>
      <c r="O2896" s="149">
        <f t="shared" ca="1" si="102"/>
        <v>1.000173611111111</v>
      </c>
    </row>
    <row r="2897" spans="12:15" x14ac:dyDescent="0.25">
      <c r="L2897" s="147">
        <f ca="1"/>
        <v>48136</v>
      </c>
      <c r="M2897" s="92">
        <f t="shared" ca="1" si="101"/>
        <v>6.25</v>
      </c>
      <c r="N2897" s="143">
        <f ca="1">(PRODUCT($O$5:$O2897)-1)*36000/_xlfn.DAYS(L2897, $C$2)</f>
        <v>9.5465105273113888</v>
      </c>
      <c r="O2897" s="149">
        <f t="shared" ca="1" si="102"/>
        <v>1.000173611111111</v>
      </c>
    </row>
    <row r="2898" spans="12:15" x14ac:dyDescent="0.25">
      <c r="L2898" s="147">
        <f ca="1"/>
        <v>48137</v>
      </c>
      <c r="M2898" s="92">
        <f t="shared" ca="1" si="101"/>
        <v>6.25</v>
      </c>
      <c r="N2898" s="143">
        <f ca="1">(PRODUCT($O$5:$O2898)-1)*36000/_xlfn.DAYS(L2898, $C$2)</f>
        <v>9.5470282504213557</v>
      </c>
      <c r="O2898" s="149">
        <f t="shared" ca="1" si="102"/>
        <v>1.000173611111111</v>
      </c>
    </row>
    <row r="2899" spans="12:15" x14ac:dyDescent="0.25">
      <c r="L2899" s="147">
        <f ca="1"/>
        <v>48138</v>
      </c>
      <c r="M2899" s="92">
        <f t="shared" ca="1" si="101"/>
        <v>6.25</v>
      </c>
      <c r="N2899" s="143">
        <f ca="1">(PRODUCT($O$5:$O2899)-1)*36000/_xlfn.DAYS(L2899, $C$2)</f>
        <v>9.547546278213181</v>
      </c>
      <c r="O2899" s="149">
        <f t="shared" ca="1" si="102"/>
        <v>1.000173611111111</v>
      </c>
    </row>
    <row r="2900" spans="12:15" x14ac:dyDescent="0.25">
      <c r="L2900" s="147">
        <f ca="1"/>
        <v>48139</v>
      </c>
      <c r="M2900" s="92">
        <f t="shared" ca="1" si="101"/>
        <v>6.25</v>
      </c>
      <c r="N2900" s="143">
        <f ca="1">(PRODUCT($O$5:$O2900)-1)*36000/_xlfn.DAYS(L2900, $C$2)</f>
        <v>9.5480646104861968</v>
      </c>
      <c r="O2900" s="149">
        <f t="shared" ca="1" si="102"/>
        <v>1.000173611111111</v>
      </c>
    </row>
    <row r="2901" spans="12:15" x14ac:dyDescent="0.25">
      <c r="L2901" s="147">
        <f ca="1"/>
        <v>48140</v>
      </c>
      <c r="M2901" s="92">
        <f t="shared" ca="1" si="101"/>
        <v>6.25</v>
      </c>
      <c r="N2901" s="143">
        <f ca="1">(PRODUCT($O$5:$O2901)-1)*36000/_xlfn.DAYS(L2901, $C$2)</f>
        <v>9.5485832470400283</v>
      </c>
      <c r="O2901" s="149">
        <f t="shared" ca="1" si="102"/>
        <v>1.000173611111111</v>
      </c>
    </row>
    <row r="2902" spans="12:15" x14ac:dyDescent="0.25">
      <c r="L2902" s="147">
        <f ca="1"/>
        <v>48141</v>
      </c>
      <c r="M2902" s="92">
        <f t="shared" ca="1" si="101"/>
        <v>6.25</v>
      </c>
      <c r="N2902" s="143">
        <f ca="1">(PRODUCT($O$5:$O2902)-1)*36000/_xlfn.DAYS(L2902, $C$2)</f>
        <v>9.5491021876745936</v>
      </c>
      <c r="O2902" s="149">
        <f t="shared" ca="1" si="102"/>
        <v>1.000173611111111</v>
      </c>
    </row>
    <row r="2903" spans="12:15" x14ac:dyDescent="0.25">
      <c r="L2903" s="147">
        <f ca="1"/>
        <v>48142</v>
      </c>
      <c r="M2903" s="92">
        <f t="shared" ca="1" si="101"/>
        <v>6.25</v>
      </c>
      <c r="N2903" s="143">
        <f ca="1">(PRODUCT($O$5:$O2903)-1)*36000/_xlfn.DAYS(L2903, $C$2)</f>
        <v>9.5496214321901132</v>
      </c>
      <c r="O2903" s="149">
        <f t="shared" ca="1" si="102"/>
        <v>1.000173611111111</v>
      </c>
    </row>
    <row r="2904" spans="12:15" x14ac:dyDescent="0.25">
      <c r="L2904" s="147">
        <f ca="1"/>
        <v>48143</v>
      </c>
      <c r="M2904" s="92">
        <f t="shared" ca="1" si="101"/>
        <v>6.25</v>
      </c>
      <c r="N2904" s="143">
        <f ca="1">(PRODUCT($O$5:$O2904)-1)*36000/_xlfn.DAYS(L2904, $C$2)</f>
        <v>9.550140980387102</v>
      </c>
      <c r="O2904" s="149">
        <f t="shared" ca="1" si="102"/>
        <v>1.000173611111111</v>
      </c>
    </row>
    <row r="2905" spans="12:15" x14ac:dyDescent="0.25">
      <c r="L2905" s="147">
        <f ca="1"/>
        <v>48144</v>
      </c>
      <c r="M2905" s="92">
        <f t="shared" ca="1" si="101"/>
        <v>6.25</v>
      </c>
      <c r="N2905" s="143">
        <f ca="1">(PRODUCT($O$5:$O2905)-1)*36000/_xlfn.DAYS(L2905, $C$2)</f>
        <v>9.5506608320663631</v>
      </c>
      <c r="O2905" s="149">
        <f t="shared" ca="1" si="102"/>
        <v>1.000173611111111</v>
      </c>
    </row>
    <row r="2906" spans="12:15" x14ac:dyDescent="0.25">
      <c r="L2906" s="147">
        <f ca="1"/>
        <v>48145</v>
      </c>
      <c r="M2906" s="92">
        <f t="shared" ca="1" si="101"/>
        <v>6.25</v>
      </c>
      <c r="N2906" s="143">
        <f ca="1">(PRODUCT($O$5:$O2906)-1)*36000/_xlfn.DAYS(L2906, $C$2)</f>
        <v>9.5511809870290012</v>
      </c>
      <c r="O2906" s="149">
        <f t="shared" ca="1" si="102"/>
        <v>1.000173611111111</v>
      </c>
    </row>
    <row r="2907" spans="12:15" x14ac:dyDescent="0.25">
      <c r="L2907" s="147">
        <f ca="1"/>
        <v>48146</v>
      </c>
      <c r="M2907" s="92">
        <f t="shared" ca="1" si="101"/>
        <v>6.25</v>
      </c>
      <c r="N2907" s="143">
        <f ca="1">(PRODUCT($O$5:$O2907)-1)*36000/_xlfn.DAYS(L2907, $C$2)</f>
        <v>9.5517014450764144</v>
      </c>
      <c r="O2907" s="149">
        <f t="shared" ca="1" si="102"/>
        <v>1.000173611111111</v>
      </c>
    </row>
    <row r="2908" spans="12:15" x14ac:dyDescent="0.25">
      <c r="L2908" s="147">
        <f ca="1"/>
        <v>48147</v>
      </c>
      <c r="M2908" s="92">
        <f t="shared" ca="1" si="101"/>
        <v>6.25</v>
      </c>
      <c r="N2908" s="143">
        <f ca="1">(PRODUCT($O$5:$O2908)-1)*36000/_xlfn.DAYS(L2908, $C$2)</f>
        <v>9.5522222060102902</v>
      </c>
      <c r="O2908" s="149">
        <f t="shared" ca="1" si="102"/>
        <v>1.000173611111111</v>
      </c>
    </row>
    <row r="2909" spans="12:15" x14ac:dyDescent="0.25">
      <c r="L2909" s="147">
        <f ca="1"/>
        <v>48148</v>
      </c>
      <c r="M2909" s="92">
        <f t="shared" ca="1" si="101"/>
        <v>6.25</v>
      </c>
      <c r="N2909" s="143">
        <f ca="1">(PRODUCT($O$5:$O2909)-1)*36000/_xlfn.DAYS(L2909, $C$2)</f>
        <v>9.5527432696326144</v>
      </c>
      <c r="O2909" s="149">
        <f t="shared" ca="1" si="102"/>
        <v>1.000173611111111</v>
      </c>
    </row>
    <row r="2910" spans="12:15" x14ac:dyDescent="0.25">
      <c r="L2910" s="147">
        <f ca="1"/>
        <v>48149</v>
      </c>
      <c r="M2910" s="92">
        <f t="shared" ca="1" si="101"/>
        <v>6.25</v>
      </c>
      <c r="N2910" s="143">
        <f ca="1">(PRODUCT($O$5:$O2910)-1)*36000/_xlfn.DAYS(L2910, $C$2)</f>
        <v>9.5532646357456592</v>
      </c>
      <c r="O2910" s="149">
        <f t="shared" ca="1" si="102"/>
        <v>1.000173611111111</v>
      </c>
    </row>
    <row r="2911" spans="12:15" x14ac:dyDescent="0.25">
      <c r="L2911" s="147">
        <f ca="1"/>
        <v>48150</v>
      </c>
      <c r="M2911" s="92">
        <f t="shared" ca="1" si="101"/>
        <v>6.25</v>
      </c>
      <c r="N2911" s="143">
        <f ca="1">(PRODUCT($O$5:$O2911)-1)*36000/_xlfn.DAYS(L2911, $C$2)</f>
        <v>9.553786304151993</v>
      </c>
      <c r="O2911" s="149">
        <f t="shared" ca="1" si="102"/>
        <v>1.000173611111111</v>
      </c>
    </row>
    <row r="2912" spans="12:15" x14ac:dyDescent="0.25">
      <c r="L2912" s="147">
        <f ca="1"/>
        <v>48151</v>
      </c>
      <c r="M2912" s="92">
        <f t="shared" ca="1" si="101"/>
        <v>6.25</v>
      </c>
      <c r="N2912" s="143">
        <f ca="1">(PRODUCT($O$5:$O2912)-1)*36000/_xlfn.DAYS(L2912, $C$2)</f>
        <v>9.5543082746544759</v>
      </c>
      <c r="O2912" s="149">
        <f t="shared" ca="1" si="102"/>
        <v>1.000173611111111</v>
      </c>
    </row>
    <row r="2913" spans="12:15" x14ac:dyDescent="0.25">
      <c r="L2913" s="147">
        <f ca="1"/>
        <v>48152</v>
      </c>
      <c r="M2913" s="92">
        <f t="shared" ca="1" si="101"/>
        <v>6.25</v>
      </c>
      <c r="N2913" s="143">
        <f ca="1">(PRODUCT($O$5:$O2913)-1)*36000/_xlfn.DAYS(L2913, $C$2)</f>
        <v>9.5548305470562571</v>
      </c>
      <c r="O2913" s="149">
        <f t="shared" ca="1" si="102"/>
        <v>1.000173611111111</v>
      </c>
    </row>
    <row r="2914" spans="12:15" x14ac:dyDescent="0.25">
      <c r="L2914" s="147">
        <f ca="1"/>
        <v>48153</v>
      </c>
      <c r="M2914" s="92">
        <f t="shared" ca="1" si="101"/>
        <v>6.25</v>
      </c>
      <c r="N2914" s="143">
        <f ca="1">(PRODUCT($O$5:$O2914)-1)*36000/_xlfn.DAYS(L2914, $C$2)</f>
        <v>9.5553531211607741</v>
      </c>
      <c r="O2914" s="149">
        <f t="shared" ca="1" si="102"/>
        <v>1.000173611111111</v>
      </c>
    </row>
    <row r="2915" spans="12:15" x14ac:dyDescent="0.25">
      <c r="L2915" s="147">
        <f ca="1"/>
        <v>48154</v>
      </c>
      <c r="M2915" s="92">
        <f t="shared" ca="1" si="101"/>
        <v>6.25</v>
      </c>
      <c r="N2915" s="143">
        <f ca="1">(PRODUCT($O$5:$O2915)-1)*36000/_xlfn.DAYS(L2915, $C$2)</f>
        <v>9.5558759967717624</v>
      </c>
      <c r="O2915" s="149">
        <f t="shared" ca="1" si="102"/>
        <v>1.000173611111111</v>
      </c>
    </row>
    <row r="2916" spans="12:15" x14ac:dyDescent="0.25">
      <c r="L2916" s="147">
        <f ca="1"/>
        <v>48155</v>
      </c>
      <c r="M2916" s="92">
        <f t="shared" ca="1" si="101"/>
        <v>6.25</v>
      </c>
      <c r="N2916" s="143">
        <f ca="1">(PRODUCT($O$5:$O2916)-1)*36000/_xlfn.DAYS(L2916, $C$2)</f>
        <v>9.5563991736932401</v>
      </c>
      <c r="O2916" s="149">
        <f t="shared" ca="1" si="102"/>
        <v>1.000173611111111</v>
      </c>
    </row>
    <row r="2917" spans="12:15" x14ac:dyDescent="0.25">
      <c r="L2917" s="147">
        <f ca="1"/>
        <v>48156</v>
      </c>
      <c r="M2917" s="92">
        <f t="shared" ca="1" si="101"/>
        <v>6.25</v>
      </c>
      <c r="N2917" s="143">
        <f ca="1">(PRODUCT($O$5:$O2917)-1)*36000/_xlfn.DAYS(L2917, $C$2)</f>
        <v>9.5569226517295149</v>
      </c>
      <c r="O2917" s="149">
        <f t="shared" ca="1" si="102"/>
        <v>1.000173611111111</v>
      </c>
    </row>
    <row r="2918" spans="12:15" x14ac:dyDescent="0.25">
      <c r="L2918" s="147">
        <f ca="1"/>
        <v>48157</v>
      </c>
      <c r="M2918" s="92">
        <f t="shared" ca="1" si="101"/>
        <v>6.25</v>
      </c>
      <c r="N2918" s="143">
        <f ca="1">(PRODUCT($O$5:$O2918)-1)*36000/_xlfn.DAYS(L2918, $C$2)</f>
        <v>9.5574464306851823</v>
      </c>
      <c r="O2918" s="149">
        <f t="shared" ca="1" si="102"/>
        <v>1.000173611111111</v>
      </c>
    </row>
    <row r="2919" spans="12:15" x14ac:dyDescent="0.25">
      <c r="L2919" s="147">
        <f ca="1"/>
        <v>48158</v>
      </c>
      <c r="M2919" s="92">
        <f t="shared" ca="1" si="101"/>
        <v>6.25</v>
      </c>
      <c r="N2919" s="143">
        <f ca="1">(PRODUCT($O$5:$O2919)-1)*36000/_xlfn.DAYS(L2919, $C$2)</f>
        <v>9.5579705103651325</v>
      </c>
      <c r="O2919" s="149">
        <f t="shared" ca="1" si="102"/>
        <v>1.000173611111111</v>
      </c>
    </row>
    <row r="2920" spans="12:15" x14ac:dyDescent="0.25">
      <c r="L2920" s="147">
        <f ca="1"/>
        <v>48159</v>
      </c>
      <c r="M2920" s="92">
        <f t="shared" ca="1" si="101"/>
        <v>6.25</v>
      </c>
      <c r="N2920" s="143">
        <f ca="1">(PRODUCT($O$5:$O2920)-1)*36000/_xlfn.DAYS(L2920, $C$2)</f>
        <v>9.5584948905745364</v>
      </c>
      <c r="O2920" s="149">
        <f t="shared" ca="1" si="102"/>
        <v>1.000173611111111</v>
      </c>
    </row>
    <row r="2921" spans="12:15" x14ac:dyDescent="0.25">
      <c r="L2921" s="147">
        <f ca="1"/>
        <v>48160</v>
      </c>
      <c r="M2921" s="92">
        <f t="shared" ca="1" si="101"/>
        <v>6.25</v>
      </c>
      <c r="N2921" s="143">
        <f ca="1">(PRODUCT($O$5:$O2921)-1)*36000/_xlfn.DAYS(L2921, $C$2)</f>
        <v>9.5590195711188528</v>
      </c>
      <c r="O2921" s="149">
        <f t="shared" ca="1" si="102"/>
        <v>1.000173611111111</v>
      </c>
    </row>
    <row r="2922" spans="12:15" x14ac:dyDescent="0.25">
      <c r="L2922" s="147">
        <f ca="1"/>
        <v>48161</v>
      </c>
      <c r="M2922" s="92">
        <f t="shared" ca="1" si="101"/>
        <v>6.25</v>
      </c>
      <c r="N2922" s="143">
        <f ca="1">(PRODUCT($O$5:$O2922)-1)*36000/_xlfn.DAYS(L2922, $C$2)</f>
        <v>9.55954455180383</v>
      </c>
      <c r="O2922" s="149">
        <f t="shared" ca="1" si="102"/>
        <v>1.000173611111111</v>
      </c>
    </row>
    <row r="2923" spans="12:15" x14ac:dyDescent="0.25">
      <c r="L2923" s="147">
        <f ca="1"/>
        <v>48162</v>
      </c>
      <c r="M2923" s="92">
        <f t="shared" ca="1" si="101"/>
        <v>6.25</v>
      </c>
      <c r="N2923" s="143">
        <f ca="1">(PRODUCT($O$5:$O2923)-1)*36000/_xlfn.DAYS(L2923, $C$2)</f>
        <v>9.5600698324355005</v>
      </c>
      <c r="O2923" s="149">
        <f t="shared" ca="1" si="102"/>
        <v>1.000173611111111</v>
      </c>
    </row>
    <row r="2924" spans="12:15" x14ac:dyDescent="0.25">
      <c r="L2924" s="147">
        <f ca="1"/>
        <v>48163</v>
      </c>
      <c r="M2924" s="92">
        <f t="shared" ca="1" si="101"/>
        <v>6.25</v>
      </c>
      <c r="N2924" s="143">
        <f ca="1">(PRODUCT($O$5:$O2924)-1)*36000/_xlfn.DAYS(L2924, $C$2)</f>
        <v>9.5605954128201809</v>
      </c>
      <c r="O2924" s="149">
        <f t="shared" ca="1" si="102"/>
        <v>1.000173611111111</v>
      </c>
    </row>
    <row r="2925" spans="12:15" x14ac:dyDescent="0.25">
      <c r="L2925" s="147">
        <f ca="1"/>
        <v>48164</v>
      </c>
      <c r="M2925" s="92">
        <f t="shared" ca="1" si="101"/>
        <v>6.25</v>
      </c>
      <c r="N2925" s="143">
        <f ca="1">(PRODUCT($O$5:$O2925)-1)*36000/_xlfn.DAYS(L2925, $C$2)</f>
        <v>9.5611212927644758</v>
      </c>
      <c r="O2925" s="149">
        <f t="shared" ca="1" si="102"/>
        <v>1.000173611111111</v>
      </c>
    </row>
    <row r="2926" spans="12:15" x14ac:dyDescent="0.25">
      <c r="L2926" s="147">
        <f ca="1"/>
        <v>48165</v>
      </c>
      <c r="M2926" s="92">
        <f t="shared" ca="1" si="101"/>
        <v>6.25</v>
      </c>
      <c r="N2926" s="143">
        <f ca="1">(PRODUCT($O$5:$O2926)-1)*36000/_xlfn.DAYS(L2926, $C$2)</f>
        <v>9.561647472075272</v>
      </c>
      <c r="O2926" s="149">
        <f t="shared" ca="1" si="102"/>
        <v>1.000173611111111</v>
      </c>
    </row>
    <row r="2927" spans="12:15" x14ac:dyDescent="0.25">
      <c r="L2927" s="147">
        <f ca="1"/>
        <v>48166</v>
      </c>
      <c r="M2927" s="92">
        <f t="shared" ca="1" si="101"/>
        <v>6.25</v>
      </c>
      <c r="N2927" s="143">
        <f ca="1">(PRODUCT($O$5:$O2927)-1)*36000/_xlfn.DAYS(L2927, $C$2)</f>
        <v>9.5621739505597425</v>
      </c>
      <c r="O2927" s="149">
        <f t="shared" ca="1" si="102"/>
        <v>1.000173611111111</v>
      </c>
    </row>
    <row r="2928" spans="12:15" x14ac:dyDescent="0.25">
      <c r="L2928" s="147">
        <f ca="1"/>
        <v>48167</v>
      </c>
      <c r="M2928" s="92">
        <f t="shared" ca="1" si="101"/>
        <v>6.25</v>
      </c>
      <c r="N2928" s="143">
        <f ca="1">(PRODUCT($O$5:$O2928)-1)*36000/_xlfn.DAYS(L2928, $C$2)</f>
        <v>9.5627007280253409</v>
      </c>
      <c r="O2928" s="149">
        <f t="shared" ca="1" si="102"/>
        <v>1.000173611111111</v>
      </c>
    </row>
    <row r="2929" spans="12:15" x14ac:dyDescent="0.25">
      <c r="L2929" s="147">
        <f ca="1"/>
        <v>48168</v>
      </c>
      <c r="M2929" s="92">
        <f t="shared" ca="1" si="101"/>
        <v>6.25</v>
      </c>
      <c r="N2929" s="143">
        <f ca="1">(PRODUCT($O$5:$O2929)-1)*36000/_xlfn.DAYS(L2929, $C$2)</f>
        <v>9.5632278042798102</v>
      </c>
      <c r="O2929" s="149">
        <f t="shared" ca="1" si="102"/>
        <v>1.000173611111111</v>
      </c>
    </row>
    <row r="2930" spans="12:15" x14ac:dyDescent="0.25">
      <c r="L2930" s="147">
        <f ca="1"/>
        <v>48169</v>
      </c>
      <c r="M2930" s="92">
        <f t="shared" ca="1" si="101"/>
        <v>6.25</v>
      </c>
      <c r="N2930" s="143">
        <f ca="1">(PRODUCT($O$5:$O2930)-1)*36000/_xlfn.DAYS(L2930, $C$2)</f>
        <v>9.5637551791311708</v>
      </c>
      <c r="O2930" s="149">
        <f t="shared" ca="1" si="102"/>
        <v>1.000173611111111</v>
      </c>
    </row>
    <row r="2931" spans="12:15" x14ac:dyDescent="0.25">
      <c r="L2931" s="147">
        <f ca="1"/>
        <v>48170</v>
      </c>
      <c r="M2931" s="92">
        <f t="shared" ca="1" si="101"/>
        <v>6.25</v>
      </c>
      <c r="N2931" s="143">
        <f ca="1">(PRODUCT($O$5:$O2931)-1)*36000/_xlfn.DAYS(L2931, $C$2)</f>
        <v>9.5642828523877235</v>
      </c>
      <c r="O2931" s="149">
        <f t="shared" ca="1" si="102"/>
        <v>1.000173611111111</v>
      </c>
    </row>
    <row r="2932" spans="12:15" x14ac:dyDescent="0.25">
      <c r="L2932" s="147">
        <f ca="1"/>
        <v>48171</v>
      </c>
      <c r="M2932" s="92">
        <f t="shared" ca="1" si="101"/>
        <v>6.25</v>
      </c>
      <c r="N2932" s="143">
        <f ca="1">(PRODUCT($O$5:$O2932)-1)*36000/_xlfn.DAYS(L2932, $C$2)</f>
        <v>9.5648108238580534</v>
      </c>
      <c r="O2932" s="149">
        <f t="shared" ca="1" si="102"/>
        <v>1.000173611111111</v>
      </c>
    </row>
    <row r="2933" spans="12:15" x14ac:dyDescent="0.25">
      <c r="L2933" s="147">
        <f ca="1"/>
        <v>48172</v>
      </c>
      <c r="M2933" s="92">
        <f t="shared" ca="1" si="101"/>
        <v>6.25</v>
      </c>
      <c r="N2933" s="143">
        <f ca="1">(PRODUCT($O$5:$O2933)-1)*36000/_xlfn.DAYS(L2933, $C$2)</f>
        <v>9.5653390933510316</v>
      </c>
      <c r="O2933" s="149">
        <f t="shared" ca="1" si="102"/>
        <v>1.000173611111111</v>
      </c>
    </row>
    <row r="2934" spans="12:15" x14ac:dyDescent="0.25">
      <c r="L2934" s="147">
        <f ca="1"/>
        <v>48173</v>
      </c>
      <c r="M2934" s="92">
        <f t="shared" ca="1" si="101"/>
        <v>6.25</v>
      </c>
      <c r="N2934" s="143">
        <f ca="1">(PRODUCT($O$5:$O2934)-1)*36000/_xlfn.DAYS(L2934, $C$2)</f>
        <v>9.5658676606758011</v>
      </c>
      <c r="O2934" s="149">
        <f t="shared" ca="1" si="102"/>
        <v>1.000173611111111</v>
      </c>
    </row>
    <row r="2935" spans="12:15" x14ac:dyDescent="0.25">
      <c r="L2935" s="147">
        <f ca="1"/>
        <v>48174</v>
      </c>
      <c r="M2935" s="92">
        <f t="shared" ca="1" si="101"/>
        <v>6.25</v>
      </c>
      <c r="N2935" s="143">
        <f ca="1">(PRODUCT($O$5:$O2935)-1)*36000/_xlfn.DAYS(L2935, $C$2)</f>
        <v>9.5663965256417924</v>
      </c>
      <c r="O2935" s="149">
        <f t="shared" ca="1" si="102"/>
        <v>1.000173611111111</v>
      </c>
    </row>
    <row r="2936" spans="12:15" x14ac:dyDescent="0.25">
      <c r="L2936" s="147">
        <f ca="1"/>
        <v>48175</v>
      </c>
      <c r="M2936" s="92">
        <f t="shared" ca="1" si="101"/>
        <v>6.25</v>
      </c>
      <c r="N2936" s="143">
        <f ca="1">(PRODUCT($O$5:$O2936)-1)*36000/_xlfn.DAYS(L2936, $C$2)</f>
        <v>9.5669256880587117</v>
      </c>
      <c r="O2936" s="149">
        <f t="shared" ca="1" si="102"/>
        <v>1.000173611111111</v>
      </c>
    </row>
    <row r="2937" spans="12:15" x14ac:dyDescent="0.25">
      <c r="L2937" s="147">
        <f ca="1"/>
        <v>48176</v>
      </c>
      <c r="M2937" s="92">
        <f t="shared" ca="1" si="101"/>
        <v>6.25</v>
      </c>
      <c r="N2937" s="143">
        <f ca="1">(PRODUCT($O$5:$O2937)-1)*36000/_xlfn.DAYS(L2937, $C$2)</f>
        <v>9.567455147736549</v>
      </c>
      <c r="O2937" s="149">
        <f t="shared" ca="1" si="102"/>
        <v>1.000173611111111</v>
      </c>
    </row>
    <row r="2938" spans="12:15" x14ac:dyDescent="0.25">
      <c r="L2938" s="147">
        <f ca="1"/>
        <v>48177</v>
      </c>
      <c r="M2938" s="92">
        <f t="shared" ca="1" si="101"/>
        <v>6.25</v>
      </c>
      <c r="N2938" s="143">
        <f ca="1">(PRODUCT($O$5:$O2938)-1)*36000/_xlfn.DAYS(L2938, $C$2)</f>
        <v>9.5679849044855665</v>
      </c>
      <c r="O2938" s="149">
        <f t="shared" ca="1" si="102"/>
        <v>1.000173611111111</v>
      </c>
    </row>
    <row r="2939" spans="12:15" x14ac:dyDescent="0.25">
      <c r="L2939" s="147">
        <f ca="1"/>
        <v>48178</v>
      </c>
      <c r="M2939" s="92">
        <f t="shared" ca="1" si="101"/>
        <v>6.25</v>
      </c>
      <c r="N2939" s="143">
        <f ca="1">(PRODUCT($O$5:$O2939)-1)*36000/_xlfn.DAYS(L2939, $C$2)</f>
        <v>9.5685149581163103</v>
      </c>
      <c r="O2939" s="149">
        <f t="shared" ca="1" si="102"/>
        <v>1.000173611111111</v>
      </c>
    </row>
    <row r="2940" spans="12:15" x14ac:dyDescent="0.25">
      <c r="L2940" s="147">
        <f ca="1"/>
        <v>48179</v>
      </c>
      <c r="M2940" s="92">
        <f t="shared" ca="1" si="101"/>
        <v>6.25</v>
      </c>
      <c r="N2940" s="143">
        <f ca="1">(PRODUCT($O$5:$O2940)-1)*36000/_xlfn.DAYS(L2940, $C$2)</f>
        <v>9.5690453084396019</v>
      </c>
      <c r="O2940" s="149">
        <f t="shared" ca="1" si="102"/>
        <v>1.000173611111111</v>
      </c>
    </row>
    <row r="2941" spans="12:15" x14ac:dyDescent="0.25">
      <c r="L2941" s="147">
        <f ca="1"/>
        <v>48180</v>
      </c>
      <c r="M2941" s="92">
        <f t="shared" ca="1" si="101"/>
        <v>6.25</v>
      </c>
      <c r="N2941" s="143">
        <f ca="1">(PRODUCT($O$5:$O2941)-1)*36000/_xlfn.DAYS(L2941, $C$2)</f>
        <v>9.5695759552665383</v>
      </c>
      <c r="O2941" s="149">
        <f t="shared" ca="1" si="102"/>
        <v>1.000173611111111</v>
      </c>
    </row>
    <row r="2942" spans="12:15" x14ac:dyDescent="0.25">
      <c r="L2942" s="147">
        <f ca="1"/>
        <v>48181</v>
      </c>
      <c r="M2942" s="92">
        <f t="shared" ca="1" si="101"/>
        <v>6.25</v>
      </c>
      <c r="N2942" s="143">
        <f ca="1">(PRODUCT($O$5:$O2942)-1)*36000/_xlfn.DAYS(L2942, $C$2)</f>
        <v>9.5701068984085005</v>
      </c>
      <c r="O2942" s="149">
        <f t="shared" ca="1" si="102"/>
        <v>1.000173611111111</v>
      </c>
    </row>
    <row r="2943" spans="12:15" x14ac:dyDescent="0.25">
      <c r="L2943" s="147">
        <f ca="1"/>
        <v>48182</v>
      </c>
      <c r="M2943" s="92">
        <f t="shared" ca="1" si="101"/>
        <v>6.25</v>
      </c>
      <c r="N2943" s="143">
        <f ca="1">(PRODUCT($O$5:$O2943)-1)*36000/_xlfn.DAYS(L2943, $C$2)</f>
        <v>9.5706381376771379</v>
      </c>
      <c r="O2943" s="149">
        <f t="shared" ca="1" si="102"/>
        <v>1.000173611111111</v>
      </c>
    </row>
    <row r="2944" spans="12:15" x14ac:dyDescent="0.25">
      <c r="L2944" s="147">
        <f ca="1"/>
        <v>48183</v>
      </c>
      <c r="M2944" s="92">
        <f t="shared" ca="1" si="101"/>
        <v>6.25</v>
      </c>
      <c r="N2944" s="143">
        <f ca="1">(PRODUCT($O$5:$O2944)-1)*36000/_xlfn.DAYS(L2944, $C$2)</f>
        <v>9.5711696728843858</v>
      </c>
      <c r="O2944" s="149">
        <f t="shared" ca="1" si="102"/>
        <v>1.000173611111111</v>
      </c>
    </row>
    <row r="2945" spans="12:15" x14ac:dyDescent="0.25">
      <c r="L2945" s="147">
        <f ca="1"/>
        <v>48184</v>
      </c>
      <c r="M2945" s="92">
        <f t="shared" ca="1" si="101"/>
        <v>6.25</v>
      </c>
      <c r="N2945" s="143">
        <f ca="1">(PRODUCT($O$5:$O2945)-1)*36000/_xlfn.DAYS(L2945, $C$2)</f>
        <v>9.5717015038424424</v>
      </c>
      <c r="O2945" s="149">
        <f t="shared" ca="1" si="102"/>
        <v>1.000173611111111</v>
      </c>
    </row>
    <row r="2946" spans="12:15" x14ac:dyDescent="0.25">
      <c r="L2946" s="147">
        <f ca="1"/>
        <v>48185</v>
      </c>
      <c r="M2946" s="92">
        <f t="shared" ca="1" si="101"/>
        <v>6.25</v>
      </c>
      <c r="N2946" s="143">
        <f ca="1">(PRODUCT($O$5:$O2946)-1)*36000/_xlfn.DAYS(L2946, $C$2)</f>
        <v>9.5722336303637903</v>
      </c>
      <c r="O2946" s="149">
        <f t="shared" ca="1" si="102"/>
        <v>1.000173611111111</v>
      </c>
    </row>
    <row r="2947" spans="12:15" x14ac:dyDescent="0.25">
      <c r="L2947" s="147">
        <f ca="1"/>
        <v>48186</v>
      </c>
      <c r="M2947" s="92">
        <f t="shared" ca="1" si="101"/>
        <v>6.25</v>
      </c>
      <c r="N2947" s="143">
        <f ca="1">(PRODUCT($O$5:$O2947)-1)*36000/_xlfn.DAYS(L2947, $C$2)</f>
        <v>9.5727660522611853</v>
      </c>
      <c r="O2947" s="149">
        <f t="shared" ca="1" si="102"/>
        <v>1.000173611111111</v>
      </c>
    </row>
    <row r="2948" spans="12:15" x14ac:dyDescent="0.25">
      <c r="L2948" s="147">
        <f ca="1"/>
        <v>48187</v>
      </c>
      <c r="M2948" s="92">
        <f t="shared" ca="1" si="101"/>
        <v>6.25</v>
      </c>
      <c r="N2948" s="143">
        <f ca="1">(PRODUCT($O$5:$O2948)-1)*36000/_xlfn.DAYS(L2948, $C$2)</f>
        <v>9.5732987693476517</v>
      </c>
      <c r="O2948" s="149">
        <f t="shared" ca="1" si="102"/>
        <v>1.000173611111111</v>
      </c>
    </row>
    <row r="2949" spans="12:15" x14ac:dyDescent="0.25">
      <c r="L2949" s="147">
        <f ca="1"/>
        <v>48188</v>
      </c>
      <c r="M2949" s="92">
        <f t="shared" ref="M2949:M3012" ca="1" si="103">IFERROR(INDEX($E$27:$H$47, MATCH(L2949, $F$27:$F$47, 0), 4), IF(ISNUMBER(M2948), M2948, $C$5))</f>
        <v>6.25</v>
      </c>
      <c r="N2949" s="143">
        <f ca="1">(PRODUCT($O$5:$O2949)-1)*36000/_xlfn.DAYS(L2949, $C$2)</f>
        <v>9.5738317814364979</v>
      </c>
      <c r="O2949" s="149">
        <f t="shared" ca="1" si="102"/>
        <v>1.000173611111111</v>
      </c>
    </row>
    <row r="2950" spans="12:15" x14ac:dyDescent="0.25">
      <c r="L2950" s="147">
        <f ca="1"/>
        <v>48189</v>
      </c>
      <c r="M2950" s="92">
        <f t="shared" ca="1" si="103"/>
        <v>6.25</v>
      </c>
      <c r="N2950" s="143">
        <f ca="1">(PRODUCT($O$5:$O2950)-1)*36000/_xlfn.DAYS(L2950, $C$2)</f>
        <v>9.5743650883412936</v>
      </c>
      <c r="O2950" s="149">
        <f t="shared" ref="O2950:O3013" ca="1" si="104">1+M2950*IFERROR(_xlfn.DAYS(L2950, L2949), _xlfn.DAYS(L2950, $C$2))/36000</f>
        <v>1.000173611111111</v>
      </c>
    </row>
    <row r="2951" spans="12:15" x14ac:dyDescent="0.25">
      <c r="L2951" s="147">
        <f ca="1"/>
        <v>48190</v>
      </c>
      <c r="M2951" s="92">
        <f t="shared" ca="1" si="103"/>
        <v>6.25</v>
      </c>
      <c r="N2951" s="143">
        <f ca="1">(PRODUCT($O$5:$O2951)-1)*36000/_xlfn.DAYS(L2951, $C$2)</f>
        <v>9.5748986898758925</v>
      </c>
      <c r="O2951" s="149">
        <f t="shared" ca="1" si="104"/>
        <v>1.000173611111111</v>
      </c>
    </row>
    <row r="2952" spans="12:15" x14ac:dyDescent="0.25">
      <c r="L2952" s="147">
        <f ca="1"/>
        <v>48191</v>
      </c>
      <c r="M2952" s="92">
        <f t="shared" ca="1" si="103"/>
        <v>6.25</v>
      </c>
      <c r="N2952" s="143">
        <f ca="1">(PRODUCT($O$5:$O2952)-1)*36000/_xlfn.DAYS(L2952, $C$2)</f>
        <v>9.5754325858544114</v>
      </c>
      <c r="O2952" s="149">
        <f t="shared" ca="1" si="104"/>
        <v>1.000173611111111</v>
      </c>
    </row>
    <row r="2953" spans="12:15" x14ac:dyDescent="0.25">
      <c r="L2953" s="147">
        <f ca="1"/>
        <v>48192</v>
      </c>
      <c r="M2953" s="92">
        <f t="shared" ca="1" si="103"/>
        <v>6.25</v>
      </c>
      <c r="N2953" s="143">
        <f ca="1">(PRODUCT($O$5:$O2953)-1)*36000/_xlfn.DAYS(L2953, $C$2)</f>
        <v>9.5759667760912475</v>
      </c>
      <c r="O2953" s="149">
        <f t="shared" ca="1" si="104"/>
        <v>1.000173611111111</v>
      </c>
    </row>
    <row r="2954" spans="12:15" x14ac:dyDescent="0.25">
      <c r="L2954" s="147">
        <f ca="1"/>
        <v>48193</v>
      </c>
      <c r="M2954" s="92">
        <f t="shared" ca="1" si="103"/>
        <v>6.25</v>
      </c>
      <c r="N2954" s="143">
        <f ca="1">(PRODUCT($O$5:$O2954)-1)*36000/_xlfn.DAYS(L2954, $C$2)</f>
        <v>9.5765012604010611</v>
      </c>
      <c r="O2954" s="149">
        <f t="shared" ca="1" si="104"/>
        <v>1.000173611111111</v>
      </c>
    </row>
    <row r="2955" spans="12:15" x14ac:dyDescent="0.25">
      <c r="L2955" s="147">
        <f ca="1"/>
        <v>48194</v>
      </c>
      <c r="M2955" s="92">
        <f t="shared" ca="1" si="103"/>
        <v>6.25</v>
      </c>
      <c r="N2955" s="143">
        <f ca="1">(PRODUCT($O$5:$O2955)-1)*36000/_xlfn.DAYS(L2955, $C$2)</f>
        <v>9.5770360385987914</v>
      </c>
      <c r="O2955" s="149">
        <f t="shared" ca="1" si="104"/>
        <v>1.000173611111111</v>
      </c>
    </row>
    <row r="2956" spans="12:15" x14ac:dyDescent="0.25">
      <c r="L2956" s="147">
        <f ca="1"/>
        <v>48195</v>
      </c>
      <c r="M2956" s="92">
        <f t="shared" ca="1" si="103"/>
        <v>6.25</v>
      </c>
      <c r="N2956" s="143">
        <f ca="1">(PRODUCT($O$5:$O2956)-1)*36000/_xlfn.DAYS(L2956, $C$2)</f>
        <v>9.5775711104996404</v>
      </c>
      <c r="O2956" s="149">
        <f t="shared" ca="1" si="104"/>
        <v>1.000173611111111</v>
      </c>
    </row>
    <row r="2957" spans="12:15" x14ac:dyDescent="0.25">
      <c r="L2957" s="147">
        <f ca="1"/>
        <v>48196</v>
      </c>
      <c r="M2957" s="92">
        <f t="shared" ca="1" si="103"/>
        <v>6.25</v>
      </c>
      <c r="N2957" s="143">
        <f ca="1">(PRODUCT($O$5:$O2957)-1)*36000/_xlfn.DAYS(L2957, $C$2)</f>
        <v>9.5781064759190873</v>
      </c>
      <c r="O2957" s="149">
        <f t="shared" ca="1" si="104"/>
        <v>1.000173611111111</v>
      </c>
    </row>
    <row r="2958" spans="12:15" x14ac:dyDescent="0.25">
      <c r="L2958" s="147">
        <f ca="1"/>
        <v>48197</v>
      </c>
      <c r="M2958" s="92">
        <f t="shared" ca="1" si="103"/>
        <v>6.25</v>
      </c>
      <c r="N2958" s="143">
        <f ca="1">(PRODUCT($O$5:$O2958)-1)*36000/_xlfn.DAYS(L2958, $C$2)</f>
        <v>9.5786421346728741</v>
      </c>
      <c r="O2958" s="149">
        <f t="shared" ca="1" si="104"/>
        <v>1.000173611111111</v>
      </c>
    </row>
    <row r="2959" spans="12:15" x14ac:dyDescent="0.25">
      <c r="L2959" s="147">
        <f ca="1"/>
        <v>48198</v>
      </c>
      <c r="M2959" s="92">
        <f t="shared" ca="1" si="103"/>
        <v>6.25</v>
      </c>
      <c r="N2959" s="143">
        <f ca="1">(PRODUCT($O$5:$O2959)-1)*36000/_xlfn.DAYS(L2959, $C$2)</f>
        <v>9.57917808657702</v>
      </c>
      <c r="O2959" s="149">
        <f t="shared" ca="1" si="104"/>
        <v>1.000173611111111</v>
      </c>
    </row>
    <row r="2960" spans="12:15" x14ac:dyDescent="0.25">
      <c r="L2960" s="147">
        <f ca="1"/>
        <v>48199</v>
      </c>
      <c r="M2960" s="92">
        <f t="shared" ca="1" si="103"/>
        <v>6.25</v>
      </c>
      <c r="N2960" s="143">
        <f ca="1">(PRODUCT($O$5:$O2960)-1)*36000/_xlfn.DAYS(L2960, $C$2)</f>
        <v>9.5797143314478053</v>
      </c>
      <c r="O2960" s="149">
        <f t="shared" ca="1" si="104"/>
        <v>1.000173611111111</v>
      </c>
    </row>
    <row r="2961" spans="12:15" x14ac:dyDescent="0.25">
      <c r="L2961" s="147">
        <f ca="1"/>
        <v>48200</v>
      </c>
      <c r="M2961" s="92">
        <f t="shared" ca="1" si="103"/>
        <v>6.25</v>
      </c>
      <c r="N2961" s="143">
        <f ca="1">(PRODUCT($O$5:$O2961)-1)*36000/_xlfn.DAYS(L2961, $C$2)</f>
        <v>9.580250869101782</v>
      </c>
      <c r="O2961" s="149">
        <f t="shared" ca="1" si="104"/>
        <v>1.000173611111111</v>
      </c>
    </row>
    <row r="2962" spans="12:15" x14ac:dyDescent="0.25">
      <c r="L2962" s="147">
        <f ca="1"/>
        <v>48201</v>
      </c>
      <c r="M2962" s="92">
        <f t="shared" ca="1" si="103"/>
        <v>6.25</v>
      </c>
      <c r="N2962" s="143">
        <f ca="1">(PRODUCT($O$5:$O2962)-1)*36000/_xlfn.DAYS(L2962, $C$2)</f>
        <v>9.5807876993557723</v>
      </c>
      <c r="O2962" s="149">
        <f t="shared" ca="1" si="104"/>
        <v>1.000173611111111</v>
      </c>
    </row>
    <row r="2963" spans="12:15" x14ac:dyDescent="0.25">
      <c r="L2963" s="147">
        <f ca="1"/>
        <v>48202</v>
      </c>
      <c r="M2963" s="92">
        <f t="shared" ca="1" si="103"/>
        <v>6.25</v>
      </c>
      <c r="N2963" s="143">
        <f ca="1">(PRODUCT($O$5:$O2963)-1)*36000/_xlfn.DAYS(L2963, $C$2)</f>
        <v>9.5813248220268576</v>
      </c>
      <c r="O2963" s="149">
        <f t="shared" ca="1" si="104"/>
        <v>1.000173611111111</v>
      </c>
    </row>
    <row r="2964" spans="12:15" x14ac:dyDescent="0.25">
      <c r="L2964" s="147">
        <f ca="1"/>
        <v>48203</v>
      </c>
      <c r="M2964" s="92">
        <f t="shared" ca="1" si="103"/>
        <v>6.25</v>
      </c>
      <c r="N2964" s="143">
        <f ca="1">(PRODUCT($O$5:$O2964)-1)*36000/_xlfn.DAYS(L2964, $C$2)</f>
        <v>9.5818622369323965</v>
      </c>
      <c r="O2964" s="149">
        <f t="shared" ca="1" si="104"/>
        <v>1.000173611111111</v>
      </c>
    </row>
    <row r="2965" spans="12:15" x14ac:dyDescent="0.25">
      <c r="L2965" s="147">
        <f ca="1"/>
        <v>48204</v>
      </c>
      <c r="M2965" s="92">
        <f t="shared" ca="1" si="103"/>
        <v>6.25</v>
      </c>
      <c r="N2965" s="143">
        <f ca="1">(PRODUCT($O$5:$O2965)-1)*36000/_xlfn.DAYS(L2965, $C$2)</f>
        <v>9.5823999438900085</v>
      </c>
      <c r="O2965" s="149">
        <f t="shared" ca="1" si="104"/>
        <v>1.000173611111111</v>
      </c>
    </row>
    <row r="2966" spans="12:15" x14ac:dyDescent="0.25">
      <c r="L2966" s="147">
        <f ca="1"/>
        <v>48205</v>
      </c>
      <c r="M2966" s="92">
        <f t="shared" ca="1" si="103"/>
        <v>6.25</v>
      </c>
      <c r="N2966" s="143">
        <f ca="1">(PRODUCT($O$5:$O2966)-1)*36000/_xlfn.DAYS(L2966, $C$2)</f>
        <v>9.582937942717578</v>
      </c>
      <c r="O2966" s="149">
        <f t="shared" ca="1" si="104"/>
        <v>1.000173611111111</v>
      </c>
    </row>
    <row r="2967" spans="12:15" x14ac:dyDescent="0.25">
      <c r="L2967" s="147">
        <f ca="1"/>
        <v>48206</v>
      </c>
      <c r="M2967" s="92">
        <f t="shared" ca="1" si="103"/>
        <v>6.25</v>
      </c>
      <c r="N2967" s="143">
        <f ca="1">(PRODUCT($O$5:$O2967)-1)*36000/_xlfn.DAYS(L2967, $C$2)</f>
        <v>9.5834762332332577</v>
      </c>
      <c r="O2967" s="149">
        <f t="shared" ca="1" si="104"/>
        <v>1.000173611111111</v>
      </c>
    </row>
    <row r="2968" spans="12:15" x14ac:dyDescent="0.25">
      <c r="L2968" s="147">
        <f ca="1"/>
        <v>48207</v>
      </c>
      <c r="M2968" s="92">
        <f t="shared" ca="1" si="103"/>
        <v>6.25</v>
      </c>
      <c r="N2968" s="143">
        <f ca="1">(PRODUCT($O$5:$O2968)-1)*36000/_xlfn.DAYS(L2968, $C$2)</f>
        <v>9.5840148152554647</v>
      </c>
      <c r="O2968" s="149">
        <f t="shared" ca="1" si="104"/>
        <v>1.000173611111111</v>
      </c>
    </row>
    <row r="2969" spans="12:15" x14ac:dyDescent="0.25">
      <c r="L2969" s="147">
        <f ca="1"/>
        <v>48208</v>
      </c>
      <c r="M2969" s="92">
        <f t="shared" ca="1" si="103"/>
        <v>6.25</v>
      </c>
      <c r="N2969" s="143">
        <f ca="1">(PRODUCT($O$5:$O2969)-1)*36000/_xlfn.DAYS(L2969, $C$2)</f>
        <v>9.584553688602881</v>
      </c>
      <c r="O2969" s="149">
        <f t="shared" ca="1" si="104"/>
        <v>1.000173611111111</v>
      </c>
    </row>
    <row r="2970" spans="12:15" x14ac:dyDescent="0.25">
      <c r="L2970" s="147">
        <f ca="1"/>
        <v>48209</v>
      </c>
      <c r="M2970" s="92">
        <f t="shared" ca="1" si="103"/>
        <v>6.25</v>
      </c>
      <c r="N2970" s="143">
        <f ca="1">(PRODUCT($O$5:$O2970)-1)*36000/_xlfn.DAYS(L2970, $C$2)</f>
        <v>9.5850928530944532</v>
      </c>
      <c r="O2970" s="149">
        <f t="shared" ca="1" si="104"/>
        <v>1.000173611111111</v>
      </c>
    </row>
    <row r="2971" spans="12:15" x14ac:dyDescent="0.25">
      <c r="L2971" s="147">
        <f ca="1"/>
        <v>48210</v>
      </c>
      <c r="M2971" s="92">
        <f t="shared" ca="1" si="103"/>
        <v>6.25</v>
      </c>
      <c r="N2971" s="143">
        <f ca="1">(PRODUCT($O$5:$O2971)-1)*36000/_xlfn.DAYS(L2971, $C$2)</f>
        <v>9.5856323085493891</v>
      </c>
      <c r="O2971" s="149">
        <f t="shared" ca="1" si="104"/>
        <v>1.000173611111111</v>
      </c>
    </row>
    <row r="2972" spans="12:15" x14ac:dyDescent="0.25">
      <c r="L2972" s="147">
        <f ca="1"/>
        <v>48211</v>
      </c>
      <c r="M2972" s="92">
        <f t="shared" ca="1" si="103"/>
        <v>6.25</v>
      </c>
      <c r="N2972" s="143">
        <f ca="1">(PRODUCT($O$5:$O2972)-1)*36000/_xlfn.DAYS(L2972, $C$2)</f>
        <v>9.5861720547871627</v>
      </c>
      <c r="O2972" s="149">
        <f t="shared" ca="1" si="104"/>
        <v>1.000173611111111</v>
      </c>
    </row>
    <row r="2973" spans="12:15" x14ac:dyDescent="0.25">
      <c r="L2973" s="147">
        <f ca="1"/>
        <v>48212</v>
      </c>
      <c r="M2973" s="92">
        <f t="shared" ca="1" si="103"/>
        <v>6.25</v>
      </c>
      <c r="N2973" s="143">
        <f ca="1">(PRODUCT($O$5:$O2973)-1)*36000/_xlfn.DAYS(L2973, $C$2)</f>
        <v>9.5867120916275095</v>
      </c>
      <c r="O2973" s="149">
        <f t="shared" ca="1" si="104"/>
        <v>1.000173611111111</v>
      </c>
    </row>
    <row r="2974" spans="12:15" x14ac:dyDescent="0.25">
      <c r="L2974" s="147">
        <f ca="1"/>
        <v>48213</v>
      </c>
      <c r="M2974" s="92">
        <f t="shared" ca="1" si="103"/>
        <v>6.25</v>
      </c>
      <c r="N2974" s="143">
        <f ca="1">(PRODUCT($O$5:$O2974)-1)*36000/_xlfn.DAYS(L2974, $C$2)</f>
        <v>9.5872524188904311</v>
      </c>
      <c r="O2974" s="149">
        <f t="shared" ca="1" si="104"/>
        <v>1.000173611111111</v>
      </c>
    </row>
    <row r="2975" spans="12:15" x14ac:dyDescent="0.25">
      <c r="L2975" s="147">
        <f ca="1"/>
        <v>48214</v>
      </c>
      <c r="M2975" s="92">
        <f t="shared" ca="1" si="103"/>
        <v>6.25</v>
      </c>
      <c r="N2975" s="143">
        <f ca="1">(PRODUCT($O$5:$O2975)-1)*36000/_xlfn.DAYS(L2975, $C$2)</f>
        <v>9.5877930363961834</v>
      </c>
      <c r="O2975" s="149">
        <f t="shared" ca="1" si="104"/>
        <v>1.000173611111111</v>
      </c>
    </row>
    <row r="2976" spans="12:15" x14ac:dyDescent="0.25">
      <c r="L2976" s="147">
        <f ca="1"/>
        <v>48215</v>
      </c>
      <c r="M2976" s="92">
        <f t="shared" ca="1" si="103"/>
        <v>6.25</v>
      </c>
      <c r="N2976" s="143">
        <f ca="1">(PRODUCT($O$5:$O2976)-1)*36000/_xlfn.DAYS(L2976, $C$2)</f>
        <v>9.5883339439652921</v>
      </c>
      <c r="O2976" s="149">
        <f t="shared" ca="1" si="104"/>
        <v>1.000173611111111</v>
      </c>
    </row>
    <row r="2977" spans="12:15" x14ac:dyDescent="0.25">
      <c r="L2977" s="147">
        <f ca="1"/>
        <v>48216</v>
      </c>
      <c r="M2977" s="92">
        <f t="shared" ca="1" si="103"/>
        <v>6.25</v>
      </c>
      <c r="N2977" s="143">
        <f ca="1">(PRODUCT($O$5:$O2977)-1)*36000/_xlfn.DAYS(L2977, $C$2)</f>
        <v>9.5888751414185407</v>
      </c>
      <c r="O2977" s="149">
        <f t="shared" ca="1" si="104"/>
        <v>1.000173611111111</v>
      </c>
    </row>
    <row r="2978" spans="12:15" x14ac:dyDescent="0.25">
      <c r="L2978" s="147">
        <f ca="1"/>
        <v>48217</v>
      </c>
      <c r="M2978" s="92">
        <f t="shared" ca="1" si="103"/>
        <v>6.25</v>
      </c>
      <c r="N2978" s="143">
        <f ca="1">(PRODUCT($O$5:$O2978)-1)*36000/_xlfn.DAYS(L2978, $C$2)</f>
        <v>9.5894166285769682</v>
      </c>
      <c r="O2978" s="149">
        <f t="shared" ca="1" si="104"/>
        <v>1.000173611111111</v>
      </c>
    </row>
    <row r="2979" spans="12:15" x14ac:dyDescent="0.25">
      <c r="L2979" s="147">
        <f ca="1"/>
        <v>48218</v>
      </c>
      <c r="M2979" s="92">
        <f t="shared" ca="1" si="103"/>
        <v>6.25</v>
      </c>
      <c r="N2979" s="143">
        <f ca="1">(PRODUCT($O$5:$O2979)-1)*36000/_xlfn.DAYS(L2979, $C$2)</f>
        <v>9.5899584052618874</v>
      </c>
      <c r="O2979" s="149">
        <f t="shared" ca="1" si="104"/>
        <v>1.000173611111111</v>
      </c>
    </row>
    <row r="2980" spans="12:15" x14ac:dyDescent="0.25">
      <c r="L2980" s="147">
        <f ca="1"/>
        <v>48219</v>
      </c>
      <c r="M2980" s="92">
        <f t="shared" ca="1" si="103"/>
        <v>6.25</v>
      </c>
      <c r="N2980" s="143">
        <f ca="1">(PRODUCT($O$5:$O2980)-1)*36000/_xlfn.DAYS(L2980, $C$2)</f>
        <v>9.5905004712948578</v>
      </c>
      <c r="O2980" s="149">
        <f t="shared" ca="1" si="104"/>
        <v>1.000173611111111</v>
      </c>
    </row>
    <row r="2981" spans="12:15" x14ac:dyDescent="0.25">
      <c r="L2981" s="147">
        <f ca="1"/>
        <v>48220</v>
      </c>
      <c r="M2981" s="92">
        <f t="shared" ca="1" si="103"/>
        <v>6.25</v>
      </c>
      <c r="N2981" s="143">
        <f ca="1">(PRODUCT($O$5:$O2981)-1)*36000/_xlfn.DAYS(L2981, $C$2)</f>
        <v>9.5910428264977039</v>
      </c>
      <c r="O2981" s="149">
        <f t="shared" ca="1" si="104"/>
        <v>1.000173611111111</v>
      </c>
    </row>
    <row r="2982" spans="12:15" x14ac:dyDescent="0.25">
      <c r="L2982" s="147">
        <f ca="1"/>
        <v>48221</v>
      </c>
      <c r="M2982" s="92">
        <f t="shared" ca="1" si="103"/>
        <v>6.25</v>
      </c>
      <c r="N2982" s="143">
        <f ca="1">(PRODUCT($O$5:$O2982)-1)*36000/_xlfn.DAYS(L2982, $C$2)</f>
        <v>9.5915854706925057</v>
      </c>
      <c r="O2982" s="149">
        <f t="shared" ca="1" si="104"/>
        <v>1.000173611111111</v>
      </c>
    </row>
    <row r="2983" spans="12:15" x14ac:dyDescent="0.25">
      <c r="L2983" s="147">
        <f ca="1"/>
        <v>48222</v>
      </c>
      <c r="M2983" s="92">
        <f t="shared" ca="1" si="103"/>
        <v>6.25</v>
      </c>
      <c r="N2983" s="143">
        <f ca="1">(PRODUCT($O$5:$O2983)-1)*36000/_xlfn.DAYS(L2983, $C$2)</f>
        <v>9.5921284037016061</v>
      </c>
      <c r="O2983" s="149">
        <f t="shared" ca="1" si="104"/>
        <v>1.000173611111111</v>
      </c>
    </row>
    <row r="2984" spans="12:15" x14ac:dyDescent="0.25">
      <c r="L2984" s="147">
        <f ca="1"/>
        <v>48223</v>
      </c>
      <c r="M2984" s="92">
        <f t="shared" ca="1" si="103"/>
        <v>6.25</v>
      </c>
      <c r="N2984" s="143">
        <f ca="1">(PRODUCT($O$5:$O2984)-1)*36000/_xlfn.DAYS(L2984, $C$2)</f>
        <v>9.5926716253476094</v>
      </c>
      <c r="O2984" s="149">
        <f t="shared" ca="1" si="104"/>
        <v>1.000173611111111</v>
      </c>
    </row>
    <row r="2985" spans="12:15" x14ac:dyDescent="0.25">
      <c r="L2985" s="147">
        <f ca="1"/>
        <v>48224</v>
      </c>
      <c r="M2985" s="92">
        <f t="shared" ca="1" si="103"/>
        <v>6.25</v>
      </c>
      <c r="N2985" s="143">
        <f ca="1">(PRODUCT($O$5:$O2985)-1)*36000/_xlfn.DAYS(L2985, $C$2)</f>
        <v>9.5932151354533666</v>
      </c>
      <c r="O2985" s="149">
        <f t="shared" ca="1" si="104"/>
        <v>1.000173611111111</v>
      </c>
    </row>
    <row r="2986" spans="12:15" x14ac:dyDescent="0.25">
      <c r="L2986" s="147">
        <f ca="1"/>
        <v>48225</v>
      </c>
      <c r="M2986" s="92">
        <f t="shared" ca="1" si="103"/>
        <v>6.25</v>
      </c>
      <c r="N2986" s="143">
        <f ca="1">(PRODUCT($O$5:$O2986)-1)*36000/_xlfn.DAYS(L2986, $C$2)</f>
        <v>9.5937589338419951</v>
      </c>
      <c r="O2986" s="149">
        <f t="shared" ca="1" si="104"/>
        <v>1.000173611111111</v>
      </c>
    </row>
    <row r="2987" spans="12:15" x14ac:dyDescent="0.25">
      <c r="L2987" s="147">
        <f ca="1"/>
        <v>48226</v>
      </c>
      <c r="M2987" s="92">
        <f t="shared" ca="1" si="103"/>
        <v>6.25</v>
      </c>
      <c r="N2987" s="143">
        <f ca="1">(PRODUCT($O$5:$O2987)-1)*36000/_xlfn.DAYS(L2987, $C$2)</f>
        <v>9.5943030203368647</v>
      </c>
      <c r="O2987" s="149">
        <f t="shared" ca="1" si="104"/>
        <v>1.000173611111111</v>
      </c>
    </row>
    <row r="2988" spans="12:15" x14ac:dyDescent="0.25">
      <c r="L2988" s="147">
        <f ca="1"/>
        <v>48227</v>
      </c>
      <c r="M2988" s="92">
        <f t="shared" ca="1" si="103"/>
        <v>6.25</v>
      </c>
      <c r="N2988" s="143">
        <f ca="1">(PRODUCT($O$5:$O2988)-1)*36000/_xlfn.DAYS(L2988, $C$2)</f>
        <v>9.5948473947616026</v>
      </c>
      <c r="O2988" s="149">
        <f t="shared" ca="1" si="104"/>
        <v>1.000173611111111</v>
      </c>
    </row>
    <row r="2989" spans="12:15" x14ac:dyDescent="0.25">
      <c r="L2989" s="147">
        <f ca="1"/>
        <v>48228</v>
      </c>
      <c r="M2989" s="92">
        <f t="shared" ca="1" si="103"/>
        <v>6.25</v>
      </c>
      <c r="N2989" s="143">
        <f ca="1">(PRODUCT($O$5:$O2989)-1)*36000/_xlfn.DAYS(L2989, $C$2)</f>
        <v>9.5953920569400957</v>
      </c>
      <c r="O2989" s="149">
        <f t="shared" ca="1" si="104"/>
        <v>1.000173611111111</v>
      </c>
    </row>
    <row r="2990" spans="12:15" x14ac:dyDescent="0.25">
      <c r="L2990" s="147">
        <f ca="1"/>
        <v>48229</v>
      </c>
      <c r="M2990" s="92">
        <f t="shared" ca="1" si="103"/>
        <v>6.25</v>
      </c>
      <c r="N2990" s="143">
        <f ca="1">(PRODUCT($O$5:$O2990)-1)*36000/_xlfn.DAYS(L2990, $C$2)</f>
        <v>9.5959370066964809</v>
      </c>
      <c r="O2990" s="149">
        <f t="shared" ca="1" si="104"/>
        <v>1.000173611111111</v>
      </c>
    </row>
    <row r="2991" spans="12:15" x14ac:dyDescent="0.25">
      <c r="L2991" s="147">
        <f ca="1"/>
        <v>48230</v>
      </c>
      <c r="M2991" s="92">
        <f t="shared" ca="1" si="103"/>
        <v>6.25</v>
      </c>
      <c r="N2991" s="143">
        <f ca="1">(PRODUCT($O$5:$O2991)-1)*36000/_xlfn.DAYS(L2991, $C$2)</f>
        <v>9.5964822438551511</v>
      </c>
      <c r="O2991" s="149">
        <f t="shared" ca="1" si="104"/>
        <v>1.000173611111111</v>
      </c>
    </row>
    <row r="2992" spans="12:15" x14ac:dyDescent="0.25">
      <c r="L2992" s="147">
        <f ca="1"/>
        <v>48231</v>
      </c>
      <c r="M2992" s="92">
        <f t="shared" ca="1" si="103"/>
        <v>6.25</v>
      </c>
      <c r="N2992" s="143">
        <f ca="1">(PRODUCT($O$5:$O2992)-1)*36000/_xlfn.DAYS(L2992, $C$2)</f>
        <v>9.5970277682407552</v>
      </c>
      <c r="O2992" s="149">
        <f t="shared" ca="1" si="104"/>
        <v>1.000173611111111</v>
      </c>
    </row>
    <row r="2993" spans="12:15" x14ac:dyDescent="0.25">
      <c r="L2993" s="147">
        <f ca="1"/>
        <v>48232</v>
      </c>
      <c r="M2993" s="92">
        <f t="shared" ca="1" si="103"/>
        <v>6.25</v>
      </c>
      <c r="N2993" s="143">
        <f ca="1">(PRODUCT($O$5:$O2993)-1)*36000/_xlfn.DAYS(L2993, $C$2)</f>
        <v>9.5975735796782029</v>
      </c>
      <c r="O2993" s="149">
        <f t="shared" ca="1" si="104"/>
        <v>1.000173611111111</v>
      </c>
    </row>
    <row r="2994" spans="12:15" x14ac:dyDescent="0.25">
      <c r="L2994" s="147">
        <f ca="1"/>
        <v>48233</v>
      </c>
      <c r="M2994" s="92">
        <f t="shared" ca="1" si="103"/>
        <v>6.25</v>
      </c>
      <c r="N2994" s="143">
        <f ca="1">(PRODUCT($O$5:$O2994)-1)*36000/_xlfn.DAYS(L2994, $C$2)</f>
        <v>9.5981196779926474</v>
      </c>
      <c r="O2994" s="149">
        <f t="shared" ca="1" si="104"/>
        <v>1.000173611111111</v>
      </c>
    </row>
    <row r="2995" spans="12:15" x14ac:dyDescent="0.25">
      <c r="L2995" s="147">
        <f ca="1"/>
        <v>48234</v>
      </c>
      <c r="M2995" s="92">
        <f t="shared" ca="1" si="103"/>
        <v>6.25</v>
      </c>
      <c r="N2995" s="143">
        <f ca="1">(PRODUCT($O$5:$O2995)-1)*36000/_xlfn.DAYS(L2995, $C$2)</f>
        <v>9.5986660630094995</v>
      </c>
      <c r="O2995" s="149">
        <f t="shared" ca="1" si="104"/>
        <v>1.000173611111111</v>
      </c>
    </row>
    <row r="2996" spans="12:15" x14ac:dyDescent="0.25">
      <c r="L2996" s="147">
        <f ca="1"/>
        <v>48235</v>
      </c>
      <c r="M2996" s="92">
        <f t="shared" ca="1" si="103"/>
        <v>6.25</v>
      </c>
      <c r="N2996" s="143">
        <f ca="1">(PRODUCT($O$5:$O2996)-1)*36000/_xlfn.DAYS(L2996, $C$2)</f>
        <v>9.5992127345544223</v>
      </c>
      <c r="O2996" s="149">
        <f t="shared" ca="1" si="104"/>
        <v>1.000173611111111</v>
      </c>
    </row>
    <row r="2997" spans="12:15" x14ac:dyDescent="0.25">
      <c r="L2997" s="147">
        <f ca="1"/>
        <v>48236</v>
      </c>
      <c r="M2997" s="92">
        <f t="shared" ca="1" si="103"/>
        <v>6.25</v>
      </c>
      <c r="N2997" s="143">
        <f ca="1">(PRODUCT($O$5:$O2997)-1)*36000/_xlfn.DAYS(L2997, $C$2)</f>
        <v>9.5997596924533344</v>
      </c>
      <c r="O2997" s="149">
        <f t="shared" ca="1" si="104"/>
        <v>1.000173611111111</v>
      </c>
    </row>
    <row r="2998" spans="12:15" x14ac:dyDescent="0.25">
      <c r="L2998" s="147">
        <f ca="1"/>
        <v>48237</v>
      </c>
      <c r="M2998" s="92">
        <f t="shared" ca="1" si="103"/>
        <v>6.25</v>
      </c>
      <c r="N2998" s="143">
        <f ca="1">(PRODUCT($O$5:$O2998)-1)*36000/_xlfn.DAYS(L2998, $C$2)</f>
        <v>9.6003069365324052</v>
      </c>
      <c r="O2998" s="149">
        <f t="shared" ca="1" si="104"/>
        <v>1.000173611111111</v>
      </c>
    </row>
    <row r="2999" spans="12:15" x14ac:dyDescent="0.25">
      <c r="L2999" s="147">
        <f ca="1"/>
        <v>48238</v>
      </c>
      <c r="M2999" s="92">
        <f t="shared" ca="1" si="103"/>
        <v>6.25</v>
      </c>
      <c r="N2999" s="143">
        <f ca="1">(PRODUCT($O$5:$O2999)-1)*36000/_xlfn.DAYS(L2999, $C$2)</f>
        <v>9.6008544666180509</v>
      </c>
      <c r="O2999" s="149">
        <f t="shared" ca="1" si="104"/>
        <v>1.000173611111111</v>
      </c>
    </row>
    <row r="3000" spans="12:15" x14ac:dyDescent="0.25">
      <c r="L3000" s="147">
        <f ca="1"/>
        <v>48239</v>
      </c>
      <c r="M3000" s="92">
        <f t="shared" ca="1" si="103"/>
        <v>6.25</v>
      </c>
      <c r="N3000" s="143">
        <f ca="1">(PRODUCT($O$5:$O3000)-1)*36000/_xlfn.DAYS(L3000, $C$2)</f>
        <v>9.6014022825369487</v>
      </c>
      <c r="O3000" s="149">
        <f t="shared" ca="1" si="104"/>
        <v>1.000173611111111</v>
      </c>
    </row>
    <row r="3001" spans="12:15" x14ac:dyDescent="0.25">
      <c r="L3001" s="147">
        <f ca="1"/>
        <v>48240</v>
      </c>
      <c r="M3001" s="92">
        <f t="shared" ca="1" si="103"/>
        <v>6.25</v>
      </c>
      <c r="N3001" s="143">
        <f ca="1">(PRODUCT($O$5:$O3001)-1)*36000/_xlfn.DAYS(L3001, $C$2)</f>
        <v>9.6019503841160159</v>
      </c>
      <c r="O3001" s="149">
        <f t="shared" ca="1" si="104"/>
        <v>1.000173611111111</v>
      </c>
    </row>
    <row r="3002" spans="12:15" x14ac:dyDescent="0.25">
      <c r="L3002" s="147">
        <f ca="1"/>
        <v>48241</v>
      </c>
      <c r="M3002" s="92">
        <f t="shared" ca="1" si="103"/>
        <v>6.25</v>
      </c>
      <c r="N3002" s="143">
        <f ca="1">(PRODUCT($O$5:$O3002)-1)*36000/_xlfn.DAYS(L3002, $C$2)</f>
        <v>9.6024987711824306</v>
      </c>
      <c r="O3002" s="149">
        <f t="shared" ca="1" si="104"/>
        <v>1.000173611111111</v>
      </c>
    </row>
    <row r="3003" spans="12:15" x14ac:dyDescent="0.25">
      <c r="L3003" s="147">
        <f ca="1"/>
        <v>48242</v>
      </c>
      <c r="M3003" s="92">
        <f t="shared" ca="1" si="103"/>
        <v>6.25</v>
      </c>
      <c r="N3003" s="143">
        <f ca="1">(PRODUCT($O$5:$O3003)-1)*36000/_xlfn.DAYS(L3003, $C$2)</f>
        <v>9.6030474435636162</v>
      </c>
      <c r="O3003" s="149">
        <f t="shared" ca="1" si="104"/>
        <v>1.000173611111111</v>
      </c>
    </row>
    <row r="3004" spans="12:15" x14ac:dyDescent="0.25">
      <c r="L3004" s="147">
        <f ca="1"/>
        <v>48243</v>
      </c>
      <c r="M3004" s="92">
        <f t="shared" ca="1" si="103"/>
        <v>6.25</v>
      </c>
      <c r="N3004" s="143">
        <f ca="1">(PRODUCT($O$5:$O3004)-1)*36000/_xlfn.DAYS(L3004, $C$2)</f>
        <v>9.603596401087243</v>
      </c>
      <c r="O3004" s="149">
        <f t="shared" ca="1" si="104"/>
        <v>1.000173611111111</v>
      </c>
    </row>
    <row r="3005" spans="12:15" x14ac:dyDescent="0.25">
      <c r="L3005" s="147">
        <f ca="1"/>
        <v>48244</v>
      </c>
      <c r="M3005" s="92">
        <f t="shared" ca="1" si="103"/>
        <v>6.25</v>
      </c>
      <c r="N3005" s="143">
        <f ca="1">(PRODUCT($O$5:$O3005)-1)*36000/_xlfn.DAYS(L3005, $C$2)</f>
        <v>9.6041456435812371</v>
      </c>
      <c r="O3005" s="149">
        <f t="shared" ca="1" si="104"/>
        <v>1.000173611111111</v>
      </c>
    </row>
    <row r="3006" spans="12:15" x14ac:dyDescent="0.25">
      <c r="L3006" s="147">
        <f ca="1"/>
        <v>48245</v>
      </c>
      <c r="M3006" s="92">
        <f t="shared" ca="1" si="103"/>
        <v>6.25</v>
      </c>
      <c r="N3006" s="143">
        <f ca="1">(PRODUCT($O$5:$O3006)-1)*36000/_xlfn.DAYS(L3006, $C$2)</f>
        <v>9.604695170873768</v>
      </c>
      <c r="O3006" s="149">
        <f t="shared" ca="1" si="104"/>
        <v>1.000173611111111</v>
      </c>
    </row>
    <row r="3007" spans="12:15" x14ac:dyDescent="0.25">
      <c r="L3007" s="147">
        <f ca="1"/>
        <v>48246</v>
      </c>
      <c r="M3007" s="92">
        <f t="shared" ca="1" si="103"/>
        <v>6.25</v>
      </c>
      <c r="N3007" s="143">
        <f ca="1">(PRODUCT($O$5:$O3007)-1)*36000/_xlfn.DAYS(L3007, $C$2)</f>
        <v>9.6052449827932538</v>
      </c>
      <c r="O3007" s="149">
        <f t="shared" ca="1" si="104"/>
        <v>1.000173611111111</v>
      </c>
    </row>
    <row r="3008" spans="12:15" x14ac:dyDescent="0.25">
      <c r="L3008" s="147">
        <f ca="1"/>
        <v>48247</v>
      </c>
      <c r="M3008" s="92">
        <f t="shared" ca="1" si="103"/>
        <v>6.25</v>
      </c>
      <c r="N3008" s="143">
        <f ca="1">(PRODUCT($O$5:$O3008)-1)*36000/_xlfn.DAYS(L3008, $C$2)</f>
        <v>9.6057950791683648</v>
      </c>
      <c r="O3008" s="149">
        <f t="shared" ca="1" si="104"/>
        <v>1.000173611111111</v>
      </c>
    </row>
    <row r="3009" spans="12:15" x14ac:dyDescent="0.25">
      <c r="L3009" s="147">
        <f ca="1"/>
        <v>48248</v>
      </c>
      <c r="M3009" s="92">
        <f t="shared" ca="1" si="103"/>
        <v>6.25</v>
      </c>
      <c r="N3009" s="143">
        <f ca="1">(PRODUCT($O$5:$O3009)-1)*36000/_xlfn.DAYS(L3009, $C$2)</f>
        <v>9.6063454598280167</v>
      </c>
      <c r="O3009" s="149">
        <f t="shared" ca="1" si="104"/>
        <v>1.000173611111111</v>
      </c>
    </row>
    <row r="3010" spans="12:15" x14ac:dyDescent="0.25">
      <c r="L3010" s="147">
        <f ca="1"/>
        <v>48249</v>
      </c>
      <c r="M3010" s="92">
        <f t="shared" ca="1" si="103"/>
        <v>6.25</v>
      </c>
      <c r="N3010" s="143">
        <f ca="1">(PRODUCT($O$5:$O3010)-1)*36000/_xlfn.DAYS(L3010, $C$2)</f>
        <v>9.6068961246013718</v>
      </c>
      <c r="O3010" s="149">
        <f t="shared" ca="1" si="104"/>
        <v>1.000173611111111</v>
      </c>
    </row>
    <row r="3011" spans="12:15" x14ac:dyDescent="0.25">
      <c r="L3011" s="147">
        <f ca="1"/>
        <v>48250</v>
      </c>
      <c r="M3011" s="92">
        <f t="shared" ca="1" si="103"/>
        <v>6.25</v>
      </c>
      <c r="N3011" s="143">
        <f ca="1">(PRODUCT($O$5:$O3011)-1)*36000/_xlfn.DAYS(L3011, $C$2)</f>
        <v>9.6074470733178394</v>
      </c>
      <c r="O3011" s="149">
        <f t="shared" ca="1" si="104"/>
        <v>1.000173611111111</v>
      </c>
    </row>
    <row r="3012" spans="12:15" x14ac:dyDescent="0.25">
      <c r="L3012" s="147">
        <f ca="1"/>
        <v>48251</v>
      </c>
      <c r="M3012" s="92">
        <f t="shared" ca="1" si="103"/>
        <v>6.25</v>
      </c>
      <c r="N3012" s="143">
        <f ca="1">(PRODUCT($O$5:$O3012)-1)*36000/_xlfn.DAYS(L3012, $C$2)</f>
        <v>9.6079983058070777</v>
      </c>
      <c r="O3012" s="149">
        <f t="shared" ca="1" si="104"/>
        <v>1.000173611111111</v>
      </c>
    </row>
    <row r="3013" spans="12:15" x14ac:dyDescent="0.25">
      <c r="L3013" s="147">
        <f ca="1"/>
        <v>48252</v>
      </c>
      <c r="M3013" s="92">
        <f t="shared" ref="M3013:M3076" ca="1" si="105">IFERROR(INDEX($E$27:$H$47, MATCH(L3013, $F$27:$F$47, 0), 4), IF(ISNUMBER(M3012), M3012, $C$5))</f>
        <v>6.25</v>
      </c>
      <c r="N3013" s="143">
        <f ca="1">(PRODUCT($O$5:$O3013)-1)*36000/_xlfn.DAYS(L3013, $C$2)</f>
        <v>9.6085498218989862</v>
      </c>
      <c r="O3013" s="149">
        <f t="shared" ca="1" si="104"/>
        <v>1.000173611111111</v>
      </c>
    </row>
    <row r="3014" spans="12:15" x14ac:dyDescent="0.25">
      <c r="L3014" s="147">
        <f ca="1"/>
        <v>48253</v>
      </c>
      <c r="M3014" s="92">
        <f t="shared" ca="1" si="105"/>
        <v>6.25</v>
      </c>
      <c r="N3014" s="143">
        <f ca="1">(PRODUCT($O$5:$O3014)-1)*36000/_xlfn.DAYS(L3014, $C$2)</f>
        <v>9.6091016214237133</v>
      </c>
      <c r="O3014" s="149">
        <f t="shared" ref="O3014:O3077" ca="1" si="106">1+M3014*IFERROR(_xlfn.DAYS(L3014, L3013), _xlfn.DAYS(L3014, $C$2))/36000</f>
        <v>1.000173611111111</v>
      </c>
    </row>
    <row r="3015" spans="12:15" x14ac:dyDescent="0.25">
      <c r="L3015" s="147">
        <f ca="1"/>
        <v>48254</v>
      </c>
      <c r="M3015" s="92">
        <f t="shared" ca="1" si="105"/>
        <v>6.25</v>
      </c>
      <c r="N3015" s="143">
        <f ca="1">(PRODUCT($O$5:$O3015)-1)*36000/_xlfn.DAYS(L3015, $C$2)</f>
        <v>9.6096537042116523</v>
      </c>
      <c r="O3015" s="149">
        <f t="shared" ca="1" si="106"/>
        <v>1.000173611111111</v>
      </c>
    </row>
    <row r="3016" spans="12:15" x14ac:dyDescent="0.25">
      <c r="L3016" s="147">
        <f ca="1"/>
        <v>48255</v>
      </c>
      <c r="M3016" s="92">
        <f t="shared" ca="1" si="105"/>
        <v>6.25</v>
      </c>
      <c r="N3016" s="143">
        <f ca="1">(PRODUCT($O$5:$O3016)-1)*36000/_xlfn.DAYS(L3016, $C$2)</f>
        <v>9.6102060700934437</v>
      </c>
      <c r="O3016" s="149">
        <f t="shared" ca="1" si="106"/>
        <v>1.000173611111111</v>
      </c>
    </row>
    <row r="3017" spans="12:15" x14ac:dyDescent="0.25">
      <c r="L3017" s="147">
        <f ca="1"/>
        <v>48256</v>
      </c>
      <c r="M3017" s="92">
        <f t="shared" ca="1" si="105"/>
        <v>6.25</v>
      </c>
      <c r="N3017" s="143">
        <f ca="1">(PRODUCT($O$5:$O3017)-1)*36000/_xlfn.DAYS(L3017, $C$2)</f>
        <v>9.6107587188999677</v>
      </c>
      <c r="O3017" s="149">
        <f t="shared" ca="1" si="106"/>
        <v>1.000173611111111</v>
      </c>
    </row>
    <row r="3018" spans="12:15" x14ac:dyDescent="0.25">
      <c r="L3018" s="147">
        <f ca="1"/>
        <v>48257</v>
      </c>
      <c r="M3018" s="92">
        <f t="shared" ca="1" si="105"/>
        <v>6.25</v>
      </c>
      <c r="N3018" s="143">
        <f ca="1">(PRODUCT($O$5:$O3018)-1)*36000/_xlfn.DAYS(L3018, $C$2)</f>
        <v>9.6113116504623477</v>
      </c>
      <c r="O3018" s="149">
        <f t="shared" ca="1" si="106"/>
        <v>1.000173611111111</v>
      </c>
    </row>
    <row r="3019" spans="12:15" x14ac:dyDescent="0.25">
      <c r="L3019" s="147">
        <f ca="1"/>
        <v>48258</v>
      </c>
      <c r="M3019" s="92">
        <f t="shared" ca="1" si="105"/>
        <v>6.25</v>
      </c>
      <c r="N3019" s="143">
        <f ca="1">(PRODUCT($O$5:$O3019)-1)*36000/_xlfn.DAYS(L3019, $C$2)</f>
        <v>9.6118648646119578</v>
      </c>
      <c r="O3019" s="149">
        <f t="shared" ca="1" si="106"/>
        <v>1.000173611111111</v>
      </c>
    </row>
    <row r="3020" spans="12:15" x14ac:dyDescent="0.25">
      <c r="L3020" s="147">
        <f ca="1"/>
        <v>48259</v>
      </c>
      <c r="M3020" s="92">
        <f t="shared" ca="1" si="105"/>
        <v>6.25</v>
      </c>
      <c r="N3020" s="143">
        <f ca="1">(PRODUCT($O$5:$O3020)-1)*36000/_xlfn.DAYS(L3020, $C$2)</f>
        <v>9.6124183611804117</v>
      </c>
      <c r="O3020" s="149">
        <f t="shared" ca="1" si="106"/>
        <v>1.000173611111111</v>
      </c>
    </row>
    <row r="3021" spans="12:15" x14ac:dyDescent="0.25">
      <c r="L3021" s="147">
        <f ca="1"/>
        <v>48260</v>
      </c>
      <c r="M3021" s="92">
        <f t="shared" ca="1" si="105"/>
        <v>6.25</v>
      </c>
      <c r="N3021" s="143">
        <f ca="1">(PRODUCT($O$5:$O3021)-1)*36000/_xlfn.DAYS(L3021, $C$2)</f>
        <v>9.6129721399995613</v>
      </c>
      <c r="O3021" s="149">
        <f t="shared" ca="1" si="106"/>
        <v>1.000173611111111</v>
      </c>
    </row>
    <row r="3022" spans="12:15" x14ac:dyDescent="0.25">
      <c r="L3022" s="147">
        <f ca="1"/>
        <v>48261</v>
      </c>
      <c r="M3022" s="92">
        <f t="shared" ca="1" si="105"/>
        <v>6.25</v>
      </c>
      <c r="N3022" s="143">
        <f ca="1">(PRODUCT($O$5:$O3022)-1)*36000/_xlfn.DAYS(L3022, $C$2)</f>
        <v>9.6135262009015072</v>
      </c>
      <c r="O3022" s="149">
        <f t="shared" ca="1" si="106"/>
        <v>1.000173611111111</v>
      </c>
    </row>
    <row r="3023" spans="12:15" x14ac:dyDescent="0.25">
      <c r="L3023" s="147">
        <f ca="1"/>
        <v>48262</v>
      </c>
      <c r="M3023" s="92">
        <f t="shared" ca="1" si="105"/>
        <v>6.25</v>
      </c>
      <c r="N3023" s="143">
        <f ca="1">(PRODUCT($O$5:$O3023)-1)*36000/_xlfn.DAYS(L3023, $C$2)</f>
        <v>9.6140805437185897</v>
      </c>
      <c r="O3023" s="149">
        <f t="shared" ca="1" si="106"/>
        <v>1.000173611111111</v>
      </c>
    </row>
    <row r="3024" spans="12:15" x14ac:dyDescent="0.25">
      <c r="L3024" s="147">
        <f ca="1"/>
        <v>48263</v>
      </c>
      <c r="M3024" s="92">
        <f t="shared" ca="1" si="105"/>
        <v>6.25</v>
      </c>
      <c r="N3024" s="143">
        <f ca="1">(PRODUCT($O$5:$O3024)-1)*36000/_xlfn.DAYS(L3024, $C$2)</f>
        <v>9.6146351682833888</v>
      </c>
      <c r="O3024" s="149">
        <f t="shared" ca="1" si="106"/>
        <v>1.000173611111111</v>
      </c>
    </row>
    <row r="3025" spans="12:15" x14ac:dyDescent="0.25">
      <c r="L3025" s="147">
        <f ca="1"/>
        <v>48264</v>
      </c>
      <c r="M3025" s="92">
        <f t="shared" ca="1" si="105"/>
        <v>6.25</v>
      </c>
      <c r="N3025" s="143">
        <f ca="1">(PRODUCT($O$5:$O3025)-1)*36000/_xlfn.DAYS(L3025, $C$2)</f>
        <v>9.6151900744287335</v>
      </c>
      <c r="O3025" s="149">
        <f t="shared" ca="1" si="106"/>
        <v>1.000173611111111</v>
      </c>
    </row>
    <row r="3026" spans="12:15" x14ac:dyDescent="0.25">
      <c r="L3026" s="147">
        <f ca="1"/>
        <v>48265</v>
      </c>
      <c r="M3026" s="92">
        <f t="shared" ca="1" si="105"/>
        <v>6.25</v>
      </c>
      <c r="N3026" s="143">
        <f ca="1">(PRODUCT($O$5:$O3026)-1)*36000/_xlfn.DAYS(L3026, $C$2)</f>
        <v>9.6157452619876818</v>
      </c>
      <c r="O3026" s="149">
        <f t="shared" ca="1" si="106"/>
        <v>1.000173611111111</v>
      </c>
    </row>
    <row r="3027" spans="12:15" x14ac:dyDescent="0.25">
      <c r="L3027" s="147">
        <f ca="1"/>
        <v>48266</v>
      </c>
      <c r="M3027" s="92">
        <f t="shared" ca="1" si="105"/>
        <v>6.25</v>
      </c>
      <c r="N3027" s="143">
        <f ca="1">(PRODUCT($O$5:$O3027)-1)*36000/_xlfn.DAYS(L3027, $C$2)</f>
        <v>9.616300730793542</v>
      </c>
      <c r="O3027" s="149">
        <f t="shared" ca="1" si="106"/>
        <v>1.000173611111111</v>
      </c>
    </row>
    <row r="3028" spans="12:15" x14ac:dyDescent="0.25">
      <c r="L3028" s="147">
        <f ca="1"/>
        <v>48267</v>
      </c>
      <c r="M3028" s="92">
        <f t="shared" ca="1" si="105"/>
        <v>6.25</v>
      </c>
      <c r="N3028" s="143">
        <f ca="1">(PRODUCT($O$5:$O3028)-1)*36000/_xlfn.DAYS(L3028, $C$2)</f>
        <v>9.6168564806798553</v>
      </c>
      <c r="O3028" s="149">
        <f t="shared" ca="1" si="106"/>
        <v>1.000173611111111</v>
      </c>
    </row>
    <row r="3029" spans="12:15" x14ac:dyDescent="0.25">
      <c r="L3029" s="147">
        <f ca="1"/>
        <v>48268</v>
      </c>
      <c r="M3029" s="92">
        <f t="shared" ca="1" si="105"/>
        <v>6.25</v>
      </c>
      <c r="N3029" s="143">
        <f ca="1">(PRODUCT($O$5:$O3029)-1)*36000/_xlfn.DAYS(L3029, $C$2)</f>
        <v>9.6174125114804081</v>
      </c>
      <c r="O3029" s="149">
        <f t="shared" ca="1" si="106"/>
        <v>1.000173611111111</v>
      </c>
    </row>
    <row r="3030" spans="12:15" x14ac:dyDescent="0.25">
      <c r="L3030" s="147">
        <f ca="1"/>
        <v>48269</v>
      </c>
      <c r="M3030" s="92">
        <f t="shared" ca="1" si="105"/>
        <v>6.25</v>
      </c>
      <c r="N3030" s="143">
        <f ca="1">(PRODUCT($O$5:$O3030)-1)*36000/_xlfn.DAYS(L3030, $C$2)</f>
        <v>9.6179688230292228</v>
      </c>
      <c r="O3030" s="149">
        <f t="shared" ca="1" si="106"/>
        <v>1.000173611111111</v>
      </c>
    </row>
    <row r="3031" spans="12:15" x14ac:dyDescent="0.25">
      <c r="L3031" s="147">
        <f ca="1"/>
        <v>48270</v>
      </c>
      <c r="M3031" s="92">
        <f t="shared" ca="1" si="105"/>
        <v>6.25</v>
      </c>
      <c r="N3031" s="143">
        <f ca="1">(PRODUCT($O$5:$O3031)-1)*36000/_xlfn.DAYS(L3031, $C$2)</f>
        <v>9.6185254151605619</v>
      </c>
      <c r="O3031" s="149">
        <f t="shared" ca="1" si="106"/>
        <v>1.000173611111111</v>
      </c>
    </row>
    <row r="3032" spans="12:15" x14ac:dyDescent="0.25">
      <c r="L3032" s="147">
        <f ca="1"/>
        <v>48271</v>
      </c>
      <c r="M3032" s="92">
        <f t="shared" ca="1" si="105"/>
        <v>6.25</v>
      </c>
      <c r="N3032" s="143">
        <f ca="1">(PRODUCT($O$5:$O3032)-1)*36000/_xlfn.DAYS(L3032, $C$2)</f>
        <v>9.6190822877089275</v>
      </c>
      <c r="O3032" s="149">
        <f t="shared" ca="1" si="106"/>
        <v>1.000173611111111</v>
      </c>
    </row>
    <row r="3033" spans="12:15" x14ac:dyDescent="0.25">
      <c r="L3033" s="147">
        <f ca="1"/>
        <v>48272</v>
      </c>
      <c r="M3033" s="92">
        <f t="shared" ca="1" si="105"/>
        <v>6.25</v>
      </c>
      <c r="N3033" s="143">
        <f ca="1">(PRODUCT($O$5:$O3033)-1)*36000/_xlfn.DAYS(L3033, $C$2)</f>
        <v>9.6196394405090544</v>
      </c>
      <c r="O3033" s="149">
        <f t="shared" ca="1" si="106"/>
        <v>1.000173611111111</v>
      </c>
    </row>
    <row r="3034" spans="12:15" x14ac:dyDescent="0.25">
      <c r="L3034" s="147">
        <f ca="1"/>
        <v>48273</v>
      </c>
      <c r="M3034" s="92">
        <f t="shared" ca="1" si="105"/>
        <v>6.25</v>
      </c>
      <c r="N3034" s="143">
        <f ca="1">(PRODUCT($O$5:$O3034)-1)*36000/_xlfn.DAYS(L3034, $C$2)</f>
        <v>9.6201968733959227</v>
      </c>
      <c r="O3034" s="149">
        <f t="shared" ca="1" si="106"/>
        <v>1.000173611111111</v>
      </c>
    </row>
    <row r="3035" spans="12:15" x14ac:dyDescent="0.25">
      <c r="L3035" s="147">
        <f ca="1"/>
        <v>48274</v>
      </c>
      <c r="M3035" s="92">
        <f t="shared" ca="1" si="105"/>
        <v>6.25</v>
      </c>
      <c r="N3035" s="143">
        <f ca="1">(PRODUCT($O$5:$O3035)-1)*36000/_xlfn.DAYS(L3035, $C$2)</f>
        <v>9.620754586204745</v>
      </c>
      <c r="O3035" s="149">
        <f t="shared" ca="1" si="106"/>
        <v>1.000173611111111</v>
      </c>
    </row>
    <row r="3036" spans="12:15" x14ac:dyDescent="0.25">
      <c r="L3036" s="147">
        <f ca="1"/>
        <v>48275</v>
      </c>
      <c r="M3036" s="92">
        <f t="shared" ca="1" si="105"/>
        <v>6.25</v>
      </c>
      <c r="N3036" s="143">
        <f ca="1">(PRODUCT($O$5:$O3036)-1)*36000/_xlfn.DAYS(L3036, $C$2)</f>
        <v>9.6213125787709739</v>
      </c>
      <c r="O3036" s="149">
        <f t="shared" ca="1" si="106"/>
        <v>1.000173611111111</v>
      </c>
    </row>
    <row r="3037" spans="12:15" x14ac:dyDescent="0.25">
      <c r="L3037" s="147">
        <f ca="1"/>
        <v>48276</v>
      </c>
      <c r="M3037" s="92">
        <f t="shared" ca="1" si="105"/>
        <v>6.25</v>
      </c>
      <c r="N3037" s="143">
        <f ca="1">(PRODUCT($O$5:$O3037)-1)*36000/_xlfn.DAYS(L3037, $C$2)</f>
        <v>9.621870850930291</v>
      </c>
      <c r="O3037" s="149">
        <f t="shared" ca="1" si="106"/>
        <v>1.000173611111111</v>
      </c>
    </row>
    <row r="3038" spans="12:15" x14ac:dyDescent="0.25">
      <c r="L3038" s="147">
        <f ca="1"/>
        <v>48277</v>
      </c>
      <c r="M3038" s="92">
        <f t="shared" ca="1" si="105"/>
        <v>6.25</v>
      </c>
      <c r="N3038" s="143">
        <f ca="1">(PRODUCT($O$5:$O3038)-1)*36000/_xlfn.DAYS(L3038, $C$2)</f>
        <v>9.6224294025186268</v>
      </c>
      <c r="O3038" s="149">
        <f t="shared" ca="1" si="106"/>
        <v>1.000173611111111</v>
      </c>
    </row>
    <row r="3039" spans="12:15" x14ac:dyDescent="0.25">
      <c r="L3039" s="147">
        <f ca="1"/>
        <v>48278</v>
      </c>
      <c r="M3039" s="92">
        <f t="shared" ca="1" si="105"/>
        <v>6.25</v>
      </c>
      <c r="N3039" s="143">
        <f ca="1">(PRODUCT($O$5:$O3039)-1)*36000/_xlfn.DAYS(L3039, $C$2)</f>
        <v>9.622988233372137</v>
      </c>
      <c r="O3039" s="149">
        <f t="shared" ca="1" si="106"/>
        <v>1.000173611111111</v>
      </c>
    </row>
    <row r="3040" spans="12:15" x14ac:dyDescent="0.25">
      <c r="L3040" s="147">
        <f ca="1"/>
        <v>48279</v>
      </c>
      <c r="M3040" s="92">
        <f t="shared" ca="1" si="105"/>
        <v>6.25</v>
      </c>
      <c r="N3040" s="143">
        <f ca="1">(PRODUCT($O$5:$O3040)-1)*36000/_xlfn.DAYS(L3040, $C$2)</f>
        <v>9.6235473433272141</v>
      </c>
      <c r="O3040" s="149">
        <f t="shared" ca="1" si="106"/>
        <v>1.000173611111111</v>
      </c>
    </row>
    <row r="3041" spans="12:15" x14ac:dyDescent="0.25">
      <c r="L3041" s="147">
        <f ca="1"/>
        <v>48280</v>
      </c>
      <c r="M3041" s="92">
        <f t="shared" ca="1" si="105"/>
        <v>6.25</v>
      </c>
      <c r="N3041" s="143">
        <f ca="1">(PRODUCT($O$5:$O3041)-1)*36000/_xlfn.DAYS(L3041, $C$2)</f>
        <v>9.6241067322204898</v>
      </c>
      <c r="O3041" s="149">
        <f t="shared" ca="1" si="106"/>
        <v>1.000173611111111</v>
      </c>
    </row>
    <row r="3042" spans="12:15" x14ac:dyDescent="0.25">
      <c r="L3042" s="147">
        <f ca="1"/>
        <v>48281</v>
      </c>
      <c r="M3042" s="92">
        <f t="shared" ca="1" si="105"/>
        <v>6.25</v>
      </c>
      <c r="N3042" s="143">
        <f ca="1">(PRODUCT($O$5:$O3042)-1)*36000/_xlfn.DAYS(L3042, $C$2)</f>
        <v>9.6246663998888273</v>
      </c>
      <c r="O3042" s="149">
        <f t="shared" ca="1" si="106"/>
        <v>1.000173611111111</v>
      </c>
    </row>
    <row r="3043" spans="12:15" x14ac:dyDescent="0.25">
      <c r="L3043" s="147">
        <f ca="1"/>
        <v>48282</v>
      </c>
      <c r="M3043" s="92">
        <f t="shared" ca="1" si="105"/>
        <v>6.25</v>
      </c>
      <c r="N3043" s="143">
        <f ca="1">(PRODUCT($O$5:$O3043)-1)*36000/_xlfn.DAYS(L3043, $C$2)</f>
        <v>9.6252263461693257</v>
      </c>
      <c r="O3043" s="149">
        <f t="shared" ca="1" si="106"/>
        <v>1.000173611111111</v>
      </c>
    </row>
    <row r="3044" spans="12:15" x14ac:dyDescent="0.25">
      <c r="L3044" s="147">
        <f ca="1"/>
        <v>48283</v>
      </c>
      <c r="M3044" s="92">
        <f t="shared" ca="1" si="105"/>
        <v>6.25</v>
      </c>
      <c r="N3044" s="143">
        <f ca="1">(PRODUCT($O$5:$O3044)-1)*36000/_xlfn.DAYS(L3044, $C$2)</f>
        <v>9.6257865708993169</v>
      </c>
      <c r="O3044" s="149">
        <f t="shared" ca="1" si="106"/>
        <v>1.000173611111111</v>
      </c>
    </row>
    <row r="3045" spans="12:15" x14ac:dyDescent="0.25">
      <c r="L3045" s="147">
        <f ca="1"/>
        <v>48284</v>
      </c>
      <c r="M3045" s="92">
        <f t="shared" ca="1" si="105"/>
        <v>6.25</v>
      </c>
      <c r="N3045" s="143">
        <f ca="1">(PRODUCT($O$5:$O3045)-1)*36000/_xlfn.DAYS(L3045, $C$2)</f>
        <v>9.6263470739163655</v>
      </c>
      <c r="O3045" s="149">
        <f t="shared" ca="1" si="106"/>
        <v>1.000173611111111</v>
      </c>
    </row>
    <row r="3046" spans="12:15" x14ac:dyDescent="0.25">
      <c r="L3046" s="147">
        <f ca="1"/>
        <v>48285</v>
      </c>
      <c r="M3046" s="92">
        <f t="shared" ca="1" si="105"/>
        <v>6.25</v>
      </c>
      <c r="N3046" s="143">
        <f ca="1">(PRODUCT($O$5:$O3046)-1)*36000/_xlfn.DAYS(L3046, $C$2)</f>
        <v>9.6269078550582723</v>
      </c>
      <c r="O3046" s="149">
        <f t="shared" ca="1" si="106"/>
        <v>1.000173611111111</v>
      </c>
    </row>
    <row r="3047" spans="12:15" x14ac:dyDescent="0.25">
      <c r="L3047" s="147">
        <f ca="1"/>
        <v>48286</v>
      </c>
      <c r="M3047" s="92">
        <f t="shared" ca="1" si="105"/>
        <v>6.25</v>
      </c>
      <c r="N3047" s="143">
        <f ca="1">(PRODUCT($O$5:$O3047)-1)*36000/_xlfn.DAYS(L3047, $C$2)</f>
        <v>9.6274689141630656</v>
      </c>
      <c r="O3047" s="149">
        <f t="shared" ca="1" si="106"/>
        <v>1.000173611111111</v>
      </c>
    </row>
    <row r="3048" spans="12:15" x14ac:dyDescent="0.25">
      <c r="L3048" s="147">
        <f ca="1"/>
        <v>48287</v>
      </c>
      <c r="M3048" s="92">
        <f t="shared" ca="1" si="105"/>
        <v>6.25</v>
      </c>
      <c r="N3048" s="143">
        <f ca="1">(PRODUCT($O$5:$O3048)-1)*36000/_xlfn.DAYS(L3048, $C$2)</f>
        <v>9.6280302510690117</v>
      </c>
      <c r="O3048" s="149">
        <f t="shared" ca="1" si="106"/>
        <v>1.000173611111111</v>
      </c>
    </row>
    <row r="3049" spans="12:15" x14ac:dyDescent="0.25">
      <c r="L3049" s="147">
        <f ca="1"/>
        <v>48288</v>
      </c>
      <c r="M3049" s="92">
        <f t="shared" ca="1" si="105"/>
        <v>6.25</v>
      </c>
      <c r="N3049" s="143">
        <f ca="1">(PRODUCT($O$5:$O3049)-1)*36000/_xlfn.DAYS(L3049, $C$2)</f>
        <v>9.6285918656146059</v>
      </c>
      <c r="O3049" s="149">
        <f t="shared" ca="1" si="106"/>
        <v>1.000173611111111</v>
      </c>
    </row>
    <row r="3050" spans="12:15" x14ac:dyDescent="0.25">
      <c r="L3050" s="147">
        <f ca="1"/>
        <v>48289</v>
      </c>
      <c r="M3050" s="92">
        <f t="shared" ca="1" si="105"/>
        <v>6.25</v>
      </c>
      <c r="N3050" s="143">
        <f ca="1">(PRODUCT($O$5:$O3050)-1)*36000/_xlfn.DAYS(L3050, $C$2)</f>
        <v>9.6291537576385728</v>
      </c>
      <c r="O3050" s="149">
        <f t="shared" ca="1" si="106"/>
        <v>1.000173611111111</v>
      </c>
    </row>
    <row r="3051" spans="12:15" x14ac:dyDescent="0.25">
      <c r="L3051" s="147">
        <f ca="1"/>
        <v>48290</v>
      </c>
      <c r="M3051" s="92">
        <f t="shared" ca="1" si="105"/>
        <v>6.25</v>
      </c>
      <c r="N3051" s="143">
        <f ca="1">(PRODUCT($O$5:$O3051)-1)*36000/_xlfn.DAYS(L3051, $C$2)</f>
        <v>9.6297159269798733</v>
      </c>
      <c r="O3051" s="149">
        <f t="shared" ca="1" si="106"/>
        <v>1.000173611111111</v>
      </c>
    </row>
    <row r="3052" spans="12:15" x14ac:dyDescent="0.25">
      <c r="L3052" s="147">
        <f ca="1"/>
        <v>48291</v>
      </c>
      <c r="M3052" s="92">
        <f t="shared" ca="1" si="105"/>
        <v>6.25</v>
      </c>
      <c r="N3052" s="143">
        <f ca="1">(PRODUCT($O$5:$O3052)-1)*36000/_xlfn.DAYS(L3052, $C$2)</f>
        <v>9.6302783734776938</v>
      </c>
      <c r="O3052" s="149">
        <f t="shared" ca="1" si="106"/>
        <v>1.000173611111111</v>
      </c>
    </row>
    <row r="3053" spans="12:15" x14ac:dyDescent="0.25">
      <c r="L3053" s="147">
        <f ca="1"/>
        <v>48292</v>
      </c>
      <c r="M3053" s="92">
        <f t="shared" ca="1" si="105"/>
        <v>6.25</v>
      </c>
      <c r="N3053" s="143">
        <f ca="1">(PRODUCT($O$5:$O3053)-1)*36000/_xlfn.DAYS(L3053, $C$2)</f>
        <v>9.6308410969714551</v>
      </c>
      <c r="O3053" s="149">
        <f t="shared" ca="1" si="106"/>
        <v>1.000173611111111</v>
      </c>
    </row>
    <row r="3054" spans="12:15" x14ac:dyDescent="0.25">
      <c r="L3054" s="147">
        <f ca="1"/>
        <v>48293</v>
      </c>
      <c r="M3054" s="92">
        <f t="shared" ca="1" si="105"/>
        <v>6.25</v>
      </c>
      <c r="N3054" s="143">
        <f ca="1">(PRODUCT($O$5:$O3054)-1)*36000/_xlfn.DAYS(L3054, $C$2)</f>
        <v>9.6314040973008108</v>
      </c>
      <c r="O3054" s="149">
        <f t="shared" ca="1" si="106"/>
        <v>1.000173611111111</v>
      </c>
    </row>
    <row r="3055" spans="12:15" x14ac:dyDescent="0.25">
      <c r="L3055" s="147">
        <f ca="1"/>
        <v>48294</v>
      </c>
      <c r="M3055" s="92">
        <f t="shared" ca="1" si="105"/>
        <v>6.25</v>
      </c>
      <c r="N3055" s="143">
        <f ca="1">(PRODUCT($O$5:$O3055)-1)*36000/_xlfn.DAYS(L3055, $C$2)</f>
        <v>9.6319673743056349</v>
      </c>
      <c r="O3055" s="149">
        <f t="shared" ca="1" si="106"/>
        <v>1.000173611111111</v>
      </c>
    </row>
    <row r="3056" spans="12:15" x14ac:dyDescent="0.25">
      <c r="L3056" s="147">
        <f ca="1"/>
        <v>48295</v>
      </c>
      <c r="M3056" s="92">
        <f t="shared" ca="1" si="105"/>
        <v>6.25</v>
      </c>
      <c r="N3056" s="143">
        <f ca="1">(PRODUCT($O$5:$O3056)-1)*36000/_xlfn.DAYS(L3056, $C$2)</f>
        <v>9.6325309278260391</v>
      </c>
      <c r="O3056" s="149">
        <f t="shared" ca="1" si="106"/>
        <v>1.000173611111111</v>
      </c>
    </row>
    <row r="3057" spans="12:15" x14ac:dyDescent="0.25">
      <c r="L3057" s="147">
        <f ca="1"/>
        <v>48296</v>
      </c>
      <c r="M3057" s="92">
        <f t="shared" ca="1" si="105"/>
        <v>6.25</v>
      </c>
      <c r="N3057" s="143">
        <f ca="1">(PRODUCT($O$5:$O3057)-1)*36000/_xlfn.DAYS(L3057, $C$2)</f>
        <v>9.6330947577023558</v>
      </c>
      <c r="O3057" s="149">
        <f t="shared" ca="1" si="106"/>
        <v>1.000173611111111</v>
      </c>
    </row>
    <row r="3058" spans="12:15" x14ac:dyDescent="0.25">
      <c r="L3058" s="147">
        <f ca="1"/>
        <v>48297</v>
      </c>
      <c r="M3058" s="92">
        <f t="shared" ca="1" si="105"/>
        <v>6.25</v>
      </c>
      <c r="N3058" s="143">
        <f ca="1">(PRODUCT($O$5:$O3058)-1)*36000/_xlfn.DAYS(L3058, $C$2)</f>
        <v>9.6336588637751568</v>
      </c>
      <c r="O3058" s="149">
        <f t="shared" ca="1" si="106"/>
        <v>1.000173611111111</v>
      </c>
    </row>
    <row r="3059" spans="12:15" x14ac:dyDescent="0.25">
      <c r="L3059" s="147">
        <f ca="1"/>
        <v>48298</v>
      </c>
      <c r="M3059" s="92">
        <f t="shared" ca="1" si="105"/>
        <v>6.25</v>
      </c>
      <c r="N3059" s="143">
        <f ca="1">(PRODUCT($O$5:$O3059)-1)*36000/_xlfn.DAYS(L3059, $C$2)</f>
        <v>9.6342232458852326</v>
      </c>
      <c r="O3059" s="149">
        <f t="shared" ca="1" si="106"/>
        <v>1.000173611111111</v>
      </c>
    </row>
    <row r="3060" spans="12:15" x14ac:dyDescent="0.25">
      <c r="L3060" s="147">
        <f ca="1"/>
        <v>48299</v>
      </c>
      <c r="M3060" s="92">
        <f t="shared" ca="1" si="105"/>
        <v>6.25</v>
      </c>
      <c r="N3060" s="143">
        <f ca="1">(PRODUCT($O$5:$O3060)-1)*36000/_xlfn.DAYS(L3060, $C$2)</f>
        <v>9.6347879038736064</v>
      </c>
      <c r="O3060" s="149">
        <f t="shared" ca="1" si="106"/>
        <v>1.000173611111111</v>
      </c>
    </row>
    <row r="3061" spans="12:15" x14ac:dyDescent="0.25">
      <c r="L3061" s="147">
        <f ca="1"/>
        <v>48300</v>
      </c>
      <c r="M3061" s="92">
        <f t="shared" ca="1" si="105"/>
        <v>6.25</v>
      </c>
      <c r="N3061" s="143">
        <f ca="1">(PRODUCT($O$5:$O3061)-1)*36000/_xlfn.DAYS(L3061, $C$2)</f>
        <v>9.6353528375815287</v>
      </c>
      <c r="O3061" s="149">
        <f t="shared" ca="1" si="106"/>
        <v>1.000173611111111</v>
      </c>
    </row>
    <row r="3062" spans="12:15" x14ac:dyDescent="0.25">
      <c r="L3062" s="147">
        <f ca="1"/>
        <v>48301</v>
      </c>
      <c r="M3062" s="92">
        <f t="shared" ca="1" si="105"/>
        <v>6.25</v>
      </c>
      <c r="N3062" s="143">
        <f ca="1">(PRODUCT($O$5:$O3062)-1)*36000/_xlfn.DAYS(L3062, $C$2)</f>
        <v>9.6359180468504775</v>
      </c>
      <c r="O3062" s="149">
        <f t="shared" ca="1" si="106"/>
        <v>1.000173611111111</v>
      </c>
    </row>
    <row r="3063" spans="12:15" x14ac:dyDescent="0.25">
      <c r="L3063" s="147">
        <f ca="1"/>
        <v>48302</v>
      </c>
      <c r="M3063" s="92">
        <f t="shared" ca="1" si="105"/>
        <v>6.25</v>
      </c>
      <c r="N3063" s="143">
        <f ca="1">(PRODUCT($O$5:$O3063)-1)*36000/_xlfn.DAYS(L3063, $C$2)</f>
        <v>9.6364835315221509</v>
      </c>
      <c r="O3063" s="149">
        <f t="shared" ca="1" si="106"/>
        <v>1.000173611111111</v>
      </c>
    </row>
    <row r="3064" spans="12:15" x14ac:dyDescent="0.25">
      <c r="L3064" s="147">
        <f ca="1"/>
        <v>48303</v>
      </c>
      <c r="M3064" s="92">
        <f t="shared" ca="1" si="105"/>
        <v>6.25</v>
      </c>
      <c r="N3064" s="143">
        <f ca="1">(PRODUCT($O$5:$O3064)-1)*36000/_xlfn.DAYS(L3064, $C$2)</f>
        <v>9.6370492914384833</v>
      </c>
      <c r="O3064" s="149">
        <f t="shared" ca="1" si="106"/>
        <v>1.000173611111111</v>
      </c>
    </row>
    <row r="3065" spans="12:15" x14ac:dyDescent="0.25">
      <c r="L3065" s="147">
        <f ca="1"/>
        <v>48304</v>
      </c>
      <c r="M3065" s="92">
        <f t="shared" ca="1" si="105"/>
        <v>6.25</v>
      </c>
      <c r="N3065" s="143">
        <f ca="1">(PRODUCT($O$5:$O3065)-1)*36000/_xlfn.DAYS(L3065, $C$2)</f>
        <v>9.6376153264416313</v>
      </c>
      <c r="O3065" s="149">
        <f t="shared" ca="1" si="106"/>
        <v>1.000173611111111</v>
      </c>
    </row>
    <row r="3066" spans="12:15" x14ac:dyDescent="0.25">
      <c r="L3066" s="147">
        <f ca="1"/>
        <v>48305</v>
      </c>
      <c r="M3066" s="92">
        <f t="shared" ca="1" si="105"/>
        <v>6.25</v>
      </c>
      <c r="N3066" s="143">
        <f ca="1">(PRODUCT($O$5:$O3066)-1)*36000/_xlfn.DAYS(L3066, $C$2)</f>
        <v>9.6381816363739716</v>
      </c>
      <c r="O3066" s="149">
        <f t="shared" ca="1" si="106"/>
        <v>1.000173611111111</v>
      </c>
    </row>
    <row r="3067" spans="12:15" x14ac:dyDescent="0.25">
      <c r="L3067" s="147">
        <f ca="1"/>
        <v>48306</v>
      </c>
      <c r="M3067" s="92">
        <f t="shared" ca="1" si="105"/>
        <v>6.25</v>
      </c>
      <c r="N3067" s="143">
        <f ca="1">(PRODUCT($O$5:$O3067)-1)*36000/_xlfn.DAYS(L3067, $C$2)</f>
        <v>9.6387482210781172</v>
      </c>
      <c r="O3067" s="149">
        <f t="shared" ca="1" si="106"/>
        <v>1.000173611111111</v>
      </c>
    </row>
    <row r="3068" spans="12:15" x14ac:dyDescent="0.25">
      <c r="L3068" s="147">
        <f ca="1"/>
        <v>48307</v>
      </c>
      <c r="M3068" s="92">
        <f t="shared" ca="1" si="105"/>
        <v>6.25</v>
      </c>
      <c r="N3068" s="143">
        <f ca="1">(PRODUCT($O$5:$O3068)-1)*36000/_xlfn.DAYS(L3068, $C$2)</f>
        <v>9.6393150803968926</v>
      </c>
      <c r="O3068" s="149">
        <f t="shared" ca="1" si="106"/>
        <v>1.000173611111111</v>
      </c>
    </row>
    <row r="3069" spans="12:15" x14ac:dyDescent="0.25">
      <c r="L3069" s="147">
        <f ca="1"/>
        <v>48308</v>
      </c>
      <c r="M3069" s="92">
        <f t="shared" ca="1" si="105"/>
        <v>6.25</v>
      </c>
      <c r="N3069" s="143">
        <f ca="1">(PRODUCT($O$5:$O3069)-1)*36000/_xlfn.DAYS(L3069, $C$2)</f>
        <v>9.6398822141733564</v>
      </c>
      <c r="O3069" s="149">
        <f t="shared" ca="1" si="106"/>
        <v>1.000173611111111</v>
      </c>
    </row>
    <row r="3070" spans="12:15" x14ac:dyDescent="0.25">
      <c r="L3070" s="147">
        <f ca="1"/>
        <v>48309</v>
      </c>
      <c r="M3070" s="92">
        <f t="shared" ca="1" si="105"/>
        <v>6.25</v>
      </c>
      <c r="N3070" s="143">
        <f ca="1">(PRODUCT($O$5:$O3070)-1)*36000/_xlfn.DAYS(L3070, $C$2)</f>
        <v>9.6404496222507898</v>
      </c>
      <c r="O3070" s="149">
        <f t="shared" ca="1" si="106"/>
        <v>1.000173611111111</v>
      </c>
    </row>
    <row r="3071" spans="12:15" x14ac:dyDescent="0.25">
      <c r="L3071" s="147">
        <f ca="1"/>
        <v>48310</v>
      </c>
      <c r="M3071" s="92">
        <f t="shared" ca="1" si="105"/>
        <v>6.25</v>
      </c>
      <c r="N3071" s="143">
        <f ca="1">(PRODUCT($O$5:$O3071)-1)*36000/_xlfn.DAYS(L3071, $C$2)</f>
        <v>9.6410173044726939</v>
      </c>
      <c r="O3071" s="149">
        <f t="shared" ca="1" si="106"/>
        <v>1.000173611111111</v>
      </c>
    </row>
    <row r="3072" spans="12:15" x14ac:dyDescent="0.25">
      <c r="L3072" s="147">
        <f ca="1"/>
        <v>48311</v>
      </c>
      <c r="M3072" s="92">
        <f t="shared" ca="1" si="105"/>
        <v>6.25</v>
      </c>
      <c r="N3072" s="143">
        <f ca="1">(PRODUCT($O$5:$O3072)-1)*36000/_xlfn.DAYS(L3072, $C$2)</f>
        <v>9.6415852606828025</v>
      </c>
      <c r="O3072" s="149">
        <f t="shared" ca="1" si="106"/>
        <v>1.000173611111111</v>
      </c>
    </row>
    <row r="3073" spans="12:15" x14ac:dyDescent="0.25">
      <c r="L3073" s="147">
        <f ca="1"/>
        <v>48312</v>
      </c>
      <c r="M3073" s="92">
        <f t="shared" ca="1" si="105"/>
        <v>6.25</v>
      </c>
      <c r="N3073" s="143">
        <f ca="1">(PRODUCT($O$5:$O3073)-1)*36000/_xlfn.DAYS(L3073, $C$2)</f>
        <v>9.6421534907250592</v>
      </c>
      <c r="O3073" s="149">
        <f t="shared" ca="1" si="106"/>
        <v>1.000173611111111</v>
      </c>
    </row>
    <row r="3074" spans="12:15" x14ac:dyDescent="0.25">
      <c r="L3074" s="147">
        <f ca="1"/>
        <v>48313</v>
      </c>
      <c r="M3074" s="92">
        <f t="shared" ca="1" si="105"/>
        <v>6.25</v>
      </c>
      <c r="N3074" s="143">
        <f ca="1">(PRODUCT($O$5:$O3074)-1)*36000/_xlfn.DAYS(L3074, $C$2)</f>
        <v>9.642721994443642</v>
      </c>
      <c r="O3074" s="149">
        <f t="shared" ca="1" si="106"/>
        <v>1.000173611111111</v>
      </c>
    </row>
    <row r="3075" spans="12:15" x14ac:dyDescent="0.25">
      <c r="L3075" s="147">
        <f ca="1"/>
        <v>48314</v>
      </c>
      <c r="M3075" s="92">
        <f t="shared" ca="1" si="105"/>
        <v>6.25</v>
      </c>
      <c r="N3075" s="143">
        <f ca="1">(PRODUCT($O$5:$O3075)-1)*36000/_xlfn.DAYS(L3075, $C$2)</f>
        <v>9.6432907716829419</v>
      </c>
      <c r="O3075" s="149">
        <f t="shared" ca="1" si="106"/>
        <v>1.000173611111111</v>
      </c>
    </row>
    <row r="3076" spans="12:15" x14ac:dyDescent="0.25">
      <c r="L3076" s="147">
        <f ca="1"/>
        <v>48315</v>
      </c>
      <c r="M3076" s="92">
        <f t="shared" ca="1" si="105"/>
        <v>6.25</v>
      </c>
      <c r="N3076" s="143">
        <f ca="1">(PRODUCT($O$5:$O3076)-1)*36000/_xlfn.DAYS(L3076, $C$2)</f>
        <v>9.6438598222875811</v>
      </c>
      <c r="O3076" s="149">
        <f t="shared" ca="1" si="106"/>
        <v>1.000173611111111</v>
      </c>
    </row>
    <row r="3077" spans="12:15" x14ac:dyDescent="0.25">
      <c r="L3077" s="147">
        <f ca="1"/>
        <v>48316</v>
      </c>
      <c r="M3077" s="92">
        <f t="shared" ref="M3077:M3140" ca="1" si="107">IFERROR(INDEX($E$27:$H$47, MATCH(L3077, $F$27:$F$47, 0), 4), IF(ISNUMBER(M3076), M3076, $C$5))</f>
        <v>6.25</v>
      </c>
      <c r="N3077" s="143">
        <f ca="1">(PRODUCT($O$5:$O3077)-1)*36000/_xlfn.DAYS(L3077, $C$2)</f>
        <v>9.6444291461023948</v>
      </c>
      <c r="O3077" s="149">
        <f t="shared" ca="1" si="106"/>
        <v>1.000173611111111</v>
      </c>
    </row>
    <row r="3078" spans="12:15" x14ac:dyDescent="0.25">
      <c r="L3078" s="147">
        <f ca="1"/>
        <v>48317</v>
      </c>
      <c r="M3078" s="92">
        <f t="shared" ca="1" si="107"/>
        <v>6.25</v>
      </c>
      <c r="N3078" s="143">
        <f ca="1">(PRODUCT($O$5:$O3078)-1)*36000/_xlfn.DAYS(L3078, $C$2)</f>
        <v>9.6449987429724473</v>
      </c>
      <c r="O3078" s="149">
        <f t="shared" ref="O3078:O3141" ca="1" si="108">1+M3078*IFERROR(_xlfn.DAYS(L3078, L3077), _xlfn.DAYS(L3078, $C$2))/36000</f>
        <v>1.000173611111111</v>
      </c>
    </row>
    <row r="3079" spans="12:15" x14ac:dyDescent="0.25">
      <c r="L3079" s="147">
        <f ca="1"/>
        <v>48318</v>
      </c>
      <c r="M3079" s="92">
        <f t="shared" ca="1" si="107"/>
        <v>6.25</v>
      </c>
      <c r="N3079" s="143">
        <f ca="1">(PRODUCT($O$5:$O3079)-1)*36000/_xlfn.DAYS(L3079, $C$2)</f>
        <v>9.6455686127430162</v>
      </c>
      <c r="O3079" s="149">
        <f t="shared" ca="1" si="108"/>
        <v>1.000173611111111</v>
      </c>
    </row>
    <row r="3080" spans="12:15" x14ac:dyDescent="0.25">
      <c r="L3080" s="147">
        <f ca="1"/>
        <v>48319</v>
      </c>
      <c r="M3080" s="92">
        <f t="shared" ca="1" si="107"/>
        <v>6.25</v>
      </c>
      <c r="N3080" s="143">
        <f ca="1">(PRODUCT($O$5:$O3080)-1)*36000/_xlfn.DAYS(L3080, $C$2)</f>
        <v>9.6461387552596065</v>
      </c>
      <c r="O3080" s="149">
        <f t="shared" ca="1" si="108"/>
        <v>1.000173611111111</v>
      </c>
    </row>
    <row r="3081" spans="12:15" x14ac:dyDescent="0.25">
      <c r="L3081" s="147">
        <f ca="1"/>
        <v>48320</v>
      </c>
      <c r="M3081" s="92">
        <f t="shared" ca="1" si="107"/>
        <v>6.25</v>
      </c>
      <c r="N3081" s="143">
        <f ca="1">(PRODUCT($O$5:$O3081)-1)*36000/_xlfn.DAYS(L3081, $C$2)</f>
        <v>9.6467091703679397</v>
      </c>
      <c r="O3081" s="149">
        <f t="shared" ca="1" si="108"/>
        <v>1.000173611111111</v>
      </c>
    </row>
    <row r="3082" spans="12:15" x14ac:dyDescent="0.25">
      <c r="L3082" s="147">
        <f ca="1"/>
        <v>48321</v>
      </c>
      <c r="M3082" s="92">
        <f t="shared" ca="1" si="107"/>
        <v>6.25</v>
      </c>
      <c r="N3082" s="143">
        <f ca="1">(PRODUCT($O$5:$O3082)-1)*36000/_xlfn.DAYS(L3082, $C$2)</f>
        <v>9.6472798579139596</v>
      </c>
      <c r="O3082" s="149">
        <f t="shared" ca="1" si="108"/>
        <v>1.000173611111111</v>
      </c>
    </row>
    <row r="3083" spans="12:15" x14ac:dyDescent="0.25">
      <c r="L3083" s="147">
        <f ca="1"/>
        <v>48322</v>
      </c>
      <c r="M3083" s="92">
        <f t="shared" ca="1" si="107"/>
        <v>6.25</v>
      </c>
      <c r="N3083" s="143">
        <f ca="1">(PRODUCT($O$5:$O3083)-1)*36000/_xlfn.DAYS(L3083, $C$2)</f>
        <v>9.6478508177438247</v>
      </c>
      <c r="O3083" s="149">
        <f t="shared" ca="1" si="108"/>
        <v>1.000173611111111</v>
      </c>
    </row>
    <row r="3084" spans="12:15" x14ac:dyDescent="0.25">
      <c r="L3084" s="147">
        <f ca="1"/>
        <v>48323</v>
      </c>
      <c r="M3084" s="92">
        <f t="shared" ca="1" si="107"/>
        <v>6.25</v>
      </c>
      <c r="N3084" s="143">
        <f ca="1">(PRODUCT($O$5:$O3084)-1)*36000/_xlfn.DAYS(L3084, $C$2)</f>
        <v>9.6484220497039139</v>
      </c>
      <c r="O3084" s="149">
        <f t="shared" ca="1" si="108"/>
        <v>1.000173611111111</v>
      </c>
    </row>
    <row r="3085" spans="12:15" x14ac:dyDescent="0.25">
      <c r="L3085" s="147">
        <f ca="1"/>
        <v>48324</v>
      </c>
      <c r="M3085" s="92">
        <f t="shared" ca="1" si="107"/>
        <v>6.25</v>
      </c>
      <c r="N3085" s="143">
        <f ca="1">(PRODUCT($O$5:$O3085)-1)*36000/_xlfn.DAYS(L3085, $C$2)</f>
        <v>9.6489935536408336</v>
      </c>
      <c r="O3085" s="149">
        <f t="shared" ca="1" si="108"/>
        <v>1.000173611111111</v>
      </c>
    </row>
    <row r="3086" spans="12:15" x14ac:dyDescent="0.25">
      <c r="L3086" s="147">
        <f ca="1"/>
        <v>48325</v>
      </c>
      <c r="M3086" s="92">
        <f t="shared" ca="1" si="107"/>
        <v>6.25</v>
      </c>
      <c r="N3086" s="143">
        <f ca="1">(PRODUCT($O$5:$O3086)-1)*36000/_xlfn.DAYS(L3086, $C$2)</f>
        <v>9.6495653294013977</v>
      </c>
      <c r="O3086" s="149">
        <f t="shared" ca="1" si="108"/>
        <v>1.000173611111111</v>
      </c>
    </row>
    <row r="3087" spans="12:15" x14ac:dyDescent="0.25">
      <c r="L3087" s="147">
        <f ca="1"/>
        <v>48326</v>
      </c>
      <c r="M3087" s="92">
        <f t="shared" ca="1" si="107"/>
        <v>6.25</v>
      </c>
      <c r="N3087" s="143">
        <f ca="1">(PRODUCT($O$5:$O3087)-1)*36000/_xlfn.DAYS(L3087, $C$2)</f>
        <v>9.6501373768326424</v>
      </c>
      <c r="O3087" s="149">
        <f t="shared" ca="1" si="108"/>
        <v>1.000173611111111</v>
      </c>
    </row>
    <row r="3088" spans="12:15" x14ac:dyDescent="0.25">
      <c r="L3088" s="147">
        <f ca="1"/>
        <v>48327</v>
      </c>
      <c r="M3088" s="92">
        <f t="shared" ca="1" si="107"/>
        <v>6.25</v>
      </c>
      <c r="N3088" s="143">
        <f ca="1">(PRODUCT($O$5:$O3088)-1)*36000/_xlfn.DAYS(L3088, $C$2)</f>
        <v>9.6507096957818224</v>
      </c>
      <c r="O3088" s="149">
        <f t="shared" ca="1" si="108"/>
        <v>1.000173611111111</v>
      </c>
    </row>
    <row r="3089" spans="12:15" x14ac:dyDescent="0.25">
      <c r="L3089" s="147">
        <f ca="1"/>
        <v>48328</v>
      </c>
      <c r="M3089" s="92">
        <f t="shared" ca="1" si="107"/>
        <v>6.25</v>
      </c>
      <c r="N3089" s="143">
        <f ca="1">(PRODUCT($O$5:$O3089)-1)*36000/_xlfn.DAYS(L3089, $C$2)</f>
        <v>9.6512822860964054</v>
      </c>
      <c r="O3089" s="149">
        <f t="shared" ca="1" si="108"/>
        <v>1.000173611111111</v>
      </c>
    </row>
    <row r="3090" spans="12:15" x14ac:dyDescent="0.25">
      <c r="L3090" s="147">
        <f ca="1"/>
        <v>48329</v>
      </c>
      <c r="M3090" s="92">
        <f t="shared" ca="1" si="107"/>
        <v>6.25</v>
      </c>
      <c r="N3090" s="143">
        <f ca="1">(PRODUCT($O$5:$O3090)-1)*36000/_xlfn.DAYS(L3090, $C$2)</f>
        <v>9.6518551476240848</v>
      </c>
      <c r="O3090" s="149">
        <f t="shared" ca="1" si="108"/>
        <v>1.000173611111111</v>
      </c>
    </row>
    <row r="3091" spans="12:15" x14ac:dyDescent="0.25">
      <c r="L3091" s="147">
        <f ca="1"/>
        <v>48330</v>
      </c>
      <c r="M3091" s="92">
        <f t="shared" ca="1" si="107"/>
        <v>6.25</v>
      </c>
      <c r="N3091" s="143">
        <f ca="1">(PRODUCT($O$5:$O3091)-1)*36000/_xlfn.DAYS(L3091, $C$2)</f>
        <v>9.6524282802127654</v>
      </c>
      <c r="O3091" s="149">
        <f t="shared" ca="1" si="108"/>
        <v>1.000173611111111</v>
      </c>
    </row>
    <row r="3092" spans="12:15" x14ac:dyDescent="0.25">
      <c r="L3092" s="147">
        <f ca="1"/>
        <v>48331</v>
      </c>
      <c r="M3092" s="92">
        <f t="shared" ca="1" si="107"/>
        <v>6.25</v>
      </c>
      <c r="N3092" s="143">
        <f ca="1">(PRODUCT($O$5:$O3092)-1)*36000/_xlfn.DAYS(L3092, $C$2)</f>
        <v>9.6530016837105652</v>
      </c>
      <c r="O3092" s="149">
        <f t="shared" ca="1" si="108"/>
        <v>1.000173611111111</v>
      </c>
    </row>
    <row r="3093" spans="12:15" x14ac:dyDescent="0.25">
      <c r="L3093" s="147">
        <f ca="1"/>
        <v>48332</v>
      </c>
      <c r="M3093" s="92">
        <f t="shared" ca="1" si="107"/>
        <v>6.25</v>
      </c>
      <c r="N3093" s="143">
        <f ca="1">(PRODUCT($O$5:$O3093)-1)*36000/_xlfn.DAYS(L3093, $C$2)</f>
        <v>9.6535753579658259</v>
      </c>
      <c r="O3093" s="149">
        <f t="shared" ca="1" si="108"/>
        <v>1.000173611111111</v>
      </c>
    </row>
    <row r="3094" spans="12:15" x14ac:dyDescent="0.25">
      <c r="L3094" s="147">
        <f ca="1"/>
        <v>48333</v>
      </c>
      <c r="M3094" s="92">
        <f t="shared" ca="1" si="107"/>
        <v>6.25</v>
      </c>
      <c r="N3094" s="143">
        <f ca="1">(PRODUCT($O$5:$O3094)-1)*36000/_xlfn.DAYS(L3094, $C$2)</f>
        <v>9.6541493028270953</v>
      </c>
      <c r="O3094" s="149">
        <f t="shared" ca="1" si="108"/>
        <v>1.000173611111111</v>
      </c>
    </row>
    <row r="3095" spans="12:15" x14ac:dyDescent="0.25">
      <c r="L3095" s="147">
        <f ca="1"/>
        <v>48334</v>
      </c>
      <c r="M3095" s="92">
        <f t="shared" ca="1" si="107"/>
        <v>6.25</v>
      </c>
      <c r="N3095" s="143">
        <f ca="1">(PRODUCT($O$5:$O3095)-1)*36000/_xlfn.DAYS(L3095, $C$2)</f>
        <v>9.6547235181431468</v>
      </c>
      <c r="O3095" s="149">
        <f t="shared" ca="1" si="108"/>
        <v>1.000173611111111</v>
      </c>
    </row>
    <row r="3096" spans="12:15" x14ac:dyDescent="0.25">
      <c r="L3096" s="147">
        <f ca="1"/>
        <v>48335</v>
      </c>
      <c r="M3096" s="92">
        <f t="shared" ca="1" si="107"/>
        <v>6.25</v>
      </c>
      <c r="N3096" s="143">
        <f ca="1">(PRODUCT($O$5:$O3096)-1)*36000/_xlfn.DAYS(L3096, $C$2)</f>
        <v>9.6552980037629599</v>
      </c>
      <c r="O3096" s="149">
        <f t="shared" ca="1" si="108"/>
        <v>1.000173611111111</v>
      </c>
    </row>
    <row r="3097" spans="12:15" x14ac:dyDescent="0.25">
      <c r="L3097" s="147">
        <f ca="1"/>
        <v>48336</v>
      </c>
      <c r="M3097" s="92">
        <f t="shared" ca="1" si="107"/>
        <v>6.25</v>
      </c>
      <c r="N3097" s="143">
        <f ca="1">(PRODUCT($O$5:$O3097)-1)*36000/_xlfn.DAYS(L3097, $C$2)</f>
        <v>9.6558727595357379</v>
      </c>
      <c r="O3097" s="149">
        <f t="shared" ca="1" si="108"/>
        <v>1.000173611111111</v>
      </c>
    </row>
    <row r="3098" spans="12:15" x14ac:dyDescent="0.25">
      <c r="L3098" s="147">
        <f ca="1"/>
        <v>48337</v>
      </c>
      <c r="M3098" s="92">
        <f t="shared" ca="1" si="107"/>
        <v>6.25</v>
      </c>
      <c r="N3098" s="143">
        <f ca="1">(PRODUCT($O$5:$O3098)-1)*36000/_xlfn.DAYS(L3098, $C$2)</f>
        <v>9.6564477853108865</v>
      </c>
      <c r="O3098" s="149">
        <f t="shared" ca="1" si="108"/>
        <v>1.000173611111111</v>
      </c>
    </row>
    <row r="3099" spans="12:15" x14ac:dyDescent="0.25">
      <c r="L3099" s="147">
        <f ca="1"/>
        <v>48338</v>
      </c>
      <c r="M3099" s="92">
        <f t="shared" ca="1" si="107"/>
        <v>6.25</v>
      </c>
      <c r="N3099" s="143">
        <f ca="1">(PRODUCT($O$5:$O3099)-1)*36000/_xlfn.DAYS(L3099, $C$2)</f>
        <v>9.6570230809380355</v>
      </c>
      <c r="O3099" s="149">
        <f t="shared" ca="1" si="108"/>
        <v>1.000173611111111</v>
      </c>
    </row>
    <row r="3100" spans="12:15" x14ac:dyDescent="0.25">
      <c r="L3100" s="147">
        <f ca="1"/>
        <v>48339</v>
      </c>
      <c r="M3100" s="92">
        <f t="shared" ca="1" si="107"/>
        <v>6.25</v>
      </c>
      <c r="N3100" s="143">
        <f ca="1">(PRODUCT($O$5:$O3100)-1)*36000/_xlfn.DAYS(L3100, $C$2)</f>
        <v>9.6575986462670276</v>
      </c>
      <c r="O3100" s="149">
        <f t="shared" ca="1" si="108"/>
        <v>1.000173611111111</v>
      </c>
    </row>
    <row r="3101" spans="12:15" x14ac:dyDescent="0.25">
      <c r="L3101" s="147">
        <f ca="1"/>
        <v>48340</v>
      </c>
      <c r="M3101" s="92">
        <f t="shared" ca="1" si="107"/>
        <v>6.25</v>
      </c>
      <c r="N3101" s="143">
        <f ca="1">(PRODUCT($O$5:$O3101)-1)*36000/_xlfn.DAYS(L3101, $C$2)</f>
        <v>9.6581744811479098</v>
      </c>
      <c r="O3101" s="149">
        <f t="shared" ca="1" si="108"/>
        <v>1.000173611111111</v>
      </c>
    </row>
    <row r="3102" spans="12:15" x14ac:dyDescent="0.25">
      <c r="L3102" s="147">
        <f ca="1"/>
        <v>48341</v>
      </c>
      <c r="M3102" s="92">
        <f t="shared" ca="1" si="107"/>
        <v>6.25</v>
      </c>
      <c r="N3102" s="143">
        <f ca="1">(PRODUCT($O$5:$O3102)-1)*36000/_xlfn.DAYS(L3102, $C$2)</f>
        <v>9.6587505854309512</v>
      </c>
      <c r="O3102" s="149">
        <f t="shared" ca="1" si="108"/>
        <v>1.000173611111111</v>
      </c>
    </row>
    <row r="3103" spans="12:15" x14ac:dyDescent="0.25">
      <c r="L3103" s="147">
        <f ca="1"/>
        <v>48342</v>
      </c>
      <c r="M3103" s="92">
        <f t="shared" ca="1" si="107"/>
        <v>6.25</v>
      </c>
      <c r="N3103" s="143">
        <f ca="1">(PRODUCT($O$5:$O3103)-1)*36000/_xlfn.DAYS(L3103, $C$2)</f>
        <v>9.6593269589666342</v>
      </c>
      <c r="O3103" s="149">
        <f t="shared" ca="1" si="108"/>
        <v>1.000173611111111</v>
      </c>
    </row>
    <row r="3104" spans="12:15" x14ac:dyDescent="0.25">
      <c r="L3104" s="147">
        <f ca="1"/>
        <v>48343</v>
      </c>
      <c r="M3104" s="92">
        <f t="shared" ca="1" si="107"/>
        <v>6.25</v>
      </c>
      <c r="N3104" s="143">
        <f ca="1">(PRODUCT($O$5:$O3104)-1)*36000/_xlfn.DAYS(L3104, $C$2)</f>
        <v>9.6599036016056417</v>
      </c>
      <c r="O3104" s="149">
        <f t="shared" ca="1" si="108"/>
        <v>1.000173611111111</v>
      </c>
    </row>
    <row r="3105" spans="12:15" x14ac:dyDescent="0.25">
      <c r="L3105" s="147">
        <f ca="1"/>
        <v>48344</v>
      </c>
      <c r="M3105" s="92">
        <f t="shared" ca="1" si="107"/>
        <v>6.25</v>
      </c>
      <c r="N3105" s="143">
        <f ca="1">(PRODUCT($O$5:$O3105)-1)*36000/_xlfn.DAYS(L3105, $C$2)</f>
        <v>9.6604805131988858</v>
      </c>
      <c r="O3105" s="149">
        <f t="shared" ca="1" si="108"/>
        <v>1.000173611111111</v>
      </c>
    </row>
    <row r="3106" spans="12:15" x14ac:dyDescent="0.25">
      <c r="L3106" s="147">
        <f ca="1"/>
        <v>48345</v>
      </c>
      <c r="M3106" s="92">
        <f t="shared" ca="1" si="107"/>
        <v>6.25</v>
      </c>
      <c r="N3106" s="143">
        <f ca="1">(PRODUCT($O$5:$O3106)-1)*36000/_xlfn.DAYS(L3106, $C$2)</f>
        <v>9.6610576935974724</v>
      </c>
      <c r="O3106" s="149">
        <f t="shared" ca="1" si="108"/>
        <v>1.000173611111111</v>
      </c>
    </row>
    <row r="3107" spans="12:15" x14ac:dyDescent="0.25">
      <c r="L3107" s="147">
        <f ca="1"/>
        <v>48346</v>
      </c>
      <c r="M3107" s="92">
        <f t="shared" ca="1" si="107"/>
        <v>6.25</v>
      </c>
      <c r="N3107" s="143">
        <f ca="1">(PRODUCT($O$5:$O3107)-1)*36000/_xlfn.DAYS(L3107, $C$2)</f>
        <v>9.6616351426527309</v>
      </c>
      <c r="O3107" s="149">
        <f t="shared" ca="1" si="108"/>
        <v>1.000173611111111</v>
      </c>
    </row>
    <row r="3108" spans="12:15" x14ac:dyDescent="0.25">
      <c r="L3108" s="147">
        <f ca="1"/>
        <v>48347</v>
      </c>
      <c r="M3108" s="92">
        <f t="shared" ca="1" si="107"/>
        <v>6.25</v>
      </c>
      <c r="N3108" s="143">
        <f ca="1">(PRODUCT($O$5:$O3108)-1)*36000/_xlfn.DAYS(L3108, $C$2)</f>
        <v>9.6622128602162007</v>
      </c>
      <c r="O3108" s="149">
        <f t="shared" ca="1" si="108"/>
        <v>1.000173611111111</v>
      </c>
    </row>
    <row r="3109" spans="12:15" x14ac:dyDescent="0.25">
      <c r="L3109" s="147">
        <f ca="1"/>
        <v>48348</v>
      </c>
      <c r="M3109" s="92">
        <f t="shared" ca="1" si="107"/>
        <v>6.25</v>
      </c>
      <c r="N3109" s="143">
        <f ca="1">(PRODUCT($O$5:$O3109)-1)*36000/_xlfn.DAYS(L3109, $C$2)</f>
        <v>9.6627908461396235</v>
      </c>
      <c r="O3109" s="149">
        <f t="shared" ca="1" si="108"/>
        <v>1.000173611111111</v>
      </c>
    </row>
    <row r="3110" spans="12:15" x14ac:dyDescent="0.25">
      <c r="L3110" s="147">
        <f ca="1"/>
        <v>48349</v>
      </c>
      <c r="M3110" s="92">
        <f t="shared" ca="1" si="107"/>
        <v>6.25</v>
      </c>
      <c r="N3110" s="143">
        <f ca="1">(PRODUCT($O$5:$O3110)-1)*36000/_xlfn.DAYS(L3110, $C$2)</f>
        <v>9.6633691002749593</v>
      </c>
      <c r="O3110" s="149">
        <f t="shared" ca="1" si="108"/>
        <v>1.000173611111111</v>
      </c>
    </row>
    <row r="3111" spans="12:15" x14ac:dyDescent="0.25">
      <c r="L3111" s="147">
        <f ca="1"/>
        <v>48350</v>
      </c>
      <c r="M3111" s="92">
        <f t="shared" ca="1" si="107"/>
        <v>6.25</v>
      </c>
      <c r="N3111" s="143">
        <f ca="1">(PRODUCT($O$5:$O3111)-1)*36000/_xlfn.DAYS(L3111, $C$2)</f>
        <v>9.6639476224743763</v>
      </c>
      <c r="O3111" s="149">
        <f t="shared" ca="1" si="108"/>
        <v>1.000173611111111</v>
      </c>
    </row>
    <row r="3112" spans="12:15" x14ac:dyDescent="0.25">
      <c r="L3112" s="147">
        <f ca="1"/>
        <v>48351</v>
      </c>
      <c r="M3112" s="92">
        <f t="shared" ca="1" si="107"/>
        <v>6.25</v>
      </c>
      <c r="N3112" s="143">
        <f ca="1">(PRODUCT($O$5:$O3112)-1)*36000/_xlfn.DAYS(L3112, $C$2)</f>
        <v>9.6645264125902468</v>
      </c>
      <c r="O3112" s="149">
        <f t="shared" ca="1" si="108"/>
        <v>1.000173611111111</v>
      </c>
    </row>
    <row r="3113" spans="12:15" x14ac:dyDescent="0.25">
      <c r="L3113" s="147">
        <f ca="1"/>
        <v>48352</v>
      </c>
      <c r="M3113" s="92">
        <f t="shared" ca="1" si="107"/>
        <v>6.25</v>
      </c>
      <c r="N3113" s="143">
        <f ca="1">(PRODUCT($O$5:$O3113)-1)*36000/_xlfn.DAYS(L3113, $C$2)</f>
        <v>9.6651054704751616</v>
      </c>
      <c r="O3113" s="149">
        <f t="shared" ca="1" si="108"/>
        <v>1.000173611111111</v>
      </c>
    </row>
    <row r="3114" spans="12:15" x14ac:dyDescent="0.25">
      <c r="L3114" s="147">
        <f ca="1"/>
        <v>48353</v>
      </c>
      <c r="M3114" s="92">
        <f t="shared" ca="1" si="107"/>
        <v>6.25</v>
      </c>
      <c r="N3114" s="143">
        <f ca="1">(PRODUCT($O$5:$O3114)-1)*36000/_xlfn.DAYS(L3114, $C$2)</f>
        <v>9.6656847959819139</v>
      </c>
      <c r="O3114" s="149">
        <f t="shared" ca="1" si="108"/>
        <v>1.000173611111111</v>
      </c>
    </row>
    <row r="3115" spans="12:15" x14ac:dyDescent="0.25">
      <c r="L3115" s="147">
        <f ca="1"/>
        <v>48354</v>
      </c>
      <c r="M3115" s="92">
        <f t="shared" ca="1" si="107"/>
        <v>6.25</v>
      </c>
      <c r="N3115" s="143">
        <f ca="1">(PRODUCT($O$5:$O3115)-1)*36000/_xlfn.DAYS(L3115, $C$2)</f>
        <v>9.6662643889635049</v>
      </c>
      <c r="O3115" s="149">
        <f t="shared" ca="1" si="108"/>
        <v>1.000173611111111</v>
      </c>
    </row>
    <row r="3116" spans="12:15" x14ac:dyDescent="0.25">
      <c r="L3116" s="147">
        <f ca="1"/>
        <v>48355</v>
      </c>
      <c r="M3116" s="92">
        <f t="shared" ca="1" si="107"/>
        <v>6.25</v>
      </c>
      <c r="N3116" s="143">
        <f ca="1">(PRODUCT($O$5:$O3116)-1)*36000/_xlfn.DAYS(L3116, $C$2)</f>
        <v>9.666844249273149</v>
      </c>
      <c r="O3116" s="149">
        <f t="shared" ca="1" si="108"/>
        <v>1.000173611111111</v>
      </c>
    </row>
    <row r="3117" spans="12:15" x14ac:dyDescent="0.25">
      <c r="L3117" s="147">
        <f ca="1"/>
        <v>48356</v>
      </c>
      <c r="M3117" s="92">
        <f t="shared" ca="1" si="107"/>
        <v>6.25</v>
      </c>
      <c r="N3117" s="143">
        <f ca="1">(PRODUCT($O$5:$O3117)-1)*36000/_xlfn.DAYS(L3117, $C$2)</f>
        <v>9.6674243767642647</v>
      </c>
      <c r="O3117" s="149">
        <f t="shared" ca="1" si="108"/>
        <v>1.000173611111111</v>
      </c>
    </row>
    <row r="3118" spans="12:15" x14ac:dyDescent="0.25">
      <c r="L3118" s="147">
        <f ca="1"/>
        <v>48357</v>
      </c>
      <c r="M3118" s="92">
        <f t="shared" ca="1" si="107"/>
        <v>6.25</v>
      </c>
      <c r="N3118" s="143">
        <f ca="1">(PRODUCT($O$5:$O3118)-1)*36000/_xlfn.DAYS(L3118, $C$2)</f>
        <v>9.6680047712904784</v>
      </c>
      <c r="O3118" s="149">
        <f t="shared" ca="1" si="108"/>
        <v>1.000173611111111</v>
      </c>
    </row>
    <row r="3119" spans="12:15" x14ac:dyDescent="0.25">
      <c r="L3119" s="147">
        <f ca="1"/>
        <v>48358</v>
      </c>
      <c r="M3119" s="92">
        <f t="shared" ca="1" si="107"/>
        <v>6.25</v>
      </c>
      <c r="N3119" s="143">
        <f ca="1">(PRODUCT($O$5:$O3119)-1)*36000/_xlfn.DAYS(L3119, $C$2)</f>
        <v>9.6685854327056244</v>
      </c>
      <c r="O3119" s="149">
        <f t="shared" ca="1" si="108"/>
        <v>1.000173611111111</v>
      </c>
    </row>
    <row r="3120" spans="12:15" x14ac:dyDescent="0.25">
      <c r="L3120" s="147">
        <f ca="1"/>
        <v>48359</v>
      </c>
      <c r="M3120" s="92">
        <f t="shared" ca="1" si="107"/>
        <v>6.25</v>
      </c>
      <c r="N3120" s="143">
        <f ca="1">(PRODUCT($O$5:$O3120)-1)*36000/_xlfn.DAYS(L3120, $C$2)</f>
        <v>9.6691663608637448</v>
      </c>
      <c r="O3120" s="149">
        <f t="shared" ca="1" si="108"/>
        <v>1.000173611111111</v>
      </c>
    </row>
    <row r="3121" spans="12:15" x14ac:dyDescent="0.25">
      <c r="L3121" s="147">
        <f ca="1"/>
        <v>48360</v>
      </c>
      <c r="M3121" s="92">
        <f t="shared" ca="1" si="107"/>
        <v>6.25</v>
      </c>
      <c r="N3121" s="143">
        <f ca="1">(PRODUCT($O$5:$O3121)-1)*36000/_xlfn.DAYS(L3121, $C$2)</f>
        <v>9.6697475556190895</v>
      </c>
      <c r="O3121" s="149">
        <f t="shared" ca="1" si="108"/>
        <v>1.000173611111111</v>
      </c>
    </row>
    <row r="3122" spans="12:15" x14ac:dyDescent="0.25">
      <c r="L3122" s="147">
        <f ca="1"/>
        <v>48361</v>
      </c>
      <c r="M3122" s="92">
        <f t="shared" ca="1" si="107"/>
        <v>6.25</v>
      </c>
      <c r="N3122" s="143">
        <f ca="1">(PRODUCT($O$5:$O3122)-1)*36000/_xlfn.DAYS(L3122, $C$2)</f>
        <v>9.6703290168261091</v>
      </c>
      <c r="O3122" s="149">
        <f t="shared" ca="1" si="108"/>
        <v>1.000173611111111</v>
      </c>
    </row>
    <row r="3123" spans="12:15" x14ac:dyDescent="0.25">
      <c r="L3123" s="147">
        <f ca="1"/>
        <v>48362</v>
      </c>
      <c r="M3123" s="92">
        <f t="shared" ca="1" si="107"/>
        <v>6.25</v>
      </c>
      <c r="N3123" s="143">
        <f ca="1">(PRODUCT($O$5:$O3123)-1)*36000/_xlfn.DAYS(L3123, $C$2)</f>
        <v>9.6709107443394622</v>
      </c>
      <c r="O3123" s="149">
        <f t="shared" ca="1" si="108"/>
        <v>1.000173611111111</v>
      </c>
    </row>
    <row r="3124" spans="12:15" x14ac:dyDescent="0.25">
      <c r="L3124" s="147">
        <f ca="1"/>
        <v>48363</v>
      </c>
      <c r="M3124" s="92">
        <f t="shared" ca="1" si="107"/>
        <v>6.25</v>
      </c>
      <c r="N3124" s="143">
        <f ca="1">(PRODUCT($O$5:$O3124)-1)*36000/_xlfn.DAYS(L3124, $C$2)</f>
        <v>9.6714927380140185</v>
      </c>
      <c r="O3124" s="149">
        <f t="shared" ca="1" si="108"/>
        <v>1.000173611111111</v>
      </c>
    </row>
    <row r="3125" spans="12:15" x14ac:dyDescent="0.25">
      <c r="L3125" s="147">
        <f ca="1"/>
        <v>48364</v>
      </c>
      <c r="M3125" s="92">
        <f t="shared" ca="1" si="107"/>
        <v>6.25</v>
      </c>
      <c r="N3125" s="143">
        <f ca="1">(PRODUCT($O$5:$O3125)-1)*36000/_xlfn.DAYS(L3125, $C$2)</f>
        <v>9.6720749977048452</v>
      </c>
      <c r="O3125" s="149">
        <f t="shared" ca="1" si="108"/>
        <v>1.000173611111111</v>
      </c>
    </row>
    <row r="3126" spans="12:15" x14ac:dyDescent="0.25">
      <c r="L3126" s="147">
        <f ca="1"/>
        <v>48365</v>
      </c>
      <c r="M3126" s="92">
        <f t="shared" ca="1" si="107"/>
        <v>6.25</v>
      </c>
      <c r="N3126" s="143">
        <f ca="1">(PRODUCT($O$5:$O3126)-1)*36000/_xlfn.DAYS(L3126, $C$2)</f>
        <v>9.6726575232672207</v>
      </c>
      <c r="O3126" s="149">
        <f t="shared" ca="1" si="108"/>
        <v>1.000173611111111</v>
      </c>
    </row>
    <row r="3127" spans="12:15" x14ac:dyDescent="0.25">
      <c r="L3127" s="147">
        <f ca="1"/>
        <v>48366</v>
      </c>
      <c r="M3127" s="92">
        <f t="shared" ca="1" si="107"/>
        <v>6.25</v>
      </c>
      <c r="N3127" s="143">
        <f ca="1">(PRODUCT($O$5:$O3127)-1)*36000/_xlfn.DAYS(L3127, $C$2)</f>
        <v>9.6732403145566224</v>
      </c>
      <c r="O3127" s="149">
        <f t="shared" ca="1" si="108"/>
        <v>1.000173611111111</v>
      </c>
    </row>
    <row r="3128" spans="12:15" x14ac:dyDescent="0.25">
      <c r="L3128" s="147">
        <f ca="1"/>
        <v>48367</v>
      </c>
      <c r="M3128" s="92">
        <f t="shared" ca="1" si="107"/>
        <v>6.25</v>
      </c>
      <c r="N3128" s="143">
        <f ca="1">(PRODUCT($O$5:$O3128)-1)*36000/_xlfn.DAYS(L3128, $C$2)</f>
        <v>9.6738233714287389</v>
      </c>
      <c r="O3128" s="149">
        <f t="shared" ca="1" si="108"/>
        <v>1.000173611111111</v>
      </c>
    </row>
    <row r="3129" spans="12:15" x14ac:dyDescent="0.25">
      <c r="L3129" s="147">
        <f ca="1"/>
        <v>48368</v>
      </c>
      <c r="M3129" s="92">
        <f t="shared" ca="1" si="107"/>
        <v>6.25</v>
      </c>
      <c r="N3129" s="143">
        <f ca="1">(PRODUCT($O$5:$O3129)-1)*36000/_xlfn.DAYS(L3129, $C$2)</f>
        <v>9.6744066937394528</v>
      </c>
      <c r="O3129" s="149">
        <f t="shared" ca="1" si="108"/>
        <v>1.000173611111111</v>
      </c>
    </row>
    <row r="3130" spans="12:15" x14ac:dyDescent="0.25">
      <c r="L3130" s="147">
        <f ca="1"/>
        <v>48369</v>
      </c>
      <c r="M3130" s="92">
        <f t="shared" ca="1" si="107"/>
        <v>6.25</v>
      </c>
      <c r="N3130" s="143">
        <f ca="1">(PRODUCT($O$5:$O3130)-1)*36000/_xlfn.DAYS(L3130, $C$2)</f>
        <v>9.6749902813448632</v>
      </c>
      <c r="O3130" s="149">
        <f t="shared" ca="1" si="108"/>
        <v>1.000173611111111</v>
      </c>
    </row>
    <row r="3131" spans="12:15" x14ac:dyDescent="0.25">
      <c r="L3131" s="147">
        <f ca="1"/>
        <v>48370</v>
      </c>
      <c r="M3131" s="92">
        <f t="shared" ca="1" si="107"/>
        <v>6.25</v>
      </c>
      <c r="N3131" s="143">
        <f ca="1">(PRODUCT($O$5:$O3131)-1)*36000/_xlfn.DAYS(L3131, $C$2)</f>
        <v>9.6755741341012591</v>
      </c>
      <c r="O3131" s="149">
        <f t="shared" ca="1" si="108"/>
        <v>1.000173611111111</v>
      </c>
    </row>
    <row r="3132" spans="12:15" x14ac:dyDescent="0.25">
      <c r="L3132" s="147">
        <f ca="1"/>
        <v>48371</v>
      </c>
      <c r="M3132" s="92">
        <f t="shared" ca="1" si="107"/>
        <v>6.25</v>
      </c>
      <c r="N3132" s="143">
        <f ca="1">(PRODUCT($O$5:$O3132)-1)*36000/_xlfn.DAYS(L3132, $C$2)</f>
        <v>9.6761582518651448</v>
      </c>
      <c r="O3132" s="149">
        <f t="shared" ca="1" si="108"/>
        <v>1.000173611111111</v>
      </c>
    </row>
    <row r="3133" spans="12:15" x14ac:dyDescent="0.25">
      <c r="L3133" s="147">
        <f ca="1"/>
        <v>48372</v>
      </c>
      <c r="M3133" s="92">
        <f t="shared" ca="1" si="107"/>
        <v>6.25</v>
      </c>
      <c r="N3133" s="143">
        <f ca="1">(PRODUCT($O$5:$O3133)-1)*36000/_xlfn.DAYS(L3133, $C$2)</f>
        <v>9.6767426344932179</v>
      </c>
      <c r="O3133" s="149">
        <f t="shared" ca="1" si="108"/>
        <v>1.000173611111111</v>
      </c>
    </row>
    <row r="3134" spans="12:15" x14ac:dyDescent="0.25">
      <c r="L3134" s="147">
        <f ca="1"/>
        <v>48373</v>
      </c>
      <c r="M3134" s="92">
        <f t="shared" ca="1" si="107"/>
        <v>6.25</v>
      </c>
      <c r="N3134" s="143">
        <f ca="1">(PRODUCT($O$5:$O3134)-1)*36000/_xlfn.DAYS(L3134, $C$2)</f>
        <v>9.6773272818423806</v>
      </c>
      <c r="O3134" s="149">
        <f t="shared" ca="1" si="108"/>
        <v>1.000173611111111</v>
      </c>
    </row>
    <row r="3135" spans="12:15" x14ac:dyDescent="0.25">
      <c r="L3135" s="147">
        <f ca="1"/>
        <v>48374</v>
      </c>
      <c r="M3135" s="92">
        <f t="shared" ca="1" si="107"/>
        <v>6.25</v>
      </c>
      <c r="N3135" s="143">
        <f ca="1">(PRODUCT($O$5:$O3135)-1)*36000/_xlfn.DAYS(L3135, $C$2)</f>
        <v>9.6779121937697425</v>
      </c>
      <c r="O3135" s="149">
        <f t="shared" ca="1" si="108"/>
        <v>1.000173611111111</v>
      </c>
    </row>
    <row r="3136" spans="12:15" x14ac:dyDescent="0.25">
      <c r="L3136" s="147">
        <f ca="1"/>
        <v>48375</v>
      </c>
      <c r="M3136" s="92">
        <f t="shared" ca="1" si="107"/>
        <v>6.25</v>
      </c>
      <c r="N3136" s="143">
        <f ca="1">(PRODUCT($O$5:$O3136)-1)*36000/_xlfn.DAYS(L3136, $C$2)</f>
        <v>9.6784973701326109</v>
      </c>
      <c r="O3136" s="149">
        <f t="shared" ca="1" si="108"/>
        <v>1.000173611111111</v>
      </c>
    </row>
    <row r="3137" spans="12:15" x14ac:dyDescent="0.25">
      <c r="L3137" s="147">
        <f ca="1"/>
        <v>48376</v>
      </c>
      <c r="M3137" s="92">
        <f t="shared" ca="1" si="107"/>
        <v>6.25</v>
      </c>
      <c r="N3137" s="143">
        <f ca="1">(PRODUCT($O$5:$O3137)-1)*36000/_xlfn.DAYS(L3137, $C$2)</f>
        <v>9.6790828107884899</v>
      </c>
      <c r="O3137" s="149">
        <f t="shared" ca="1" si="108"/>
        <v>1.000173611111111</v>
      </c>
    </row>
    <row r="3138" spans="12:15" x14ac:dyDescent="0.25">
      <c r="L3138" s="147">
        <f ca="1"/>
        <v>48377</v>
      </c>
      <c r="M3138" s="92">
        <f t="shared" ca="1" si="107"/>
        <v>6.25</v>
      </c>
      <c r="N3138" s="143">
        <f ca="1">(PRODUCT($O$5:$O3138)-1)*36000/_xlfn.DAYS(L3138, $C$2)</f>
        <v>9.6796685155950914</v>
      </c>
      <c r="O3138" s="149">
        <f t="shared" ca="1" si="108"/>
        <v>1.000173611111111</v>
      </c>
    </row>
    <row r="3139" spans="12:15" x14ac:dyDescent="0.25">
      <c r="L3139" s="147">
        <f ca="1"/>
        <v>48378</v>
      </c>
      <c r="M3139" s="92">
        <f t="shared" ca="1" si="107"/>
        <v>6.25</v>
      </c>
      <c r="N3139" s="143">
        <f ca="1">(PRODUCT($O$5:$O3139)-1)*36000/_xlfn.DAYS(L3139, $C$2)</f>
        <v>9.6802544844103284</v>
      </c>
      <c r="O3139" s="149">
        <f t="shared" ca="1" si="108"/>
        <v>1.000173611111111</v>
      </c>
    </row>
    <row r="3140" spans="12:15" x14ac:dyDescent="0.25">
      <c r="L3140" s="147">
        <f ca="1"/>
        <v>48379</v>
      </c>
      <c r="M3140" s="92">
        <f t="shared" ca="1" si="107"/>
        <v>6.25</v>
      </c>
      <c r="N3140" s="143">
        <f ca="1">(PRODUCT($O$5:$O3140)-1)*36000/_xlfn.DAYS(L3140, $C$2)</f>
        <v>9.680840717092309</v>
      </c>
      <c r="O3140" s="149">
        <f t="shared" ca="1" si="108"/>
        <v>1.000173611111111</v>
      </c>
    </row>
    <row r="3141" spans="12:15" x14ac:dyDescent="0.25">
      <c r="L3141" s="147">
        <f ca="1"/>
        <v>48380</v>
      </c>
      <c r="M3141" s="92">
        <f t="shared" ref="M3141:M3204" ca="1" si="109">IFERROR(INDEX($E$27:$H$47, MATCH(L3141, $F$27:$F$47, 0), 4), IF(ISNUMBER(M3140), M3140, $C$5))</f>
        <v>6.25</v>
      </c>
      <c r="N3141" s="143">
        <f ca="1">(PRODUCT($O$5:$O3141)-1)*36000/_xlfn.DAYS(L3141, $C$2)</f>
        <v>9.6814272134993455</v>
      </c>
      <c r="O3141" s="149">
        <f t="shared" ca="1" si="108"/>
        <v>1.000173611111111</v>
      </c>
    </row>
    <row r="3142" spans="12:15" x14ac:dyDescent="0.25">
      <c r="L3142" s="147">
        <f ca="1"/>
        <v>48381</v>
      </c>
      <c r="M3142" s="92">
        <f t="shared" ca="1" si="109"/>
        <v>6.25</v>
      </c>
      <c r="N3142" s="143">
        <f ca="1">(PRODUCT($O$5:$O3142)-1)*36000/_xlfn.DAYS(L3142, $C$2)</f>
        <v>9.6820139734899513</v>
      </c>
      <c r="O3142" s="149">
        <f t="shared" ref="O3142:O3205" ca="1" si="110">1+M3142*IFERROR(_xlfn.DAYS(L3142, L3141), _xlfn.DAYS(L3142, $C$2))/36000</f>
        <v>1.000173611111111</v>
      </c>
    </row>
    <row r="3143" spans="12:15" x14ac:dyDescent="0.25">
      <c r="L3143" s="147">
        <f ca="1"/>
        <v>48382</v>
      </c>
      <c r="M3143" s="92">
        <f t="shared" ca="1" si="109"/>
        <v>6.25</v>
      </c>
      <c r="N3143" s="143">
        <f ca="1">(PRODUCT($O$5:$O3143)-1)*36000/_xlfn.DAYS(L3143, $C$2)</f>
        <v>9.6826009969228313</v>
      </c>
      <c r="O3143" s="149">
        <f t="shared" ca="1" si="110"/>
        <v>1.000173611111111</v>
      </c>
    </row>
    <row r="3144" spans="12:15" x14ac:dyDescent="0.25">
      <c r="L3144" s="147">
        <f ca="1"/>
        <v>48383</v>
      </c>
      <c r="M3144" s="92">
        <f t="shared" ca="1" si="109"/>
        <v>6.25</v>
      </c>
      <c r="N3144" s="143">
        <f ca="1">(PRODUCT($O$5:$O3144)-1)*36000/_xlfn.DAYS(L3144, $C$2)</f>
        <v>9.6831882836568983</v>
      </c>
      <c r="O3144" s="149">
        <f t="shared" ca="1" si="110"/>
        <v>1.000173611111111</v>
      </c>
    </row>
    <row r="3145" spans="12:15" x14ac:dyDescent="0.25">
      <c r="L3145" s="147">
        <f ca="1"/>
        <v>48384</v>
      </c>
      <c r="M3145" s="92">
        <f t="shared" ca="1" si="109"/>
        <v>6.25</v>
      </c>
      <c r="N3145" s="143">
        <f ca="1">(PRODUCT($O$5:$O3145)-1)*36000/_xlfn.DAYS(L3145, $C$2)</f>
        <v>9.6837758335512607</v>
      </c>
      <c r="O3145" s="149">
        <f t="shared" ca="1" si="110"/>
        <v>1.000173611111111</v>
      </c>
    </row>
    <row r="3146" spans="12:15" x14ac:dyDescent="0.25">
      <c r="L3146" s="147">
        <f ca="1"/>
        <v>48385</v>
      </c>
      <c r="M3146" s="92">
        <f t="shared" ca="1" si="109"/>
        <v>6.25</v>
      </c>
      <c r="N3146" s="143">
        <f ca="1">(PRODUCT($O$5:$O3146)-1)*36000/_xlfn.DAYS(L3146, $C$2)</f>
        <v>9.6843636464652239</v>
      </c>
      <c r="O3146" s="149">
        <f t="shared" ca="1" si="110"/>
        <v>1.000173611111111</v>
      </c>
    </row>
    <row r="3147" spans="12:15" x14ac:dyDescent="0.25">
      <c r="L3147" s="147">
        <f ca="1"/>
        <v>48386</v>
      </c>
      <c r="M3147" s="92">
        <f t="shared" ca="1" si="109"/>
        <v>6.25</v>
      </c>
      <c r="N3147" s="143">
        <f ca="1">(PRODUCT($O$5:$O3147)-1)*36000/_xlfn.DAYS(L3147, $C$2)</f>
        <v>9.6849517222582957</v>
      </c>
      <c r="O3147" s="149">
        <f t="shared" ca="1" si="110"/>
        <v>1.000173611111111</v>
      </c>
    </row>
    <row r="3148" spans="12:15" x14ac:dyDescent="0.25">
      <c r="L3148" s="147">
        <f ca="1"/>
        <v>48387</v>
      </c>
      <c r="M3148" s="92">
        <f t="shared" ca="1" si="109"/>
        <v>6.25</v>
      </c>
      <c r="N3148" s="143">
        <f ca="1">(PRODUCT($O$5:$O3148)-1)*36000/_xlfn.DAYS(L3148, $C$2)</f>
        <v>9.6855400607901778</v>
      </c>
      <c r="O3148" s="149">
        <f t="shared" ca="1" si="110"/>
        <v>1.000173611111111</v>
      </c>
    </row>
    <row r="3149" spans="12:15" x14ac:dyDescent="0.25">
      <c r="L3149" s="147">
        <f ca="1"/>
        <v>48388</v>
      </c>
      <c r="M3149" s="92">
        <f t="shared" ca="1" si="109"/>
        <v>6.25</v>
      </c>
      <c r="N3149" s="143">
        <f ca="1">(PRODUCT($O$5:$O3149)-1)*36000/_xlfn.DAYS(L3149, $C$2)</f>
        <v>9.6861286619207725</v>
      </c>
      <c r="O3149" s="149">
        <f t="shared" ca="1" si="110"/>
        <v>1.000173611111111</v>
      </c>
    </row>
    <row r="3150" spans="12:15" x14ac:dyDescent="0.25">
      <c r="L3150" s="147">
        <f ca="1"/>
        <v>48389</v>
      </c>
      <c r="M3150" s="92">
        <f t="shared" ca="1" si="109"/>
        <v>6.25</v>
      </c>
      <c r="N3150" s="143">
        <f ca="1">(PRODUCT($O$5:$O3150)-1)*36000/_xlfn.DAYS(L3150, $C$2)</f>
        <v>9.6867175255101774</v>
      </c>
      <c r="O3150" s="149">
        <f t="shared" ca="1" si="110"/>
        <v>1.000173611111111</v>
      </c>
    </row>
    <row r="3151" spans="12:15" x14ac:dyDescent="0.25">
      <c r="L3151" s="147">
        <f ca="1"/>
        <v>48390</v>
      </c>
      <c r="M3151" s="92">
        <f t="shared" ca="1" si="109"/>
        <v>6.25</v>
      </c>
      <c r="N3151" s="143">
        <f ca="1">(PRODUCT($O$5:$O3151)-1)*36000/_xlfn.DAYS(L3151, $C$2)</f>
        <v>9.6873066514186856</v>
      </c>
      <c r="O3151" s="149">
        <f t="shared" ca="1" si="110"/>
        <v>1.000173611111111</v>
      </c>
    </row>
    <row r="3152" spans="12:15" x14ac:dyDescent="0.25">
      <c r="L3152" s="147">
        <f ca="1"/>
        <v>48391</v>
      </c>
      <c r="M3152" s="92">
        <f t="shared" ca="1" si="109"/>
        <v>6.25</v>
      </c>
      <c r="N3152" s="143">
        <f ca="1">(PRODUCT($O$5:$O3152)-1)*36000/_xlfn.DAYS(L3152, $C$2)</f>
        <v>9.687896039506791</v>
      </c>
      <c r="O3152" s="149">
        <f t="shared" ca="1" si="110"/>
        <v>1.000173611111111</v>
      </c>
    </row>
    <row r="3153" spans="12:15" x14ac:dyDescent="0.25">
      <c r="L3153" s="147">
        <f ca="1"/>
        <v>48392</v>
      </c>
      <c r="M3153" s="92">
        <f t="shared" ca="1" si="109"/>
        <v>6.25</v>
      </c>
      <c r="N3153" s="143">
        <f ca="1">(PRODUCT($O$5:$O3153)-1)*36000/_xlfn.DAYS(L3153, $C$2)</f>
        <v>9.688485689635181</v>
      </c>
      <c r="O3153" s="149">
        <f t="shared" ca="1" si="110"/>
        <v>1.000173611111111</v>
      </c>
    </row>
    <row r="3154" spans="12:15" x14ac:dyDescent="0.25">
      <c r="L3154" s="147">
        <f ca="1"/>
        <v>48393</v>
      </c>
      <c r="M3154" s="92">
        <f t="shared" ca="1" si="109"/>
        <v>6.25</v>
      </c>
      <c r="N3154" s="143">
        <f ca="1">(PRODUCT($O$5:$O3154)-1)*36000/_xlfn.DAYS(L3154, $C$2)</f>
        <v>9.6890756016647419</v>
      </c>
      <c r="O3154" s="149">
        <f t="shared" ca="1" si="110"/>
        <v>1.000173611111111</v>
      </c>
    </row>
    <row r="3155" spans="12:15" x14ac:dyDescent="0.25">
      <c r="L3155" s="147">
        <f ca="1"/>
        <v>48394</v>
      </c>
      <c r="M3155" s="92">
        <f t="shared" ca="1" si="109"/>
        <v>6.25</v>
      </c>
      <c r="N3155" s="143">
        <f ca="1">(PRODUCT($O$5:$O3155)-1)*36000/_xlfn.DAYS(L3155, $C$2)</f>
        <v>9.6896657754565521</v>
      </c>
      <c r="O3155" s="149">
        <f t="shared" ca="1" si="110"/>
        <v>1.000173611111111</v>
      </c>
    </row>
    <row r="3156" spans="12:15" x14ac:dyDescent="0.25">
      <c r="L3156" s="147">
        <f ca="1"/>
        <v>48395</v>
      </c>
      <c r="M3156" s="92">
        <f t="shared" ca="1" si="109"/>
        <v>6.25</v>
      </c>
      <c r="N3156" s="143">
        <f ca="1">(PRODUCT($O$5:$O3156)-1)*36000/_xlfn.DAYS(L3156, $C$2)</f>
        <v>9.690256210871885</v>
      </c>
      <c r="O3156" s="149">
        <f t="shared" ca="1" si="110"/>
        <v>1.000173611111111</v>
      </c>
    </row>
    <row r="3157" spans="12:15" x14ac:dyDescent="0.25">
      <c r="L3157" s="147">
        <f ca="1"/>
        <v>48396</v>
      </c>
      <c r="M3157" s="92">
        <f t="shared" ca="1" si="109"/>
        <v>6.25</v>
      </c>
      <c r="N3157" s="143">
        <f ca="1">(PRODUCT($O$5:$O3157)-1)*36000/_xlfn.DAYS(L3157, $C$2)</f>
        <v>9.6908469077722152</v>
      </c>
      <c r="O3157" s="149">
        <f t="shared" ca="1" si="110"/>
        <v>1.000173611111111</v>
      </c>
    </row>
    <row r="3158" spans="12:15" x14ac:dyDescent="0.25">
      <c r="L3158" s="147">
        <f ca="1"/>
        <v>48397</v>
      </c>
      <c r="M3158" s="92">
        <f t="shared" ca="1" si="109"/>
        <v>6.25</v>
      </c>
      <c r="N3158" s="143">
        <f ca="1">(PRODUCT($O$5:$O3158)-1)*36000/_xlfn.DAYS(L3158, $C$2)</f>
        <v>9.6914378660192053</v>
      </c>
      <c r="O3158" s="149">
        <f t="shared" ca="1" si="110"/>
        <v>1.000173611111111</v>
      </c>
    </row>
    <row r="3159" spans="12:15" x14ac:dyDescent="0.25">
      <c r="L3159" s="147">
        <f ca="1"/>
        <v>48398</v>
      </c>
      <c r="M3159" s="92">
        <f t="shared" ca="1" si="109"/>
        <v>6.25</v>
      </c>
      <c r="N3159" s="143">
        <f ca="1">(PRODUCT($O$5:$O3159)-1)*36000/_xlfn.DAYS(L3159, $C$2)</f>
        <v>9.6920290854747169</v>
      </c>
      <c r="O3159" s="149">
        <f t="shared" ca="1" si="110"/>
        <v>1.000173611111111</v>
      </c>
    </row>
    <row r="3160" spans="12:15" x14ac:dyDescent="0.25">
      <c r="L3160" s="147">
        <f ca="1"/>
        <v>48399</v>
      </c>
      <c r="M3160" s="92">
        <f t="shared" ca="1" si="109"/>
        <v>6.25</v>
      </c>
      <c r="N3160" s="143">
        <f ca="1">(PRODUCT($O$5:$O3160)-1)*36000/_xlfn.DAYS(L3160, $C$2)</f>
        <v>9.6926205660008034</v>
      </c>
      <c r="O3160" s="149">
        <f t="shared" ca="1" si="110"/>
        <v>1.000173611111111</v>
      </c>
    </row>
    <row r="3161" spans="12:15" x14ac:dyDescent="0.25">
      <c r="L3161" s="147">
        <f ca="1"/>
        <v>48400</v>
      </c>
      <c r="M3161" s="92">
        <f t="shared" ca="1" si="109"/>
        <v>6.25</v>
      </c>
      <c r="N3161" s="143">
        <f ca="1">(PRODUCT($O$5:$O3161)-1)*36000/_xlfn.DAYS(L3161, $C$2)</f>
        <v>9.6932123074597154</v>
      </c>
      <c r="O3161" s="149">
        <f t="shared" ca="1" si="110"/>
        <v>1.000173611111111</v>
      </c>
    </row>
    <row r="3162" spans="12:15" x14ac:dyDescent="0.25">
      <c r="L3162" s="147">
        <f ca="1"/>
        <v>48401</v>
      </c>
      <c r="M3162" s="92">
        <f t="shared" ca="1" si="109"/>
        <v>6.25</v>
      </c>
      <c r="N3162" s="143">
        <f ca="1">(PRODUCT($O$5:$O3162)-1)*36000/_xlfn.DAYS(L3162, $C$2)</f>
        <v>9.6938043097138902</v>
      </c>
      <c r="O3162" s="149">
        <f t="shared" ca="1" si="110"/>
        <v>1.000173611111111</v>
      </c>
    </row>
    <row r="3163" spans="12:15" x14ac:dyDescent="0.25">
      <c r="L3163" s="147">
        <f ca="1"/>
        <v>48402</v>
      </c>
      <c r="M3163" s="92">
        <f t="shared" ca="1" si="109"/>
        <v>6.25</v>
      </c>
      <c r="N3163" s="143">
        <f ca="1">(PRODUCT($O$5:$O3163)-1)*36000/_xlfn.DAYS(L3163, $C$2)</f>
        <v>9.6943965726259691</v>
      </c>
      <c r="O3163" s="149">
        <f t="shared" ca="1" si="110"/>
        <v>1.000173611111111</v>
      </c>
    </row>
    <row r="3164" spans="12:15" x14ac:dyDescent="0.25">
      <c r="L3164" s="147">
        <f ca="1"/>
        <v>48403</v>
      </c>
      <c r="M3164" s="92">
        <f t="shared" ca="1" si="109"/>
        <v>6.25</v>
      </c>
      <c r="N3164" s="143">
        <f ca="1">(PRODUCT($O$5:$O3164)-1)*36000/_xlfn.DAYS(L3164, $C$2)</f>
        <v>9.694989096058773</v>
      </c>
      <c r="O3164" s="149">
        <f t="shared" ca="1" si="110"/>
        <v>1.000173611111111</v>
      </c>
    </row>
    <row r="3165" spans="12:15" x14ac:dyDescent="0.25">
      <c r="L3165" s="147">
        <f ca="1"/>
        <v>48404</v>
      </c>
      <c r="M3165" s="92">
        <f t="shared" ca="1" si="109"/>
        <v>6.25</v>
      </c>
      <c r="N3165" s="143">
        <f ca="1">(PRODUCT($O$5:$O3165)-1)*36000/_xlfn.DAYS(L3165, $C$2)</f>
        <v>9.6955818798753306</v>
      </c>
      <c r="O3165" s="149">
        <f t="shared" ca="1" si="110"/>
        <v>1.000173611111111</v>
      </c>
    </row>
    <row r="3166" spans="12:15" x14ac:dyDescent="0.25">
      <c r="L3166" s="147">
        <f ca="1"/>
        <v>48405</v>
      </c>
      <c r="M3166" s="92">
        <f t="shared" ca="1" si="109"/>
        <v>6.25</v>
      </c>
      <c r="N3166" s="143">
        <f ca="1">(PRODUCT($O$5:$O3166)-1)*36000/_xlfn.DAYS(L3166, $C$2)</f>
        <v>9.6961749239388499</v>
      </c>
      <c r="O3166" s="149">
        <f t="shared" ca="1" si="110"/>
        <v>1.000173611111111</v>
      </c>
    </row>
    <row r="3167" spans="12:15" x14ac:dyDescent="0.25">
      <c r="L3167" s="147">
        <f ca="1"/>
        <v>48406</v>
      </c>
      <c r="M3167" s="92">
        <f t="shared" ca="1" si="109"/>
        <v>6.25</v>
      </c>
      <c r="N3167" s="143">
        <f ca="1">(PRODUCT($O$5:$O3167)-1)*36000/_xlfn.DAYS(L3167, $C$2)</f>
        <v>9.6967682281127381</v>
      </c>
      <c r="O3167" s="149">
        <f t="shared" ca="1" si="110"/>
        <v>1.000173611111111</v>
      </c>
    </row>
    <row r="3168" spans="12:15" x14ac:dyDescent="0.25">
      <c r="L3168" s="147">
        <f ca="1"/>
        <v>48407</v>
      </c>
      <c r="M3168" s="92">
        <f t="shared" ca="1" si="109"/>
        <v>6.25</v>
      </c>
      <c r="N3168" s="143">
        <f ca="1">(PRODUCT($O$5:$O3168)-1)*36000/_xlfn.DAYS(L3168, $C$2)</f>
        <v>9.6973617922605921</v>
      </c>
      <c r="O3168" s="149">
        <f t="shared" ca="1" si="110"/>
        <v>1.000173611111111</v>
      </c>
    </row>
    <row r="3169" spans="12:15" x14ac:dyDescent="0.25">
      <c r="L3169" s="147">
        <f ca="1"/>
        <v>48408</v>
      </c>
      <c r="M3169" s="92">
        <f t="shared" ca="1" si="109"/>
        <v>6.25</v>
      </c>
      <c r="N3169" s="143">
        <f ca="1">(PRODUCT($O$5:$O3169)-1)*36000/_xlfn.DAYS(L3169, $C$2)</f>
        <v>9.6979556162462028</v>
      </c>
      <c r="O3169" s="149">
        <f t="shared" ca="1" si="110"/>
        <v>1.000173611111111</v>
      </c>
    </row>
    <row r="3170" spans="12:15" x14ac:dyDescent="0.25">
      <c r="L3170" s="147">
        <f ca="1"/>
        <v>48409</v>
      </c>
      <c r="M3170" s="92">
        <f t="shared" ca="1" si="109"/>
        <v>6.25</v>
      </c>
      <c r="N3170" s="143">
        <f ca="1">(PRODUCT($O$5:$O3170)-1)*36000/_xlfn.DAYS(L3170, $C$2)</f>
        <v>9.6985496999335474</v>
      </c>
      <c r="O3170" s="149">
        <f t="shared" ca="1" si="110"/>
        <v>1.000173611111111</v>
      </c>
    </row>
    <row r="3171" spans="12:15" x14ac:dyDescent="0.25">
      <c r="L3171" s="147">
        <f ca="1"/>
        <v>48410</v>
      </c>
      <c r="M3171" s="92">
        <f t="shared" ca="1" si="109"/>
        <v>6.25</v>
      </c>
      <c r="N3171" s="143">
        <f ca="1">(PRODUCT($O$5:$O3171)-1)*36000/_xlfn.DAYS(L3171, $C$2)</f>
        <v>9.6991440431867986</v>
      </c>
      <c r="O3171" s="149">
        <f t="shared" ca="1" si="110"/>
        <v>1.000173611111111</v>
      </c>
    </row>
    <row r="3172" spans="12:15" x14ac:dyDescent="0.25">
      <c r="L3172" s="147">
        <f ca="1"/>
        <v>48411</v>
      </c>
      <c r="M3172" s="92">
        <f t="shared" ca="1" si="109"/>
        <v>6.25</v>
      </c>
      <c r="N3172" s="143">
        <f ca="1">(PRODUCT($O$5:$O3172)-1)*36000/_xlfn.DAYS(L3172, $C$2)</f>
        <v>9.6997386458703172</v>
      </c>
      <c r="O3172" s="149">
        <f t="shared" ca="1" si="110"/>
        <v>1.000173611111111</v>
      </c>
    </row>
    <row r="3173" spans="12:15" x14ac:dyDescent="0.25">
      <c r="L3173" s="147">
        <f ca="1"/>
        <v>48412</v>
      </c>
      <c r="M3173" s="92">
        <f t="shared" ca="1" si="109"/>
        <v>6.25</v>
      </c>
      <c r="N3173" s="143">
        <f ca="1">(PRODUCT($O$5:$O3173)-1)*36000/_xlfn.DAYS(L3173, $C$2)</f>
        <v>9.7003335078486561</v>
      </c>
      <c r="O3173" s="149">
        <f t="shared" ca="1" si="110"/>
        <v>1.000173611111111</v>
      </c>
    </row>
    <row r="3174" spans="12:15" x14ac:dyDescent="0.25">
      <c r="L3174" s="147">
        <f ca="1"/>
        <v>48413</v>
      </c>
      <c r="M3174" s="92">
        <f t="shared" ca="1" si="109"/>
        <v>6.25</v>
      </c>
      <c r="N3174" s="143">
        <f ca="1">(PRODUCT($O$5:$O3174)-1)*36000/_xlfn.DAYS(L3174, $C$2)</f>
        <v>9.7009286289865564</v>
      </c>
      <c r="O3174" s="149">
        <f t="shared" ca="1" si="110"/>
        <v>1.000173611111111</v>
      </c>
    </row>
    <row r="3175" spans="12:15" x14ac:dyDescent="0.25">
      <c r="L3175" s="147">
        <f ca="1"/>
        <v>48414</v>
      </c>
      <c r="M3175" s="92">
        <f t="shared" ca="1" si="109"/>
        <v>6.25</v>
      </c>
      <c r="N3175" s="143">
        <f ca="1">(PRODUCT($O$5:$O3175)-1)*36000/_xlfn.DAYS(L3175, $C$2)</f>
        <v>9.7015240091489492</v>
      </c>
      <c r="O3175" s="149">
        <f t="shared" ca="1" si="110"/>
        <v>1.000173611111111</v>
      </c>
    </row>
    <row r="3176" spans="12:15" x14ac:dyDescent="0.25">
      <c r="L3176" s="147">
        <f ca="1"/>
        <v>48415</v>
      </c>
      <c r="M3176" s="92">
        <f t="shared" ca="1" si="109"/>
        <v>6.25</v>
      </c>
      <c r="N3176" s="143">
        <f ca="1">(PRODUCT($O$5:$O3176)-1)*36000/_xlfn.DAYS(L3176, $C$2)</f>
        <v>9.7021196482009557</v>
      </c>
      <c r="O3176" s="149">
        <f t="shared" ca="1" si="110"/>
        <v>1.000173611111111</v>
      </c>
    </row>
    <row r="3177" spans="12:15" x14ac:dyDescent="0.25">
      <c r="L3177" s="147">
        <f ca="1"/>
        <v>48416</v>
      </c>
      <c r="M3177" s="92">
        <f t="shared" ca="1" si="109"/>
        <v>6.25</v>
      </c>
      <c r="N3177" s="143">
        <f ca="1">(PRODUCT($O$5:$O3177)-1)*36000/_xlfn.DAYS(L3177, $C$2)</f>
        <v>9.7027155460078873</v>
      </c>
      <c r="O3177" s="149">
        <f t="shared" ca="1" si="110"/>
        <v>1.000173611111111</v>
      </c>
    </row>
    <row r="3178" spans="12:15" x14ac:dyDescent="0.25">
      <c r="L3178" s="147">
        <f ca="1"/>
        <v>48417</v>
      </c>
      <c r="M3178" s="92">
        <f t="shared" ca="1" si="109"/>
        <v>6.25</v>
      </c>
      <c r="N3178" s="143">
        <f ca="1">(PRODUCT($O$5:$O3178)-1)*36000/_xlfn.DAYS(L3178, $C$2)</f>
        <v>9.7033117024352418</v>
      </c>
      <c r="O3178" s="149">
        <f t="shared" ca="1" si="110"/>
        <v>1.000173611111111</v>
      </c>
    </row>
    <row r="3179" spans="12:15" x14ac:dyDescent="0.25">
      <c r="L3179" s="147">
        <f ca="1"/>
        <v>48418</v>
      </c>
      <c r="M3179" s="92">
        <f t="shared" ca="1" si="109"/>
        <v>6.25</v>
      </c>
      <c r="N3179" s="143">
        <f ca="1">(PRODUCT($O$5:$O3179)-1)*36000/_xlfn.DAYS(L3179, $C$2)</f>
        <v>9.7039081173487087</v>
      </c>
      <c r="O3179" s="149">
        <f t="shared" ca="1" si="110"/>
        <v>1.000173611111111</v>
      </c>
    </row>
    <row r="3180" spans="12:15" x14ac:dyDescent="0.25">
      <c r="L3180" s="147">
        <f ca="1"/>
        <v>48419</v>
      </c>
      <c r="M3180" s="92">
        <f t="shared" ca="1" si="109"/>
        <v>6.25</v>
      </c>
      <c r="N3180" s="143">
        <f ca="1">(PRODUCT($O$5:$O3180)-1)*36000/_xlfn.DAYS(L3180, $C$2)</f>
        <v>9.7045047906141626</v>
      </c>
      <c r="O3180" s="149">
        <f t="shared" ca="1" si="110"/>
        <v>1.000173611111111</v>
      </c>
    </row>
    <row r="3181" spans="12:15" x14ac:dyDescent="0.25">
      <c r="L3181" s="147">
        <f ca="1"/>
        <v>48420</v>
      </c>
      <c r="M3181" s="92">
        <f t="shared" ca="1" si="109"/>
        <v>6.25</v>
      </c>
      <c r="N3181" s="143">
        <f ca="1">(PRODUCT($O$5:$O3181)-1)*36000/_xlfn.DAYS(L3181, $C$2)</f>
        <v>9.7051017220976661</v>
      </c>
      <c r="O3181" s="149">
        <f t="shared" ca="1" si="110"/>
        <v>1.000173611111111</v>
      </c>
    </row>
    <row r="3182" spans="12:15" x14ac:dyDescent="0.25">
      <c r="L3182" s="147">
        <f ca="1"/>
        <v>48421</v>
      </c>
      <c r="M3182" s="92">
        <f t="shared" ca="1" si="109"/>
        <v>6.25</v>
      </c>
      <c r="N3182" s="143">
        <f ca="1">(PRODUCT($O$5:$O3182)-1)*36000/_xlfn.DAYS(L3182, $C$2)</f>
        <v>9.7056989116654737</v>
      </c>
      <c r="O3182" s="149">
        <f t="shared" ca="1" si="110"/>
        <v>1.000173611111111</v>
      </c>
    </row>
    <row r="3183" spans="12:15" x14ac:dyDescent="0.25">
      <c r="L3183" s="147">
        <f ca="1"/>
        <v>48422</v>
      </c>
      <c r="M3183" s="92">
        <f t="shared" ca="1" si="109"/>
        <v>6.25</v>
      </c>
      <c r="N3183" s="143">
        <f ca="1">(PRODUCT($O$5:$O3183)-1)*36000/_xlfn.DAYS(L3183, $C$2)</f>
        <v>9.7062963591840212</v>
      </c>
      <c r="O3183" s="149">
        <f t="shared" ca="1" si="110"/>
        <v>1.000173611111111</v>
      </c>
    </row>
    <row r="3184" spans="12:15" x14ac:dyDescent="0.25">
      <c r="L3184" s="147">
        <f ca="1"/>
        <v>48423</v>
      </c>
      <c r="M3184" s="92">
        <f t="shared" ca="1" si="109"/>
        <v>6.25</v>
      </c>
      <c r="N3184" s="143">
        <f ca="1">(PRODUCT($O$5:$O3184)-1)*36000/_xlfn.DAYS(L3184, $C$2)</f>
        <v>9.7068940645199397</v>
      </c>
      <c r="O3184" s="149">
        <f t="shared" ca="1" si="110"/>
        <v>1.000173611111111</v>
      </c>
    </row>
    <row r="3185" spans="12:15" x14ac:dyDescent="0.25">
      <c r="L3185" s="147">
        <f ca="1"/>
        <v>48424</v>
      </c>
      <c r="M3185" s="92">
        <f t="shared" ca="1" si="109"/>
        <v>6.25</v>
      </c>
      <c r="N3185" s="143">
        <f ca="1">(PRODUCT($O$5:$O3185)-1)*36000/_xlfn.DAYS(L3185, $C$2)</f>
        <v>9.7074920275400363</v>
      </c>
      <c r="O3185" s="149">
        <f t="shared" ca="1" si="110"/>
        <v>1.000173611111111</v>
      </c>
    </row>
    <row r="3186" spans="12:15" x14ac:dyDescent="0.25">
      <c r="L3186" s="147">
        <f ca="1"/>
        <v>48425</v>
      </c>
      <c r="M3186" s="92">
        <f t="shared" ca="1" si="109"/>
        <v>6.25</v>
      </c>
      <c r="N3186" s="143">
        <f ca="1">(PRODUCT($O$5:$O3186)-1)*36000/_xlfn.DAYS(L3186, $C$2)</f>
        <v>9.7080902481113132</v>
      </c>
      <c r="O3186" s="149">
        <f t="shared" ca="1" si="110"/>
        <v>1.000173611111111</v>
      </c>
    </row>
    <row r="3187" spans="12:15" x14ac:dyDescent="0.25">
      <c r="L3187" s="147">
        <f ca="1"/>
        <v>48426</v>
      </c>
      <c r="M3187" s="92">
        <f t="shared" ca="1" si="109"/>
        <v>6.25</v>
      </c>
      <c r="N3187" s="143">
        <f ca="1">(PRODUCT($O$5:$O3187)-1)*36000/_xlfn.DAYS(L3187, $C$2)</f>
        <v>9.708688726100954</v>
      </c>
      <c r="O3187" s="149">
        <f t="shared" ca="1" si="110"/>
        <v>1.000173611111111</v>
      </c>
    </row>
    <row r="3188" spans="12:15" x14ac:dyDescent="0.25">
      <c r="L3188" s="147">
        <f ca="1"/>
        <v>48427</v>
      </c>
      <c r="M3188" s="92">
        <f t="shared" ca="1" si="109"/>
        <v>6.25</v>
      </c>
      <c r="N3188" s="143">
        <f ca="1">(PRODUCT($O$5:$O3188)-1)*36000/_xlfn.DAYS(L3188, $C$2)</f>
        <v>9.7092874613763325</v>
      </c>
      <c r="O3188" s="149">
        <f t="shared" ca="1" si="110"/>
        <v>1.000173611111111</v>
      </c>
    </row>
    <row r="3189" spans="12:15" x14ac:dyDescent="0.25">
      <c r="L3189" s="147">
        <f ca="1"/>
        <v>48428</v>
      </c>
      <c r="M3189" s="92">
        <f t="shared" ca="1" si="109"/>
        <v>6.25</v>
      </c>
      <c r="N3189" s="143">
        <f ca="1">(PRODUCT($O$5:$O3189)-1)*36000/_xlfn.DAYS(L3189, $C$2)</f>
        <v>9.7098864538050069</v>
      </c>
      <c r="O3189" s="149">
        <f t="shared" ca="1" si="110"/>
        <v>1.000173611111111</v>
      </c>
    </row>
    <row r="3190" spans="12:15" x14ac:dyDescent="0.25">
      <c r="L3190" s="147">
        <f ca="1"/>
        <v>48429</v>
      </c>
      <c r="M3190" s="92">
        <f t="shared" ca="1" si="109"/>
        <v>6.25</v>
      </c>
      <c r="N3190" s="143">
        <f ca="1">(PRODUCT($O$5:$O3190)-1)*36000/_xlfn.DAYS(L3190, $C$2)</f>
        <v>9.7104857032547152</v>
      </c>
      <c r="O3190" s="149">
        <f t="shared" ca="1" si="110"/>
        <v>1.000173611111111</v>
      </c>
    </row>
    <row r="3191" spans="12:15" x14ac:dyDescent="0.25">
      <c r="L3191" s="147">
        <f ca="1"/>
        <v>48430</v>
      </c>
      <c r="M3191" s="92">
        <f t="shared" ca="1" si="109"/>
        <v>6.25</v>
      </c>
      <c r="N3191" s="143">
        <f ca="1">(PRODUCT($O$5:$O3191)-1)*36000/_xlfn.DAYS(L3191, $C$2)</f>
        <v>9.7110852095933886</v>
      </c>
      <c r="O3191" s="149">
        <f t="shared" ca="1" si="110"/>
        <v>1.000173611111111</v>
      </c>
    </row>
    <row r="3192" spans="12:15" x14ac:dyDescent="0.25">
      <c r="L3192" s="147">
        <f ca="1"/>
        <v>48431</v>
      </c>
      <c r="M3192" s="92">
        <f t="shared" ca="1" si="109"/>
        <v>6.25</v>
      </c>
      <c r="N3192" s="143">
        <f ca="1">(PRODUCT($O$5:$O3192)-1)*36000/_xlfn.DAYS(L3192, $C$2)</f>
        <v>9.7116849726891363</v>
      </c>
      <c r="O3192" s="149">
        <f t="shared" ca="1" si="110"/>
        <v>1.000173611111111</v>
      </c>
    </row>
    <row r="3193" spans="12:15" x14ac:dyDescent="0.25">
      <c r="L3193" s="147">
        <f ca="1"/>
        <v>48432</v>
      </c>
      <c r="M3193" s="92">
        <f t="shared" ca="1" si="109"/>
        <v>6.25</v>
      </c>
      <c r="N3193" s="143">
        <f ca="1">(PRODUCT($O$5:$O3193)-1)*36000/_xlfn.DAYS(L3193, $C$2)</f>
        <v>9.7122849924102574</v>
      </c>
      <c r="O3193" s="149">
        <f t="shared" ca="1" si="110"/>
        <v>1.000173611111111</v>
      </c>
    </row>
    <row r="3194" spans="12:15" x14ac:dyDescent="0.25">
      <c r="L3194" s="147">
        <f ca="1"/>
        <v>48433</v>
      </c>
      <c r="M3194" s="92">
        <f t="shared" ca="1" si="109"/>
        <v>6.25</v>
      </c>
      <c r="N3194" s="143">
        <f ca="1">(PRODUCT($O$5:$O3194)-1)*36000/_xlfn.DAYS(L3194, $C$2)</f>
        <v>9.7128852686252376</v>
      </c>
      <c r="O3194" s="149">
        <f t="shared" ca="1" si="110"/>
        <v>1.000173611111111</v>
      </c>
    </row>
    <row r="3195" spans="12:15" x14ac:dyDescent="0.25">
      <c r="L3195" s="147">
        <f ca="1"/>
        <v>48434</v>
      </c>
      <c r="M3195" s="92">
        <f t="shared" ca="1" si="109"/>
        <v>6.25</v>
      </c>
      <c r="N3195" s="143">
        <f ca="1">(PRODUCT($O$5:$O3195)-1)*36000/_xlfn.DAYS(L3195, $C$2)</f>
        <v>9.713485801202733</v>
      </c>
      <c r="O3195" s="149">
        <f t="shared" ca="1" si="110"/>
        <v>1.000173611111111</v>
      </c>
    </row>
    <row r="3196" spans="12:15" x14ac:dyDescent="0.25">
      <c r="L3196" s="147">
        <f ca="1"/>
        <v>48435</v>
      </c>
      <c r="M3196" s="92">
        <f t="shared" ca="1" si="109"/>
        <v>6.25</v>
      </c>
      <c r="N3196" s="143">
        <f ca="1">(PRODUCT($O$5:$O3196)-1)*36000/_xlfn.DAYS(L3196, $C$2)</f>
        <v>9.7140865900115987</v>
      </c>
      <c r="O3196" s="149">
        <f t="shared" ca="1" si="110"/>
        <v>1.000173611111111</v>
      </c>
    </row>
    <row r="3197" spans="12:15" x14ac:dyDescent="0.25">
      <c r="L3197" s="147">
        <f ca="1"/>
        <v>48436</v>
      </c>
      <c r="M3197" s="92">
        <f t="shared" ca="1" si="109"/>
        <v>6.25</v>
      </c>
      <c r="N3197" s="143">
        <f ca="1">(PRODUCT($O$5:$O3197)-1)*36000/_xlfn.DAYS(L3197, $C$2)</f>
        <v>9.714687634920864</v>
      </c>
      <c r="O3197" s="149">
        <f t="shared" ca="1" si="110"/>
        <v>1.000173611111111</v>
      </c>
    </row>
    <row r="3198" spans="12:15" x14ac:dyDescent="0.25">
      <c r="L3198" s="147">
        <f ca="1"/>
        <v>48437</v>
      </c>
      <c r="M3198" s="92">
        <f t="shared" ca="1" si="109"/>
        <v>6.25</v>
      </c>
      <c r="N3198" s="143">
        <f ca="1">(PRODUCT($O$5:$O3198)-1)*36000/_xlfn.DAYS(L3198, $C$2)</f>
        <v>9.7152889357997445</v>
      </c>
      <c r="O3198" s="149">
        <f t="shared" ca="1" si="110"/>
        <v>1.000173611111111</v>
      </c>
    </row>
    <row r="3199" spans="12:15" x14ac:dyDescent="0.25">
      <c r="L3199" s="147">
        <f ca="1"/>
        <v>48438</v>
      </c>
      <c r="M3199" s="92">
        <f t="shared" ca="1" si="109"/>
        <v>6.25</v>
      </c>
      <c r="N3199" s="143">
        <f ca="1">(PRODUCT($O$5:$O3199)-1)*36000/_xlfn.DAYS(L3199, $C$2)</f>
        <v>9.7158904925176373</v>
      </c>
      <c r="O3199" s="149">
        <f t="shared" ca="1" si="110"/>
        <v>1.000173611111111</v>
      </c>
    </row>
    <row r="3200" spans="12:15" x14ac:dyDescent="0.25">
      <c r="L3200" s="147">
        <f ca="1"/>
        <v>48439</v>
      </c>
      <c r="M3200" s="92">
        <f t="shared" ca="1" si="109"/>
        <v>6.25</v>
      </c>
      <c r="N3200" s="143">
        <f ca="1">(PRODUCT($O$5:$O3200)-1)*36000/_xlfn.DAYS(L3200, $C$2)</f>
        <v>9.7164923049441203</v>
      </c>
      <c r="O3200" s="149">
        <f t="shared" ca="1" si="110"/>
        <v>1.000173611111111</v>
      </c>
    </row>
    <row r="3201" spans="12:15" x14ac:dyDescent="0.25">
      <c r="L3201" s="147">
        <f ca="1"/>
        <v>48440</v>
      </c>
      <c r="M3201" s="92">
        <f t="shared" ca="1" si="109"/>
        <v>6.25</v>
      </c>
      <c r="N3201" s="143">
        <f ca="1">(PRODUCT($O$5:$O3201)-1)*36000/_xlfn.DAYS(L3201, $C$2)</f>
        <v>9.7170943729489618</v>
      </c>
      <c r="O3201" s="149">
        <f t="shared" ca="1" si="110"/>
        <v>1.000173611111111</v>
      </c>
    </row>
    <row r="3202" spans="12:15" x14ac:dyDescent="0.25">
      <c r="L3202" s="147">
        <f ca="1"/>
        <v>48441</v>
      </c>
      <c r="M3202" s="92">
        <f t="shared" ca="1" si="109"/>
        <v>6.25</v>
      </c>
      <c r="N3202" s="143">
        <f ca="1">(PRODUCT($O$5:$O3202)-1)*36000/_xlfn.DAYS(L3202, $C$2)</f>
        <v>9.7176966964021023</v>
      </c>
      <c r="O3202" s="149">
        <f t="shared" ca="1" si="110"/>
        <v>1.000173611111111</v>
      </c>
    </row>
    <row r="3203" spans="12:15" x14ac:dyDescent="0.25">
      <c r="L3203" s="147">
        <f ca="1"/>
        <v>48442</v>
      </c>
      <c r="M3203" s="92">
        <f t="shared" ca="1" si="109"/>
        <v>6.25</v>
      </c>
      <c r="N3203" s="143">
        <f ca="1">(PRODUCT($O$5:$O3203)-1)*36000/_xlfn.DAYS(L3203, $C$2)</f>
        <v>9.7182992751736688</v>
      </c>
      <c r="O3203" s="149">
        <f t="shared" ca="1" si="110"/>
        <v>1.000173611111111</v>
      </c>
    </row>
    <row r="3204" spans="12:15" x14ac:dyDescent="0.25">
      <c r="L3204" s="147">
        <f ca="1"/>
        <v>48443</v>
      </c>
      <c r="M3204" s="92">
        <f t="shared" ca="1" si="109"/>
        <v>6.25</v>
      </c>
      <c r="N3204" s="143">
        <f ca="1">(PRODUCT($O$5:$O3204)-1)*36000/_xlfn.DAYS(L3204, $C$2)</f>
        <v>9.7189021091339693</v>
      </c>
      <c r="O3204" s="149">
        <f t="shared" ca="1" si="110"/>
        <v>1.000173611111111</v>
      </c>
    </row>
    <row r="3205" spans="12:15" x14ac:dyDescent="0.25">
      <c r="L3205" s="147">
        <f ca="1"/>
        <v>48444</v>
      </c>
      <c r="M3205" s="92">
        <f t="shared" ref="M3205:M3268" ca="1" si="111">IFERROR(INDEX($E$27:$H$47, MATCH(L3205, $F$27:$F$47, 0), 4), IF(ISNUMBER(M3204), M3204, $C$5))</f>
        <v>6.25</v>
      </c>
      <c r="N3205" s="143">
        <f ca="1">(PRODUCT($O$5:$O3205)-1)*36000/_xlfn.DAYS(L3205, $C$2)</f>
        <v>9.7195051981534899</v>
      </c>
      <c r="O3205" s="149">
        <f t="shared" ca="1" si="110"/>
        <v>1.000173611111111</v>
      </c>
    </row>
    <row r="3206" spans="12:15" x14ac:dyDescent="0.25">
      <c r="L3206" s="147">
        <f ca="1"/>
        <v>48445</v>
      </c>
      <c r="M3206" s="92">
        <f t="shared" ca="1" si="111"/>
        <v>6.25</v>
      </c>
      <c r="N3206" s="143">
        <f ca="1">(PRODUCT($O$5:$O3206)-1)*36000/_xlfn.DAYS(L3206, $C$2)</f>
        <v>9.7201085421029045</v>
      </c>
      <c r="O3206" s="149">
        <f t="shared" ref="O3206:O3269" ca="1" si="112">1+M3206*IFERROR(_xlfn.DAYS(L3206, L3205), _xlfn.DAYS(L3206, $C$2))/36000</f>
        <v>1.000173611111111</v>
      </c>
    </row>
    <row r="3207" spans="12:15" x14ac:dyDescent="0.25">
      <c r="L3207" s="147">
        <f ca="1"/>
        <v>48446</v>
      </c>
      <c r="M3207" s="92">
        <f t="shared" ca="1" si="111"/>
        <v>6.25</v>
      </c>
      <c r="N3207" s="143">
        <f ca="1">(PRODUCT($O$5:$O3207)-1)*36000/_xlfn.DAYS(L3207, $C$2)</f>
        <v>9.7207121408530615</v>
      </c>
      <c r="O3207" s="149">
        <f t="shared" ca="1" si="112"/>
        <v>1.000173611111111</v>
      </c>
    </row>
    <row r="3208" spans="12:15" x14ac:dyDescent="0.25">
      <c r="L3208" s="147">
        <f ca="1"/>
        <v>48447</v>
      </c>
      <c r="M3208" s="92">
        <f t="shared" ca="1" si="111"/>
        <v>6.25</v>
      </c>
      <c r="N3208" s="143">
        <f ca="1">(PRODUCT($O$5:$O3208)-1)*36000/_xlfn.DAYS(L3208, $C$2)</f>
        <v>9.7213159942749865</v>
      </c>
      <c r="O3208" s="149">
        <f t="shared" ca="1" si="112"/>
        <v>1.000173611111111</v>
      </c>
    </row>
    <row r="3209" spans="12:15" x14ac:dyDescent="0.25">
      <c r="L3209" s="147">
        <f ca="1"/>
        <v>48448</v>
      </c>
      <c r="M3209" s="92">
        <f t="shared" ca="1" si="111"/>
        <v>6.25</v>
      </c>
      <c r="N3209" s="143">
        <f ca="1">(PRODUCT($O$5:$O3209)-1)*36000/_xlfn.DAYS(L3209, $C$2)</f>
        <v>9.7219201022398973</v>
      </c>
      <c r="O3209" s="149">
        <f t="shared" ca="1" si="112"/>
        <v>1.000173611111111</v>
      </c>
    </row>
    <row r="3210" spans="12:15" x14ac:dyDescent="0.25">
      <c r="L3210" s="147">
        <f ca="1"/>
        <v>48449</v>
      </c>
      <c r="M3210" s="92">
        <f t="shared" ca="1" si="111"/>
        <v>6.25</v>
      </c>
      <c r="N3210" s="143">
        <f ca="1">(PRODUCT($O$5:$O3210)-1)*36000/_xlfn.DAYS(L3210, $C$2)</f>
        <v>9.7225244646191786</v>
      </c>
      <c r="O3210" s="149">
        <f t="shared" ca="1" si="112"/>
        <v>1.000173611111111</v>
      </c>
    </row>
    <row r="3211" spans="12:15" x14ac:dyDescent="0.25">
      <c r="L3211" s="147">
        <f ca="1"/>
        <v>48450</v>
      </c>
      <c r="M3211" s="92">
        <f t="shared" ca="1" si="111"/>
        <v>6.25</v>
      </c>
      <c r="N3211" s="143">
        <f ca="1">(PRODUCT($O$5:$O3211)-1)*36000/_xlfn.DAYS(L3211, $C$2)</f>
        <v>9.7231290812844016</v>
      </c>
      <c r="O3211" s="149">
        <f t="shared" ca="1" si="112"/>
        <v>1.000173611111111</v>
      </c>
    </row>
    <row r="3212" spans="12:15" x14ac:dyDescent="0.25">
      <c r="L3212" s="147">
        <f ca="1"/>
        <v>48451</v>
      </c>
      <c r="M3212" s="92">
        <f t="shared" ca="1" si="111"/>
        <v>6.25</v>
      </c>
      <c r="N3212" s="143">
        <f ca="1">(PRODUCT($O$5:$O3212)-1)*36000/_xlfn.DAYS(L3212, $C$2)</f>
        <v>9.7237339521073132</v>
      </c>
      <c r="O3212" s="149">
        <f t="shared" ca="1" si="112"/>
        <v>1.000173611111111</v>
      </c>
    </row>
    <row r="3213" spans="12:15" x14ac:dyDescent="0.25">
      <c r="L3213" s="147">
        <f ca="1"/>
        <v>48452</v>
      </c>
      <c r="M3213" s="92">
        <f t="shared" ca="1" si="111"/>
        <v>6.25</v>
      </c>
      <c r="N3213" s="143">
        <f ca="1">(PRODUCT($O$5:$O3213)-1)*36000/_xlfn.DAYS(L3213, $C$2)</f>
        <v>9.7243390769598435</v>
      </c>
      <c r="O3213" s="149">
        <f t="shared" ca="1" si="112"/>
        <v>1.000173611111111</v>
      </c>
    </row>
    <row r="3214" spans="12:15" x14ac:dyDescent="0.25">
      <c r="L3214" s="147">
        <f ca="1"/>
        <v>48453</v>
      </c>
      <c r="M3214" s="92">
        <f t="shared" ca="1" si="111"/>
        <v>6.25</v>
      </c>
      <c r="N3214" s="143">
        <f ca="1">(PRODUCT($O$5:$O3214)-1)*36000/_xlfn.DAYS(L3214, $C$2)</f>
        <v>9.7249444557140983</v>
      </c>
      <c r="O3214" s="149">
        <f t="shared" ca="1" si="112"/>
        <v>1.000173611111111</v>
      </c>
    </row>
    <row r="3215" spans="12:15" x14ac:dyDescent="0.25">
      <c r="L3215" s="147">
        <f ca="1"/>
        <v>48454</v>
      </c>
      <c r="M3215" s="92">
        <f t="shared" ca="1" si="111"/>
        <v>6.25</v>
      </c>
      <c r="N3215" s="143">
        <f ca="1">(PRODUCT($O$5:$O3215)-1)*36000/_xlfn.DAYS(L3215, $C$2)</f>
        <v>9.7255500882423593</v>
      </c>
      <c r="O3215" s="149">
        <f t="shared" ca="1" si="112"/>
        <v>1.000173611111111</v>
      </c>
    </row>
    <row r="3216" spans="12:15" x14ac:dyDescent="0.25">
      <c r="L3216" s="147">
        <f ca="1"/>
        <v>48455</v>
      </c>
      <c r="M3216" s="92">
        <f t="shared" ca="1" si="111"/>
        <v>6.25</v>
      </c>
      <c r="N3216" s="143">
        <f ca="1">(PRODUCT($O$5:$O3216)-1)*36000/_xlfn.DAYS(L3216, $C$2)</f>
        <v>9.7261559744170913</v>
      </c>
      <c r="O3216" s="149">
        <f t="shared" ca="1" si="112"/>
        <v>1.000173611111111</v>
      </c>
    </row>
    <row r="3217" spans="12:15" x14ac:dyDescent="0.25">
      <c r="L3217" s="147">
        <f ca="1"/>
        <v>48456</v>
      </c>
      <c r="M3217" s="92">
        <f t="shared" ca="1" si="111"/>
        <v>6.25</v>
      </c>
      <c r="N3217" s="143">
        <f ca="1">(PRODUCT($O$5:$O3217)-1)*36000/_xlfn.DAYS(L3217, $C$2)</f>
        <v>9.7267621141109313</v>
      </c>
      <c r="O3217" s="149">
        <f t="shared" ca="1" si="112"/>
        <v>1.000173611111111</v>
      </c>
    </row>
    <row r="3218" spans="12:15" x14ac:dyDescent="0.25">
      <c r="L3218" s="147">
        <f ca="1"/>
        <v>48457</v>
      </c>
      <c r="M3218" s="92">
        <f t="shared" ca="1" si="111"/>
        <v>6.25</v>
      </c>
      <c r="N3218" s="143">
        <f ca="1">(PRODUCT($O$5:$O3218)-1)*36000/_xlfn.DAYS(L3218, $C$2)</f>
        <v>9.7273685071966991</v>
      </c>
      <c r="O3218" s="149">
        <f t="shared" ca="1" si="112"/>
        <v>1.000173611111111</v>
      </c>
    </row>
    <row r="3219" spans="12:15" x14ac:dyDescent="0.25">
      <c r="L3219" s="147">
        <f ca="1"/>
        <v>48458</v>
      </c>
      <c r="M3219" s="92">
        <f t="shared" ca="1" si="111"/>
        <v>6.25</v>
      </c>
      <c r="N3219" s="143">
        <f ca="1">(PRODUCT($O$5:$O3219)-1)*36000/_xlfn.DAYS(L3219, $C$2)</f>
        <v>9.7279751535473906</v>
      </c>
      <c r="O3219" s="149">
        <f t="shared" ca="1" si="112"/>
        <v>1.000173611111111</v>
      </c>
    </row>
    <row r="3220" spans="12:15" x14ac:dyDescent="0.25">
      <c r="L3220" s="147">
        <f ca="1"/>
        <v>48459</v>
      </c>
      <c r="M3220" s="92">
        <f t="shared" ca="1" si="111"/>
        <v>6.25</v>
      </c>
      <c r="N3220" s="143">
        <f ca="1">(PRODUCT($O$5:$O3220)-1)*36000/_xlfn.DAYS(L3220, $C$2)</f>
        <v>9.7285820530361775</v>
      </c>
      <c r="O3220" s="149">
        <f t="shared" ca="1" si="112"/>
        <v>1.000173611111111</v>
      </c>
    </row>
    <row r="3221" spans="12:15" x14ac:dyDescent="0.25">
      <c r="L3221" s="147">
        <f ca="1"/>
        <v>48460</v>
      </c>
      <c r="M3221" s="92">
        <f t="shared" ca="1" si="111"/>
        <v>6.25</v>
      </c>
      <c r="N3221" s="143">
        <f ca="1">(PRODUCT($O$5:$O3221)-1)*36000/_xlfn.DAYS(L3221, $C$2)</f>
        <v>9.7291892055364055</v>
      </c>
      <c r="O3221" s="149">
        <f t="shared" ca="1" si="112"/>
        <v>1.000173611111111</v>
      </c>
    </row>
    <row r="3222" spans="12:15" x14ac:dyDescent="0.25">
      <c r="L3222" s="147">
        <f ca="1"/>
        <v>48461</v>
      </c>
      <c r="M3222" s="92">
        <f t="shared" ca="1" si="111"/>
        <v>6.25</v>
      </c>
      <c r="N3222" s="143">
        <f ca="1">(PRODUCT($O$5:$O3222)-1)*36000/_xlfn.DAYS(L3222, $C$2)</f>
        <v>9.7297966109216034</v>
      </c>
      <c r="O3222" s="149">
        <f t="shared" ca="1" si="112"/>
        <v>1.000173611111111</v>
      </c>
    </row>
    <row r="3223" spans="12:15" x14ac:dyDescent="0.25">
      <c r="L3223" s="147">
        <f ca="1"/>
        <v>48462</v>
      </c>
      <c r="M3223" s="92">
        <f t="shared" ca="1" si="111"/>
        <v>6.25</v>
      </c>
      <c r="N3223" s="143">
        <f ca="1">(PRODUCT($O$5:$O3223)-1)*36000/_xlfn.DAYS(L3223, $C$2)</f>
        <v>9.7304042690654704</v>
      </c>
      <c r="O3223" s="149">
        <f t="shared" ca="1" si="112"/>
        <v>1.000173611111111</v>
      </c>
    </row>
    <row r="3224" spans="12:15" x14ac:dyDescent="0.25">
      <c r="L3224" s="147">
        <f ca="1"/>
        <v>48463</v>
      </c>
      <c r="M3224" s="92">
        <f t="shared" ca="1" si="111"/>
        <v>6.25</v>
      </c>
      <c r="N3224" s="143">
        <f ca="1">(PRODUCT($O$5:$O3224)-1)*36000/_xlfn.DAYS(L3224, $C$2)</f>
        <v>9.7310121798418816</v>
      </c>
      <c r="O3224" s="149">
        <f t="shared" ca="1" si="112"/>
        <v>1.000173611111111</v>
      </c>
    </row>
    <row r="3225" spans="12:15" x14ac:dyDescent="0.25">
      <c r="L3225" s="147">
        <f ca="1"/>
        <v>48464</v>
      </c>
      <c r="M3225" s="92">
        <f t="shared" ca="1" si="111"/>
        <v>6.25</v>
      </c>
      <c r="N3225" s="143">
        <f ca="1">(PRODUCT($O$5:$O3225)-1)*36000/_xlfn.DAYS(L3225, $C$2)</f>
        <v>9.7316203431248933</v>
      </c>
      <c r="O3225" s="149">
        <f t="shared" ca="1" si="112"/>
        <v>1.000173611111111</v>
      </c>
    </row>
    <row r="3226" spans="12:15" x14ac:dyDescent="0.25">
      <c r="L3226" s="147">
        <f ca="1"/>
        <v>48465</v>
      </c>
      <c r="M3226" s="92">
        <f t="shared" ca="1" si="111"/>
        <v>6.25</v>
      </c>
      <c r="N3226" s="143">
        <f ca="1">(PRODUCT($O$5:$O3226)-1)*36000/_xlfn.DAYS(L3226, $C$2)</f>
        <v>9.7322287587887306</v>
      </c>
      <c r="O3226" s="149">
        <f t="shared" ca="1" si="112"/>
        <v>1.000173611111111</v>
      </c>
    </row>
    <row r="3227" spans="12:15" x14ac:dyDescent="0.25">
      <c r="L3227" s="147">
        <f ca="1"/>
        <v>48466</v>
      </c>
      <c r="M3227" s="92">
        <f t="shared" ca="1" si="111"/>
        <v>6.25</v>
      </c>
      <c r="N3227" s="143">
        <f ca="1">(PRODUCT($O$5:$O3227)-1)*36000/_xlfn.DAYS(L3227, $C$2)</f>
        <v>9.7328374267077979</v>
      </c>
      <c r="O3227" s="149">
        <f t="shared" ca="1" si="112"/>
        <v>1.000173611111111</v>
      </c>
    </row>
    <row r="3228" spans="12:15" x14ac:dyDescent="0.25">
      <c r="L3228" s="147">
        <f ca="1"/>
        <v>48467</v>
      </c>
      <c r="M3228" s="92">
        <f t="shared" ca="1" si="111"/>
        <v>6.25</v>
      </c>
      <c r="N3228" s="143">
        <f ca="1">(PRODUCT($O$5:$O3228)-1)*36000/_xlfn.DAYS(L3228, $C$2)</f>
        <v>9.7334463467566721</v>
      </c>
      <c r="O3228" s="149">
        <f t="shared" ca="1" si="112"/>
        <v>1.000173611111111</v>
      </c>
    </row>
    <row r="3229" spans="12:15" x14ac:dyDescent="0.25">
      <c r="L3229" s="147">
        <f ca="1"/>
        <v>48468</v>
      </c>
      <c r="M3229" s="92">
        <f t="shared" ca="1" si="111"/>
        <v>6.25</v>
      </c>
      <c r="N3229" s="143">
        <f ca="1">(PRODUCT($O$5:$O3229)-1)*36000/_xlfn.DAYS(L3229, $C$2)</f>
        <v>9.7340555188101057</v>
      </c>
      <c r="O3229" s="149">
        <f t="shared" ca="1" si="112"/>
        <v>1.000173611111111</v>
      </c>
    </row>
    <row r="3230" spans="12:15" x14ac:dyDescent="0.25">
      <c r="L3230" s="147">
        <f ca="1"/>
        <v>48469</v>
      </c>
      <c r="M3230" s="92">
        <f t="shared" ca="1" si="111"/>
        <v>6.25</v>
      </c>
      <c r="N3230" s="143">
        <f ca="1">(PRODUCT($O$5:$O3230)-1)*36000/_xlfn.DAYS(L3230, $C$2)</f>
        <v>9.7346649427430272</v>
      </c>
      <c r="O3230" s="149">
        <f t="shared" ca="1" si="112"/>
        <v>1.000173611111111</v>
      </c>
    </row>
    <row r="3231" spans="12:15" x14ac:dyDescent="0.25">
      <c r="L3231" s="147">
        <f ca="1"/>
        <v>48470</v>
      </c>
      <c r="M3231" s="92">
        <f t="shared" ca="1" si="111"/>
        <v>6.25</v>
      </c>
      <c r="N3231" s="143">
        <f ca="1">(PRODUCT($O$5:$O3231)-1)*36000/_xlfn.DAYS(L3231, $C$2)</f>
        <v>9.7352746184305357</v>
      </c>
      <c r="O3231" s="149">
        <f t="shared" ca="1" si="112"/>
        <v>1.000173611111111</v>
      </c>
    </row>
    <row r="3232" spans="12:15" x14ac:dyDescent="0.25">
      <c r="L3232" s="147">
        <f ca="1"/>
        <v>48471</v>
      </c>
      <c r="M3232" s="92">
        <f t="shared" ca="1" si="111"/>
        <v>6.25</v>
      </c>
      <c r="N3232" s="143">
        <f ca="1">(PRODUCT($O$5:$O3232)-1)*36000/_xlfn.DAYS(L3232, $C$2)</f>
        <v>9.7358845457479042</v>
      </c>
      <c r="O3232" s="149">
        <f t="shared" ca="1" si="112"/>
        <v>1.000173611111111</v>
      </c>
    </row>
    <row r="3233" spans="12:15" x14ac:dyDescent="0.25">
      <c r="L3233" s="147">
        <f ca="1"/>
        <v>48472</v>
      </c>
      <c r="M3233" s="92">
        <f t="shared" ca="1" si="111"/>
        <v>6.25</v>
      </c>
      <c r="N3233" s="143">
        <f ca="1">(PRODUCT($O$5:$O3233)-1)*36000/_xlfn.DAYS(L3233, $C$2)</f>
        <v>9.7364947245705835</v>
      </c>
      <c r="O3233" s="149">
        <f t="shared" ca="1" si="112"/>
        <v>1.000173611111111</v>
      </c>
    </row>
    <row r="3234" spans="12:15" x14ac:dyDescent="0.25">
      <c r="L3234" s="147">
        <f ca="1"/>
        <v>48473</v>
      </c>
      <c r="M3234" s="92">
        <f t="shared" ca="1" si="111"/>
        <v>6.25</v>
      </c>
      <c r="N3234" s="143">
        <f ca="1">(PRODUCT($O$5:$O3234)-1)*36000/_xlfn.DAYS(L3234, $C$2)</f>
        <v>9.7371051547741914</v>
      </c>
      <c r="O3234" s="149">
        <f t="shared" ca="1" si="112"/>
        <v>1.000173611111111</v>
      </c>
    </row>
    <row r="3235" spans="12:15" x14ac:dyDescent="0.25">
      <c r="L3235" s="147">
        <f ca="1"/>
        <v>48474</v>
      </c>
      <c r="M3235" s="92">
        <f t="shared" ca="1" si="111"/>
        <v>6.25</v>
      </c>
      <c r="N3235" s="143">
        <f ca="1">(PRODUCT($O$5:$O3235)-1)*36000/_xlfn.DAYS(L3235, $C$2)</f>
        <v>9.7377158362345213</v>
      </c>
      <c r="O3235" s="149">
        <f t="shared" ca="1" si="112"/>
        <v>1.000173611111111</v>
      </c>
    </row>
    <row r="3236" spans="12:15" x14ac:dyDescent="0.25">
      <c r="L3236" s="147">
        <f ca="1"/>
        <v>48475</v>
      </c>
      <c r="M3236" s="92">
        <f t="shared" ca="1" si="111"/>
        <v>6.25</v>
      </c>
      <c r="N3236" s="143">
        <f ca="1">(PRODUCT($O$5:$O3236)-1)*36000/_xlfn.DAYS(L3236, $C$2)</f>
        <v>9.7383267688275446</v>
      </c>
      <c r="O3236" s="149">
        <f t="shared" ca="1" si="112"/>
        <v>1.000173611111111</v>
      </c>
    </row>
    <row r="3237" spans="12:15" x14ac:dyDescent="0.25">
      <c r="L3237" s="147">
        <f ca="1"/>
        <v>48476</v>
      </c>
      <c r="M3237" s="92">
        <f t="shared" ca="1" si="111"/>
        <v>6.25</v>
      </c>
      <c r="N3237" s="143">
        <f ca="1">(PRODUCT($O$5:$O3237)-1)*36000/_xlfn.DAYS(L3237, $C$2)</f>
        <v>9.7389379524293975</v>
      </c>
      <c r="O3237" s="149">
        <f t="shared" ca="1" si="112"/>
        <v>1.000173611111111</v>
      </c>
    </row>
    <row r="3238" spans="12:15" x14ac:dyDescent="0.25">
      <c r="L3238" s="147">
        <f ca="1"/>
        <v>48477</v>
      </c>
      <c r="M3238" s="92">
        <f t="shared" ca="1" si="111"/>
        <v>6.25</v>
      </c>
      <c r="N3238" s="143">
        <f ca="1">(PRODUCT($O$5:$O3238)-1)*36000/_xlfn.DAYS(L3238, $C$2)</f>
        <v>9.7395493869163889</v>
      </c>
      <c r="O3238" s="149">
        <f t="shared" ca="1" si="112"/>
        <v>1.000173611111111</v>
      </c>
    </row>
    <row r="3239" spans="12:15" x14ac:dyDescent="0.25">
      <c r="L3239" s="147">
        <f ca="1"/>
        <v>48478</v>
      </c>
      <c r="M3239" s="92">
        <f t="shared" ca="1" si="111"/>
        <v>6.25</v>
      </c>
      <c r="N3239" s="143">
        <f ca="1">(PRODUCT($O$5:$O3239)-1)*36000/_xlfn.DAYS(L3239, $C$2)</f>
        <v>9.7401610721650052</v>
      </c>
      <c r="O3239" s="149">
        <f t="shared" ca="1" si="112"/>
        <v>1.000173611111111</v>
      </c>
    </row>
    <row r="3240" spans="12:15" x14ac:dyDescent="0.25">
      <c r="L3240" s="147">
        <f ca="1"/>
        <v>48479</v>
      </c>
      <c r="M3240" s="92">
        <f t="shared" ca="1" si="111"/>
        <v>6.25</v>
      </c>
      <c r="N3240" s="143">
        <f ca="1">(PRODUCT($O$5:$O3240)-1)*36000/_xlfn.DAYS(L3240, $C$2)</f>
        <v>9.7407730080518995</v>
      </c>
      <c r="O3240" s="149">
        <f t="shared" ca="1" si="112"/>
        <v>1.000173611111111</v>
      </c>
    </row>
    <row r="3241" spans="12:15" x14ac:dyDescent="0.25">
      <c r="L3241" s="147">
        <f ca="1"/>
        <v>48480</v>
      </c>
      <c r="M3241" s="92">
        <f t="shared" ca="1" si="111"/>
        <v>6.25</v>
      </c>
      <c r="N3241" s="143">
        <f ca="1">(PRODUCT($O$5:$O3241)-1)*36000/_xlfn.DAYS(L3241, $C$2)</f>
        <v>9.7413851944538994</v>
      </c>
      <c r="O3241" s="149">
        <f t="shared" ca="1" si="112"/>
        <v>1.000173611111111</v>
      </c>
    </row>
    <row r="3242" spans="12:15" x14ac:dyDescent="0.25">
      <c r="L3242" s="147">
        <f ca="1"/>
        <v>48481</v>
      </c>
      <c r="M3242" s="92">
        <f t="shared" ca="1" si="111"/>
        <v>6.25</v>
      </c>
      <c r="N3242" s="143">
        <f ca="1">(PRODUCT($O$5:$O3242)-1)*36000/_xlfn.DAYS(L3242, $C$2)</f>
        <v>9.7419976312480028</v>
      </c>
      <c r="O3242" s="149">
        <f t="shared" ca="1" si="112"/>
        <v>1.000173611111111</v>
      </c>
    </row>
    <row r="3243" spans="12:15" x14ac:dyDescent="0.25">
      <c r="L3243" s="147">
        <f ca="1"/>
        <v>48482</v>
      </c>
      <c r="M3243" s="92">
        <f t="shared" ca="1" si="111"/>
        <v>6.25</v>
      </c>
      <c r="N3243" s="143">
        <f ca="1">(PRODUCT($O$5:$O3243)-1)*36000/_xlfn.DAYS(L3243, $C$2)</f>
        <v>9.742610318311371</v>
      </c>
      <c r="O3243" s="149">
        <f t="shared" ca="1" si="112"/>
        <v>1.000173611111111</v>
      </c>
    </row>
    <row r="3244" spans="12:15" x14ac:dyDescent="0.25">
      <c r="L3244" s="147">
        <f ca="1"/>
        <v>48483</v>
      </c>
      <c r="M3244" s="92">
        <f t="shared" ca="1" si="111"/>
        <v>6.25</v>
      </c>
      <c r="N3244" s="143">
        <f ca="1">(PRODUCT($O$5:$O3244)-1)*36000/_xlfn.DAYS(L3244, $C$2)</f>
        <v>9.7432232555213485</v>
      </c>
      <c r="O3244" s="149">
        <f t="shared" ca="1" si="112"/>
        <v>1.000173611111111</v>
      </c>
    </row>
    <row r="3245" spans="12:15" x14ac:dyDescent="0.25">
      <c r="L3245" s="147">
        <f ca="1"/>
        <v>48484</v>
      </c>
      <c r="M3245" s="92">
        <f t="shared" ca="1" si="111"/>
        <v>6.25</v>
      </c>
      <c r="N3245" s="143">
        <f ca="1">(PRODUCT($O$5:$O3245)-1)*36000/_xlfn.DAYS(L3245, $C$2)</f>
        <v>9.7438364427554447</v>
      </c>
      <c r="O3245" s="149">
        <f t="shared" ca="1" si="112"/>
        <v>1.000173611111111</v>
      </c>
    </row>
    <row r="3246" spans="12:15" x14ac:dyDescent="0.25">
      <c r="L3246" s="147">
        <f ca="1"/>
        <v>48485</v>
      </c>
      <c r="M3246" s="92">
        <f t="shared" ca="1" si="111"/>
        <v>6.25</v>
      </c>
      <c r="N3246" s="143">
        <f ca="1">(PRODUCT($O$5:$O3246)-1)*36000/_xlfn.DAYS(L3246, $C$2)</f>
        <v>9.7444498798913362</v>
      </c>
      <c r="O3246" s="149">
        <f t="shared" ca="1" si="112"/>
        <v>1.000173611111111</v>
      </c>
    </row>
    <row r="3247" spans="12:15" x14ac:dyDescent="0.25">
      <c r="L3247" s="147">
        <f ca="1"/>
        <v>48486</v>
      </c>
      <c r="M3247" s="92">
        <f t="shared" ca="1" si="111"/>
        <v>6.25</v>
      </c>
      <c r="N3247" s="143">
        <f ca="1">(PRODUCT($O$5:$O3247)-1)*36000/_xlfn.DAYS(L3247, $C$2)</f>
        <v>9.7450635668068699</v>
      </c>
      <c r="O3247" s="149">
        <f t="shared" ca="1" si="112"/>
        <v>1.000173611111111</v>
      </c>
    </row>
    <row r="3248" spans="12:15" x14ac:dyDescent="0.25">
      <c r="L3248" s="147">
        <f ca="1"/>
        <v>48487</v>
      </c>
      <c r="M3248" s="92">
        <f t="shared" ca="1" si="111"/>
        <v>6.25</v>
      </c>
      <c r="N3248" s="143">
        <f ca="1">(PRODUCT($O$5:$O3248)-1)*36000/_xlfn.DAYS(L3248, $C$2)</f>
        <v>9.7456775033800689</v>
      </c>
      <c r="O3248" s="149">
        <f t="shared" ca="1" si="112"/>
        <v>1.000173611111111</v>
      </c>
    </row>
    <row r="3249" spans="12:15" x14ac:dyDescent="0.25">
      <c r="L3249" s="147">
        <f ca="1"/>
        <v>48488</v>
      </c>
      <c r="M3249" s="92">
        <f t="shared" ca="1" si="111"/>
        <v>6.25</v>
      </c>
      <c r="N3249" s="143">
        <f ca="1">(PRODUCT($O$5:$O3249)-1)*36000/_xlfn.DAYS(L3249, $C$2)</f>
        <v>9.7462916894891194</v>
      </c>
      <c r="O3249" s="149">
        <f t="shared" ca="1" si="112"/>
        <v>1.000173611111111</v>
      </c>
    </row>
    <row r="3250" spans="12:15" x14ac:dyDescent="0.25">
      <c r="L3250" s="147">
        <f ca="1"/>
        <v>48489</v>
      </c>
      <c r="M3250" s="92">
        <f t="shared" ca="1" si="111"/>
        <v>6.25</v>
      </c>
      <c r="N3250" s="143">
        <f ca="1">(PRODUCT($O$5:$O3250)-1)*36000/_xlfn.DAYS(L3250, $C$2)</f>
        <v>9.7469061250123765</v>
      </c>
      <c r="O3250" s="149">
        <f t="shared" ca="1" si="112"/>
        <v>1.000173611111111</v>
      </c>
    </row>
    <row r="3251" spans="12:15" x14ac:dyDescent="0.25">
      <c r="L3251" s="147">
        <f ca="1"/>
        <v>48490</v>
      </c>
      <c r="M3251" s="92">
        <f t="shared" ca="1" si="111"/>
        <v>6.25</v>
      </c>
      <c r="N3251" s="143">
        <f ca="1">(PRODUCT($O$5:$O3251)-1)*36000/_xlfn.DAYS(L3251, $C$2)</f>
        <v>9.7475208098283641</v>
      </c>
      <c r="O3251" s="149">
        <f t="shared" ca="1" si="112"/>
        <v>1.000173611111111</v>
      </c>
    </row>
    <row r="3252" spans="12:15" x14ac:dyDescent="0.25">
      <c r="L3252" s="147">
        <f ca="1"/>
        <v>48491</v>
      </c>
      <c r="M3252" s="92">
        <f t="shared" ca="1" si="111"/>
        <v>6.25</v>
      </c>
      <c r="N3252" s="143">
        <f ca="1">(PRODUCT($O$5:$O3252)-1)*36000/_xlfn.DAYS(L3252, $C$2)</f>
        <v>9.7481357438157783</v>
      </c>
      <c r="O3252" s="149">
        <f t="shared" ca="1" si="112"/>
        <v>1.000173611111111</v>
      </c>
    </row>
    <row r="3253" spans="12:15" x14ac:dyDescent="0.25">
      <c r="L3253" s="147">
        <f ca="1"/>
        <v>48492</v>
      </c>
      <c r="M3253" s="92">
        <f t="shared" ca="1" si="111"/>
        <v>6.25</v>
      </c>
      <c r="N3253" s="143">
        <f ca="1">(PRODUCT($O$5:$O3253)-1)*36000/_xlfn.DAYS(L3253, $C$2)</f>
        <v>9.7487509268534822</v>
      </c>
      <c r="O3253" s="149">
        <f t="shared" ca="1" si="112"/>
        <v>1.000173611111111</v>
      </c>
    </row>
    <row r="3254" spans="12:15" x14ac:dyDescent="0.25">
      <c r="L3254" s="147">
        <f ca="1"/>
        <v>48493</v>
      </c>
      <c r="M3254" s="92">
        <f t="shared" ca="1" si="111"/>
        <v>6.25</v>
      </c>
      <c r="N3254" s="143">
        <f ca="1">(PRODUCT($O$5:$O3254)-1)*36000/_xlfn.DAYS(L3254, $C$2)</f>
        <v>9.7493663588205024</v>
      </c>
      <c r="O3254" s="149">
        <f t="shared" ca="1" si="112"/>
        <v>1.000173611111111</v>
      </c>
    </row>
    <row r="3255" spans="12:15" x14ac:dyDescent="0.25">
      <c r="L3255" s="147">
        <f ca="1"/>
        <v>48494</v>
      </c>
      <c r="M3255" s="92">
        <f t="shared" ca="1" si="111"/>
        <v>6.25</v>
      </c>
      <c r="N3255" s="143">
        <f ca="1">(PRODUCT($O$5:$O3255)-1)*36000/_xlfn.DAYS(L3255, $C$2)</f>
        <v>9.7499820395960413</v>
      </c>
      <c r="O3255" s="149">
        <f t="shared" ca="1" si="112"/>
        <v>1.000173611111111</v>
      </c>
    </row>
    <row r="3256" spans="12:15" x14ac:dyDescent="0.25">
      <c r="L3256" s="147">
        <f ca="1"/>
        <v>48495</v>
      </c>
      <c r="M3256" s="92">
        <f t="shared" ca="1" si="111"/>
        <v>6.25</v>
      </c>
      <c r="N3256" s="143">
        <f ca="1">(PRODUCT($O$5:$O3256)-1)*36000/_xlfn.DAYS(L3256, $C$2)</f>
        <v>9.7505979690594611</v>
      </c>
      <c r="O3256" s="149">
        <f t="shared" ca="1" si="112"/>
        <v>1.000173611111111</v>
      </c>
    </row>
    <row r="3257" spans="12:15" x14ac:dyDescent="0.25">
      <c r="L3257" s="147">
        <f ca="1"/>
        <v>48496</v>
      </c>
      <c r="M3257" s="92">
        <f t="shared" ca="1" si="111"/>
        <v>6.25</v>
      </c>
      <c r="N3257" s="143">
        <f ca="1">(PRODUCT($O$5:$O3257)-1)*36000/_xlfn.DAYS(L3257, $C$2)</f>
        <v>9.7512141470902929</v>
      </c>
      <c r="O3257" s="149">
        <f t="shared" ca="1" si="112"/>
        <v>1.000173611111111</v>
      </c>
    </row>
    <row r="3258" spans="12:15" x14ac:dyDescent="0.25">
      <c r="L3258" s="147">
        <f ca="1"/>
        <v>48497</v>
      </c>
      <c r="M3258" s="92">
        <f t="shared" ca="1" si="111"/>
        <v>6.25</v>
      </c>
      <c r="N3258" s="143">
        <f ca="1">(PRODUCT($O$5:$O3258)-1)*36000/_xlfn.DAYS(L3258, $C$2)</f>
        <v>9.7518305735682382</v>
      </c>
      <c r="O3258" s="149">
        <f t="shared" ca="1" si="112"/>
        <v>1.000173611111111</v>
      </c>
    </row>
    <row r="3259" spans="12:15" x14ac:dyDescent="0.25">
      <c r="L3259" s="147">
        <f ca="1"/>
        <v>48498</v>
      </c>
      <c r="M3259" s="92">
        <f t="shared" ca="1" si="111"/>
        <v>6.25</v>
      </c>
      <c r="N3259" s="143">
        <f ca="1">(PRODUCT($O$5:$O3259)-1)*36000/_xlfn.DAYS(L3259, $C$2)</f>
        <v>9.7524472483731639</v>
      </c>
      <c r="O3259" s="149">
        <f t="shared" ca="1" si="112"/>
        <v>1.000173611111111</v>
      </c>
    </row>
    <row r="3260" spans="12:15" x14ac:dyDescent="0.25">
      <c r="L3260" s="147">
        <f ca="1"/>
        <v>48499</v>
      </c>
      <c r="M3260" s="92">
        <f t="shared" ca="1" si="111"/>
        <v>6.25</v>
      </c>
      <c r="N3260" s="143">
        <f ca="1">(PRODUCT($O$5:$O3260)-1)*36000/_xlfn.DAYS(L3260, $C$2)</f>
        <v>9.7530641713851036</v>
      </c>
      <c r="O3260" s="149">
        <f t="shared" ca="1" si="112"/>
        <v>1.000173611111111</v>
      </c>
    </row>
    <row r="3261" spans="12:15" x14ac:dyDescent="0.25">
      <c r="L3261" s="147">
        <f ca="1"/>
        <v>48500</v>
      </c>
      <c r="M3261" s="92">
        <f t="shared" ca="1" si="111"/>
        <v>6.25</v>
      </c>
      <c r="N3261" s="143">
        <f ca="1">(PRODUCT($O$5:$O3261)-1)*36000/_xlfn.DAYS(L3261, $C$2)</f>
        <v>9.7536813424842528</v>
      </c>
      <c r="O3261" s="149">
        <f t="shared" ca="1" si="112"/>
        <v>1.000173611111111</v>
      </c>
    </row>
    <row r="3262" spans="12:15" x14ac:dyDescent="0.25">
      <c r="L3262" s="147">
        <f ca="1"/>
        <v>48501</v>
      </c>
      <c r="M3262" s="92">
        <f t="shared" ca="1" si="111"/>
        <v>6.25</v>
      </c>
      <c r="N3262" s="143">
        <f ca="1">(PRODUCT($O$5:$O3262)-1)*36000/_xlfn.DAYS(L3262, $C$2)</f>
        <v>9.7542987615509826</v>
      </c>
      <c r="O3262" s="149">
        <f t="shared" ca="1" si="112"/>
        <v>1.000173611111111</v>
      </c>
    </row>
    <row r="3263" spans="12:15" x14ac:dyDescent="0.25">
      <c r="L3263" s="147">
        <f ca="1"/>
        <v>48502</v>
      </c>
      <c r="M3263" s="92">
        <f t="shared" ca="1" si="111"/>
        <v>6.25</v>
      </c>
      <c r="N3263" s="143">
        <f ca="1">(PRODUCT($O$5:$O3263)-1)*36000/_xlfn.DAYS(L3263, $C$2)</f>
        <v>9.7549164284658154</v>
      </c>
      <c r="O3263" s="149">
        <f t="shared" ca="1" si="112"/>
        <v>1.000173611111111</v>
      </c>
    </row>
    <row r="3264" spans="12:15" x14ac:dyDescent="0.25">
      <c r="L3264" s="147">
        <f ca="1"/>
        <v>48503</v>
      </c>
      <c r="M3264" s="92">
        <f t="shared" ca="1" si="111"/>
        <v>6.25</v>
      </c>
      <c r="N3264" s="143">
        <f ca="1">(PRODUCT($O$5:$O3264)-1)*36000/_xlfn.DAYS(L3264, $C$2)</f>
        <v>9.7555343431094528</v>
      </c>
      <c r="O3264" s="149">
        <f t="shared" ca="1" si="112"/>
        <v>1.000173611111111</v>
      </c>
    </row>
    <row r="3265" spans="12:15" x14ac:dyDescent="0.25">
      <c r="L3265" s="147">
        <f ca="1"/>
        <v>48504</v>
      </c>
      <c r="M3265" s="92">
        <f t="shared" ca="1" si="111"/>
        <v>6.25</v>
      </c>
      <c r="N3265" s="143">
        <f ca="1">(PRODUCT($O$5:$O3265)-1)*36000/_xlfn.DAYS(L3265, $C$2)</f>
        <v>9.7561525053627545</v>
      </c>
      <c r="O3265" s="149">
        <f t="shared" ca="1" si="112"/>
        <v>1.000173611111111</v>
      </c>
    </row>
    <row r="3266" spans="12:15" x14ac:dyDescent="0.25">
      <c r="L3266" s="147">
        <f ca="1"/>
        <v>48505</v>
      </c>
      <c r="M3266" s="92">
        <f t="shared" ca="1" si="111"/>
        <v>6.25</v>
      </c>
      <c r="N3266" s="143">
        <f ca="1">(PRODUCT($O$5:$O3266)-1)*36000/_xlfn.DAYS(L3266, $C$2)</f>
        <v>9.7567709151067472</v>
      </c>
      <c r="O3266" s="149">
        <f t="shared" ca="1" si="112"/>
        <v>1.000173611111111</v>
      </c>
    </row>
    <row r="3267" spans="12:15" x14ac:dyDescent="0.25">
      <c r="L3267" s="147">
        <f ca="1"/>
        <v>48506</v>
      </c>
      <c r="M3267" s="92">
        <f t="shared" ca="1" si="111"/>
        <v>6.25</v>
      </c>
      <c r="N3267" s="143">
        <f ca="1">(PRODUCT($O$5:$O3267)-1)*36000/_xlfn.DAYS(L3267, $C$2)</f>
        <v>9.7573895722226229</v>
      </c>
      <c r="O3267" s="149">
        <f t="shared" ca="1" si="112"/>
        <v>1.000173611111111</v>
      </c>
    </row>
    <row r="3268" spans="12:15" x14ac:dyDescent="0.25">
      <c r="L3268" s="147">
        <f ca="1"/>
        <v>48507</v>
      </c>
      <c r="M3268" s="92">
        <f t="shared" ca="1" si="111"/>
        <v>6.25</v>
      </c>
      <c r="N3268" s="143">
        <f ca="1">(PRODUCT($O$5:$O3268)-1)*36000/_xlfn.DAYS(L3268, $C$2)</f>
        <v>9.758008476591737</v>
      </c>
      <c r="O3268" s="149">
        <f t="shared" ca="1" si="112"/>
        <v>1.000173611111111</v>
      </c>
    </row>
    <row r="3269" spans="12:15" x14ac:dyDescent="0.25">
      <c r="L3269" s="147">
        <f ca="1"/>
        <v>48508</v>
      </c>
      <c r="M3269" s="92">
        <f t="shared" ref="M3269:M3332" ca="1" si="113">IFERROR(INDEX($E$27:$H$47, MATCH(L3269, $F$27:$F$47, 0), 4), IF(ISNUMBER(M3268), M3268, $C$5))</f>
        <v>6.25</v>
      </c>
      <c r="N3269" s="143">
        <f ca="1">(PRODUCT($O$5:$O3269)-1)*36000/_xlfn.DAYS(L3269, $C$2)</f>
        <v>9.7586276280956081</v>
      </c>
      <c r="O3269" s="149">
        <f t="shared" ca="1" si="112"/>
        <v>1.000173611111111</v>
      </c>
    </row>
    <row r="3270" spans="12:15" x14ac:dyDescent="0.25">
      <c r="L3270" s="147">
        <f ca="1"/>
        <v>48509</v>
      </c>
      <c r="M3270" s="92">
        <f t="shared" ca="1" si="113"/>
        <v>6.25</v>
      </c>
      <c r="N3270" s="143">
        <f ca="1">(PRODUCT($O$5:$O3270)-1)*36000/_xlfn.DAYS(L3270, $C$2)</f>
        <v>9.7592470266159221</v>
      </c>
      <c r="O3270" s="149">
        <f t="shared" ref="O3270:O3333" ca="1" si="114">1+M3270*IFERROR(_xlfn.DAYS(L3270, L3269), _xlfn.DAYS(L3270, $C$2))/36000</f>
        <v>1.000173611111111</v>
      </c>
    </row>
    <row r="3271" spans="12:15" x14ac:dyDescent="0.25">
      <c r="L3271" s="147">
        <f ca="1"/>
        <v>48510</v>
      </c>
      <c r="M3271" s="92">
        <f t="shared" ca="1" si="113"/>
        <v>6.25</v>
      </c>
      <c r="N3271" s="143">
        <f ca="1">(PRODUCT($O$5:$O3271)-1)*36000/_xlfn.DAYS(L3271, $C$2)</f>
        <v>9.7598666720345228</v>
      </c>
      <c r="O3271" s="149">
        <f t="shared" ca="1" si="114"/>
        <v>1.000173611111111</v>
      </c>
    </row>
    <row r="3272" spans="12:15" x14ac:dyDescent="0.25">
      <c r="L3272" s="147">
        <f ca="1"/>
        <v>48511</v>
      </c>
      <c r="M3272" s="92">
        <f t="shared" ca="1" si="113"/>
        <v>6.25</v>
      </c>
      <c r="N3272" s="143">
        <f ca="1">(PRODUCT($O$5:$O3272)-1)*36000/_xlfn.DAYS(L3272, $C$2)</f>
        <v>9.7604865642334211</v>
      </c>
      <c r="O3272" s="149">
        <f t="shared" ca="1" si="114"/>
        <v>1.000173611111111</v>
      </c>
    </row>
    <row r="3273" spans="12:15" x14ac:dyDescent="0.25">
      <c r="L3273" s="147">
        <f ca="1"/>
        <v>48512</v>
      </c>
      <c r="M3273" s="92">
        <f t="shared" ca="1" si="113"/>
        <v>6.25</v>
      </c>
      <c r="N3273" s="143">
        <f ca="1">(PRODUCT($O$5:$O3273)-1)*36000/_xlfn.DAYS(L3273, $C$2)</f>
        <v>9.7611067030947929</v>
      </c>
      <c r="O3273" s="149">
        <f t="shared" ca="1" si="114"/>
        <v>1.000173611111111</v>
      </c>
    </row>
    <row r="3274" spans="12:15" x14ac:dyDescent="0.25">
      <c r="L3274" s="147">
        <f ca="1"/>
        <v>48513</v>
      </c>
      <c r="M3274" s="92">
        <f t="shared" ca="1" si="113"/>
        <v>6.25</v>
      </c>
      <c r="N3274" s="143">
        <f ca="1">(PRODUCT($O$5:$O3274)-1)*36000/_xlfn.DAYS(L3274, $C$2)</f>
        <v>9.7617270885009777</v>
      </c>
      <c r="O3274" s="149">
        <f t="shared" ca="1" si="114"/>
        <v>1.000173611111111</v>
      </c>
    </row>
    <row r="3275" spans="12:15" x14ac:dyDescent="0.25">
      <c r="L3275" s="147">
        <f ca="1"/>
        <v>48514</v>
      </c>
      <c r="M3275" s="92">
        <f t="shared" ca="1" si="113"/>
        <v>6.25</v>
      </c>
      <c r="N3275" s="143">
        <f ca="1">(PRODUCT($O$5:$O3275)-1)*36000/_xlfn.DAYS(L3275, $C$2)</f>
        <v>9.7623477203344713</v>
      </c>
      <c r="O3275" s="149">
        <f t="shared" ca="1" si="114"/>
        <v>1.000173611111111</v>
      </c>
    </row>
    <row r="3276" spans="12:15" x14ac:dyDescent="0.25">
      <c r="L3276" s="147">
        <f ca="1"/>
        <v>48515</v>
      </c>
      <c r="M3276" s="92">
        <f t="shared" ca="1" si="113"/>
        <v>6.25</v>
      </c>
      <c r="N3276" s="143">
        <f ca="1">(PRODUCT($O$5:$O3276)-1)*36000/_xlfn.DAYS(L3276, $C$2)</f>
        <v>9.76296859847794</v>
      </c>
      <c r="O3276" s="149">
        <f t="shared" ca="1" si="114"/>
        <v>1.000173611111111</v>
      </c>
    </row>
    <row r="3277" spans="12:15" x14ac:dyDescent="0.25">
      <c r="L3277" s="147">
        <f ca="1"/>
        <v>48516</v>
      </c>
      <c r="M3277" s="92">
        <f t="shared" ca="1" si="113"/>
        <v>6.25</v>
      </c>
      <c r="N3277" s="143">
        <f ca="1">(PRODUCT($O$5:$O3277)-1)*36000/_xlfn.DAYS(L3277, $C$2)</f>
        <v>9.7635897228142063</v>
      </c>
      <c r="O3277" s="149">
        <f t="shared" ca="1" si="114"/>
        <v>1.000173611111111</v>
      </c>
    </row>
    <row r="3278" spans="12:15" x14ac:dyDescent="0.25">
      <c r="L3278" s="147">
        <f ca="1"/>
        <v>48517</v>
      </c>
      <c r="M3278" s="92">
        <f t="shared" ca="1" si="113"/>
        <v>6.25</v>
      </c>
      <c r="N3278" s="143">
        <f ca="1">(PRODUCT($O$5:$O3278)-1)*36000/_xlfn.DAYS(L3278, $C$2)</f>
        <v>9.7642110932262547</v>
      </c>
      <c r="O3278" s="149">
        <f t="shared" ca="1" si="114"/>
        <v>1.000173611111111</v>
      </c>
    </row>
    <row r="3279" spans="12:15" x14ac:dyDescent="0.25">
      <c r="L3279" s="147">
        <f ca="1"/>
        <v>48518</v>
      </c>
      <c r="M3279" s="92">
        <f t="shared" ca="1" si="113"/>
        <v>6.25</v>
      </c>
      <c r="N3279" s="143">
        <f ca="1">(PRODUCT($O$5:$O3279)-1)*36000/_xlfn.DAYS(L3279, $C$2)</f>
        <v>9.7648327095972363</v>
      </c>
      <c r="O3279" s="149">
        <f t="shared" ca="1" si="114"/>
        <v>1.000173611111111</v>
      </c>
    </row>
    <row r="3280" spans="12:15" x14ac:dyDescent="0.25">
      <c r="L3280" s="147">
        <f ca="1"/>
        <v>48519</v>
      </c>
      <c r="M3280" s="92">
        <f t="shared" ca="1" si="113"/>
        <v>6.25</v>
      </c>
      <c r="N3280" s="143">
        <f ca="1">(PRODUCT($O$5:$O3280)-1)*36000/_xlfn.DAYS(L3280, $C$2)</f>
        <v>9.7654545718104604</v>
      </c>
      <c r="O3280" s="149">
        <f t="shared" ca="1" si="114"/>
        <v>1.000173611111111</v>
      </c>
    </row>
    <row r="3281" spans="12:15" x14ac:dyDescent="0.25">
      <c r="L3281" s="147">
        <f ca="1"/>
        <v>48520</v>
      </c>
      <c r="M3281" s="92">
        <f t="shared" ca="1" si="113"/>
        <v>6.25</v>
      </c>
      <c r="N3281" s="143">
        <f ca="1">(PRODUCT($O$5:$O3281)-1)*36000/_xlfn.DAYS(L3281, $C$2)</f>
        <v>9.7660766797493999</v>
      </c>
      <c r="O3281" s="149">
        <f t="shared" ca="1" si="114"/>
        <v>1.000173611111111</v>
      </c>
    </row>
    <row r="3282" spans="12:15" x14ac:dyDescent="0.25">
      <c r="L3282" s="147">
        <f ca="1"/>
        <v>48521</v>
      </c>
      <c r="M3282" s="92">
        <f t="shared" ca="1" si="113"/>
        <v>6.25</v>
      </c>
      <c r="N3282" s="143">
        <f ca="1">(PRODUCT($O$5:$O3282)-1)*36000/_xlfn.DAYS(L3282, $C$2)</f>
        <v>9.7666990332976837</v>
      </c>
      <c r="O3282" s="149">
        <f t="shared" ca="1" si="114"/>
        <v>1.000173611111111</v>
      </c>
    </row>
    <row r="3283" spans="12:15" x14ac:dyDescent="0.25">
      <c r="L3283" s="147">
        <f ca="1"/>
        <v>48522</v>
      </c>
      <c r="M3283" s="92">
        <f t="shared" ca="1" si="113"/>
        <v>6.25</v>
      </c>
      <c r="N3283" s="143">
        <f ca="1">(PRODUCT($O$5:$O3283)-1)*36000/_xlfn.DAYS(L3283, $C$2)</f>
        <v>9.7673216323391081</v>
      </c>
      <c r="O3283" s="149">
        <f t="shared" ca="1" si="114"/>
        <v>1.000173611111111</v>
      </c>
    </row>
    <row r="3284" spans="12:15" x14ac:dyDescent="0.25">
      <c r="L3284" s="147">
        <f ca="1"/>
        <v>48523</v>
      </c>
      <c r="M3284" s="92">
        <f t="shared" ca="1" si="113"/>
        <v>6.25</v>
      </c>
      <c r="N3284" s="143">
        <f ca="1">(PRODUCT($O$5:$O3284)-1)*36000/_xlfn.DAYS(L3284, $C$2)</f>
        <v>9.7679444767576253</v>
      </c>
      <c r="O3284" s="149">
        <f t="shared" ca="1" si="114"/>
        <v>1.000173611111111</v>
      </c>
    </row>
    <row r="3285" spans="12:15" x14ac:dyDescent="0.25">
      <c r="L3285" s="147">
        <f ca="1"/>
        <v>48524</v>
      </c>
      <c r="M3285" s="92">
        <f t="shared" ca="1" si="113"/>
        <v>6.25</v>
      </c>
      <c r="N3285" s="143">
        <f ca="1">(PRODUCT($O$5:$O3285)-1)*36000/_xlfn.DAYS(L3285, $C$2)</f>
        <v>9.7685675664373459</v>
      </c>
      <c r="O3285" s="149">
        <f t="shared" ca="1" si="114"/>
        <v>1.000173611111111</v>
      </c>
    </row>
    <row r="3286" spans="12:15" x14ac:dyDescent="0.25">
      <c r="L3286" s="147">
        <f ca="1"/>
        <v>48525</v>
      </c>
      <c r="M3286" s="92">
        <f t="shared" ca="1" si="113"/>
        <v>6.25</v>
      </c>
      <c r="N3286" s="143">
        <f ca="1">(PRODUCT($O$5:$O3286)-1)*36000/_xlfn.DAYS(L3286, $C$2)</f>
        <v>9.7691909012625491</v>
      </c>
      <c r="O3286" s="149">
        <f t="shared" ca="1" si="114"/>
        <v>1.000173611111111</v>
      </c>
    </row>
    <row r="3287" spans="12:15" x14ac:dyDescent="0.25">
      <c r="L3287" s="147">
        <f ca="1"/>
        <v>48526</v>
      </c>
      <c r="M3287" s="92">
        <f t="shared" ca="1" si="113"/>
        <v>6.25</v>
      </c>
      <c r="N3287" s="143">
        <f ca="1">(PRODUCT($O$5:$O3287)-1)*36000/_xlfn.DAYS(L3287, $C$2)</f>
        <v>9.769814481117665</v>
      </c>
      <c r="O3287" s="149">
        <f t="shared" ca="1" si="114"/>
        <v>1.000173611111111</v>
      </c>
    </row>
    <row r="3288" spans="12:15" x14ac:dyDescent="0.25">
      <c r="L3288" s="147">
        <f ca="1"/>
        <v>48527</v>
      </c>
      <c r="M3288" s="92">
        <f t="shared" ca="1" si="113"/>
        <v>6.25</v>
      </c>
      <c r="N3288" s="143">
        <f ca="1">(PRODUCT($O$5:$O3288)-1)*36000/_xlfn.DAYS(L3288, $C$2)</f>
        <v>9.7704383058872875</v>
      </c>
      <c r="O3288" s="149">
        <f t="shared" ca="1" si="114"/>
        <v>1.000173611111111</v>
      </c>
    </row>
    <row r="3289" spans="12:15" x14ac:dyDescent="0.25">
      <c r="L3289" s="147">
        <f ca="1"/>
        <v>48528</v>
      </c>
      <c r="M3289" s="92">
        <f t="shared" ca="1" si="113"/>
        <v>6.25</v>
      </c>
      <c r="N3289" s="143">
        <f ca="1">(PRODUCT($O$5:$O3289)-1)*36000/_xlfn.DAYS(L3289, $C$2)</f>
        <v>9.7710623754561716</v>
      </c>
      <c r="O3289" s="149">
        <f t="shared" ca="1" si="114"/>
        <v>1.000173611111111</v>
      </c>
    </row>
    <row r="3290" spans="12:15" x14ac:dyDescent="0.25">
      <c r="L3290" s="147">
        <f ca="1"/>
        <v>48529</v>
      </c>
      <c r="M3290" s="92">
        <f t="shared" ca="1" si="113"/>
        <v>6.25</v>
      </c>
      <c r="N3290" s="143">
        <f ca="1">(PRODUCT($O$5:$O3290)-1)*36000/_xlfn.DAYS(L3290, $C$2)</f>
        <v>9.7716866897092292</v>
      </c>
      <c r="O3290" s="149">
        <f t="shared" ca="1" si="114"/>
        <v>1.000173611111111</v>
      </c>
    </row>
    <row r="3291" spans="12:15" x14ac:dyDescent="0.25">
      <c r="L3291" s="147">
        <f ca="1"/>
        <v>48530</v>
      </c>
      <c r="M3291" s="92">
        <f t="shared" ca="1" si="113"/>
        <v>6.25</v>
      </c>
      <c r="N3291" s="143">
        <f ca="1">(PRODUCT($O$5:$O3291)-1)*36000/_xlfn.DAYS(L3291, $C$2)</f>
        <v>9.772311248531528</v>
      </c>
      <c r="O3291" s="149">
        <f t="shared" ca="1" si="114"/>
        <v>1.000173611111111</v>
      </c>
    </row>
    <row r="3292" spans="12:15" x14ac:dyDescent="0.25">
      <c r="L3292" s="147">
        <f ca="1"/>
        <v>48531</v>
      </c>
      <c r="M3292" s="92">
        <f t="shared" ca="1" si="113"/>
        <v>6.25</v>
      </c>
      <c r="N3292" s="143">
        <f ca="1">(PRODUCT($O$5:$O3292)-1)*36000/_xlfn.DAYS(L3292, $C$2)</f>
        <v>9.7729360518082959</v>
      </c>
      <c r="O3292" s="149">
        <f t="shared" ca="1" si="114"/>
        <v>1.000173611111111</v>
      </c>
    </row>
    <row r="3293" spans="12:15" x14ac:dyDescent="0.25">
      <c r="L3293" s="147">
        <f ca="1"/>
        <v>48532</v>
      </c>
      <c r="M3293" s="92">
        <f t="shared" ca="1" si="113"/>
        <v>6.25</v>
      </c>
      <c r="N3293" s="143">
        <f ca="1">(PRODUCT($O$5:$O3293)-1)*36000/_xlfn.DAYS(L3293, $C$2)</f>
        <v>9.7735610994249242</v>
      </c>
      <c r="O3293" s="149">
        <f t="shared" ca="1" si="114"/>
        <v>1.000173611111111</v>
      </c>
    </row>
    <row r="3294" spans="12:15" x14ac:dyDescent="0.25">
      <c r="L3294" s="147">
        <f ca="1"/>
        <v>48533</v>
      </c>
      <c r="M3294" s="92">
        <f t="shared" ca="1" si="113"/>
        <v>6.25</v>
      </c>
      <c r="N3294" s="143">
        <f ca="1">(PRODUCT($O$5:$O3294)-1)*36000/_xlfn.DAYS(L3294, $C$2)</f>
        <v>9.7741863912669604</v>
      </c>
      <c r="O3294" s="149">
        <f t="shared" ca="1" si="114"/>
        <v>1.000173611111111</v>
      </c>
    </row>
    <row r="3295" spans="12:15" x14ac:dyDescent="0.25">
      <c r="L3295" s="147">
        <f ca="1"/>
        <v>48534</v>
      </c>
      <c r="M3295" s="92">
        <f t="shared" ca="1" si="113"/>
        <v>6.25</v>
      </c>
      <c r="N3295" s="143">
        <f ca="1">(PRODUCT($O$5:$O3295)-1)*36000/_xlfn.DAYS(L3295, $C$2)</f>
        <v>9.7748119272201048</v>
      </c>
      <c r="O3295" s="149">
        <f t="shared" ca="1" si="114"/>
        <v>1.000173611111111</v>
      </c>
    </row>
    <row r="3296" spans="12:15" x14ac:dyDescent="0.25">
      <c r="L3296" s="147">
        <f ca="1"/>
        <v>48535</v>
      </c>
      <c r="M3296" s="92">
        <f t="shared" ca="1" si="113"/>
        <v>6.25</v>
      </c>
      <c r="N3296" s="143">
        <f ca="1">(PRODUCT($O$5:$O3296)-1)*36000/_xlfn.DAYS(L3296, $C$2)</f>
        <v>9.7754377071702194</v>
      </c>
      <c r="O3296" s="149">
        <f t="shared" ca="1" si="114"/>
        <v>1.000173611111111</v>
      </c>
    </row>
    <row r="3297" spans="12:15" x14ac:dyDescent="0.25">
      <c r="L3297" s="147">
        <f ca="1"/>
        <v>48536</v>
      </c>
      <c r="M3297" s="92">
        <f t="shared" ca="1" si="113"/>
        <v>6.25</v>
      </c>
      <c r="N3297" s="143">
        <f ca="1">(PRODUCT($O$5:$O3297)-1)*36000/_xlfn.DAYS(L3297, $C$2)</f>
        <v>9.7760637310033207</v>
      </c>
      <c r="O3297" s="149">
        <f t="shared" ca="1" si="114"/>
        <v>1.000173611111111</v>
      </c>
    </row>
    <row r="3298" spans="12:15" x14ac:dyDescent="0.25">
      <c r="L3298" s="147">
        <f ca="1"/>
        <v>48537</v>
      </c>
      <c r="M3298" s="92">
        <f t="shared" ca="1" si="113"/>
        <v>6.25</v>
      </c>
      <c r="N3298" s="143">
        <f ca="1">(PRODUCT($O$5:$O3298)-1)*36000/_xlfn.DAYS(L3298, $C$2)</f>
        <v>9.7766899986055886</v>
      </c>
      <c r="O3298" s="149">
        <f t="shared" ca="1" si="114"/>
        <v>1.000173611111111</v>
      </c>
    </row>
    <row r="3299" spans="12:15" x14ac:dyDescent="0.25">
      <c r="L3299" s="147">
        <f ca="1"/>
        <v>48538</v>
      </c>
      <c r="M3299" s="92">
        <f t="shared" ca="1" si="113"/>
        <v>6.25</v>
      </c>
      <c r="N3299" s="143">
        <f ca="1">(PRODUCT($O$5:$O3299)-1)*36000/_xlfn.DAYS(L3299, $C$2)</f>
        <v>9.7773165098633541</v>
      </c>
      <c r="O3299" s="149">
        <f t="shared" ca="1" si="114"/>
        <v>1.000173611111111</v>
      </c>
    </row>
    <row r="3300" spans="12:15" x14ac:dyDescent="0.25">
      <c r="L3300" s="147">
        <f ca="1"/>
        <v>48539</v>
      </c>
      <c r="M3300" s="92">
        <f t="shared" ca="1" si="113"/>
        <v>6.25</v>
      </c>
      <c r="N3300" s="143">
        <f ca="1">(PRODUCT($O$5:$O3300)-1)*36000/_xlfn.DAYS(L3300, $C$2)</f>
        <v>9.7779432646631097</v>
      </c>
      <c r="O3300" s="149">
        <f t="shared" ca="1" si="114"/>
        <v>1.000173611111111</v>
      </c>
    </row>
    <row r="3301" spans="12:15" x14ac:dyDescent="0.25">
      <c r="L3301" s="147">
        <f ca="1"/>
        <v>48540</v>
      </c>
      <c r="M3301" s="92">
        <f t="shared" ca="1" si="113"/>
        <v>6.25</v>
      </c>
      <c r="N3301" s="143">
        <f ca="1">(PRODUCT($O$5:$O3301)-1)*36000/_xlfn.DAYS(L3301, $C$2)</f>
        <v>9.778570262891499</v>
      </c>
      <c r="O3301" s="149">
        <f t="shared" ca="1" si="114"/>
        <v>1.000173611111111</v>
      </c>
    </row>
    <row r="3302" spans="12:15" x14ac:dyDescent="0.25">
      <c r="L3302" s="147">
        <f ca="1"/>
        <v>48541</v>
      </c>
      <c r="M3302" s="92">
        <f t="shared" ca="1" si="113"/>
        <v>6.25</v>
      </c>
      <c r="N3302" s="143">
        <f ca="1">(PRODUCT($O$5:$O3302)-1)*36000/_xlfn.DAYS(L3302, $C$2)</f>
        <v>9.7791975044353254</v>
      </c>
      <c r="O3302" s="149">
        <f t="shared" ca="1" si="114"/>
        <v>1.000173611111111</v>
      </c>
    </row>
    <row r="3303" spans="12:15" x14ac:dyDescent="0.25">
      <c r="L3303" s="147">
        <f ca="1"/>
        <v>48542</v>
      </c>
      <c r="M3303" s="92">
        <f t="shared" ca="1" si="113"/>
        <v>6.25</v>
      </c>
      <c r="N3303" s="143">
        <f ca="1">(PRODUCT($O$5:$O3303)-1)*36000/_xlfn.DAYS(L3303, $C$2)</f>
        <v>9.779824989181547</v>
      </c>
      <c r="O3303" s="149">
        <f t="shared" ca="1" si="114"/>
        <v>1.000173611111111</v>
      </c>
    </row>
    <row r="3304" spans="12:15" x14ac:dyDescent="0.25">
      <c r="L3304" s="147">
        <f ca="1"/>
        <v>48543</v>
      </c>
      <c r="M3304" s="92">
        <f t="shared" ca="1" si="113"/>
        <v>6.25</v>
      </c>
      <c r="N3304" s="143">
        <f ca="1">(PRODUCT($O$5:$O3304)-1)*36000/_xlfn.DAYS(L3304, $C$2)</f>
        <v>9.7804527170172797</v>
      </c>
      <c r="O3304" s="149">
        <f t="shared" ca="1" si="114"/>
        <v>1.000173611111111</v>
      </c>
    </row>
    <row r="3305" spans="12:15" x14ac:dyDescent="0.25">
      <c r="L3305" s="147">
        <f ca="1"/>
        <v>48544</v>
      </c>
      <c r="M3305" s="92">
        <f t="shared" ca="1" si="113"/>
        <v>6.25</v>
      </c>
      <c r="N3305" s="143">
        <f ca="1">(PRODUCT($O$5:$O3305)-1)*36000/_xlfn.DAYS(L3305, $C$2)</f>
        <v>9.7810806878297925</v>
      </c>
      <c r="O3305" s="149">
        <f t="shared" ca="1" si="114"/>
        <v>1.000173611111111</v>
      </c>
    </row>
    <row r="3306" spans="12:15" x14ac:dyDescent="0.25">
      <c r="L3306" s="147">
        <f ca="1"/>
        <v>48545</v>
      </c>
      <c r="M3306" s="92">
        <f t="shared" ca="1" si="113"/>
        <v>6.25</v>
      </c>
      <c r="N3306" s="143">
        <f ca="1">(PRODUCT($O$5:$O3306)-1)*36000/_xlfn.DAYS(L3306, $C$2)</f>
        <v>9.7817089015065086</v>
      </c>
      <c r="O3306" s="149">
        <f t="shared" ca="1" si="114"/>
        <v>1.000173611111111</v>
      </c>
    </row>
    <row r="3307" spans="12:15" x14ac:dyDescent="0.25">
      <c r="L3307" s="147">
        <f ca="1"/>
        <v>48546</v>
      </c>
      <c r="M3307" s="92">
        <f t="shared" ca="1" si="113"/>
        <v>6.25</v>
      </c>
      <c r="N3307" s="143">
        <f ca="1">(PRODUCT($O$5:$O3307)-1)*36000/_xlfn.DAYS(L3307, $C$2)</f>
        <v>9.7823373579350115</v>
      </c>
      <c r="O3307" s="149">
        <f t="shared" ca="1" si="114"/>
        <v>1.000173611111111</v>
      </c>
    </row>
    <row r="3308" spans="12:15" x14ac:dyDescent="0.25">
      <c r="L3308" s="147">
        <f ca="1"/>
        <v>48547</v>
      </c>
      <c r="M3308" s="92">
        <f t="shared" ca="1" si="113"/>
        <v>6.25</v>
      </c>
      <c r="N3308" s="143">
        <f ca="1">(PRODUCT($O$5:$O3308)-1)*36000/_xlfn.DAYS(L3308, $C$2)</f>
        <v>9.7829660570030352</v>
      </c>
      <c r="O3308" s="149">
        <f t="shared" ca="1" si="114"/>
        <v>1.000173611111111</v>
      </c>
    </row>
    <row r="3309" spans="12:15" x14ac:dyDescent="0.25">
      <c r="L3309" s="147">
        <f ca="1"/>
        <v>48548</v>
      </c>
      <c r="M3309" s="92">
        <f t="shared" ca="1" si="113"/>
        <v>6.25</v>
      </c>
      <c r="N3309" s="143">
        <f ca="1">(PRODUCT($O$5:$O3309)-1)*36000/_xlfn.DAYS(L3309, $C$2)</f>
        <v>9.7835949985984687</v>
      </c>
      <c r="O3309" s="149">
        <f t="shared" ca="1" si="114"/>
        <v>1.000173611111111</v>
      </c>
    </row>
    <row r="3310" spans="12:15" x14ac:dyDescent="0.25">
      <c r="L3310" s="147">
        <f ca="1"/>
        <v>48549</v>
      </c>
      <c r="M3310" s="92">
        <f t="shared" ca="1" si="113"/>
        <v>6.25</v>
      </c>
      <c r="N3310" s="143">
        <f ca="1">(PRODUCT($O$5:$O3310)-1)*36000/_xlfn.DAYS(L3310, $C$2)</f>
        <v>9.7842241826093588</v>
      </c>
      <c r="O3310" s="149">
        <f t="shared" ca="1" si="114"/>
        <v>1.000173611111111</v>
      </c>
    </row>
    <row r="3311" spans="12:15" x14ac:dyDescent="0.25">
      <c r="L3311" s="147">
        <f ca="1"/>
        <v>48550</v>
      </c>
      <c r="M3311" s="92">
        <f t="shared" ca="1" si="113"/>
        <v>6.25</v>
      </c>
      <c r="N3311" s="143">
        <f ca="1">(PRODUCT($O$5:$O3311)-1)*36000/_xlfn.DAYS(L3311, $C$2)</f>
        <v>9.7848536089239015</v>
      </c>
      <c r="O3311" s="149">
        <f t="shared" ca="1" si="114"/>
        <v>1.000173611111111</v>
      </c>
    </row>
    <row r="3312" spans="12:15" x14ac:dyDescent="0.25">
      <c r="L3312" s="147">
        <f ca="1"/>
        <v>48551</v>
      </c>
      <c r="M3312" s="92">
        <f t="shared" ca="1" si="113"/>
        <v>6.25</v>
      </c>
      <c r="N3312" s="143">
        <f ca="1">(PRODUCT($O$5:$O3312)-1)*36000/_xlfn.DAYS(L3312, $C$2)</f>
        <v>9.7854832774304512</v>
      </c>
      <c r="O3312" s="149">
        <f t="shared" ca="1" si="114"/>
        <v>1.000173611111111</v>
      </c>
    </row>
    <row r="3313" spans="12:15" x14ac:dyDescent="0.25">
      <c r="L3313" s="147">
        <f ca="1"/>
        <v>48552</v>
      </c>
      <c r="M3313" s="92">
        <f t="shared" ca="1" si="113"/>
        <v>6.25</v>
      </c>
      <c r="N3313" s="143">
        <f ca="1">(PRODUCT($O$5:$O3313)-1)*36000/_xlfn.DAYS(L3313, $C$2)</f>
        <v>9.7861131880175147</v>
      </c>
      <c r="O3313" s="149">
        <f t="shared" ca="1" si="114"/>
        <v>1.000173611111111</v>
      </c>
    </row>
    <row r="3314" spans="12:15" x14ac:dyDescent="0.25">
      <c r="L3314" s="147">
        <f ca="1"/>
        <v>48553</v>
      </c>
      <c r="M3314" s="92">
        <f t="shared" ca="1" si="113"/>
        <v>6.25</v>
      </c>
      <c r="N3314" s="143">
        <f ca="1">(PRODUCT($O$5:$O3314)-1)*36000/_xlfn.DAYS(L3314, $C$2)</f>
        <v>9.7867433405737483</v>
      </c>
      <c r="O3314" s="149">
        <f t="shared" ca="1" si="114"/>
        <v>1.000173611111111</v>
      </c>
    </row>
    <row r="3315" spans="12:15" x14ac:dyDescent="0.25">
      <c r="L3315" s="147">
        <f ca="1"/>
        <v>48554</v>
      </c>
      <c r="M3315" s="92">
        <f t="shared" ca="1" si="113"/>
        <v>6.25</v>
      </c>
      <c r="N3315" s="143">
        <f ca="1">(PRODUCT($O$5:$O3315)-1)*36000/_xlfn.DAYS(L3315, $C$2)</f>
        <v>9.7873737349879679</v>
      </c>
      <c r="O3315" s="149">
        <f t="shared" ca="1" si="114"/>
        <v>1.000173611111111</v>
      </c>
    </row>
    <row r="3316" spans="12:15" x14ac:dyDescent="0.25">
      <c r="L3316" s="147">
        <f ca="1"/>
        <v>48555</v>
      </c>
      <c r="M3316" s="92">
        <f t="shared" ca="1" si="113"/>
        <v>6.25</v>
      </c>
      <c r="N3316" s="143">
        <f ca="1">(PRODUCT($O$5:$O3316)-1)*36000/_xlfn.DAYS(L3316, $C$2)</f>
        <v>9.7880043711491389</v>
      </c>
      <c r="O3316" s="149">
        <f t="shared" ca="1" si="114"/>
        <v>1.000173611111111</v>
      </c>
    </row>
    <row r="3317" spans="12:15" x14ac:dyDescent="0.25">
      <c r="L3317" s="147">
        <f ca="1"/>
        <v>48556</v>
      </c>
      <c r="M3317" s="92">
        <f t="shared" ca="1" si="113"/>
        <v>6.25</v>
      </c>
      <c r="N3317" s="143">
        <f ca="1">(PRODUCT($O$5:$O3317)-1)*36000/_xlfn.DAYS(L3317, $C$2)</f>
        <v>9.7886352489463775</v>
      </c>
      <c r="O3317" s="149">
        <f t="shared" ca="1" si="114"/>
        <v>1.000173611111111</v>
      </c>
    </row>
    <row r="3318" spans="12:15" x14ac:dyDescent="0.25">
      <c r="L3318" s="147">
        <f ca="1"/>
        <v>48557</v>
      </c>
      <c r="M3318" s="92">
        <f t="shared" ca="1" si="113"/>
        <v>6.25</v>
      </c>
      <c r="N3318" s="143">
        <f ca="1">(PRODUCT($O$5:$O3318)-1)*36000/_xlfn.DAYS(L3318, $C$2)</f>
        <v>9.789266368268958</v>
      </c>
      <c r="O3318" s="149">
        <f t="shared" ca="1" si="114"/>
        <v>1.000173611111111</v>
      </c>
    </row>
    <row r="3319" spans="12:15" x14ac:dyDescent="0.25">
      <c r="L3319" s="147">
        <f ca="1"/>
        <v>48558</v>
      </c>
      <c r="M3319" s="92">
        <f t="shared" ca="1" si="113"/>
        <v>6.25</v>
      </c>
      <c r="N3319" s="143">
        <f ca="1">(PRODUCT($O$5:$O3319)-1)*36000/_xlfn.DAYS(L3319, $C$2)</f>
        <v>9.7898977290063041</v>
      </c>
      <c r="O3319" s="149">
        <f t="shared" ca="1" si="114"/>
        <v>1.000173611111111</v>
      </c>
    </row>
    <row r="3320" spans="12:15" x14ac:dyDescent="0.25">
      <c r="L3320" s="147">
        <f ca="1"/>
        <v>48559</v>
      </c>
      <c r="M3320" s="92">
        <f t="shared" ca="1" si="113"/>
        <v>6.25</v>
      </c>
      <c r="N3320" s="143">
        <f ca="1">(PRODUCT($O$5:$O3320)-1)*36000/_xlfn.DAYS(L3320, $C$2)</f>
        <v>9.7905293310479919</v>
      </c>
      <c r="O3320" s="149">
        <f t="shared" ca="1" si="114"/>
        <v>1.000173611111111</v>
      </c>
    </row>
    <row r="3321" spans="12:15" x14ac:dyDescent="0.25">
      <c r="L3321" s="147">
        <f ca="1"/>
        <v>48560</v>
      </c>
      <c r="M3321" s="92">
        <f t="shared" ca="1" si="113"/>
        <v>6.25</v>
      </c>
      <c r="N3321" s="143">
        <f ca="1">(PRODUCT($O$5:$O3321)-1)*36000/_xlfn.DAYS(L3321, $C$2)</f>
        <v>9.7911611742837472</v>
      </c>
      <c r="O3321" s="149">
        <f t="shared" ca="1" si="114"/>
        <v>1.000173611111111</v>
      </c>
    </row>
    <row r="3322" spans="12:15" x14ac:dyDescent="0.25">
      <c r="L3322" s="147">
        <f ca="1"/>
        <v>48561</v>
      </c>
      <c r="M3322" s="92">
        <f t="shared" ca="1" si="113"/>
        <v>6.25</v>
      </c>
      <c r="N3322" s="143">
        <f ca="1">(PRODUCT($O$5:$O3322)-1)*36000/_xlfn.DAYS(L3322, $C$2)</f>
        <v>9.79179325860345</v>
      </c>
      <c r="O3322" s="149">
        <f t="shared" ca="1" si="114"/>
        <v>1.000173611111111</v>
      </c>
    </row>
    <row r="3323" spans="12:15" x14ac:dyDescent="0.25">
      <c r="L3323" s="147">
        <f ca="1"/>
        <v>48562</v>
      </c>
      <c r="M3323" s="92">
        <f t="shared" ca="1" si="113"/>
        <v>6.25</v>
      </c>
      <c r="N3323" s="143">
        <f ca="1">(PRODUCT($O$5:$O3323)-1)*36000/_xlfn.DAYS(L3323, $C$2)</f>
        <v>9.7924255838971348</v>
      </c>
      <c r="O3323" s="149">
        <f t="shared" ca="1" si="114"/>
        <v>1.000173611111111</v>
      </c>
    </row>
    <row r="3324" spans="12:15" x14ac:dyDescent="0.25">
      <c r="L3324" s="147">
        <f ca="1"/>
        <v>48563</v>
      </c>
      <c r="M3324" s="92">
        <f t="shared" ca="1" si="113"/>
        <v>6.25</v>
      </c>
      <c r="N3324" s="143">
        <f ca="1">(PRODUCT($O$5:$O3324)-1)*36000/_xlfn.DAYS(L3324, $C$2)</f>
        <v>9.7930581500549767</v>
      </c>
      <c r="O3324" s="149">
        <f t="shared" ca="1" si="114"/>
        <v>1.000173611111111</v>
      </c>
    </row>
    <row r="3325" spans="12:15" x14ac:dyDescent="0.25">
      <c r="L3325" s="147">
        <f ca="1"/>
        <v>48564</v>
      </c>
      <c r="M3325" s="92">
        <f t="shared" ca="1" si="113"/>
        <v>6.25</v>
      </c>
      <c r="N3325" s="143">
        <f ca="1">(PRODUCT($O$5:$O3325)-1)*36000/_xlfn.DAYS(L3325, $C$2)</f>
        <v>9.7936909569673141</v>
      </c>
      <c r="O3325" s="149">
        <f t="shared" ca="1" si="114"/>
        <v>1.000173611111111</v>
      </c>
    </row>
    <row r="3326" spans="12:15" x14ac:dyDescent="0.25">
      <c r="L3326" s="147">
        <f ca="1"/>
        <v>48565</v>
      </c>
      <c r="M3326" s="92">
        <f t="shared" ca="1" si="113"/>
        <v>6.25</v>
      </c>
      <c r="N3326" s="143">
        <f ca="1">(PRODUCT($O$5:$O3326)-1)*36000/_xlfn.DAYS(L3326, $C$2)</f>
        <v>9.7943240045246291</v>
      </c>
      <c r="O3326" s="149">
        <f t="shared" ca="1" si="114"/>
        <v>1.000173611111111</v>
      </c>
    </row>
    <row r="3327" spans="12:15" x14ac:dyDescent="0.25">
      <c r="L3327" s="147">
        <f ca="1"/>
        <v>48566</v>
      </c>
      <c r="M3327" s="92">
        <f t="shared" ca="1" si="113"/>
        <v>6.25</v>
      </c>
      <c r="N3327" s="143">
        <f ca="1">(PRODUCT($O$5:$O3327)-1)*36000/_xlfn.DAYS(L3327, $C$2)</f>
        <v>9.7949572926175588</v>
      </c>
      <c r="O3327" s="149">
        <f t="shared" ca="1" si="114"/>
        <v>1.000173611111111</v>
      </c>
    </row>
    <row r="3328" spans="12:15" x14ac:dyDescent="0.25">
      <c r="L3328" s="147">
        <f ca="1"/>
        <v>48567</v>
      </c>
      <c r="M3328" s="92">
        <f t="shared" ca="1" si="113"/>
        <v>6.25</v>
      </c>
      <c r="N3328" s="143">
        <f ca="1">(PRODUCT($O$5:$O3328)-1)*36000/_xlfn.DAYS(L3328, $C$2)</f>
        <v>9.7955908211368854</v>
      </c>
      <c r="O3328" s="149">
        <f t="shared" ca="1" si="114"/>
        <v>1.000173611111111</v>
      </c>
    </row>
    <row r="3329" spans="12:15" x14ac:dyDescent="0.25">
      <c r="L3329" s="147">
        <f ca="1"/>
        <v>48568</v>
      </c>
      <c r="M3329" s="92">
        <f t="shared" ca="1" si="113"/>
        <v>6.25</v>
      </c>
      <c r="N3329" s="143">
        <f ca="1">(PRODUCT($O$5:$O3329)-1)*36000/_xlfn.DAYS(L3329, $C$2)</f>
        <v>9.7962245899735425</v>
      </c>
      <c r="O3329" s="149">
        <f t="shared" ca="1" si="114"/>
        <v>1.000173611111111</v>
      </c>
    </row>
    <row r="3330" spans="12:15" x14ac:dyDescent="0.25">
      <c r="L3330" s="147">
        <f ca="1"/>
        <v>48569</v>
      </c>
      <c r="M3330" s="92">
        <f t="shared" ca="1" si="113"/>
        <v>6.25</v>
      </c>
      <c r="N3330" s="143">
        <f ca="1">(PRODUCT($O$5:$O3330)-1)*36000/_xlfn.DAYS(L3330, $C$2)</f>
        <v>9.7968585990186181</v>
      </c>
      <c r="O3330" s="149">
        <f t="shared" ca="1" si="114"/>
        <v>1.000173611111111</v>
      </c>
    </row>
    <row r="3331" spans="12:15" x14ac:dyDescent="0.25">
      <c r="L3331" s="147">
        <f ca="1"/>
        <v>48570</v>
      </c>
      <c r="M3331" s="92">
        <f t="shared" ca="1" si="113"/>
        <v>6.25</v>
      </c>
      <c r="N3331" s="143">
        <f ca="1">(PRODUCT($O$5:$O3331)-1)*36000/_xlfn.DAYS(L3331, $C$2)</f>
        <v>9.7974928481633459</v>
      </c>
      <c r="O3331" s="149">
        <f t="shared" ca="1" si="114"/>
        <v>1.000173611111111</v>
      </c>
    </row>
    <row r="3332" spans="12:15" x14ac:dyDescent="0.25">
      <c r="L3332" s="147">
        <f ca="1"/>
        <v>48571</v>
      </c>
      <c r="M3332" s="92">
        <f t="shared" ca="1" si="113"/>
        <v>6.25</v>
      </c>
      <c r="N3332" s="143">
        <f ca="1">(PRODUCT($O$5:$O3332)-1)*36000/_xlfn.DAYS(L3332, $C$2)</f>
        <v>9.7981273372991069</v>
      </c>
      <c r="O3332" s="149">
        <f t="shared" ca="1" si="114"/>
        <v>1.000173611111111</v>
      </c>
    </row>
    <row r="3333" spans="12:15" x14ac:dyDescent="0.25">
      <c r="L3333" s="147">
        <f ca="1"/>
        <v>48572</v>
      </c>
      <c r="M3333" s="92">
        <f t="shared" ref="M3333:M3396" ca="1" si="115">IFERROR(INDEX($E$27:$H$47, MATCH(L3333, $F$27:$F$47, 0), 4), IF(ISNUMBER(M3332), M3332, $C$5))</f>
        <v>6.25</v>
      </c>
      <c r="N3333" s="143">
        <f ca="1">(PRODUCT($O$5:$O3333)-1)*36000/_xlfn.DAYS(L3333, $C$2)</f>
        <v>9.7987620663174368</v>
      </c>
      <c r="O3333" s="149">
        <f t="shared" ca="1" si="114"/>
        <v>1.000173611111111</v>
      </c>
    </row>
    <row r="3334" spans="12:15" x14ac:dyDescent="0.25">
      <c r="L3334" s="147">
        <f ca="1"/>
        <v>48573</v>
      </c>
      <c r="M3334" s="92">
        <f t="shared" ca="1" si="115"/>
        <v>6.25</v>
      </c>
      <c r="N3334" s="143">
        <f ca="1">(PRODUCT($O$5:$O3334)-1)*36000/_xlfn.DAYS(L3334, $C$2)</f>
        <v>9.7993970351100188</v>
      </c>
      <c r="O3334" s="149">
        <f t="shared" ref="O3334:O3397" ca="1" si="116">1+M3334*IFERROR(_xlfn.DAYS(L3334, L3333), _xlfn.DAYS(L3334, $C$2))/36000</f>
        <v>1.000173611111111</v>
      </c>
    </row>
    <row r="3335" spans="12:15" x14ac:dyDescent="0.25">
      <c r="L3335" s="147">
        <f ca="1"/>
        <v>48574</v>
      </c>
      <c r="M3335" s="92">
        <f t="shared" ca="1" si="115"/>
        <v>6.25</v>
      </c>
      <c r="N3335" s="143">
        <f ca="1">(PRODUCT($O$5:$O3335)-1)*36000/_xlfn.DAYS(L3335, $C$2)</f>
        <v>9.8000322435686833</v>
      </c>
      <c r="O3335" s="149">
        <f t="shared" ca="1" si="116"/>
        <v>1.000173611111111</v>
      </c>
    </row>
    <row r="3336" spans="12:15" x14ac:dyDescent="0.25">
      <c r="L3336" s="147">
        <f ca="1"/>
        <v>48575</v>
      </c>
      <c r="M3336" s="92">
        <f t="shared" ca="1" si="115"/>
        <v>6.25</v>
      </c>
      <c r="N3336" s="143">
        <f ca="1">(PRODUCT($O$5:$O3336)-1)*36000/_xlfn.DAYS(L3336, $C$2)</f>
        <v>9.8006676915854083</v>
      </c>
      <c r="O3336" s="149">
        <f t="shared" ca="1" si="116"/>
        <v>1.000173611111111</v>
      </c>
    </row>
    <row r="3337" spans="12:15" x14ac:dyDescent="0.25">
      <c r="L3337" s="147">
        <f ca="1"/>
        <v>48576</v>
      </c>
      <c r="M3337" s="92">
        <f t="shared" ca="1" si="115"/>
        <v>6.25</v>
      </c>
      <c r="N3337" s="143">
        <f ca="1">(PRODUCT($O$5:$O3337)-1)*36000/_xlfn.DAYS(L3337, $C$2)</f>
        <v>9.801303379052321</v>
      </c>
      <c r="O3337" s="149">
        <f t="shared" ca="1" si="116"/>
        <v>1.000173611111111</v>
      </c>
    </row>
    <row r="3338" spans="12:15" x14ac:dyDescent="0.25">
      <c r="L3338" s="147">
        <f ca="1"/>
        <v>48577</v>
      </c>
      <c r="M3338" s="92">
        <f t="shared" ca="1" si="115"/>
        <v>6.25</v>
      </c>
      <c r="N3338" s="143">
        <f ca="1">(PRODUCT($O$5:$O3338)-1)*36000/_xlfn.DAYS(L3338, $C$2)</f>
        <v>9.8019393058616995</v>
      </c>
      <c r="O3338" s="149">
        <f t="shared" ca="1" si="116"/>
        <v>1.000173611111111</v>
      </c>
    </row>
    <row r="3339" spans="12:15" x14ac:dyDescent="0.25">
      <c r="L3339" s="147">
        <f ca="1"/>
        <v>48578</v>
      </c>
      <c r="M3339" s="92">
        <f t="shared" ca="1" si="115"/>
        <v>6.25</v>
      </c>
      <c r="N3339" s="143">
        <f ca="1">(PRODUCT($O$5:$O3339)-1)*36000/_xlfn.DAYS(L3339, $C$2)</f>
        <v>9.8025754719059641</v>
      </c>
      <c r="O3339" s="149">
        <f t="shared" ca="1" si="116"/>
        <v>1.000173611111111</v>
      </c>
    </row>
    <row r="3340" spans="12:15" x14ac:dyDescent="0.25">
      <c r="L3340" s="147">
        <f ca="1"/>
        <v>48579</v>
      </c>
      <c r="M3340" s="92">
        <f t="shared" ca="1" si="115"/>
        <v>6.25</v>
      </c>
      <c r="N3340" s="143">
        <f ca="1">(PRODUCT($O$5:$O3340)-1)*36000/_xlfn.DAYS(L3340, $C$2)</f>
        <v>9.8032118770776915</v>
      </c>
      <c r="O3340" s="149">
        <f t="shared" ca="1" si="116"/>
        <v>1.000173611111111</v>
      </c>
    </row>
    <row r="3341" spans="12:15" x14ac:dyDescent="0.25">
      <c r="L3341" s="147">
        <f ca="1"/>
        <v>48580</v>
      </c>
      <c r="M3341" s="92">
        <f t="shared" ca="1" si="115"/>
        <v>6.25</v>
      </c>
      <c r="N3341" s="143">
        <f ca="1">(PRODUCT($O$5:$O3341)-1)*36000/_xlfn.DAYS(L3341, $C$2)</f>
        <v>9.8038485212695985</v>
      </c>
      <c r="O3341" s="149">
        <f t="shared" ca="1" si="116"/>
        <v>1.000173611111111</v>
      </c>
    </row>
    <row r="3342" spans="12:15" x14ac:dyDescent="0.25">
      <c r="L3342" s="147">
        <f ca="1"/>
        <v>48581</v>
      </c>
      <c r="M3342" s="92">
        <f t="shared" ca="1" si="115"/>
        <v>6.25</v>
      </c>
      <c r="N3342" s="143">
        <f ca="1">(PRODUCT($O$5:$O3342)-1)*36000/_xlfn.DAYS(L3342, $C$2)</f>
        <v>9.8044854043745495</v>
      </c>
      <c r="O3342" s="149">
        <f t="shared" ca="1" si="116"/>
        <v>1.000173611111111</v>
      </c>
    </row>
    <row r="3343" spans="12:15" x14ac:dyDescent="0.25">
      <c r="L3343" s="147">
        <f ca="1"/>
        <v>48582</v>
      </c>
      <c r="M3343" s="92">
        <f t="shared" ca="1" si="115"/>
        <v>6.25</v>
      </c>
      <c r="N3343" s="143">
        <f ca="1">(PRODUCT($O$5:$O3343)-1)*36000/_xlfn.DAYS(L3343, $C$2)</f>
        <v>9.8051225262855599</v>
      </c>
      <c r="O3343" s="149">
        <f t="shared" ca="1" si="116"/>
        <v>1.000173611111111</v>
      </c>
    </row>
    <row r="3344" spans="12:15" x14ac:dyDescent="0.25">
      <c r="L3344" s="147">
        <f ca="1"/>
        <v>48583</v>
      </c>
      <c r="M3344" s="92">
        <f t="shared" ca="1" si="115"/>
        <v>6.25</v>
      </c>
      <c r="N3344" s="143">
        <f ca="1">(PRODUCT($O$5:$O3344)-1)*36000/_xlfn.DAYS(L3344, $C$2)</f>
        <v>9.8057598868957889</v>
      </c>
      <c r="O3344" s="149">
        <f t="shared" ca="1" si="116"/>
        <v>1.000173611111111</v>
      </c>
    </row>
    <row r="3345" spans="12:15" x14ac:dyDescent="0.25">
      <c r="L3345" s="147">
        <f ca="1"/>
        <v>48584</v>
      </c>
      <c r="M3345" s="92">
        <f t="shared" ca="1" si="115"/>
        <v>6.25</v>
      </c>
      <c r="N3345" s="143">
        <f ca="1">(PRODUCT($O$5:$O3345)-1)*36000/_xlfn.DAYS(L3345, $C$2)</f>
        <v>9.8063974860985414</v>
      </c>
      <c r="O3345" s="149">
        <f t="shared" ca="1" si="116"/>
        <v>1.000173611111111</v>
      </c>
    </row>
    <row r="3346" spans="12:15" x14ac:dyDescent="0.25">
      <c r="L3346" s="147">
        <f ca="1"/>
        <v>48585</v>
      </c>
      <c r="M3346" s="92">
        <f t="shared" ca="1" si="115"/>
        <v>6.25</v>
      </c>
      <c r="N3346" s="143">
        <f ca="1">(PRODUCT($O$5:$O3346)-1)*36000/_xlfn.DAYS(L3346, $C$2)</f>
        <v>9.8070353237872752</v>
      </c>
      <c r="O3346" s="149">
        <f t="shared" ca="1" si="116"/>
        <v>1.000173611111111</v>
      </c>
    </row>
    <row r="3347" spans="12:15" x14ac:dyDescent="0.25">
      <c r="L3347" s="147">
        <f ca="1"/>
        <v>48586</v>
      </c>
      <c r="M3347" s="92">
        <f t="shared" ca="1" si="115"/>
        <v>6.25</v>
      </c>
      <c r="N3347" s="143">
        <f ca="1">(PRODUCT($O$5:$O3347)-1)*36000/_xlfn.DAYS(L3347, $C$2)</f>
        <v>9.8076733998555863</v>
      </c>
      <c r="O3347" s="149">
        <f t="shared" ca="1" si="116"/>
        <v>1.000173611111111</v>
      </c>
    </row>
    <row r="3348" spans="12:15" x14ac:dyDescent="0.25">
      <c r="L3348" s="147">
        <f ca="1"/>
        <v>48587</v>
      </c>
      <c r="M3348" s="92">
        <f t="shared" ca="1" si="115"/>
        <v>6.25</v>
      </c>
      <c r="N3348" s="143">
        <f ca="1">(PRODUCT($O$5:$O3348)-1)*36000/_xlfn.DAYS(L3348, $C$2)</f>
        <v>9.8083117141972203</v>
      </c>
      <c r="O3348" s="149">
        <f t="shared" ca="1" si="116"/>
        <v>1.000173611111111</v>
      </c>
    </row>
    <row r="3349" spans="12:15" x14ac:dyDescent="0.25">
      <c r="L3349" s="147">
        <f ca="1"/>
        <v>48588</v>
      </c>
      <c r="M3349" s="92">
        <f t="shared" ca="1" si="115"/>
        <v>6.25</v>
      </c>
      <c r="N3349" s="143">
        <f ca="1">(PRODUCT($O$5:$O3349)-1)*36000/_xlfn.DAYS(L3349, $C$2)</f>
        <v>9.8089502667060664</v>
      </c>
      <c r="O3349" s="149">
        <f t="shared" ca="1" si="116"/>
        <v>1.000173611111111</v>
      </c>
    </row>
    <row r="3350" spans="12:15" x14ac:dyDescent="0.25">
      <c r="L3350" s="147">
        <f ca="1"/>
        <v>48589</v>
      </c>
      <c r="M3350" s="92">
        <f t="shared" ca="1" si="115"/>
        <v>6.25</v>
      </c>
      <c r="N3350" s="143">
        <f ca="1">(PRODUCT($O$5:$O3350)-1)*36000/_xlfn.DAYS(L3350, $C$2)</f>
        <v>9.809589057276165</v>
      </c>
      <c r="O3350" s="149">
        <f t="shared" ca="1" si="116"/>
        <v>1.000173611111111</v>
      </c>
    </row>
    <row r="3351" spans="12:15" x14ac:dyDescent="0.25">
      <c r="L3351" s="147">
        <f ca="1"/>
        <v>48590</v>
      </c>
      <c r="M3351" s="92">
        <f t="shared" ca="1" si="115"/>
        <v>6.25</v>
      </c>
      <c r="N3351" s="143">
        <f ca="1">(PRODUCT($O$5:$O3351)-1)*36000/_xlfn.DAYS(L3351, $C$2)</f>
        <v>9.810228085801695</v>
      </c>
      <c r="O3351" s="149">
        <f t="shared" ca="1" si="116"/>
        <v>1.000173611111111</v>
      </c>
    </row>
    <row r="3352" spans="12:15" x14ac:dyDescent="0.25">
      <c r="L3352" s="147">
        <f ca="1"/>
        <v>48591</v>
      </c>
      <c r="M3352" s="92">
        <f t="shared" ca="1" si="115"/>
        <v>6.25</v>
      </c>
      <c r="N3352" s="143">
        <f ca="1">(PRODUCT($O$5:$O3352)-1)*36000/_xlfn.DAYS(L3352, $C$2)</f>
        <v>9.8108673521769809</v>
      </c>
      <c r="O3352" s="149">
        <f t="shared" ca="1" si="116"/>
        <v>1.000173611111111</v>
      </c>
    </row>
    <row r="3353" spans="12:15" x14ac:dyDescent="0.25">
      <c r="L3353" s="147">
        <f ca="1"/>
        <v>48592</v>
      </c>
      <c r="M3353" s="92">
        <f t="shared" ca="1" si="115"/>
        <v>6.25</v>
      </c>
      <c r="N3353" s="143">
        <f ca="1">(PRODUCT($O$5:$O3353)-1)*36000/_xlfn.DAYS(L3353, $C$2)</f>
        <v>9.8115068562965035</v>
      </c>
      <c r="O3353" s="149">
        <f t="shared" ca="1" si="116"/>
        <v>1.000173611111111</v>
      </c>
    </row>
    <row r="3354" spans="12:15" x14ac:dyDescent="0.25">
      <c r="L3354" s="147">
        <f ca="1"/>
        <v>48593</v>
      </c>
      <c r="M3354" s="92">
        <f t="shared" ca="1" si="115"/>
        <v>6.25</v>
      </c>
      <c r="N3354" s="143">
        <f ca="1">(PRODUCT($O$5:$O3354)-1)*36000/_xlfn.DAYS(L3354, $C$2)</f>
        <v>9.8121465980548663</v>
      </c>
      <c r="O3354" s="149">
        <f t="shared" ca="1" si="116"/>
        <v>1.000173611111111</v>
      </c>
    </row>
    <row r="3355" spans="12:15" x14ac:dyDescent="0.25">
      <c r="L3355" s="147">
        <f ca="1"/>
        <v>48594</v>
      </c>
      <c r="M3355" s="92">
        <f t="shared" ca="1" si="115"/>
        <v>6.25</v>
      </c>
      <c r="N3355" s="143">
        <f ca="1">(PRODUCT($O$5:$O3355)-1)*36000/_xlfn.DAYS(L3355, $C$2)</f>
        <v>9.8127865773468415</v>
      </c>
      <c r="O3355" s="149">
        <f t="shared" ca="1" si="116"/>
        <v>1.000173611111111</v>
      </c>
    </row>
    <row r="3356" spans="12:15" x14ac:dyDescent="0.25">
      <c r="L3356" s="147">
        <f ca="1"/>
        <v>48595</v>
      </c>
      <c r="M3356" s="92">
        <f t="shared" ca="1" si="115"/>
        <v>6.25</v>
      </c>
      <c r="N3356" s="143">
        <f ca="1">(PRODUCT($O$5:$O3356)-1)*36000/_xlfn.DAYS(L3356, $C$2)</f>
        <v>9.813426794067329</v>
      </c>
      <c r="O3356" s="149">
        <f t="shared" ca="1" si="116"/>
        <v>1.000173611111111</v>
      </c>
    </row>
    <row r="3357" spans="12:15" x14ac:dyDescent="0.25">
      <c r="L3357" s="147">
        <f ca="1"/>
        <v>48596</v>
      </c>
      <c r="M3357" s="92">
        <f t="shared" ca="1" si="115"/>
        <v>6.25</v>
      </c>
      <c r="N3357" s="143">
        <f ca="1">(PRODUCT($O$5:$O3357)-1)*36000/_xlfn.DAYS(L3357, $C$2)</f>
        <v>9.8140672481113782</v>
      </c>
      <c r="O3357" s="149">
        <f t="shared" ca="1" si="116"/>
        <v>1.000173611111111</v>
      </c>
    </row>
    <row r="3358" spans="12:15" x14ac:dyDescent="0.25">
      <c r="L3358" s="147">
        <f ca="1"/>
        <v>48597</v>
      </c>
      <c r="M3358" s="92">
        <f t="shared" ca="1" si="115"/>
        <v>6.25</v>
      </c>
      <c r="N3358" s="143">
        <f ca="1">(PRODUCT($O$5:$O3358)-1)*36000/_xlfn.DAYS(L3358, $C$2)</f>
        <v>9.8147079393741841</v>
      </c>
      <c r="O3358" s="149">
        <f t="shared" ca="1" si="116"/>
        <v>1.000173611111111</v>
      </c>
    </row>
    <row r="3359" spans="12:15" x14ac:dyDescent="0.25">
      <c r="L3359" s="147">
        <f ca="1"/>
        <v>48598</v>
      </c>
      <c r="M3359" s="92">
        <f t="shared" ca="1" si="115"/>
        <v>6.25</v>
      </c>
      <c r="N3359" s="143">
        <f ca="1">(PRODUCT($O$5:$O3359)-1)*36000/_xlfn.DAYS(L3359, $C$2)</f>
        <v>9.8153488677510801</v>
      </c>
      <c r="O3359" s="149">
        <f t="shared" ca="1" si="116"/>
        <v>1.000173611111111</v>
      </c>
    </row>
    <row r="3360" spans="12:15" x14ac:dyDescent="0.25">
      <c r="L3360" s="147">
        <f ca="1"/>
        <v>48599</v>
      </c>
      <c r="M3360" s="92">
        <f t="shared" ca="1" si="115"/>
        <v>6.25</v>
      </c>
      <c r="N3360" s="143">
        <f ca="1">(PRODUCT($O$5:$O3360)-1)*36000/_xlfn.DAYS(L3360, $C$2)</f>
        <v>9.8159900331375454</v>
      </c>
      <c r="O3360" s="149">
        <f t="shared" ca="1" si="116"/>
        <v>1.000173611111111</v>
      </c>
    </row>
    <row r="3361" spans="12:15" x14ac:dyDescent="0.25">
      <c r="L3361" s="147">
        <f ca="1"/>
        <v>48600</v>
      </c>
      <c r="M3361" s="92">
        <f t="shared" ca="1" si="115"/>
        <v>6.25</v>
      </c>
      <c r="N3361" s="143">
        <f ca="1">(PRODUCT($O$5:$O3361)-1)*36000/_xlfn.DAYS(L3361, $C$2)</f>
        <v>9.8166314354292101</v>
      </c>
      <c r="O3361" s="149">
        <f t="shared" ca="1" si="116"/>
        <v>1.000173611111111</v>
      </c>
    </row>
    <row r="3362" spans="12:15" x14ac:dyDescent="0.25">
      <c r="L3362" s="147">
        <f ca="1"/>
        <v>48601</v>
      </c>
      <c r="M3362" s="92">
        <f t="shared" ca="1" si="115"/>
        <v>6.25</v>
      </c>
      <c r="N3362" s="143">
        <f ca="1">(PRODUCT($O$5:$O3362)-1)*36000/_xlfn.DAYS(L3362, $C$2)</f>
        <v>9.8172730745218306</v>
      </c>
      <c r="O3362" s="149">
        <f t="shared" ca="1" si="116"/>
        <v>1.000173611111111</v>
      </c>
    </row>
    <row r="3363" spans="12:15" x14ac:dyDescent="0.25">
      <c r="L3363" s="147">
        <f ca="1"/>
        <v>48602</v>
      </c>
      <c r="M3363" s="92">
        <f t="shared" ca="1" si="115"/>
        <v>6.25</v>
      </c>
      <c r="N3363" s="143">
        <f ca="1">(PRODUCT($O$5:$O3363)-1)*36000/_xlfn.DAYS(L3363, $C$2)</f>
        <v>9.817914950311323</v>
      </c>
      <c r="O3363" s="149">
        <f t="shared" ca="1" si="116"/>
        <v>1.000173611111111</v>
      </c>
    </row>
    <row r="3364" spans="12:15" x14ac:dyDescent="0.25">
      <c r="L3364" s="147">
        <f ca="1"/>
        <v>48603</v>
      </c>
      <c r="M3364" s="92">
        <f t="shared" ca="1" si="115"/>
        <v>6.25</v>
      </c>
      <c r="N3364" s="143">
        <f ca="1">(PRODUCT($O$5:$O3364)-1)*36000/_xlfn.DAYS(L3364, $C$2)</f>
        <v>9.8185570626937384</v>
      </c>
      <c r="O3364" s="149">
        <f t="shared" ca="1" si="116"/>
        <v>1.000173611111111</v>
      </c>
    </row>
    <row r="3365" spans="12:15" x14ac:dyDescent="0.25">
      <c r="L3365" s="147">
        <f ca="1"/>
        <v>48604</v>
      </c>
      <c r="M3365" s="92">
        <f t="shared" ca="1" si="115"/>
        <v>6.25</v>
      </c>
      <c r="N3365" s="143">
        <f ca="1">(PRODUCT($O$5:$O3365)-1)*36000/_xlfn.DAYS(L3365, $C$2)</f>
        <v>9.8191994115652648</v>
      </c>
      <c r="O3365" s="149">
        <f t="shared" ca="1" si="116"/>
        <v>1.000173611111111</v>
      </c>
    </row>
    <row r="3366" spans="12:15" x14ac:dyDescent="0.25">
      <c r="L3366" s="147">
        <f ca="1"/>
        <v>48605</v>
      </c>
      <c r="M3366" s="92">
        <f t="shared" ca="1" si="115"/>
        <v>6.25</v>
      </c>
      <c r="N3366" s="143">
        <f ca="1">(PRODUCT($O$5:$O3366)-1)*36000/_xlfn.DAYS(L3366, $C$2)</f>
        <v>9.819841996822241</v>
      </c>
      <c r="O3366" s="149">
        <f t="shared" ca="1" si="116"/>
        <v>1.000173611111111</v>
      </c>
    </row>
    <row r="3367" spans="12:15" x14ac:dyDescent="0.25">
      <c r="L3367" s="147">
        <f ca="1"/>
        <v>48606</v>
      </c>
      <c r="M3367" s="92">
        <f t="shared" ca="1" si="115"/>
        <v>6.25</v>
      </c>
      <c r="N3367" s="143">
        <f ca="1">(PRODUCT($O$5:$O3367)-1)*36000/_xlfn.DAYS(L3367, $C$2)</f>
        <v>9.8204848183611499</v>
      </c>
      <c r="O3367" s="149">
        <f t="shared" ca="1" si="116"/>
        <v>1.000173611111111</v>
      </c>
    </row>
    <row r="3368" spans="12:15" x14ac:dyDescent="0.25">
      <c r="L3368" s="147">
        <f ca="1"/>
        <v>48607</v>
      </c>
      <c r="M3368" s="92">
        <f t="shared" ca="1" si="115"/>
        <v>6.25</v>
      </c>
      <c r="N3368" s="143">
        <f ca="1">(PRODUCT($O$5:$O3368)-1)*36000/_xlfn.DAYS(L3368, $C$2)</f>
        <v>9.821127876078604</v>
      </c>
      <c r="O3368" s="149">
        <f t="shared" ca="1" si="116"/>
        <v>1.000173611111111</v>
      </c>
    </row>
    <row r="3369" spans="12:15" x14ac:dyDescent="0.25">
      <c r="L3369" s="147">
        <f ca="1"/>
        <v>48608</v>
      </c>
      <c r="M3369" s="92">
        <f t="shared" ca="1" si="115"/>
        <v>6.25</v>
      </c>
      <c r="N3369" s="143">
        <f ca="1">(PRODUCT($O$5:$O3369)-1)*36000/_xlfn.DAYS(L3369, $C$2)</f>
        <v>9.8217711698713703</v>
      </c>
      <c r="O3369" s="149">
        <f t="shared" ca="1" si="116"/>
        <v>1.000173611111111</v>
      </c>
    </row>
    <row r="3370" spans="12:15" x14ac:dyDescent="0.25">
      <c r="L3370" s="147">
        <f ca="1"/>
        <v>48609</v>
      </c>
      <c r="M3370" s="92">
        <f t="shared" ca="1" si="115"/>
        <v>6.25</v>
      </c>
      <c r="N3370" s="143">
        <f ca="1">(PRODUCT($O$5:$O3370)-1)*36000/_xlfn.DAYS(L3370, $C$2)</f>
        <v>9.8224146996363455</v>
      </c>
      <c r="O3370" s="149">
        <f t="shared" ca="1" si="116"/>
        <v>1.000173611111111</v>
      </c>
    </row>
    <row r="3371" spans="12:15" x14ac:dyDescent="0.25">
      <c r="L3371" s="147">
        <f ca="1"/>
        <v>48610</v>
      </c>
      <c r="M3371" s="92">
        <f t="shared" ca="1" si="115"/>
        <v>6.25</v>
      </c>
      <c r="N3371" s="143">
        <f ca="1">(PRODUCT($O$5:$O3371)-1)*36000/_xlfn.DAYS(L3371, $C$2)</f>
        <v>9.8230584652705772</v>
      </c>
      <c r="O3371" s="149">
        <f t="shared" ca="1" si="116"/>
        <v>1.000173611111111</v>
      </c>
    </row>
    <row r="3372" spans="12:15" x14ac:dyDescent="0.25">
      <c r="L3372" s="147">
        <f ca="1"/>
        <v>48611</v>
      </c>
      <c r="M3372" s="92">
        <f t="shared" ca="1" si="115"/>
        <v>6.25</v>
      </c>
      <c r="N3372" s="143">
        <f ca="1">(PRODUCT($O$5:$O3372)-1)*36000/_xlfn.DAYS(L3372, $C$2)</f>
        <v>9.8237024666712482</v>
      </c>
      <c r="O3372" s="149">
        <f t="shared" ca="1" si="116"/>
        <v>1.000173611111111</v>
      </c>
    </row>
    <row r="3373" spans="12:15" x14ac:dyDescent="0.25">
      <c r="L3373" s="147">
        <f ca="1"/>
        <v>48612</v>
      </c>
      <c r="M3373" s="92">
        <f t="shared" ca="1" si="115"/>
        <v>6.25</v>
      </c>
      <c r="N3373" s="143">
        <f ca="1">(PRODUCT($O$5:$O3373)-1)*36000/_xlfn.DAYS(L3373, $C$2)</f>
        <v>9.8243467037356851</v>
      </c>
      <c r="O3373" s="149">
        <f t="shared" ca="1" si="116"/>
        <v>1.000173611111111</v>
      </c>
    </row>
    <row r="3374" spans="12:15" x14ac:dyDescent="0.25">
      <c r="L3374" s="147">
        <f ca="1"/>
        <v>48613</v>
      </c>
      <c r="M3374" s="92">
        <f t="shared" ca="1" si="115"/>
        <v>6.25</v>
      </c>
      <c r="N3374" s="143">
        <f ca="1">(PRODUCT($O$5:$O3374)-1)*36000/_xlfn.DAYS(L3374, $C$2)</f>
        <v>9.8249911763613493</v>
      </c>
      <c r="O3374" s="149">
        <f t="shared" ca="1" si="116"/>
        <v>1.000173611111111</v>
      </c>
    </row>
    <row r="3375" spans="12:15" x14ac:dyDescent="0.25">
      <c r="L3375" s="147">
        <f ca="1"/>
        <v>48614</v>
      </c>
      <c r="M3375" s="92">
        <f t="shared" ca="1" si="115"/>
        <v>6.25</v>
      </c>
      <c r="N3375" s="143">
        <f ca="1">(PRODUCT($O$5:$O3375)-1)*36000/_xlfn.DAYS(L3375, $C$2)</f>
        <v>9.8256358844458518</v>
      </c>
      <c r="O3375" s="149">
        <f t="shared" ca="1" si="116"/>
        <v>1.000173611111111</v>
      </c>
    </row>
    <row r="3376" spans="12:15" x14ac:dyDescent="0.25">
      <c r="L3376" s="147">
        <f ca="1"/>
        <v>48615</v>
      </c>
      <c r="M3376" s="92">
        <f t="shared" ca="1" si="115"/>
        <v>6.25</v>
      </c>
      <c r="N3376" s="143">
        <f ca="1">(PRODUCT($O$5:$O3376)-1)*36000/_xlfn.DAYS(L3376, $C$2)</f>
        <v>9.8262808278869365</v>
      </c>
      <c r="O3376" s="149">
        <f t="shared" ca="1" si="116"/>
        <v>1.000173611111111</v>
      </c>
    </row>
    <row r="3377" spans="12:15" x14ac:dyDescent="0.25">
      <c r="L3377" s="147">
        <f ca="1"/>
        <v>48616</v>
      </c>
      <c r="M3377" s="92">
        <f t="shared" ca="1" si="115"/>
        <v>6.25</v>
      </c>
      <c r="N3377" s="143">
        <f ca="1">(PRODUCT($O$5:$O3377)-1)*36000/_xlfn.DAYS(L3377, $C$2)</f>
        <v>9.8269260065824895</v>
      </c>
      <c r="O3377" s="149">
        <f t="shared" ca="1" si="116"/>
        <v>1.000173611111111</v>
      </c>
    </row>
    <row r="3378" spans="12:15" x14ac:dyDescent="0.25">
      <c r="L3378" s="147">
        <f ca="1"/>
        <v>48617</v>
      </c>
      <c r="M3378" s="92">
        <f t="shared" ca="1" si="115"/>
        <v>6.25</v>
      </c>
      <c r="N3378" s="143">
        <f ca="1">(PRODUCT($O$5:$O3378)-1)*36000/_xlfn.DAYS(L3378, $C$2)</f>
        <v>9.8275714204305356</v>
      </c>
      <c r="O3378" s="149">
        <f t="shared" ca="1" si="116"/>
        <v>1.000173611111111</v>
      </c>
    </row>
    <row r="3379" spans="12:15" x14ac:dyDescent="0.25">
      <c r="L3379" s="147">
        <f ca="1"/>
        <v>48618</v>
      </c>
      <c r="M3379" s="92">
        <f t="shared" ca="1" si="115"/>
        <v>6.25</v>
      </c>
      <c r="N3379" s="143">
        <f ca="1">(PRODUCT($O$5:$O3379)-1)*36000/_xlfn.DAYS(L3379, $C$2)</f>
        <v>9.8282170693292414</v>
      </c>
      <c r="O3379" s="149">
        <f t="shared" ca="1" si="116"/>
        <v>1.000173611111111</v>
      </c>
    </row>
    <row r="3380" spans="12:15" x14ac:dyDescent="0.25">
      <c r="L3380" s="147">
        <f ca="1"/>
        <v>48619</v>
      </c>
      <c r="M3380" s="92">
        <f t="shared" ca="1" si="115"/>
        <v>6.25</v>
      </c>
      <c r="N3380" s="143">
        <f ca="1">(PRODUCT($O$5:$O3380)-1)*36000/_xlfn.DAYS(L3380, $C$2)</f>
        <v>9.8288629531769089</v>
      </c>
      <c r="O3380" s="149">
        <f t="shared" ca="1" si="116"/>
        <v>1.000173611111111</v>
      </c>
    </row>
    <row r="3381" spans="12:15" x14ac:dyDescent="0.25">
      <c r="L3381" s="147">
        <f ca="1"/>
        <v>48620</v>
      </c>
      <c r="M3381" s="92">
        <f t="shared" ca="1" si="115"/>
        <v>6.25</v>
      </c>
      <c r="N3381" s="143">
        <f ca="1">(PRODUCT($O$5:$O3381)-1)*36000/_xlfn.DAYS(L3381, $C$2)</f>
        <v>9.829509071871982</v>
      </c>
      <c r="O3381" s="149">
        <f t="shared" ca="1" si="116"/>
        <v>1.000173611111111</v>
      </c>
    </row>
    <row r="3382" spans="12:15" x14ac:dyDescent="0.25">
      <c r="L3382" s="147">
        <f ca="1"/>
        <v>48621</v>
      </c>
      <c r="M3382" s="92">
        <f t="shared" ca="1" si="115"/>
        <v>6.25</v>
      </c>
      <c r="N3382" s="143">
        <f ca="1">(PRODUCT($O$5:$O3382)-1)*36000/_xlfn.DAYS(L3382, $C$2)</f>
        <v>9.8301554253130448</v>
      </c>
      <c r="O3382" s="149">
        <f t="shared" ca="1" si="116"/>
        <v>1.000173611111111</v>
      </c>
    </row>
    <row r="3383" spans="12:15" x14ac:dyDescent="0.25">
      <c r="L3383" s="147">
        <f ca="1"/>
        <v>48622</v>
      </c>
      <c r="M3383" s="92">
        <f t="shared" ca="1" si="115"/>
        <v>6.25</v>
      </c>
      <c r="N3383" s="143">
        <f ca="1">(PRODUCT($O$5:$O3383)-1)*36000/_xlfn.DAYS(L3383, $C$2)</f>
        <v>9.830802013398813</v>
      </c>
      <c r="O3383" s="149">
        <f t="shared" ca="1" si="116"/>
        <v>1.000173611111111</v>
      </c>
    </row>
    <row r="3384" spans="12:15" x14ac:dyDescent="0.25">
      <c r="L3384" s="147">
        <f ca="1"/>
        <v>48623</v>
      </c>
      <c r="M3384" s="92">
        <f t="shared" ca="1" si="115"/>
        <v>6.25</v>
      </c>
      <c r="N3384" s="143">
        <f ca="1">(PRODUCT($O$5:$O3384)-1)*36000/_xlfn.DAYS(L3384, $C$2)</f>
        <v>9.8314488360281516</v>
      </c>
      <c r="O3384" s="149">
        <f t="shared" ca="1" si="116"/>
        <v>1.000173611111111</v>
      </c>
    </row>
    <row r="3385" spans="12:15" x14ac:dyDescent="0.25">
      <c r="L3385" s="147">
        <f ca="1"/>
        <v>48624</v>
      </c>
      <c r="M3385" s="92">
        <f t="shared" ca="1" si="115"/>
        <v>6.25</v>
      </c>
      <c r="N3385" s="143">
        <f ca="1">(PRODUCT($O$5:$O3385)-1)*36000/_xlfn.DAYS(L3385, $C$2)</f>
        <v>9.8320958931000568</v>
      </c>
      <c r="O3385" s="149">
        <f t="shared" ca="1" si="116"/>
        <v>1.000173611111111</v>
      </c>
    </row>
    <row r="3386" spans="12:15" x14ac:dyDescent="0.25">
      <c r="L3386" s="147">
        <f ca="1"/>
        <v>48625</v>
      </c>
      <c r="M3386" s="92">
        <f t="shared" ca="1" si="115"/>
        <v>6.25</v>
      </c>
      <c r="N3386" s="143">
        <f ca="1">(PRODUCT($O$5:$O3386)-1)*36000/_xlfn.DAYS(L3386, $C$2)</f>
        <v>9.8327431845136637</v>
      </c>
      <c r="O3386" s="149">
        <f t="shared" ca="1" si="116"/>
        <v>1.000173611111111</v>
      </c>
    </row>
    <row r="3387" spans="12:15" x14ac:dyDescent="0.25">
      <c r="L3387" s="147">
        <f ca="1"/>
        <v>48626</v>
      </c>
      <c r="M3387" s="92">
        <f t="shared" ca="1" si="115"/>
        <v>6.25</v>
      </c>
      <c r="N3387" s="143">
        <f ca="1">(PRODUCT($O$5:$O3387)-1)*36000/_xlfn.DAYS(L3387, $C$2)</f>
        <v>9.8333907101682438</v>
      </c>
      <c r="O3387" s="149">
        <f t="shared" ca="1" si="116"/>
        <v>1.000173611111111</v>
      </c>
    </row>
    <row r="3388" spans="12:15" x14ac:dyDescent="0.25">
      <c r="L3388" s="147">
        <f ca="1"/>
        <v>48627</v>
      </c>
      <c r="M3388" s="92">
        <f t="shared" ca="1" si="115"/>
        <v>6.25</v>
      </c>
      <c r="N3388" s="143">
        <f ca="1">(PRODUCT($O$5:$O3388)-1)*36000/_xlfn.DAYS(L3388, $C$2)</f>
        <v>9.8340384699632093</v>
      </c>
      <c r="O3388" s="149">
        <f t="shared" ca="1" si="116"/>
        <v>1.000173611111111</v>
      </c>
    </row>
    <row r="3389" spans="12:15" x14ac:dyDescent="0.25">
      <c r="L3389" s="147">
        <f ca="1"/>
        <v>48628</v>
      </c>
      <c r="M3389" s="92">
        <f t="shared" ca="1" si="115"/>
        <v>6.25</v>
      </c>
      <c r="N3389" s="143">
        <f ca="1">(PRODUCT($O$5:$O3389)-1)*36000/_xlfn.DAYS(L3389, $C$2)</f>
        <v>9.8346864637981088</v>
      </c>
      <c r="O3389" s="149">
        <f t="shared" ca="1" si="116"/>
        <v>1.000173611111111</v>
      </c>
    </row>
    <row r="3390" spans="12:15" x14ac:dyDescent="0.25">
      <c r="L3390" s="147">
        <f ca="1"/>
        <v>48629</v>
      </c>
      <c r="M3390" s="92">
        <f t="shared" ca="1" si="115"/>
        <v>6.25</v>
      </c>
      <c r="N3390" s="143">
        <f ca="1">(PRODUCT($O$5:$O3390)-1)*36000/_xlfn.DAYS(L3390, $C$2)</f>
        <v>9.8353346915726263</v>
      </c>
      <c r="O3390" s="149">
        <f t="shared" ca="1" si="116"/>
        <v>1.000173611111111</v>
      </c>
    </row>
    <row r="3391" spans="12:15" x14ac:dyDescent="0.25">
      <c r="L3391" s="147">
        <f ca="1"/>
        <v>48630</v>
      </c>
      <c r="M3391" s="92">
        <f t="shared" ca="1" si="115"/>
        <v>6.25</v>
      </c>
      <c r="N3391" s="143">
        <f ca="1">(PRODUCT($O$5:$O3391)-1)*36000/_xlfn.DAYS(L3391, $C$2)</f>
        <v>9.8359831531865893</v>
      </c>
      <c r="O3391" s="149">
        <f t="shared" ca="1" si="116"/>
        <v>1.000173611111111</v>
      </c>
    </row>
    <row r="3392" spans="12:15" x14ac:dyDescent="0.25">
      <c r="L3392" s="147">
        <f ca="1"/>
        <v>48631</v>
      </c>
      <c r="M3392" s="92">
        <f t="shared" ca="1" si="115"/>
        <v>6.25</v>
      </c>
      <c r="N3392" s="143">
        <f ca="1">(PRODUCT($O$5:$O3392)-1)*36000/_xlfn.DAYS(L3392, $C$2)</f>
        <v>9.8366318485399553</v>
      </c>
      <c r="O3392" s="149">
        <f t="shared" ca="1" si="116"/>
        <v>1.000173611111111</v>
      </c>
    </row>
    <row r="3393" spans="12:15" x14ac:dyDescent="0.25">
      <c r="L3393" s="147">
        <f ca="1"/>
        <v>48632</v>
      </c>
      <c r="M3393" s="92">
        <f t="shared" ca="1" si="115"/>
        <v>6.25</v>
      </c>
      <c r="N3393" s="143">
        <f ca="1">(PRODUCT($O$5:$O3393)-1)*36000/_xlfn.DAYS(L3393, $C$2)</f>
        <v>9.8372807775328148</v>
      </c>
      <c r="O3393" s="149">
        <f t="shared" ca="1" si="116"/>
        <v>1.000173611111111</v>
      </c>
    </row>
    <row r="3394" spans="12:15" x14ac:dyDescent="0.25">
      <c r="L3394" s="147">
        <f ca="1"/>
        <v>48633</v>
      </c>
      <c r="M3394" s="92">
        <f t="shared" ca="1" si="115"/>
        <v>6.25</v>
      </c>
      <c r="N3394" s="143">
        <f ca="1">(PRODUCT($O$5:$O3394)-1)*36000/_xlfn.DAYS(L3394, $C$2)</f>
        <v>9.8379299400654112</v>
      </c>
      <c r="O3394" s="149">
        <f t="shared" ca="1" si="116"/>
        <v>1.000173611111111</v>
      </c>
    </row>
    <row r="3395" spans="12:15" x14ac:dyDescent="0.25">
      <c r="L3395" s="147">
        <f ca="1"/>
        <v>48634</v>
      </c>
      <c r="M3395" s="92">
        <f t="shared" ca="1" si="115"/>
        <v>6.25</v>
      </c>
      <c r="N3395" s="143">
        <f ca="1">(PRODUCT($O$5:$O3395)-1)*36000/_xlfn.DAYS(L3395, $C$2)</f>
        <v>9.8385793360381033</v>
      </c>
      <c r="O3395" s="149">
        <f t="shared" ca="1" si="116"/>
        <v>1.000173611111111</v>
      </c>
    </row>
    <row r="3396" spans="12:15" x14ac:dyDescent="0.25">
      <c r="L3396" s="147">
        <f ca="1"/>
        <v>48635</v>
      </c>
      <c r="M3396" s="92">
        <f t="shared" ca="1" si="115"/>
        <v>6.25</v>
      </c>
      <c r="N3396" s="143">
        <f ca="1">(PRODUCT($O$5:$O3396)-1)*36000/_xlfn.DAYS(L3396, $C$2)</f>
        <v>9.8392289653514009</v>
      </c>
      <c r="O3396" s="149">
        <f t="shared" ca="1" si="116"/>
        <v>1.000173611111111</v>
      </c>
    </row>
    <row r="3397" spans="12:15" x14ac:dyDescent="0.25">
      <c r="L3397" s="147">
        <f ca="1"/>
        <v>48636</v>
      </c>
      <c r="M3397" s="92">
        <f t="shared" ref="M3397:M3460" ca="1" si="117">IFERROR(INDEX($E$27:$H$47, MATCH(L3397, $F$27:$F$47, 0), 4), IF(ISNUMBER(M3396), M3396, $C$5))</f>
        <v>6.25</v>
      </c>
      <c r="N3397" s="143">
        <f ca="1">(PRODUCT($O$5:$O3397)-1)*36000/_xlfn.DAYS(L3397, $C$2)</f>
        <v>9.8398788279059453</v>
      </c>
      <c r="O3397" s="149">
        <f t="shared" ca="1" si="116"/>
        <v>1.000173611111111</v>
      </c>
    </row>
    <row r="3398" spans="12:15" x14ac:dyDescent="0.25">
      <c r="L3398" s="147">
        <f ca="1"/>
        <v>48637</v>
      </c>
      <c r="M3398" s="92">
        <f t="shared" ca="1" si="117"/>
        <v>6.25</v>
      </c>
      <c r="N3398" s="143">
        <f ca="1">(PRODUCT($O$5:$O3398)-1)*36000/_xlfn.DAYS(L3398, $C$2)</f>
        <v>9.8405289236025144</v>
      </c>
      <c r="O3398" s="149">
        <f t="shared" ref="O3398:O3461" ca="1" si="118">1+M3398*IFERROR(_xlfn.DAYS(L3398, L3397), _xlfn.DAYS(L3398, $C$2))/36000</f>
        <v>1.000173611111111</v>
      </c>
    </row>
    <row r="3399" spans="12:15" x14ac:dyDescent="0.25">
      <c r="L3399" s="147">
        <f ca="1"/>
        <v>48638</v>
      </c>
      <c r="M3399" s="92">
        <f t="shared" ca="1" si="117"/>
        <v>6.25</v>
      </c>
      <c r="N3399" s="143">
        <f ca="1">(PRODUCT($O$5:$O3399)-1)*36000/_xlfn.DAYS(L3399, $C$2)</f>
        <v>9.8411792523420143</v>
      </c>
      <c r="O3399" s="149">
        <f t="shared" ca="1" si="118"/>
        <v>1.000173611111111</v>
      </c>
    </row>
    <row r="3400" spans="12:15" x14ac:dyDescent="0.25">
      <c r="L3400" s="147">
        <f ca="1"/>
        <v>48639</v>
      </c>
      <c r="M3400" s="92">
        <f t="shared" ca="1" si="117"/>
        <v>6.25</v>
      </c>
      <c r="N3400" s="143">
        <f ca="1">(PRODUCT($O$5:$O3400)-1)*36000/_xlfn.DAYS(L3400, $C$2)</f>
        <v>9.8418298140255001</v>
      </c>
      <c r="O3400" s="149">
        <f t="shared" ca="1" si="118"/>
        <v>1.000173611111111</v>
      </c>
    </row>
    <row r="3401" spans="12:15" x14ac:dyDescent="0.25">
      <c r="L3401" s="147">
        <f ca="1"/>
        <v>48640</v>
      </c>
      <c r="M3401" s="92">
        <f t="shared" ca="1" si="117"/>
        <v>6.25</v>
      </c>
      <c r="N3401" s="143">
        <f ca="1">(PRODUCT($O$5:$O3401)-1)*36000/_xlfn.DAYS(L3401, $C$2)</f>
        <v>9.8424806085541512</v>
      </c>
      <c r="O3401" s="149">
        <f t="shared" ca="1" si="118"/>
        <v>1.000173611111111</v>
      </c>
    </row>
    <row r="3402" spans="12:15" x14ac:dyDescent="0.25">
      <c r="L3402" s="147">
        <f ca="1"/>
        <v>48641</v>
      </c>
      <c r="M3402" s="92">
        <f t="shared" ca="1" si="117"/>
        <v>6.25</v>
      </c>
      <c r="N3402" s="143">
        <f ca="1">(PRODUCT($O$5:$O3402)-1)*36000/_xlfn.DAYS(L3402, $C$2)</f>
        <v>9.8431316358292804</v>
      </c>
      <c r="O3402" s="149">
        <f t="shared" ca="1" si="118"/>
        <v>1.000173611111111</v>
      </c>
    </row>
    <row r="3403" spans="12:15" x14ac:dyDescent="0.25">
      <c r="L3403" s="147">
        <f ca="1"/>
        <v>48642</v>
      </c>
      <c r="M3403" s="92">
        <f t="shared" ca="1" si="117"/>
        <v>6.25</v>
      </c>
      <c r="N3403" s="143">
        <f ca="1">(PRODUCT($O$5:$O3403)-1)*36000/_xlfn.DAYS(L3403, $C$2)</f>
        <v>9.8437828957523461</v>
      </c>
      <c r="O3403" s="149">
        <f t="shared" ca="1" si="118"/>
        <v>1.000173611111111</v>
      </c>
    </row>
    <row r="3404" spans="12:15" x14ac:dyDescent="0.25">
      <c r="L3404" s="147">
        <f ca="1"/>
        <v>48643</v>
      </c>
      <c r="M3404" s="92">
        <f t="shared" ca="1" si="117"/>
        <v>6.25</v>
      </c>
      <c r="N3404" s="143">
        <f ca="1">(PRODUCT($O$5:$O3404)-1)*36000/_xlfn.DAYS(L3404, $C$2)</f>
        <v>9.8444343882249328</v>
      </c>
      <c r="O3404" s="149">
        <f t="shared" ca="1" si="118"/>
        <v>1.000173611111111</v>
      </c>
    </row>
    <row r="3405" spans="12:15" x14ac:dyDescent="0.25">
      <c r="L3405" s="147">
        <f ca="1"/>
        <v>48644</v>
      </c>
      <c r="M3405" s="92">
        <f t="shared" ca="1" si="117"/>
        <v>6.25</v>
      </c>
      <c r="N3405" s="143">
        <f ca="1">(PRODUCT($O$5:$O3405)-1)*36000/_xlfn.DAYS(L3405, $C$2)</f>
        <v>9.8450861131487564</v>
      </c>
      <c r="O3405" s="149">
        <f t="shared" ca="1" si="118"/>
        <v>1.000173611111111</v>
      </c>
    </row>
    <row r="3406" spans="12:15" x14ac:dyDescent="0.25">
      <c r="L3406" s="147">
        <f ca="1"/>
        <v>48645</v>
      </c>
      <c r="M3406" s="92">
        <f t="shared" ca="1" si="117"/>
        <v>6.25</v>
      </c>
      <c r="N3406" s="143">
        <f ca="1">(PRODUCT($O$5:$O3406)-1)*36000/_xlfn.DAYS(L3406, $C$2)</f>
        <v>9.8457380704256785</v>
      </c>
      <c r="O3406" s="149">
        <f t="shared" ca="1" si="118"/>
        <v>1.000173611111111</v>
      </c>
    </row>
    <row r="3407" spans="12:15" x14ac:dyDescent="0.25">
      <c r="L3407" s="147">
        <f ca="1"/>
        <v>48646</v>
      </c>
      <c r="M3407" s="92">
        <f t="shared" ca="1" si="117"/>
        <v>6.25</v>
      </c>
      <c r="N3407" s="143">
        <f ca="1">(PRODUCT($O$5:$O3407)-1)*36000/_xlfn.DAYS(L3407, $C$2)</f>
        <v>9.8463902599576834</v>
      </c>
      <c r="O3407" s="149">
        <f t="shared" ca="1" si="118"/>
        <v>1.000173611111111</v>
      </c>
    </row>
    <row r="3408" spans="12:15" x14ac:dyDescent="0.25">
      <c r="L3408" s="147">
        <f ca="1"/>
        <v>48647</v>
      </c>
      <c r="M3408" s="92">
        <f t="shared" ca="1" si="117"/>
        <v>6.25</v>
      </c>
      <c r="N3408" s="143">
        <f ca="1">(PRODUCT($O$5:$O3408)-1)*36000/_xlfn.DAYS(L3408, $C$2)</f>
        <v>9.8470426816468972</v>
      </c>
      <c r="O3408" s="149">
        <f t="shared" ca="1" si="118"/>
        <v>1.000173611111111</v>
      </c>
    </row>
    <row r="3409" spans="12:15" x14ac:dyDescent="0.25">
      <c r="L3409" s="147">
        <f ca="1"/>
        <v>48648</v>
      </c>
      <c r="M3409" s="92">
        <f t="shared" ca="1" si="117"/>
        <v>6.25</v>
      </c>
      <c r="N3409" s="143">
        <f ca="1">(PRODUCT($O$5:$O3409)-1)*36000/_xlfn.DAYS(L3409, $C$2)</f>
        <v>9.8476953353955743</v>
      </c>
      <c r="O3409" s="149">
        <f t="shared" ca="1" si="118"/>
        <v>1.000173611111111</v>
      </c>
    </row>
    <row r="3410" spans="12:15" x14ac:dyDescent="0.25">
      <c r="L3410" s="147">
        <f ca="1"/>
        <v>48649</v>
      </c>
      <c r="M3410" s="92">
        <f t="shared" ca="1" si="117"/>
        <v>6.25</v>
      </c>
      <c r="N3410" s="143">
        <f ca="1">(PRODUCT($O$5:$O3410)-1)*36000/_xlfn.DAYS(L3410, $C$2)</f>
        <v>9.8483482211061002</v>
      </c>
      <c r="O3410" s="149">
        <f t="shared" ca="1" si="118"/>
        <v>1.000173611111111</v>
      </c>
    </row>
    <row r="3411" spans="12:15" x14ac:dyDescent="0.25">
      <c r="L3411" s="147">
        <f ca="1"/>
        <v>48650</v>
      </c>
      <c r="M3411" s="92">
        <f t="shared" ca="1" si="117"/>
        <v>6.25</v>
      </c>
      <c r="N3411" s="143">
        <f ca="1">(PRODUCT($O$5:$O3411)-1)*36000/_xlfn.DAYS(L3411, $C$2)</f>
        <v>9.8490013386809991</v>
      </c>
      <c r="O3411" s="149">
        <f t="shared" ca="1" si="118"/>
        <v>1.000173611111111</v>
      </c>
    </row>
    <row r="3412" spans="12:15" x14ac:dyDescent="0.25">
      <c r="L3412" s="147">
        <f ca="1"/>
        <v>48651</v>
      </c>
      <c r="M3412" s="92">
        <f t="shared" ca="1" si="117"/>
        <v>6.25</v>
      </c>
      <c r="N3412" s="143">
        <f ca="1">(PRODUCT($O$5:$O3412)-1)*36000/_xlfn.DAYS(L3412, $C$2)</f>
        <v>9.8496546880229321</v>
      </c>
      <c r="O3412" s="149">
        <f t="shared" ca="1" si="118"/>
        <v>1.000173611111111</v>
      </c>
    </row>
    <row r="3413" spans="12:15" x14ac:dyDescent="0.25">
      <c r="L3413" s="147">
        <f ca="1"/>
        <v>48652</v>
      </c>
      <c r="M3413" s="92">
        <f t="shared" ca="1" si="117"/>
        <v>6.25</v>
      </c>
      <c r="N3413" s="143">
        <f ca="1">(PRODUCT($O$5:$O3413)-1)*36000/_xlfn.DAYS(L3413, $C$2)</f>
        <v>9.8503082690346826</v>
      </c>
      <c r="O3413" s="149">
        <f t="shared" ca="1" si="118"/>
        <v>1.000173611111111</v>
      </c>
    </row>
    <row r="3414" spans="12:15" x14ac:dyDescent="0.25">
      <c r="L3414" s="147">
        <f ca="1"/>
        <v>48653</v>
      </c>
      <c r="M3414" s="92">
        <f t="shared" ca="1" si="117"/>
        <v>6.25</v>
      </c>
      <c r="N3414" s="143">
        <f ca="1">(PRODUCT($O$5:$O3414)-1)*36000/_xlfn.DAYS(L3414, $C$2)</f>
        <v>9.8509620816191692</v>
      </c>
      <c r="O3414" s="149">
        <f t="shared" ca="1" si="118"/>
        <v>1.000173611111111</v>
      </c>
    </row>
    <row r="3415" spans="12:15" x14ac:dyDescent="0.25">
      <c r="L3415" s="147">
        <f ca="1"/>
        <v>48654</v>
      </c>
      <c r="M3415" s="92">
        <f t="shared" ca="1" si="117"/>
        <v>6.25</v>
      </c>
      <c r="N3415" s="143">
        <f ca="1">(PRODUCT($O$5:$O3415)-1)*36000/_xlfn.DAYS(L3415, $C$2)</f>
        <v>9.8516161256794472</v>
      </c>
      <c r="O3415" s="149">
        <f t="shared" ca="1" si="118"/>
        <v>1.000173611111111</v>
      </c>
    </row>
    <row r="3416" spans="12:15" x14ac:dyDescent="0.25">
      <c r="L3416" s="147">
        <f ca="1"/>
        <v>48655</v>
      </c>
      <c r="M3416" s="92">
        <f t="shared" ca="1" si="117"/>
        <v>6.25</v>
      </c>
      <c r="N3416" s="143">
        <f ca="1">(PRODUCT($O$5:$O3416)-1)*36000/_xlfn.DAYS(L3416, $C$2)</f>
        <v>9.8522704011187034</v>
      </c>
      <c r="O3416" s="149">
        <f t="shared" ca="1" si="118"/>
        <v>1.000173611111111</v>
      </c>
    </row>
    <row r="3417" spans="12:15" x14ac:dyDescent="0.25">
      <c r="L3417" s="147">
        <f ca="1"/>
        <v>48656</v>
      </c>
      <c r="M3417" s="92">
        <f t="shared" ca="1" si="117"/>
        <v>6.25</v>
      </c>
      <c r="N3417" s="143">
        <f ca="1">(PRODUCT($O$5:$O3417)-1)*36000/_xlfn.DAYS(L3417, $C$2)</f>
        <v>9.8529249078402543</v>
      </c>
      <c r="O3417" s="149">
        <f t="shared" ca="1" si="118"/>
        <v>1.000173611111111</v>
      </c>
    </row>
    <row r="3418" spans="12:15" x14ac:dyDescent="0.25">
      <c r="L3418" s="147">
        <f ca="1"/>
        <v>48657</v>
      </c>
      <c r="M3418" s="92">
        <f t="shared" ca="1" si="117"/>
        <v>6.25</v>
      </c>
      <c r="N3418" s="143">
        <f ca="1">(PRODUCT($O$5:$O3418)-1)*36000/_xlfn.DAYS(L3418, $C$2)</f>
        <v>9.8535796457475442</v>
      </c>
      <c r="O3418" s="149">
        <f t="shared" ca="1" si="118"/>
        <v>1.000173611111111</v>
      </c>
    </row>
    <row r="3419" spans="12:15" x14ac:dyDescent="0.25">
      <c r="L3419" s="147">
        <f ca="1"/>
        <v>48658</v>
      </c>
      <c r="M3419" s="92">
        <f t="shared" ca="1" si="117"/>
        <v>6.25</v>
      </c>
      <c r="N3419" s="143">
        <f ca="1">(PRODUCT($O$5:$O3419)-1)*36000/_xlfn.DAYS(L3419, $C$2)</f>
        <v>9.8542346147441613</v>
      </c>
      <c r="O3419" s="149">
        <f t="shared" ca="1" si="118"/>
        <v>1.000173611111111</v>
      </c>
    </row>
    <row r="3420" spans="12:15" x14ac:dyDescent="0.25">
      <c r="L3420" s="147">
        <f ca="1"/>
        <v>48659</v>
      </c>
      <c r="M3420" s="92">
        <f t="shared" ca="1" si="117"/>
        <v>6.25</v>
      </c>
      <c r="N3420" s="143">
        <f ca="1">(PRODUCT($O$5:$O3420)-1)*36000/_xlfn.DAYS(L3420, $C$2)</f>
        <v>9.8548898147338129</v>
      </c>
      <c r="O3420" s="149">
        <f t="shared" ca="1" si="118"/>
        <v>1.000173611111111</v>
      </c>
    </row>
    <row r="3421" spans="12:15" x14ac:dyDescent="0.25">
      <c r="L3421" s="147">
        <f ca="1"/>
        <v>48660</v>
      </c>
      <c r="M3421" s="92">
        <f t="shared" ca="1" si="117"/>
        <v>6.25</v>
      </c>
      <c r="N3421" s="143">
        <f ca="1">(PRODUCT($O$5:$O3421)-1)*36000/_xlfn.DAYS(L3421, $C$2)</f>
        <v>9.8555452456203447</v>
      </c>
      <c r="O3421" s="149">
        <f t="shared" ca="1" si="118"/>
        <v>1.000173611111111</v>
      </c>
    </row>
    <row r="3422" spans="12:15" x14ac:dyDescent="0.25">
      <c r="L3422" s="147">
        <f ca="1"/>
        <v>48661</v>
      </c>
      <c r="M3422" s="92">
        <f t="shared" ca="1" si="117"/>
        <v>6.25</v>
      </c>
      <c r="N3422" s="143">
        <f ca="1">(PRODUCT($O$5:$O3422)-1)*36000/_xlfn.DAYS(L3422, $C$2)</f>
        <v>9.856200907307727</v>
      </c>
      <c r="O3422" s="149">
        <f t="shared" ca="1" si="118"/>
        <v>1.000173611111111</v>
      </c>
    </row>
    <row r="3423" spans="12:15" x14ac:dyDescent="0.25">
      <c r="L3423" s="147">
        <f ca="1"/>
        <v>48662</v>
      </c>
      <c r="M3423" s="92">
        <f t="shared" ca="1" si="117"/>
        <v>6.25</v>
      </c>
      <c r="N3423" s="143">
        <f ca="1">(PRODUCT($O$5:$O3423)-1)*36000/_xlfn.DAYS(L3423, $C$2)</f>
        <v>9.8568567997000702</v>
      </c>
      <c r="O3423" s="149">
        <f t="shared" ca="1" si="118"/>
        <v>1.000173611111111</v>
      </c>
    </row>
    <row r="3424" spans="12:15" x14ac:dyDescent="0.25">
      <c r="L3424" s="147">
        <f ca="1"/>
        <v>48663</v>
      </c>
      <c r="M3424" s="92">
        <f t="shared" ca="1" si="117"/>
        <v>6.25</v>
      </c>
      <c r="N3424" s="143">
        <f ca="1">(PRODUCT($O$5:$O3424)-1)*36000/_xlfn.DAYS(L3424, $C$2)</f>
        <v>9.8575129227016092</v>
      </c>
      <c r="O3424" s="149">
        <f t="shared" ca="1" si="118"/>
        <v>1.000173611111111</v>
      </c>
    </row>
    <row r="3425" spans="12:15" x14ac:dyDescent="0.25">
      <c r="L3425" s="147">
        <f ca="1"/>
        <v>48664</v>
      </c>
      <c r="M3425" s="92">
        <f t="shared" ca="1" si="117"/>
        <v>6.25</v>
      </c>
      <c r="N3425" s="143">
        <f ca="1">(PRODUCT($O$5:$O3425)-1)*36000/_xlfn.DAYS(L3425, $C$2)</f>
        <v>9.8581692762167048</v>
      </c>
      <c r="O3425" s="149">
        <f t="shared" ca="1" si="118"/>
        <v>1.000173611111111</v>
      </c>
    </row>
    <row r="3426" spans="12:15" x14ac:dyDescent="0.25">
      <c r="L3426" s="147">
        <f ca="1"/>
        <v>48665</v>
      </c>
      <c r="M3426" s="92">
        <f t="shared" ca="1" si="117"/>
        <v>6.25</v>
      </c>
      <c r="N3426" s="143">
        <f ca="1">(PRODUCT($O$5:$O3426)-1)*36000/_xlfn.DAYS(L3426, $C$2)</f>
        <v>9.8588258601498602</v>
      </c>
      <c r="O3426" s="149">
        <f t="shared" ca="1" si="118"/>
        <v>1.000173611111111</v>
      </c>
    </row>
    <row r="3427" spans="12:15" x14ac:dyDescent="0.25">
      <c r="L3427" s="147">
        <f ca="1"/>
        <v>48666</v>
      </c>
      <c r="M3427" s="92">
        <f t="shared" ca="1" si="117"/>
        <v>6.25</v>
      </c>
      <c r="N3427" s="143">
        <f ca="1">(PRODUCT($O$5:$O3427)-1)*36000/_xlfn.DAYS(L3427, $C$2)</f>
        <v>9.8594826744056974</v>
      </c>
      <c r="O3427" s="149">
        <f t="shared" ca="1" si="118"/>
        <v>1.000173611111111</v>
      </c>
    </row>
    <row r="3428" spans="12:15" x14ac:dyDescent="0.25">
      <c r="L3428" s="147">
        <f ca="1"/>
        <v>48667</v>
      </c>
      <c r="M3428" s="92">
        <f t="shared" ca="1" si="117"/>
        <v>6.25</v>
      </c>
      <c r="N3428" s="143">
        <f ca="1">(PRODUCT($O$5:$O3428)-1)*36000/_xlfn.DAYS(L3428, $C$2)</f>
        <v>9.8601397188889752</v>
      </c>
      <c r="O3428" s="149">
        <f t="shared" ca="1" si="118"/>
        <v>1.000173611111111</v>
      </c>
    </row>
    <row r="3429" spans="12:15" x14ac:dyDescent="0.25">
      <c r="L3429" s="147">
        <f ca="1"/>
        <v>48668</v>
      </c>
      <c r="M3429" s="92">
        <f t="shared" ca="1" si="117"/>
        <v>6.25</v>
      </c>
      <c r="N3429" s="143">
        <f ca="1">(PRODUCT($O$5:$O3429)-1)*36000/_xlfn.DAYS(L3429, $C$2)</f>
        <v>9.8607969935045823</v>
      </c>
      <c r="O3429" s="149">
        <f t="shared" ca="1" si="118"/>
        <v>1.000173611111111</v>
      </c>
    </row>
    <row r="3430" spans="12:15" x14ac:dyDescent="0.25">
      <c r="L3430" s="147">
        <f ca="1"/>
        <v>48669</v>
      </c>
      <c r="M3430" s="92">
        <f t="shared" ca="1" si="117"/>
        <v>6.25</v>
      </c>
      <c r="N3430" s="143">
        <f ca="1">(PRODUCT($O$5:$O3430)-1)*36000/_xlfn.DAYS(L3430, $C$2)</f>
        <v>9.8614544981575278</v>
      </c>
      <c r="O3430" s="149">
        <f t="shared" ca="1" si="118"/>
        <v>1.000173611111111</v>
      </c>
    </row>
    <row r="3431" spans="12:15" x14ac:dyDescent="0.25">
      <c r="L3431" s="147">
        <f ca="1"/>
        <v>48670</v>
      </c>
      <c r="M3431" s="92">
        <f t="shared" ca="1" si="117"/>
        <v>6.25</v>
      </c>
      <c r="N3431" s="143">
        <f ca="1">(PRODUCT($O$5:$O3431)-1)*36000/_xlfn.DAYS(L3431, $C$2)</f>
        <v>9.8621122327529616</v>
      </c>
      <c r="O3431" s="149">
        <f t="shared" ca="1" si="118"/>
        <v>1.000173611111111</v>
      </c>
    </row>
    <row r="3432" spans="12:15" x14ac:dyDescent="0.25">
      <c r="L3432" s="147">
        <f ca="1"/>
        <v>48671</v>
      </c>
      <c r="M3432" s="92">
        <f t="shared" ca="1" si="117"/>
        <v>6.25</v>
      </c>
      <c r="N3432" s="143">
        <f ca="1">(PRODUCT($O$5:$O3432)-1)*36000/_xlfn.DAYS(L3432, $C$2)</f>
        <v>9.8627701971961592</v>
      </c>
      <c r="O3432" s="149">
        <f t="shared" ca="1" si="118"/>
        <v>1.000173611111111</v>
      </c>
    </row>
    <row r="3433" spans="12:15" x14ac:dyDescent="0.25">
      <c r="L3433" s="147">
        <f ca="1"/>
        <v>48672</v>
      </c>
      <c r="M3433" s="92">
        <f t="shared" ca="1" si="117"/>
        <v>6.25</v>
      </c>
      <c r="N3433" s="143">
        <f ca="1">(PRODUCT($O$5:$O3433)-1)*36000/_xlfn.DAYS(L3433, $C$2)</f>
        <v>9.8634283913925209</v>
      </c>
      <c r="O3433" s="149">
        <f t="shared" ca="1" si="118"/>
        <v>1.000173611111111</v>
      </c>
    </row>
    <row r="3434" spans="12:15" x14ac:dyDescent="0.25">
      <c r="L3434" s="147">
        <f ca="1"/>
        <v>48673</v>
      </c>
      <c r="M3434" s="92">
        <f t="shared" ca="1" si="117"/>
        <v>6.25</v>
      </c>
      <c r="N3434" s="143">
        <f ca="1">(PRODUCT($O$5:$O3434)-1)*36000/_xlfn.DAYS(L3434, $C$2)</f>
        <v>9.86408681524758</v>
      </c>
      <c r="O3434" s="149">
        <f t="shared" ca="1" si="118"/>
        <v>1.000173611111111</v>
      </c>
    </row>
    <row r="3435" spans="12:15" x14ac:dyDescent="0.25">
      <c r="L3435" s="147">
        <f ca="1"/>
        <v>48674</v>
      </c>
      <c r="M3435" s="92">
        <f t="shared" ca="1" si="117"/>
        <v>6.25</v>
      </c>
      <c r="N3435" s="143">
        <f ca="1">(PRODUCT($O$5:$O3435)-1)*36000/_xlfn.DAYS(L3435, $C$2)</f>
        <v>9.8647454686669978</v>
      </c>
      <c r="O3435" s="149">
        <f t="shared" ca="1" si="118"/>
        <v>1.000173611111111</v>
      </c>
    </row>
    <row r="3436" spans="12:15" x14ac:dyDescent="0.25">
      <c r="L3436" s="147">
        <f ca="1"/>
        <v>48675</v>
      </c>
      <c r="M3436" s="92">
        <f t="shared" ca="1" si="117"/>
        <v>6.25</v>
      </c>
      <c r="N3436" s="143">
        <f ca="1">(PRODUCT($O$5:$O3436)-1)*36000/_xlfn.DAYS(L3436, $C$2)</f>
        <v>9.8654043515565615</v>
      </c>
      <c r="O3436" s="149">
        <f t="shared" ca="1" si="118"/>
        <v>1.000173611111111</v>
      </c>
    </row>
    <row r="3437" spans="12:15" x14ac:dyDescent="0.25">
      <c r="L3437" s="147">
        <f ca="1"/>
        <v>48676</v>
      </c>
      <c r="M3437" s="92">
        <f t="shared" ca="1" si="117"/>
        <v>6.25</v>
      </c>
      <c r="N3437" s="143">
        <f ca="1">(PRODUCT($O$5:$O3437)-1)*36000/_xlfn.DAYS(L3437, $C$2)</f>
        <v>9.8660634638221936</v>
      </c>
      <c r="O3437" s="149">
        <f t="shared" ca="1" si="118"/>
        <v>1.000173611111111</v>
      </c>
    </row>
    <row r="3438" spans="12:15" x14ac:dyDescent="0.25">
      <c r="L3438" s="147">
        <f ca="1"/>
        <v>48677</v>
      </c>
      <c r="M3438" s="92">
        <f t="shared" ca="1" si="117"/>
        <v>6.25</v>
      </c>
      <c r="N3438" s="143">
        <f ca="1">(PRODUCT($O$5:$O3438)-1)*36000/_xlfn.DAYS(L3438, $C$2)</f>
        <v>9.8667228053699336</v>
      </c>
      <c r="O3438" s="149">
        <f t="shared" ca="1" si="118"/>
        <v>1.000173611111111</v>
      </c>
    </row>
    <row r="3439" spans="12:15" x14ac:dyDescent="0.25">
      <c r="L3439" s="147">
        <f ca="1"/>
        <v>48678</v>
      </c>
      <c r="M3439" s="92">
        <f t="shared" ca="1" si="117"/>
        <v>6.25</v>
      </c>
      <c r="N3439" s="143">
        <f ca="1">(PRODUCT($O$5:$O3439)-1)*36000/_xlfn.DAYS(L3439, $C$2)</f>
        <v>9.8673823761059563</v>
      </c>
      <c r="O3439" s="149">
        <f t="shared" ca="1" si="118"/>
        <v>1.000173611111111</v>
      </c>
    </row>
    <row r="3440" spans="12:15" x14ac:dyDescent="0.25">
      <c r="L3440" s="147">
        <f ca="1"/>
        <v>48679</v>
      </c>
      <c r="M3440" s="92">
        <f t="shared" ca="1" si="117"/>
        <v>6.25</v>
      </c>
      <c r="N3440" s="143">
        <f ca="1">(PRODUCT($O$5:$O3440)-1)*36000/_xlfn.DAYS(L3440, $C$2)</f>
        <v>9.8680421759365657</v>
      </c>
      <c r="O3440" s="149">
        <f t="shared" ca="1" si="118"/>
        <v>1.000173611111111</v>
      </c>
    </row>
    <row r="3441" spans="12:15" x14ac:dyDescent="0.25">
      <c r="L3441" s="147">
        <f ca="1"/>
        <v>48680</v>
      </c>
      <c r="M3441" s="92">
        <f t="shared" ca="1" si="117"/>
        <v>6.25</v>
      </c>
      <c r="N3441" s="143">
        <f ca="1">(PRODUCT($O$5:$O3441)-1)*36000/_xlfn.DAYS(L3441, $C$2)</f>
        <v>9.8687022047681907</v>
      </c>
      <c r="O3441" s="149">
        <f t="shared" ca="1" si="118"/>
        <v>1.000173611111111</v>
      </c>
    </row>
    <row r="3442" spans="12:15" x14ac:dyDescent="0.25">
      <c r="L3442" s="147">
        <f ca="1"/>
        <v>48681</v>
      </c>
      <c r="M3442" s="92">
        <f t="shared" ca="1" si="117"/>
        <v>6.25</v>
      </c>
      <c r="N3442" s="143">
        <f ca="1">(PRODUCT($O$5:$O3442)-1)*36000/_xlfn.DAYS(L3442, $C$2)</f>
        <v>9.8693624625073824</v>
      </c>
      <c r="O3442" s="149">
        <f t="shared" ca="1" si="118"/>
        <v>1.000173611111111</v>
      </c>
    </row>
    <row r="3443" spans="12:15" x14ac:dyDescent="0.25">
      <c r="L3443" s="147">
        <f ca="1"/>
        <v>48682</v>
      </c>
      <c r="M3443" s="92">
        <f t="shared" ca="1" si="117"/>
        <v>6.25</v>
      </c>
      <c r="N3443" s="143">
        <f ca="1">(PRODUCT($O$5:$O3443)-1)*36000/_xlfn.DAYS(L3443, $C$2)</f>
        <v>9.8700229490608269</v>
      </c>
      <c r="O3443" s="149">
        <f t="shared" ca="1" si="118"/>
        <v>1.000173611111111</v>
      </c>
    </row>
    <row r="3444" spans="12:15" x14ac:dyDescent="0.25">
      <c r="L3444" s="147">
        <f ca="1"/>
        <v>48683</v>
      </c>
      <c r="M3444" s="92">
        <f t="shared" ca="1" si="117"/>
        <v>6.25</v>
      </c>
      <c r="N3444" s="143">
        <f ca="1">(PRODUCT($O$5:$O3444)-1)*36000/_xlfn.DAYS(L3444, $C$2)</f>
        <v>9.8706836643353331</v>
      </c>
      <c r="O3444" s="149">
        <f t="shared" ca="1" si="118"/>
        <v>1.000173611111111</v>
      </c>
    </row>
    <row r="3445" spans="12:15" x14ac:dyDescent="0.25">
      <c r="L3445" s="147">
        <f ca="1"/>
        <v>48684</v>
      </c>
      <c r="M3445" s="92">
        <f t="shared" ca="1" si="117"/>
        <v>6.25</v>
      </c>
      <c r="N3445" s="143">
        <f ca="1">(PRODUCT($O$5:$O3445)-1)*36000/_xlfn.DAYS(L3445, $C$2)</f>
        <v>9.8713446082378375</v>
      </c>
      <c r="O3445" s="149">
        <f t="shared" ca="1" si="118"/>
        <v>1.000173611111111</v>
      </c>
    </row>
    <row r="3446" spans="12:15" x14ac:dyDescent="0.25">
      <c r="L3446" s="147">
        <f ca="1"/>
        <v>48685</v>
      </c>
      <c r="M3446" s="92">
        <f t="shared" ca="1" si="117"/>
        <v>6.25</v>
      </c>
      <c r="N3446" s="143">
        <f ca="1">(PRODUCT($O$5:$O3446)-1)*36000/_xlfn.DAYS(L3446, $C$2)</f>
        <v>9.8720057806754102</v>
      </c>
      <c r="O3446" s="149">
        <f t="shared" ca="1" si="118"/>
        <v>1.000173611111111</v>
      </c>
    </row>
    <row r="3447" spans="12:15" x14ac:dyDescent="0.25">
      <c r="L3447" s="147">
        <f ca="1"/>
        <v>48686</v>
      </c>
      <c r="M3447" s="92">
        <f t="shared" ca="1" si="117"/>
        <v>6.25</v>
      </c>
      <c r="N3447" s="143">
        <f ca="1">(PRODUCT($O$5:$O3447)-1)*36000/_xlfn.DAYS(L3447, $C$2)</f>
        <v>9.8726671815552329</v>
      </c>
      <c r="O3447" s="149">
        <f t="shared" ca="1" si="118"/>
        <v>1.000173611111111</v>
      </c>
    </row>
    <row r="3448" spans="12:15" x14ac:dyDescent="0.25">
      <c r="L3448" s="147">
        <f ca="1"/>
        <v>48687</v>
      </c>
      <c r="M3448" s="92">
        <f t="shared" ca="1" si="117"/>
        <v>6.25</v>
      </c>
      <c r="N3448" s="143">
        <f ca="1">(PRODUCT($O$5:$O3448)-1)*36000/_xlfn.DAYS(L3448, $C$2)</f>
        <v>9.8733288107846242</v>
      </c>
      <c r="O3448" s="149">
        <f t="shared" ca="1" si="118"/>
        <v>1.000173611111111</v>
      </c>
    </row>
    <row r="3449" spans="12:15" x14ac:dyDescent="0.25">
      <c r="L3449" s="147">
        <f ca="1"/>
        <v>48688</v>
      </c>
      <c r="M3449" s="92">
        <f t="shared" ca="1" si="117"/>
        <v>6.25</v>
      </c>
      <c r="N3449" s="143">
        <f ca="1">(PRODUCT($O$5:$O3449)-1)*36000/_xlfn.DAYS(L3449, $C$2)</f>
        <v>9.873990668271027</v>
      </c>
      <c r="O3449" s="149">
        <f t="shared" ca="1" si="118"/>
        <v>1.000173611111111</v>
      </c>
    </row>
    <row r="3450" spans="12:15" x14ac:dyDescent="0.25">
      <c r="L3450" s="147">
        <f ca="1"/>
        <v>48689</v>
      </c>
      <c r="M3450" s="92">
        <f t="shared" ca="1" si="117"/>
        <v>6.25</v>
      </c>
      <c r="N3450" s="143">
        <f ca="1">(PRODUCT($O$5:$O3450)-1)*36000/_xlfn.DAYS(L3450, $C$2)</f>
        <v>9.8746527539220086</v>
      </c>
      <c r="O3450" s="149">
        <f t="shared" ca="1" si="118"/>
        <v>1.000173611111111</v>
      </c>
    </row>
    <row r="3451" spans="12:15" x14ac:dyDescent="0.25">
      <c r="L3451" s="147">
        <f ca="1"/>
        <v>48690</v>
      </c>
      <c r="M3451" s="92">
        <f t="shared" ca="1" si="117"/>
        <v>6.25</v>
      </c>
      <c r="N3451" s="143">
        <f ca="1">(PRODUCT($O$5:$O3451)-1)*36000/_xlfn.DAYS(L3451, $C$2)</f>
        <v>9.8753150676452641</v>
      </c>
      <c r="O3451" s="149">
        <f t="shared" ca="1" si="118"/>
        <v>1.000173611111111</v>
      </c>
    </row>
    <row r="3452" spans="12:15" x14ac:dyDescent="0.25">
      <c r="L3452" s="147">
        <f ca="1"/>
        <v>48691</v>
      </c>
      <c r="M3452" s="92">
        <f t="shared" ca="1" si="117"/>
        <v>6.25</v>
      </c>
      <c r="N3452" s="143">
        <f ca="1">(PRODUCT($O$5:$O3452)-1)*36000/_xlfn.DAYS(L3452, $C$2)</f>
        <v>9.8759776093486131</v>
      </c>
      <c r="O3452" s="149">
        <f t="shared" ca="1" si="118"/>
        <v>1.000173611111111</v>
      </c>
    </row>
    <row r="3453" spans="12:15" x14ac:dyDescent="0.25">
      <c r="L3453" s="147">
        <f ca="1"/>
        <v>48692</v>
      </c>
      <c r="M3453" s="92">
        <f t="shared" ca="1" si="117"/>
        <v>6.25</v>
      </c>
      <c r="N3453" s="143">
        <f ca="1">(PRODUCT($O$5:$O3453)-1)*36000/_xlfn.DAYS(L3453, $C$2)</f>
        <v>9.8766403789399977</v>
      </c>
      <c r="O3453" s="149">
        <f t="shared" ca="1" si="118"/>
        <v>1.000173611111111</v>
      </c>
    </row>
    <row r="3454" spans="12:15" x14ac:dyDescent="0.25">
      <c r="L3454" s="147">
        <f ca="1"/>
        <v>48693</v>
      </c>
      <c r="M3454" s="92">
        <f t="shared" ca="1" si="117"/>
        <v>6.25</v>
      </c>
      <c r="N3454" s="143">
        <f ca="1">(PRODUCT($O$5:$O3454)-1)*36000/_xlfn.DAYS(L3454, $C$2)</f>
        <v>9.8773033763274896</v>
      </c>
      <c r="O3454" s="149">
        <f t="shared" ca="1" si="118"/>
        <v>1.000173611111111</v>
      </c>
    </row>
    <row r="3455" spans="12:15" x14ac:dyDescent="0.25">
      <c r="L3455" s="147">
        <f ca="1"/>
        <v>48694</v>
      </c>
      <c r="M3455" s="92">
        <f t="shared" ca="1" si="117"/>
        <v>6.25</v>
      </c>
      <c r="N3455" s="143">
        <f ca="1">(PRODUCT($O$5:$O3455)-1)*36000/_xlfn.DAYS(L3455, $C$2)</f>
        <v>9.8779666014192848</v>
      </c>
      <c r="O3455" s="149">
        <f t="shared" ca="1" si="118"/>
        <v>1.000173611111111</v>
      </c>
    </row>
    <row r="3456" spans="12:15" x14ac:dyDescent="0.25">
      <c r="L3456" s="147">
        <f ca="1"/>
        <v>48695</v>
      </c>
      <c r="M3456" s="92">
        <f t="shared" ca="1" si="117"/>
        <v>6.25</v>
      </c>
      <c r="N3456" s="143">
        <f ca="1">(PRODUCT($O$5:$O3456)-1)*36000/_xlfn.DAYS(L3456, $C$2)</f>
        <v>9.8786300541236969</v>
      </c>
      <c r="O3456" s="149">
        <f t="shared" ca="1" si="118"/>
        <v>1.000173611111111</v>
      </c>
    </row>
    <row r="3457" spans="12:15" x14ac:dyDescent="0.25">
      <c r="L3457" s="147">
        <f ca="1"/>
        <v>48696</v>
      </c>
      <c r="M3457" s="92">
        <f t="shared" ca="1" si="117"/>
        <v>6.25</v>
      </c>
      <c r="N3457" s="143">
        <f ca="1">(PRODUCT($O$5:$O3457)-1)*36000/_xlfn.DAYS(L3457, $C$2)</f>
        <v>9.8792937343491793</v>
      </c>
      <c r="O3457" s="149">
        <f t="shared" ca="1" si="118"/>
        <v>1.000173611111111</v>
      </c>
    </row>
    <row r="3458" spans="12:15" x14ac:dyDescent="0.25">
      <c r="L3458" s="147">
        <f ca="1"/>
        <v>48697</v>
      </c>
      <c r="M3458" s="92">
        <f t="shared" ca="1" si="117"/>
        <v>6.25</v>
      </c>
      <c r="N3458" s="143">
        <f ca="1">(PRODUCT($O$5:$O3458)-1)*36000/_xlfn.DAYS(L3458, $C$2)</f>
        <v>9.8799576420042943</v>
      </c>
      <c r="O3458" s="149">
        <f t="shared" ca="1" si="118"/>
        <v>1.000173611111111</v>
      </c>
    </row>
    <row r="3459" spans="12:15" x14ac:dyDescent="0.25">
      <c r="L3459" s="147">
        <f ca="1"/>
        <v>48698</v>
      </c>
      <c r="M3459" s="92">
        <f t="shared" ca="1" si="117"/>
        <v>6.25</v>
      </c>
      <c r="N3459" s="143">
        <f ca="1">(PRODUCT($O$5:$O3459)-1)*36000/_xlfn.DAYS(L3459, $C$2)</f>
        <v>9.8806217769977369</v>
      </c>
      <c r="O3459" s="149">
        <f t="shared" ca="1" si="118"/>
        <v>1.000173611111111</v>
      </c>
    </row>
    <row r="3460" spans="12:15" x14ac:dyDescent="0.25">
      <c r="L3460" s="147">
        <f ca="1"/>
        <v>48699</v>
      </c>
      <c r="M3460" s="92">
        <f t="shared" ca="1" si="117"/>
        <v>6.25</v>
      </c>
      <c r="N3460" s="143">
        <f ca="1">(PRODUCT($O$5:$O3460)-1)*36000/_xlfn.DAYS(L3460, $C$2)</f>
        <v>9.8812861392383251</v>
      </c>
      <c r="O3460" s="149">
        <f t="shared" ca="1" si="118"/>
        <v>1.000173611111111</v>
      </c>
    </row>
    <row r="3461" spans="12:15" x14ac:dyDescent="0.25">
      <c r="L3461" s="147">
        <f ca="1"/>
        <v>48700</v>
      </c>
      <c r="M3461" s="92">
        <f t="shared" ref="M3461:M3524" ca="1" si="119">IFERROR(INDEX($E$27:$H$47, MATCH(L3461, $F$27:$F$47, 0), 4), IF(ISNUMBER(M3460), M3460, $C$5))</f>
        <v>6.25</v>
      </c>
      <c r="N3461" s="143">
        <f ca="1">(PRODUCT($O$5:$O3461)-1)*36000/_xlfn.DAYS(L3461, $C$2)</f>
        <v>9.8819507286349975</v>
      </c>
      <c r="O3461" s="149">
        <f t="shared" ca="1" si="118"/>
        <v>1.000173611111111</v>
      </c>
    </row>
    <row r="3462" spans="12:15" x14ac:dyDescent="0.25">
      <c r="L3462" s="147">
        <f ca="1"/>
        <v>48701</v>
      </c>
      <c r="M3462" s="92">
        <f t="shared" ca="1" si="119"/>
        <v>6.25</v>
      </c>
      <c r="N3462" s="143">
        <f ca="1">(PRODUCT($O$5:$O3462)-1)*36000/_xlfn.DAYS(L3462, $C$2)</f>
        <v>9.8826155450968223</v>
      </c>
      <c r="O3462" s="149">
        <f t="shared" ref="O3462:O3525" ca="1" si="120">1+M3462*IFERROR(_xlfn.DAYS(L3462, L3461), _xlfn.DAYS(L3462, $C$2))/36000</f>
        <v>1.000173611111111</v>
      </c>
    </row>
    <row r="3463" spans="12:15" x14ac:dyDescent="0.25">
      <c r="L3463" s="147">
        <f ca="1"/>
        <v>48702</v>
      </c>
      <c r="M3463" s="92">
        <f t="shared" ca="1" si="119"/>
        <v>6.25</v>
      </c>
      <c r="N3463" s="143">
        <f ca="1">(PRODUCT($O$5:$O3463)-1)*36000/_xlfn.DAYS(L3463, $C$2)</f>
        <v>9.8832805885329833</v>
      </c>
      <c r="O3463" s="149">
        <f t="shared" ca="1" si="120"/>
        <v>1.000173611111111</v>
      </c>
    </row>
    <row r="3464" spans="12:15" x14ac:dyDescent="0.25">
      <c r="L3464" s="147">
        <f ca="1"/>
        <v>48703</v>
      </c>
      <c r="M3464" s="92">
        <f t="shared" ca="1" si="119"/>
        <v>6.25</v>
      </c>
      <c r="N3464" s="143">
        <f ca="1">(PRODUCT($O$5:$O3464)-1)*36000/_xlfn.DAYS(L3464, $C$2)</f>
        <v>9.8839458588527975</v>
      </c>
      <c r="O3464" s="149">
        <f t="shared" ca="1" si="120"/>
        <v>1.000173611111111</v>
      </c>
    </row>
    <row r="3465" spans="12:15" x14ac:dyDescent="0.25">
      <c r="L3465" s="147">
        <f ca="1"/>
        <v>48704</v>
      </c>
      <c r="M3465" s="92">
        <f t="shared" ca="1" si="119"/>
        <v>6.25</v>
      </c>
      <c r="N3465" s="143">
        <f ca="1">(PRODUCT($O$5:$O3465)-1)*36000/_xlfn.DAYS(L3465, $C$2)</f>
        <v>9.8846113559656938</v>
      </c>
      <c r="O3465" s="149">
        <f t="shared" ca="1" si="120"/>
        <v>1.000173611111111</v>
      </c>
    </row>
    <row r="3466" spans="12:15" x14ac:dyDescent="0.25">
      <c r="L3466" s="147">
        <f ca="1"/>
        <v>48705</v>
      </c>
      <c r="M3466" s="92">
        <f t="shared" ca="1" si="119"/>
        <v>6.25</v>
      </c>
      <c r="N3466" s="143">
        <f ca="1">(PRODUCT($O$5:$O3466)-1)*36000/_xlfn.DAYS(L3466, $C$2)</f>
        <v>9.8852770797812379</v>
      </c>
      <c r="O3466" s="149">
        <f t="shared" ca="1" si="120"/>
        <v>1.000173611111111</v>
      </c>
    </row>
    <row r="3467" spans="12:15" x14ac:dyDescent="0.25">
      <c r="L3467" s="147">
        <f ca="1"/>
        <v>48706</v>
      </c>
      <c r="M3467" s="92">
        <f t="shared" ca="1" si="119"/>
        <v>6.25</v>
      </c>
      <c r="N3467" s="143">
        <f ca="1">(PRODUCT($O$5:$O3467)-1)*36000/_xlfn.DAYS(L3467, $C$2)</f>
        <v>9.8859430302091056</v>
      </c>
      <c r="O3467" s="149">
        <f t="shared" ca="1" si="120"/>
        <v>1.000173611111111</v>
      </c>
    </row>
    <row r="3468" spans="12:15" x14ac:dyDescent="0.25">
      <c r="L3468" s="147">
        <f ca="1"/>
        <v>48707</v>
      </c>
      <c r="M3468" s="92">
        <f t="shared" ca="1" si="119"/>
        <v>6.25</v>
      </c>
      <c r="N3468" s="143">
        <f ca="1">(PRODUCT($O$5:$O3468)-1)*36000/_xlfn.DAYS(L3468, $C$2)</f>
        <v>9.8866092071591023</v>
      </c>
      <c r="O3468" s="149">
        <f t="shared" ca="1" si="120"/>
        <v>1.000173611111111</v>
      </c>
    </row>
    <row r="3469" spans="12:15" x14ac:dyDescent="0.25">
      <c r="L3469" s="147">
        <f ca="1"/>
        <v>48708</v>
      </c>
      <c r="M3469" s="92">
        <f t="shared" ca="1" si="119"/>
        <v>6.25</v>
      </c>
      <c r="N3469" s="143">
        <f ca="1">(PRODUCT($O$5:$O3469)-1)*36000/_xlfn.DAYS(L3469, $C$2)</f>
        <v>9.8872756105411543</v>
      </c>
      <c r="O3469" s="149">
        <f t="shared" ca="1" si="120"/>
        <v>1.000173611111111</v>
      </c>
    </row>
    <row r="3470" spans="12:15" x14ac:dyDescent="0.25">
      <c r="L3470" s="147">
        <f ca="1"/>
        <v>48709</v>
      </c>
      <c r="M3470" s="92">
        <f t="shared" ca="1" si="119"/>
        <v>6.25</v>
      </c>
      <c r="N3470" s="143">
        <f ca="1">(PRODUCT($O$5:$O3470)-1)*36000/_xlfn.DAYS(L3470, $C$2)</f>
        <v>9.8879422402653105</v>
      </c>
      <c r="O3470" s="149">
        <f t="shared" ca="1" si="120"/>
        <v>1.000173611111111</v>
      </c>
    </row>
    <row r="3471" spans="12:15" x14ac:dyDescent="0.25">
      <c r="L3471" s="147">
        <f ca="1"/>
        <v>48710</v>
      </c>
      <c r="M3471" s="92">
        <f t="shared" ca="1" si="119"/>
        <v>6.25</v>
      </c>
      <c r="N3471" s="143">
        <f ca="1">(PRODUCT($O$5:$O3471)-1)*36000/_xlfn.DAYS(L3471, $C$2)</f>
        <v>9.8886090962417388</v>
      </c>
      <c r="O3471" s="149">
        <f t="shared" ca="1" si="120"/>
        <v>1.000173611111111</v>
      </c>
    </row>
    <row r="3472" spans="12:15" x14ac:dyDescent="0.25">
      <c r="L3472" s="147">
        <f ca="1"/>
        <v>48711</v>
      </c>
      <c r="M3472" s="92">
        <f t="shared" ca="1" si="119"/>
        <v>6.25</v>
      </c>
      <c r="N3472" s="143">
        <f ca="1">(PRODUCT($O$5:$O3472)-1)*36000/_xlfn.DAYS(L3472, $C$2)</f>
        <v>9.8892761783807348</v>
      </c>
      <c r="O3472" s="149">
        <f t="shared" ca="1" si="120"/>
        <v>1.000173611111111</v>
      </c>
    </row>
    <row r="3473" spans="12:15" x14ac:dyDescent="0.25">
      <c r="L3473" s="147">
        <f ca="1"/>
        <v>48712</v>
      </c>
      <c r="M3473" s="92">
        <f t="shared" ca="1" si="119"/>
        <v>6.25</v>
      </c>
      <c r="N3473" s="143">
        <f ca="1">(PRODUCT($O$5:$O3473)-1)*36000/_xlfn.DAYS(L3473, $C$2)</f>
        <v>9.8899434865927098</v>
      </c>
      <c r="O3473" s="149">
        <f t="shared" ca="1" si="120"/>
        <v>1.000173611111111</v>
      </c>
    </row>
    <row r="3474" spans="12:15" x14ac:dyDescent="0.25">
      <c r="L3474" s="147">
        <f ca="1"/>
        <v>48713</v>
      </c>
      <c r="M3474" s="92">
        <f t="shared" ca="1" si="119"/>
        <v>6.25</v>
      </c>
      <c r="N3474" s="143">
        <f ca="1">(PRODUCT($O$5:$O3474)-1)*36000/_xlfn.DAYS(L3474, $C$2)</f>
        <v>9.8906110207882048</v>
      </c>
      <c r="O3474" s="149">
        <f t="shared" ca="1" si="120"/>
        <v>1.000173611111111</v>
      </c>
    </row>
    <row r="3475" spans="12:15" x14ac:dyDescent="0.25">
      <c r="L3475" s="147">
        <f ca="1"/>
        <v>48714</v>
      </c>
      <c r="M3475" s="92">
        <f t="shared" ca="1" si="119"/>
        <v>6.25</v>
      </c>
      <c r="N3475" s="143">
        <f ca="1">(PRODUCT($O$5:$O3475)-1)*36000/_xlfn.DAYS(L3475, $C$2)</f>
        <v>9.8912787808778724</v>
      </c>
      <c r="O3475" s="149">
        <f t="shared" ca="1" si="120"/>
        <v>1.000173611111111</v>
      </c>
    </row>
    <row r="3476" spans="12:15" x14ac:dyDescent="0.25">
      <c r="L3476" s="147">
        <f ca="1"/>
        <v>48715</v>
      </c>
      <c r="M3476" s="92">
        <f t="shared" ca="1" si="119"/>
        <v>6.25</v>
      </c>
      <c r="N3476" s="143">
        <f ca="1">(PRODUCT($O$5:$O3476)-1)*36000/_xlfn.DAYS(L3476, $C$2)</f>
        <v>9.891946766772497</v>
      </c>
      <c r="O3476" s="149">
        <f t="shared" ca="1" si="120"/>
        <v>1.000173611111111</v>
      </c>
    </row>
    <row r="3477" spans="12:15" x14ac:dyDescent="0.25">
      <c r="L3477" s="147">
        <f ca="1"/>
        <v>48716</v>
      </c>
      <c r="M3477" s="92">
        <f t="shared" ca="1" si="119"/>
        <v>6.25</v>
      </c>
      <c r="N3477" s="143">
        <f ca="1">(PRODUCT($O$5:$O3477)-1)*36000/_xlfn.DAYS(L3477, $C$2)</f>
        <v>9.8926149783829764</v>
      </c>
      <c r="O3477" s="149">
        <f t="shared" ca="1" si="120"/>
        <v>1.000173611111111</v>
      </c>
    </row>
    <row r="3478" spans="12:15" x14ac:dyDescent="0.25">
      <c r="L3478" s="147">
        <f ca="1"/>
        <v>48717</v>
      </c>
      <c r="M3478" s="92">
        <f t="shared" ca="1" si="119"/>
        <v>6.25</v>
      </c>
      <c r="N3478" s="143">
        <f ca="1">(PRODUCT($O$5:$O3478)-1)*36000/_xlfn.DAYS(L3478, $C$2)</f>
        <v>9.8932834156203313</v>
      </c>
      <c r="O3478" s="149">
        <f t="shared" ca="1" si="120"/>
        <v>1.000173611111111</v>
      </c>
    </row>
    <row r="3479" spans="12:15" x14ac:dyDescent="0.25">
      <c r="L3479" s="147">
        <f ca="1"/>
        <v>48718</v>
      </c>
      <c r="M3479" s="92">
        <f t="shared" ca="1" si="119"/>
        <v>6.25</v>
      </c>
      <c r="N3479" s="143">
        <f ca="1">(PRODUCT($O$5:$O3479)-1)*36000/_xlfn.DAYS(L3479, $C$2)</f>
        <v>9.8939520783957011</v>
      </c>
      <c r="O3479" s="149">
        <f t="shared" ca="1" si="120"/>
        <v>1.000173611111111</v>
      </c>
    </row>
    <row r="3480" spans="12:15" x14ac:dyDescent="0.25">
      <c r="L3480" s="147">
        <f ca="1"/>
        <v>48719</v>
      </c>
      <c r="M3480" s="92">
        <f t="shared" ca="1" si="119"/>
        <v>6.25</v>
      </c>
      <c r="N3480" s="143">
        <f ca="1">(PRODUCT($O$5:$O3480)-1)*36000/_xlfn.DAYS(L3480, $C$2)</f>
        <v>9.8946209666203551</v>
      </c>
      <c r="O3480" s="149">
        <f t="shared" ca="1" si="120"/>
        <v>1.000173611111111</v>
      </c>
    </row>
    <row r="3481" spans="12:15" x14ac:dyDescent="0.25">
      <c r="L3481" s="147">
        <f ca="1"/>
        <v>48720</v>
      </c>
      <c r="M3481" s="92">
        <f t="shared" ca="1" si="119"/>
        <v>6.25</v>
      </c>
      <c r="N3481" s="143">
        <f ca="1">(PRODUCT($O$5:$O3481)-1)*36000/_xlfn.DAYS(L3481, $C$2)</f>
        <v>9.8952900802056689</v>
      </c>
      <c r="O3481" s="149">
        <f t="shared" ca="1" si="120"/>
        <v>1.000173611111111</v>
      </c>
    </row>
    <row r="3482" spans="12:15" x14ac:dyDescent="0.25">
      <c r="L3482" s="147">
        <f ca="1"/>
        <v>48721</v>
      </c>
      <c r="M3482" s="92">
        <f t="shared" ca="1" si="119"/>
        <v>6.25</v>
      </c>
      <c r="N3482" s="143">
        <f ca="1">(PRODUCT($O$5:$O3482)-1)*36000/_xlfn.DAYS(L3482, $C$2)</f>
        <v>9.8959594190631535</v>
      </c>
      <c r="O3482" s="149">
        <f t="shared" ca="1" si="120"/>
        <v>1.000173611111111</v>
      </c>
    </row>
    <row r="3483" spans="12:15" x14ac:dyDescent="0.25">
      <c r="L3483" s="147">
        <f ca="1"/>
        <v>48722</v>
      </c>
      <c r="M3483" s="92">
        <f t="shared" ca="1" si="119"/>
        <v>6.25</v>
      </c>
      <c r="N3483" s="143">
        <f ca="1">(PRODUCT($O$5:$O3483)-1)*36000/_xlfn.DAYS(L3483, $C$2)</f>
        <v>9.8966289831044278</v>
      </c>
      <c r="O3483" s="149">
        <f t="shared" ca="1" si="120"/>
        <v>1.000173611111111</v>
      </c>
    </row>
    <row r="3484" spans="12:15" x14ac:dyDescent="0.25">
      <c r="L3484" s="147">
        <f ca="1"/>
        <v>48723</v>
      </c>
      <c r="M3484" s="92">
        <f t="shared" ca="1" si="119"/>
        <v>6.25</v>
      </c>
      <c r="N3484" s="143">
        <f ca="1">(PRODUCT($O$5:$O3484)-1)*36000/_xlfn.DAYS(L3484, $C$2)</f>
        <v>9.8972987722412356</v>
      </c>
      <c r="O3484" s="149">
        <f t="shared" ca="1" si="120"/>
        <v>1.000173611111111</v>
      </c>
    </row>
    <row r="3485" spans="12:15" x14ac:dyDescent="0.25">
      <c r="L3485" s="147">
        <f ca="1"/>
        <v>48724</v>
      </c>
      <c r="M3485" s="92">
        <f t="shared" ca="1" si="119"/>
        <v>6.25</v>
      </c>
      <c r="N3485" s="143">
        <f ca="1">(PRODUCT($O$5:$O3485)-1)*36000/_xlfn.DAYS(L3485, $C$2)</f>
        <v>9.8979687863854426</v>
      </c>
      <c r="O3485" s="149">
        <f t="shared" ca="1" si="120"/>
        <v>1.000173611111111</v>
      </c>
    </row>
    <row r="3486" spans="12:15" x14ac:dyDescent="0.25">
      <c r="L3486" s="147">
        <f ca="1"/>
        <v>48725</v>
      </c>
      <c r="M3486" s="92">
        <f t="shared" ca="1" si="119"/>
        <v>6.25</v>
      </c>
      <c r="N3486" s="143">
        <f ca="1">(PRODUCT($O$5:$O3486)-1)*36000/_xlfn.DAYS(L3486, $C$2)</f>
        <v>9.8986390254490288</v>
      </c>
      <c r="O3486" s="149">
        <f t="shared" ca="1" si="120"/>
        <v>1.000173611111111</v>
      </c>
    </row>
    <row r="3487" spans="12:15" x14ac:dyDescent="0.25">
      <c r="L3487" s="147">
        <f ca="1"/>
        <v>48726</v>
      </c>
      <c r="M3487" s="92">
        <f t="shared" ca="1" si="119"/>
        <v>6.25</v>
      </c>
      <c r="N3487" s="143">
        <f ca="1">(PRODUCT($O$5:$O3487)-1)*36000/_xlfn.DAYS(L3487, $C$2)</f>
        <v>9.8993094893441</v>
      </c>
      <c r="O3487" s="149">
        <f t="shared" ca="1" si="120"/>
        <v>1.000173611111111</v>
      </c>
    </row>
    <row r="3488" spans="12:15" x14ac:dyDescent="0.25">
      <c r="L3488" s="147">
        <f ca="1"/>
        <v>48727</v>
      </c>
      <c r="M3488" s="92">
        <f t="shared" ca="1" si="119"/>
        <v>6.25</v>
      </c>
      <c r="N3488" s="143">
        <f ca="1">(PRODUCT($O$5:$O3488)-1)*36000/_xlfn.DAYS(L3488, $C$2)</f>
        <v>9.8999801779828722</v>
      </c>
      <c r="O3488" s="149">
        <f t="shared" ca="1" si="120"/>
        <v>1.000173611111111</v>
      </c>
    </row>
    <row r="3489" spans="12:15" x14ac:dyDescent="0.25">
      <c r="L3489" s="147">
        <f ca="1"/>
        <v>48728</v>
      </c>
      <c r="M3489" s="92">
        <f t="shared" ca="1" si="119"/>
        <v>6.25</v>
      </c>
      <c r="N3489" s="143">
        <f ca="1">(PRODUCT($O$5:$O3489)-1)*36000/_xlfn.DAYS(L3489, $C$2)</f>
        <v>9.9006510912776911</v>
      </c>
      <c r="O3489" s="149">
        <f t="shared" ca="1" si="120"/>
        <v>1.000173611111111</v>
      </c>
    </row>
    <row r="3490" spans="12:15" x14ac:dyDescent="0.25">
      <c r="L3490" s="147">
        <f ca="1"/>
        <v>48729</v>
      </c>
      <c r="M3490" s="92">
        <f t="shared" ca="1" si="119"/>
        <v>6.25</v>
      </c>
      <c r="N3490" s="143">
        <f ca="1">(PRODUCT($O$5:$O3490)-1)*36000/_xlfn.DAYS(L3490, $C$2)</f>
        <v>9.9013222291410159</v>
      </c>
      <c r="O3490" s="149">
        <f t="shared" ca="1" si="120"/>
        <v>1.000173611111111</v>
      </c>
    </row>
    <row r="3491" spans="12:15" x14ac:dyDescent="0.25">
      <c r="L3491" s="147">
        <f ca="1"/>
        <v>48730</v>
      </c>
      <c r="M3491" s="92">
        <f t="shared" ca="1" si="119"/>
        <v>6.25</v>
      </c>
      <c r="N3491" s="143">
        <f ca="1">(PRODUCT($O$5:$O3491)-1)*36000/_xlfn.DAYS(L3491, $C$2)</f>
        <v>9.9019935914854216</v>
      </c>
      <c r="O3491" s="149">
        <f t="shared" ca="1" si="120"/>
        <v>1.000173611111111</v>
      </c>
    </row>
    <row r="3492" spans="12:15" x14ac:dyDescent="0.25">
      <c r="L3492" s="147">
        <f ca="1"/>
        <v>48731</v>
      </c>
      <c r="M3492" s="92">
        <f t="shared" ca="1" si="119"/>
        <v>6.25</v>
      </c>
      <c r="N3492" s="143">
        <f ca="1">(PRODUCT($O$5:$O3492)-1)*36000/_xlfn.DAYS(L3492, $C$2)</f>
        <v>9.902665178223609</v>
      </c>
      <c r="O3492" s="149">
        <f t="shared" ca="1" si="120"/>
        <v>1.000173611111111</v>
      </c>
    </row>
    <row r="3493" spans="12:15" x14ac:dyDescent="0.25">
      <c r="L3493" s="147">
        <f ca="1"/>
        <v>48732</v>
      </c>
      <c r="M3493" s="92">
        <f t="shared" ca="1" si="119"/>
        <v>6.25</v>
      </c>
      <c r="N3493" s="143">
        <f ca="1">(PRODUCT($O$5:$O3493)-1)*36000/_xlfn.DAYS(L3493, $C$2)</f>
        <v>9.9033369892683929</v>
      </c>
      <c r="O3493" s="149">
        <f t="shared" ca="1" si="120"/>
        <v>1.000173611111111</v>
      </c>
    </row>
    <row r="3494" spans="12:15" x14ac:dyDescent="0.25">
      <c r="L3494" s="147">
        <f ca="1"/>
        <v>48733</v>
      </c>
      <c r="M3494" s="92">
        <f t="shared" ca="1" si="119"/>
        <v>6.25</v>
      </c>
      <c r="N3494" s="143">
        <f ca="1">(PRODUCT($O$5:$O3494)-1)*36000/_xlfn.DAYS(L3494, $C$2)</f>
        <v>9.904009024532705</v>
      </c>
      <c r="O3494" s="149">
        <f t="shared" ca="1" si="120"/>
        <v>1.000173611111111</v>
      </c>
    </row>
    <row r="3495" spans="12:15" x14ac:dyDescent="0.25">
      <c r="L3495" s="147">
        <f ca="1"/>
        <v>48734</v>
      </c>
      <c r="M3495" s="92">
        <f t="shared" ca="1" si="119"/>
        <v>6.25</v>
      </c>
      <c r="N3495" s="143">
        <f ca="1">(PRODUCT($O$5:$O3495)-1)*36000/_xlfn.DAYS(L3495, $C$2)</f>
        <v>9.9046812839296017</v>
      </c>
      <c r="O3495" s="149">
        <f t="shared" ca="1" si="120"/>
        <v>1.000173611111111</v>
      </c>
    </row>
    <row r="3496" spans="12:15" x14ac:dyDescent="0.25">
      <c r="L3496" s="147">
        <f ca="1"/>
        <v>48735</v>
      </c>
      <c r="M3496" s="92">
        <f t="shared" ca="1" si="119"/>
        <v>6.25</v>
      </c>
      <c r="N3496" s="143">
        <f ca="1">(PRODUCT($O$5:$O3496)-1)*36000/_xlfn.DAYS(L3496, $C$2)</f>
        <v>9.9053537673722492</v>
      </c>
      <c r="O3496" s="149">
        <f t="shared" ca="1" si="120"/>
        <v>1.000173611111111</v>
      </c>
    </row>
    <row r="3497" spans="12:15" x14ac:dyDescent="0.25">
      <c r="L3497" s="147">
        <f ca="1"/>
        <v>48736</v>
      </c>
      <c r="M3497" s="92">
        <f t="shared" ca="1" si="119"/>
        <v>6.25</v>
      </c>
      <c r="N3497" s="143">
        <f ca="1">(PRODUCT($O$5:$O3497)-1)*36000/_xlfn.DAYS(L3497, $C$2)</f>
        <v>9.9060264747739364</v>
      </c>
      <c r="O3497" s="149">
        <f t="shared" ca="1" si="120"/>
        <v>1.000173611111111</v>
      </c>
    </row>
    <row r="3498" spans="12:15" x14ac:dyDescent="0.25">
      <c r="L3498" s="147">
        <f ca="1"/>
        <v>48737</v>
      </c>
      <c r="M3498" s="92">
        <f t="shared" ca="1" si="119"/>
        <v>6.25</v>
      </c>
      <c r="N3498" s="143">
        <f ca="1">(PRODUCT($O$5:$O3498)-1)*36000/_xlfn.DAYS(L3498, $C$2)</f>
        <v>9.9066994060480678</v>
      </c>
      <c r="O3498" s="149">
        <f t="shared" ca="1" si="120"/>
        <v>1.000173611111111</v>
      </c>
    </row>
    <row r="3499" spans="12:15" x14ac:dyDescent="0.25">
      <c r="L3499" s="147">
        <f ca="1"/>
        <v>48738</v>
      </c>
      <c r="M3499" s="92">
        <f t="shared" ca="1" si="119"/>
        <v>6.25</v>
      </c>
      <c r="N3499" s="143">
        <f ca="1">(PRODUCT($O$5:$O3499)-1)*36000/_xlfn.DAYS(L3499, $C$2)</f>
        <v>9.9073725611081667</v>
      </c>
      <c r="O3499" s="149">
        <f t="shared" ca="1" si="120"/>
        <v>1.000173611111111</v>
      </c>
    </row>
    <row r="3500" spans="12:15" x14ac:dyDescent="0.25">
      <c r="L3500" s="147">
        <f ca="1"/>
        <v>48739</v>
      </c>
      <c r="M3500" s="92">
        <f t="shared" ca="1" si="119"/>
        <v>6.25</v>
      </c>
      <c r="N3500" s="143">
        <f ca="1">(PRODUCT($O$5:$O3500)-1)*36000/_xlfn.DAYS(L3500, $C$2)</f>
        <v>9.908045939867872</v>
      </c>
      <c r="O3500" s="149">
        <f t="shared" ca="1" si="120"/>
        <v>1.000173611111111</v>
      </c>
    </row>
    <row r="3501" spans="12:15" x14ac:dyDescent="0.25">
      <c r="L3501" s="147">
        <f ca="1"/>
        <v>48740</v>
      </c>
      <c r="M3501" s="92">
        <f t="shared" ca="1" si="119"/>
        <v>6.25</v>
      </c>
      <c r="N3501" s="143">
        <f ca="1">(PRODUCT($O$5:$O3501)-1)*36000/_xlfn.DAYS(L3501, $C$2)</f>
        <v>9.9087195422409433</v>
      </c>
      <c r="O3501" s="149">
        <f t="shared" ca="1" si="120"/>
        <v>1.000173611111111</v>
      </c>
    </row>
    <row r="3502" spans="12:15" x14ac:dyDescent="0.25">
      <c r="L3502" s="147">
        <f ca="1"/>
        <v>48741</v>
      </c>
      <c r="M3502" s="92">
        <f t="shared" ca="1" si="119"/>
        <v>6.25</v>
      </c>
      <c r="N3502" s="143">
        <f ca="1">(PRODUCT($O$5:$O3502)-1)*36000/_xlfn.DAYS(L3502, $C$2)</f>
        <v>9.9093933681412523</v>
      </c>
      <c r="O3502" s="149">
        <f t="shared" ca="1" si="120"/>
        <v>1.000173611111111</v>
      </c>
    </row>
    <row r="3503" spans="12:15" x14ac:dyDescent="0.25">
      <c r="L3503" s="147">
        <f ca="1"/>
        <v>48742</v>
      </c>
      <c r="M3503" s="92">
        <f t="shared" ca="1" si="119"/>
        <v>6.25</v>
      </c>
      <c r="N3503" s="143">
        <f ca="1">(PRODUCT($O$5:$O3503)-1)*36000/_xlfn.DAYS(L3503, $C$2)</f>
        <v>9.9100674174827912</v>
      </c>
      <c r="O3503" s="149">
        <f t="shared" ca="1" si="120"/>
        <v>1.000173611111111</v>
      </c>
    </row>
    <row r="3504" spans="12:15" x14ac:dyDescent="0.25">
      <c r="L3504" s="147">
        <f ca="1"/>
        <v>48743</v>
      </c>
      <c r="M3504" s="92">
        <f t="shared" ca="1" si="119"/>
        <v>6.25</v>
      </c>
      <c r="N3504" s="143">
        <f ca="1">(PRODUCT($O$5:$O3504)-1)*36000/_xlfn.DAYS(L3504, $C$2)</f>
        <v>9.9107416901796697</v>
      </c>
      <c r="O3504" s="149">
        <f t="shared" ca="1" si="120"/>
        <v>1.000173611111111</v>
      </c>
    </row>
    <row r="3505" spans="12:15" x14ac:dyDescent="0.25">
      <c r="L3505" s="147">
        <f ca="1"/>
        <v>48744</v>
      </c>
      <c r="M3505" s="92">
        <f t="shared" ca="1" si="119"/>
        <v>6.25</v>
      </c>
      <c r="N3505" s="143">
        <f ca="1">(PRODUCT($O$5:$O3505)-1)*36000/_xlfn.DAYS(L3505, $C$2)</f>
        <v>9.9114161861461074</v>
      </c>
      <c r="O3505" s="149">
        <f t="shared" ca="1" si="120"/>
        <v>1.000173611111111</v>
      </c>
    </row>
    <row r="3506" spans="12:15" x14ac:dyDescent="0.25">
      <c r="L3506" s="147">
        <f ca="1"/>
        <v>48745</v>
      </c>
      <c r="M3506" s="92">
        <f t="shared" ca="1" si="119"/>
        <v>6.25</v>
      </c>
      <c r="N3506" s="143">
        <f ca="1">(PRODUCT($O$5:$O3506)-1)*36000/_xlfn.DAYS(L3506, $C$2)</f>
        <v>9.9120909052964485</v>
      </c>
      <c r="O3506" s="149">
        <f t="shared" ca="1" si="120"/>
        <v>1.000173611111111</v>
      </c>
    </row>
    <row r="3507" spans="12:15" x14ac:dyDescent="0.25">
      <c r="L3507" s="147">
        <f ca="1"/>
        <v>48746</v>
      </c>
      <c r="M3507" s="92">
        <f t="shared" ca="1" si="119"/>
        <v>6.25</v>
      </c>
      <c r="N3507" s="143">
        <f ca="1">(PRODUCT($O$5:$O3507)-1)*36000/_xlfn.DAYS(L3507, $C$2)</f>
        <v>9.9127658475451472</v>
      </c>
      <c r="O3507" s="149">
        <f t="shared" ca="1" si="120"/>
        <v>1.000173611111111</v>
      </c>
    </row>
    <row r="3508" spans="12:15" x14ac:dyDescent="0.25">
      <c r="L3508" s="147">
        <f ca="1"/>
        <v>48747</v>
      </c>
      <c r="M3508" s="92">
        <f t="shared" ca="1" si="119"/>
        <v>6.25</v>
      </c>
      <c r="N3508" s="143">
        <f ca="1">(PRODUCT($O$5:$O3508)-1)*36000/_xlfn.DAYS(L3508, $C$2)</f>
        <v>9.9134410128067749</v>
      </c>
      <c r="O3508" s="149">
        <f t="shared" ca="1" si="120"/>
        <v>1.000173611111111</v>
      </c>
    </row>
    <row r="3509" spans="12:15" x14ac:dyDescent="0.25">
      <c r="L3509" s="147">
        <f ca="1"/>
        <v>48748</v>
      </c>
      <c r="M3509" s="92">
        <f t="shared" ca="1" si="119"/>
        <v>6.25</v>
      </c>
      <c r="N3509" s="143">
        <f ca="1">(PRODUCT($O$5:$O3509)-1)*36000/_xlfn.DAYS(L3509, $C$2)</f>
        <v>9.9141164009960203</v>
      </c>
      <c r="O3509" s="149">
        <f t="shared" ca="1" si="120"/>
        <v>1.000173611111111</v>
      </c>
    </row>
    <row r="3510" spans="12:15" x14ac:dyDescent="0.25">
      <c r="L3510" s="147">
        <f ca="1"/>
        <v>48749</v>
      </c>
      <c r="M3510" s="92">
        <f t="shared" ca="1" si="119"/>
        <v>6.25</v>
      </c>
      <c r="N3510" s="143">
        <f ca="1">(PRODUCT($O$5:$O3510)-1)*36000/_xlfn.DAYS(L3510, $C$2)</f>
        <v>9.9147920120276911</v>
      </c>
      <c r="O3510" s="149">
        <f t="shared" ca="1" si="120"/>
        <v>1.000173611111111</v>
      </c>
    </row>
    <row r="3511" spans="12:15" x14ac:dyDescent="0.25">
      <c r="L3511" s="147">
        <f ca="1"/>
        <v>48750</v>
      </c>
      <c r="M3511" s="92">
        <f t="shared" ca="1" si="119"/>
        <v>6.25</v>
      </c>
      <c r="N3511" s="143">
        <f ca="1">(PRODUCT($O$5:$O3511)-1)*36000/_xlfn.DAYS(L3511, $C$2)</f>
        <v>9.9154678458167034</v>
      </c>
      <c r="O3511" s="149">
        <f t="shared" ca="1" si="120"/>
        <v>1.000173611111111</v>
      </c>
    </row>
    <row r="3512" spans="12:15" x14ac:dyDescent="0.25">
      <c r="L3512" s="147">
        <f ca="1"/>
        <v>48751</v>
      </c>
      <c r="M3512" s="92">
        <f t="shared" ca="1" si="119"/>
        <v>6.25</v>
      </c>
      <c r="N3512" s="143">
        <f ca="1">(PRODUCT($O$5:$O3512)-1)*36000/_xlfn.DAYS(L3512, $C$2)</f>
        <v>9.9161439022780922</v>
      </c>
      <c r="O3512" s="149">
        <f t="shared" ca="1" si="120"/>
        <v>1.000173611111111</v>
      </c>
    </row>
    <row r="3513" spans="12:15" x14ac:dyDescent="0.25">
      <c r="L3513" s="147">
        <f ca="1"/>
        <v>48752</v>
      </c>
      <c r="M3513" s="92">
        <f t="shared" ca="1" si="119"/>
        <v>6.25</v>
      </c>
      <c r="N3513" s="143">
        <f ca="1">(PRODUCT($O$5:$O3513)-1)*36000/_xlfn.DAYS(L3513, $C$2)</f>
        <v>9.916820181327008</v>
      </c>
      <c r="O3513" s="149">
        <f t="shared" ca="1" si="120"/>
        <v>1.000173611111111</v>
      </c>
    </row>
    <row r="3514" spans="12:15" x14ac:dyDescent="0.25">
      <c r="L3514" s="147">
        <f ca="1"/>
        <v>48753</v>
      </c>
      <c r="M3514" s="92">
        <f t="shared" ca="1" si="119"/>
        <v>6.25</v>
      </c>
      <c r="N3514" s="143">
        <f ca="1">(PRODUCT($O$5:$O3514)-1)*36000/_xlfn.DAYS(L3514, $C$2)</f>
        <v>9.917496682878717</v>
      </c>
      <c r="O3514" s="149">
        <f t="shared" ca="1" si="120"/>
        <v>1.000173611111111</v>
      </c>
    </row>
    <row r="3515" spans="12:15" x14ac:dyDescent="0.25">
      <c r="L3515" s="147">
        <f ca="1"/>
        <v>48754</v>
      </c>
      <c r="M3515" s="92">
        <f t="shared" ca="1" si="119"/>
        <v>6.25</v>
      </c>
      <c r="N3515" s="143">
        <f ca="1">(PRODUCT($O$5:$O3515)-1)*36000/_xlfn.DAYS(L3515, $C$2)</f>
        <v>9.9181734068485952</v>
      </c>
      <c r="O3515" s="149">
        <f t="shared" ca="1" si="120"/>
        <v>1.000173611111111</v>
      </c>
    </row>
    <row r="3516" spans="12:15" x14ac:dyDescent="0.25">
      <c r="L3516" s="147">
        <f ca="1"/>
        <v>48755</v>
      </c>
      <c r="M3516" s="92">
        <f t="shared" ca="1" si="119"/>
        <v>6.25</v>
      </c>
      <c r="N3516" s="143">
        <f ca="1">(PRODUCT($O$5:$O3516)-1)*36000/_xlfn.DAYS(L3516, $C$2)</f>
        <v>9.9188503531521395</v>
      </c>
      <c r="O3516" s="149">
        <f t="shared" ca="1" si="120"/>
        <v>1.000173611111111</v>
      </c>
    </row>
    <row r="3517" spans="12:15" x14ac:dyDescent="0.25">
      <c r="L3517" s="147">
        <f ca="1"/>
        <v>48756</v>
      </c>
      <c r="M3517" s="92">
        <f t="shared" ca="1" si="119"/>
        <v>6.25</v>
      </c>
      <c r="N3517" s="143">
        <f ca="1">(PRODUCT($O$5:$O3517)-1)*36000/_xlfn.DAYS(L3517, $C$2)</f>
        <v>9.9195275217049605</v>
      </c>
      <c r="O3517" s="149">
        <f t="shared" ca="1" si="120"/>
        <v>1.000173611111111</v>
      </c>
    </row>
    <row r="3518" spans="12:15" x14ac:dyDescent="0.25">
      <c r="L3518" s="147">
        <f ca="1"/>
        <v>48757</v>
      </c>
      <c r="M3518" s="92">
        <f t="shared" ca="1" si="119"/>
        <v>6.25</v>
      </c>
      <c r="N3518" s="143">
        <f ca="1">(PRODUCT($O$5:$O3518)-1)*36000/_xlfn.DAYS(L3518, $C$2)</f>
        <v>9.9202049124227774</v>
      </c>
      <c r="O3518" s="149">
        <f t="shared" ca="1" si="120"/>
        <v>1.000173611111111</v>
      </c>
    </row>
    <row r="3519" spans="12:15" x14ac:dyDescent="0.25">
      <c r="L3519" s="147">
        <f ca="1"/>
        <v>48758</v>
      </c>
      <c r="M3519" s="92">
        <f t="shared" ca="1" si="119"/>
        <v>6.25</v>
      </c>
      <c r="N3519" s="143">
        <f ca="1">(PRODUCT($O$5:$O3519)-1)*36000/_xlfn.DAYS(L3519, $C$2)</f>
        <v>9.9208825252214297</v>
      </c>
      <c r="O3519" s="149">
        <f t="shared" ca="1" si="120"/>
        <v>1.000173611111111</v>
      </c>
    </row>
    <row r="3520" spans="12:15" x14ac:dyDescent="0.25">
      <c r="L3520" s="147">
        <f ca="1"/>
        <v>48759</v>
      </c>
      <c r="M3520" s="92">
        <f t="shared" ca="1" si="119"/>
        <v>6.25</v>
      </c>
      <c r="N3520" s="143">
        <f ca="1">(PRODUCT($O$5:$O3520)-1)*36000/_xlfn.DAYS(L3520, $C$2)</f>
        <v>9.9215603600168709</v>
      </c>
      <c r="O3520" s="149">
        <f t="shared" ca="1" si="120"/>
        <v>1.000173611111111</v>
      </c>
    </row>
    <row r="3521" spans="12:15" x14ac:dyDescent="0.25">
      <c r="L3521" s="147">
        <f ca="1"/>
        <v>48760</v>
      </c>
      <c r="M3521" s="92">
        <f t="shared" ca="1" si="119"/>
        <v>6.25</v>
      </c>
      <c r="N3521" s="143">
        <f ca="1">(PRODUCT($O$5:$O3521)-1)*36000/_xlfn.DAYS(L3521, $C$2)</f>
        <v>9.9222384167251665</v>
      </c>
      <c r="O3521" s="149">
        <f t="shared" ca="1" si="120"/>
        <v>1.000173611111111</v>
      </c>
    </row>
    <row r="3522" spans="12:15" x14ac:dyDescent="0.25">
      <c r="L3522" s="147">
        <f ca="1"/>
        <v>48761</v>
      </c>
      <c r="M3522" s="92">
        <f t="shared" ca="1" si="119"/>
        <v>6.25</v>
      </c>
      <c r="N3522" s="143">
        <f ca="1">(PRODUCT($O$5:$O3522)-1)*36000/_xlfn.DAYS(L3522, $C$2)</f>
        <v>9.9229166952624936</v>
      </c>
      <c r="O3522" s="149">
        <f t="shared" ca="1" si="120"/>
        <v>1.000173611111111</v>
      </c>
    </row>
    <row r="3523" spans="12:15" x14ac:dyDescent="0.25">
      <c r="L3523" s="147">
        <f ca="1"/>
        <v>48762</v>
      </c>
      <c r="M3523" s="92">
        <f t="shared" ca="1" si="119"/>
        <v>6.25</v>
      </c>
      <c r="N3523" s="143">
        <f ca="1">(PRODUCT($O$5:$O3523)-1)*36000/_xlfn.DAYS(L3523, $C$2)</f>
        <v>9.9235951955451451</v>
      </c>
      <c r="O3523" s="149">
        <f t="shared" ca="1" si="120"/>
        <v>1.000173611111111</v>
      </c>
    </row>
    <row r="3524" spans="12:15" x14ac:dyDescent="0.25">
      <c r="L3524" s="147">
        <f ca="1"/>
        <v>48763</v>
      </c>
      <c r="M3524" s="92">
        <f t="shared" ca="1" si="119"/>
        <v>6.25</v>
      </c>
      <c r="N3524" s="143">
        <f ca="1">(PRODUCT($O$5:$O3524)-1)*36000/_xlfn.DAYS(L3524, $C$2)</f>
        <v>9.9242739174895274</v>
      </c>
      <c r="O3524" s="149">
        <f t="shared" ca="1" si="120"/>
        <v>1.000173611111111</v>
      </c>
    </row>
    <row r="3525" spans="12:15" x14ac:dyDescent="0.25">
      <c r="L3525" s="147">
        <f ca="1"/>
        <v>48764</v>
      </c>
      <c r="M3525" s="92">
        <f t="shared" ref="M3525:M3588" ca="1" si="121">IFERROR(INDEX($E$27:$H$47, MATCH(L3525, $F$27:$F$47, 0), 4), IF(ISNUMBER(M3524), M3524, $C$5))</f>
        <v>6.25</v>
      </c>
      <c r="N3525" s="143">
        <f ca="1">(PRODUCT($O$5:$O3525)-1)*36000/_xlfn.DAYS(L3525, $C$2)</f>
        <v>9.9249528610121605</v>
      </c>
      <c r="O3525" s="149">
        <f t="shared" ca="1" si="120"/>
        <v>1.000173611111111</v>
      </c>
    </row>
    <row r="3526" spans="12:15" x14ac:dyDescent="0.25">
      <c r="L3526" s="147">
        <f ca="1"/>
        <v>48765</v>
      </c>
      <c r="M3526" s="92">
        <f t="shared" ca="1" si="121"/>
        <v>6.25</v>
      </c>
      <c r="N3526" s="143">
        <f ca="1">(PRODUCT($O$5:$O3526)-1)*36000/_xlfn.DAYS(L3526, $C$2)</f>
        <v>9.9256320260296782</v>
      </c>
      <c r="O3526" s="149">
        <f t="shared" ref="O3526:O3589" ca="1" si="122">1+M3526*IFERROR(_xlfn.DAYS(L3526, L3525), _xlfn.DAYS(L3526, $C$2))/36000</f>
        <v>1.000173611111111</v>
      </c>
    </row>
    <row r="3527" spans="12:15" x14ac:dyDescent="0.25">
      <c r="L3527" s="147">
        <f ca="1"/>
        <v>48766</v>
      </c>
      <c r="M3527" s="92">
        <f t="shared" ca="1" si="121"/>
        <v>6.25</v>
      </c>
      <c r="N3527" s="143">
        <f ca="1">(PRODUCT($O$5:$O3527)-1)*36000/_xlfn.DAYS(L3527, $C$2)</f>
        <v>9.9263114124588245</v>
      </c>
      <c r="O3527" s="149">
        <f t="shared" ca="1" si="122"/>
        <v>1.000173611111111</v>
      </c>
    </row>
    <row r="3528" spans="12:15" x14ac:dyDescent="0.25">
      <c r="L3528" s="147">
        <f ca="1"/>
        <v>48767</v>
      </c>
      <c r="M3528" s="92">
        <f t="shared" ca="1" si="121"/>
        <v>6.25</v>
      </c>
      <c r="N3528" s="143">
        <f ca="1">(PRODUCT($O$5:$O3528)-1)*36000/_xlfn.DAYS(L3528, $C$2)</f>
        <v>9.9269910202164571</v>
      </c>
      <c r="O3528" s="149">
        <f t="shared" ca="1" si="122"/>
        <v>1.000173611111111</v>
      </c>
    </row>
    <row r="3529" spans="12:15" x14ac:dyDescent="0.25">
      <c r="L3529" s="147">
        <f ca="1"/>
        <v>48768</v>
      </c>
      <c r="M3529" s="92">
        <f t="shared" ca="1" si="121"/>
        <v>6.25</v>
      </c>
      <c r="N3529" s="143">
        <f ca="1">(PRODUCT($O$5:$O3529)-1)*36000/_xlfn.DAYS(L3529, $C$2)</f>
        <v>9.9276708492195507</v>
      </c>
      <c r="O3529" s="149">
        <f t="shared" ca="1" si="122"/>
        <v>1.000173611111111</v>
      </c>
    </row>
    <row r="3530" spans="12:15" x14ac:dyDescent="0.25">
      <c r="L3530" s="147">
        <f ca="1"/>
        <v>48769</v>
      </c>
      <c r="M3530" s="92">
        <f t="shared" ca="1" si="121"/>
        <v>6.25</v>
      </c>
      <c r="N3530" s="143">
        <f ca="1">(PRODUCT($O$5:$O3530)-1)*36000/_xlfn.DAYS(L3530, $C$2)</f>
        <v>9.9283508993851814</v>
      </c>
      <c r="O3530" s="149">
        <f t="shared" ca="1" si="122"/>
        <v>1.000173611111111</v>
      </c>
    </row>
    <row r="3531" spans="12:15" x14ac:dyDescent="0.25">
      <c r="L3531" s="147">
        <f ca="1"/>
        <v>48770</v>
      </c>
      <c r="M3531" s="92">
        <f t="shared" ca="1" si="121"/>
        <v>6.25</v>
      </c>
      <c r="N3531" s="143">
        <f ca="1">(PRODUCT($O$5:$O3531)-1)*36000/_xlfn.DAYS(L3531, $C$2)</f>
        <v>9.9290311706305516</v>
      </c>
      <c r="O3531" s="149">
        <f t="shared" ca="1" si="122"/>
        <v>1.000173611111111</v>
      </c>
    </row>
    <row r="3532" spans="12:15" x14ac:dyDescent="0.25">
      <c r="L3532" s="147">
        <f ca="1"/>
        <v>48771</v>
      </c>
      <c r="M3532" s="92">
        <f t="shared" ca="1" si="121"/>
        <v>6.25</v>
      </c>
      <c r="N3532" s="143">
        <f ca="1">(PRODUCT($O$5:$O3532)-1)*36000/_xlfn.DAYS(L3532, $C$2)</f>
        <v>9.9297116628729665</v>
      </c>
      <c r="O3532" s="149">
        <f t="shared" ca="1" si="122"/>
        <v>1.000173611111111</v>
      </c>
    </row>
    <row r="3533" spans="12:15" x14ac:dyDescent="0.25">
      <c r="L3533" s="147">
        <f ca="1"/>
        <v>48772</v>
      </c>
      <c r="M3533" s="92">
        <f t="shared" ca="1" si="121"/>
        <v>6.25</v>
      </c>
      <c r="N3533" s="143">
        <f ca="1">(PRODUCT($O$5:$O3533)-1)*36000/_xlfn.DAYS(L3533, $C$2)</f>
        <v>9.9303923760298485</v>
      </c>
      <c r="O3533" s="149">
        <f t="shared" ca="1" si="122"/>
        <v>1.000173611111111</v>
      </c>
    </row>
    <row r="3534" spans="12:15" x14ac:dyDescent="0.25">
      <c r="L3534" s="147">
        <f ca="1"/>
        <v>48773</v>
      </c>
      <c r="M3534" s="92">
        <f t="shared" ca="1" si="121"/>
        <v>6.25</v>
      </c>
      <c r="N3534" s="143">
        <f ca="1">(PRODUCT($O$5:$O3534)-1)*36000/_xlfn.DAYS(L3534, $C$2)</f>
        <v>9.9310733100187267</v>
      </c>
      <c r="O3534" s="149">
        <f t="shared" ca="1" si="122"/>
        <v>1.000173611111111</v>
      </c>
    </row>
    <row r="3535" spans="12:15" x14ac:dyDescent="0.25">
      <c r="L3535" s="147">
        <f ca="1"/>
        <v>48774</v>
      </c>
      <c r="M3535" s="92">
        <f t="shared" ca="1" si="121"/>
        <v>6.25</v>
      </c>
      <c r="N3535" s="143">
        <f ca="1">(PRODUCT($O$5:$O3535)-1)*36000/_xlfn.DAYS(L3535, $C$2)</f>
        <v>9.9317544647572458</v>
      </c>
      <c r="O3535" s="149">
        <f t="shared" ca="1" si="122"/>
        <v>1.000173611111111</v>
      </c>
    </row>
    <row r="3536" spans="12:15" x14ac:dyDescent="0.25">
      <c r="L3536" s="147">
        <f ca="1"/>
        <v>48775</v>
      </c>
      <c r="M3536" s="92">
        <f t="shared" ca="1" si="121"/>
        <v>6.25</v>
      </c>
      <c r="N3536" s="143">
        <f ca="1">(PRODUCT($O$5:$O3536)-1)*36000/_xlfn.DAYS(L3536, $C$2)</f>
        <v>9.9324358401631585</v>
      </c>
      <c r="O3536" s="149">
        <f t="shared" ca="1" si="122"/>
        <v>1.000173611111111</v>
      </c>
    </row>
    <row r="3537" spans="12:15" x14ac:dyDescent="0.25">
      <c r="L3537" s="147">
        <f ca="1"/>
        <v>48776</v>
      </c>
      <c r="M3537" s="92">
        <f t="shared" ca="1" si="121"/>
        <v>6.25</v>
      </c>
      <c r="N3537" s="143">
        <f ca="1">(PRODUCT($O$5:$O3537)-1)*36000/_xlfn.DAYS(L3537, $C$2)</f>
        <v>9.9331174361543333</v>
      </c>
      <c r="O3537" s="149">
        <f t="shared" ca="1" si="122"/>
        <v>1.000173611111111</v>
      </c>
    </row>
    <row r="3538" spans="12:15" x14ac:dyDescent="0.25">
      <c r="L3538" s="147">
        <f ca="1"/>
        <v>48777</v>
      </c>
      <c r="M3538" s="92">
        <f t="shared" ca="1" si="121"/>
        <v>6.25</v>
      </c>
      <c r="N3538" s="143">
        <f ca="1">(PRODUCT($O$5:$O3538)-1)*36000/_xlfn.DAYS(L3538, $C$2)</f>
        <v>9.9337992526487486</v>
      </c>
      <c r="O3538" s="149">
        <f t="shared" ca="1" si="122"/>
        <v>1.000173611111111</v>
      </c>
    </row>
    <row r="3539" spans="12:15" x14ac:dyDescent="0.25">
      <c r="L3539" s="147">
        <f ca="1"/>
        <v>48778</v>
      </c>
      <c r="M3539" s="92">
        <f t="shared" ca="1" si="121"/>
        <v>6.25</v>
      </c>
      <c r="N3539" s="143">
        <f ca="1">(PRODUCT($O$5:$O3539)-1)*36000/_xlfn.DAYS(L3539, $C$2)</f>
        <v>9.9344812895644914</v>
      </c>
      <c r="O3539" s="149">
        <f t="shared" ca="1" si="122"/>
        <v>1.000173611111111</v>
      </c>
    </row>
    <row r="3540" spans="12:15" x14ac:dyDescent="0.25">
      <c r="L3540" s="147">
        <f ca="1"/>
        <v>48779</v>
      </c>
      <c r="M3540" s="92">
        <f t="shared" ca="1" si="121"/>
        <v>6.25</v>
      </c>
      <c r="N3540" s="143">
        <f ca="1">(PRODUCT($O$5:$O3540)-1)*36000/_xlfn.DAYS(L3540, $C$2)</f>
        <v>9.9351635468197586</v>
      </c>
      <c r="O3540" s="149">
        <f t="shared" ca="1" si="122"/>
        <v>1.000173611111111</v>
      </c>
    </row>
    <row r="3541" spans="12:15" x14ac:dyDescent="0.25">
      <c r="L3541" s="147">
        <f ca="1"/>
        <v>48780</v>
      </c>
      <c r="M3541" s="92">
        <f t="shared" ca="1" si="121"/>
        <v>6.25</v>
      </c>
      <c r="N3541" s="143">
        <f ca="1">(PRODUCT($O$5:$O3541)-1)*36000/_xlfn.DAYS(L3541, $C$2)</f>
        <v>9.9358460243328679</v>
      </c>
      <c r="O3541" s="149">
        <f t="shared" ca="1" si="122"/>
        <v>1.000173611111111</v>
      </c>
    </row>
    <row r="3542" spans="12:15" x14ac:dyDescent="0.25">
      <c r="L3542" s="147">
        <f ca="1"/>
        <v>48781</v>
      </c>
      <c r="M3542" s="92">
        <f t="shared" ca="1" si="121"/>
        <v>6.25</v>
      </c>
      <c r="N3542" s="143">
        <f ca="1">(PRODUCT($O$5:$O3542)-1)*36000/_xlfn.DAYS(L3542, $C$2)</f>
        <v>9.9365287220222331</v>
      </c>
      <c r="O3542" s="149">
        <f t="shared" ca="1" si="122"/>
        <v>1.000173611111111</v>
      </c>
    </row>
    <row r="3543" spans="12:15" x14ac:dyDescent="0.25">
      <c r="L3543" s="147">
        <f ca="1"/>
        <v>48782</v>
      </c>
      <c r="M3543" s="92">
        <f t="shared" ca="1" si="121"/>
        <v>6.25</v>
      </c>
      <c r="N3543" s="143">
        <f ca="1">(PRODUCT($O$5:$O3543)-1)*36000/_xlfn.DAYS(L3543, $C$2)</f>
        <v>9.9372116398063888</v>
      </c>
      <c r="O3543" s="149">
        <f t="shared" ca="1" si="122"/>
        <v>1.000173611111111</v>
      </c>
    </row>
    <row r="3544" spans="12:15" x14ac:dyDescent="0.25">
      <c r="L3544" s="147">
        <f ca="1"/>
        <v>48783</v>
      </c>
      <c r="M3544" s="92">
        <f t="shared" ca="1" si="121"/>
        <v>6.25</v>
      </c>
      <c r="N3544" s="143">
        <f ca="1">(PRODUCT($O$5:$O3544)-1)*36000/_xlfn.DAYS(L3544, $C$2)</f>
        <v>9.9378947776039777</v>
      </c>
      <c r="O3544" s="149">
        <f t="shared" ca="1" si="122"/>
        <v>1.000173611111111</v>
      </c>
    </row>
    <row r="3545" spans="12:15" x14ac:dyDescent="0.25">
      <c r="L3545" s="147">
        <f ca="1"/>
        <v>48784</v>
      </c>
      <c r="M3545" s="92">
        <f t="shared" ca="1" si="121"/>
        <v>6.25</v>
      </c>
      <c r="N3545" s="143">
        <f ca="1">(PRODUCT($O$5:$O3545)-1)*36000/_xlfn.DAYS(L3545, $C$2)</f>
        <v>9.9385781353337492</v>
      </c>
      <c r="O3545" s="149">
        <f t="shared" ca="1" si="122"/>
        <v>1.000173611111111</v>
      </c>
    </row>
    <row r="3546" spans="12:15" x14ac:dyDescent="0.25">
      <c r="L3546" s="147">
        <f ca="1"/>
        <v>48785</v>
      </c>
      <c r="M3546" s="92">
        <f t="shared" ca="1" si="121"/>
        <v>6.25</v>
      </c>
      <c r="N3546" s="143">
        <f ca="1">(PRODUCT($O$5:$O3546)-1)*36000/_xlfn.DAYS(L3546, $C$2)</f>
        <v>9.9392617129145684</v>
      </c>
      <c r="O3546" s="149">
        <f t="shared" ca="1" si="122"/>
        <v>1.000173611111111</v>
      </c>
    </row>
    <row r="3547" spans="12:15" x14ac:dyDescent="0.25">
      <c r="L3547" s="147">
        <f ca="1"/>
        <v>48786</v>
      </c>
      <c r="M3547" s="92">
        <f t="shared" ca="1" si="121"/>
        <v>6.25</v>
      </c>
      <c r="N3547" s="143">
        <f ca="1">(PRODUCT($O$5:$O3547)-1)*36000/_xlfn.DAYS(L3547, $C$2)</f>
        <v>9.9399455102654048</v>
      </c>
      <c r="O3547" s="149">
        <f t="shared" ca="1" si="122"/>
        <v>1.000173611111111</v>
      </c>
    </row>
    <row r="3548" spans="12:15" x14ac:dyDescent="0.25">
      <c r="L3548" s="147">
        <f ca="1"/>
        <v>48787</v>
      </c>
      <c r="M3548" s="92">
        <f t="shared" ca="1" si="121"/>
        <v>6.25</v>
      </c>
      <c r="N3548" s="143">
        <f ca="1">(PRODUCT($O$5:$O3548)-1)*36000/_xlfn.DAYS(L3548, $C$2)</f>
        <v>9.9406295273053402</v>
      </c>
      <c r="O3548" s="149">
        <f t="shared" ca="1" si="122"/>
        <v>1.000173611111111</v>
      </c>
    </row>
    <row r="3549" spans="12:15" x14ac:dyDescent="0.25">
      <c r="L3549" s="147">
        <f ca="1"/>
        <v>48788</v>
      </c>
      <c r="M3549" s="92">
        <f t="shared" ca="1" si="121"/>
        <v>6.25</v>
      </c>
      <c r="N3549" s="143">
        <f ca="1">(PRODUCT($O$5:$O3549)-1)*36000/_xlfn.DAYS(L3549, $C$2)</f>
        <v>9.941313763953568</v>
      </c>
      <c r="O3549" s="149">
        <f t="shared" ca="1" si="122"/>
        <v>1.000173611111111</v>
      </c>
    </row>
    <row r="3550" spans="12:15" x14ac:dyDescent="0.25">
      <c r="L3550" s="147">
        <f ca="1"/>
        <v>48789</v>
      </c>
      <c r="M3550" s="92">
        <f t="shared" ca="1" si="121"/>
        <v>6.25</v>
      </c>
      <c r="N3550" s="143">
        <f ca="1">(PRODUCT($O$5:$O3550)-1)*36000/_xlfn.DAYS(L3550, $C$2)</f>
        <v>9.9419982201293831</v>
      </c>
      <c r="O3550" s="149">
        <f t="shared" ca="1" si="122"/>
        <v>1.000173611111111</v>
      </c>
    </row>
    <row r="3551" spans="12:15" x14ac:dyDescent="0.25">
      <c r="L3551" s="147">
        <f ca="1"/>
        <v>48790</v>
      </c>
      <c r="M3551" s="92">
        <f t="shared" ca="1" si="121"/>
        <v>6.25</v>
      </c>
      <c r="N3551" s="143">
        <f ca="1">(PRODUCT($O$5:$O3551)-1)*36000/_xlfn.DAYS(L3551, $C$2)</f>
        <v>9.9426828957521991</v>
      </c>
      <c r="O3551" s="149">
        <f t="shared" ca="1" si="122"/>
        <v>1.000173611111111</v>
      </c>
    </row>
    <row r="3552" spans="12:15" x14ac:dyDescent="0.25">
      <c r="L3552" s="147">
        <f ca="1"/>
        <v>48791</v>
      </c>
      <c r="M3552" s="92">
        <f t="shared" ca="1" si="121"/>
        <v>6.25</v>
      </c>
      <c r="N3552" s="143">
        <f ca="1">(PRODUCT($O$5:$O3552)-1)*36000/_xlfn.DAYS(L3552, $C$2)</f>
        <v>9.9433677907415365</v>
      </c>
      <c r="O3552" s="149">
        <f t="shared" ca="1" si="122"/>
        <v>1.000173611111111</v>
      </c>
    </row>
    <row r="3553" spans="12:15" x14ac:dyDescent="0.25">
      <c r="L3553" s="147">
        <f ca="1"/>
        <v>48792</v>
      </c>
      <c r="M3553" s="92">
        <f t="shared" ca="1" si="121"/>
        <v>6.25</v>
      </c>
      <c r="N3553" s="143">
        <f ca="1">(PRODUCT($O$5:$O3553)-1)*36000/_xlfn.DAYS(L3553, $C$2)</f>
        <v>9.9440529050170188</v>
      </c>
      <c r="O3553" s="149">
        <f t="shared" ca="1" si="122"/>
        <v>1.000173611111111</v>
      </c>
    </row>
    <row r="3554" spans="12:15" x14ac:dyDescent="0.25">
      <c r="L3554" s="147">
        <f ca="1"/>
        <v>48793</v>
      </c>
      <c r="M3554" s="92">
        <f t="shared" ca="1" si="121"/>
        <v>6.25</v>
      </c>
      <c r="N3554" s="143">
        <f ca="1">(PRODUCT($O$5:$O3554)-1)*36000/_xlfn.DAYS(L3554, $C$2)</f>
        <v>9.9447382384983865</v>
      </c>
      <c r="O3554" s="149">
        <f t="shared" ca="1" si="122"/>
        <v>1.000173611111111</v>
      </c>
    </row>
    <row r="3555" spans="12:15" x14ac:dyDescent="0.25">
      <c r="L3555" s="147">
        <f ca="1"/>
        <v>48794</v>
      </c>
      <c r="M3555" s="92">
        <f t="shared" ca="1" si="121"/>
        <v>6.25</v>
      </c>
      <c r="N3555" s="143">
        <f ca="1">(PRODUCT($O$5:$O3555)-1)*36000/_xlfn.DAYS(L3555, $C$2)</f>
        <v>9.9454237911054797</v>
      </c>
      <c r="O3555" s="149">
        <f t="shared" ca="1" si="122"/>
        <v>1.000173611111111</v>
      </c>
    </row>
    <row r="3556" spans="12:15" x14ac:dyDescent="0.25">
      <c r="L3556" s="147">
        <f ca="1"/>
        <v>48795</v>
      </c>
      <c r="M3556" s="92">
        <f t="shared" ca="1" si="121"/>
        <v>6.25</v>
      </c>
      <c r="N3556" s="143">
        <f ca="1">(PRODUCT($O$5:$O3556)-1)*36000/_xlfn.DAYS(L3556, $C$2)</f>
        <v>9.9461095627582559</v>
      </c>
      <c r="O3556" s="149">
        <f t="shared" ca="1" si="122"/>
        <v>1.000173611111111</v>
      </c>
    </row>
    <row r="3557" spans="12:15" x14ac:dyDescent="0.25">
      <c r="L3557" s="147">
        <f ca="1"/>
        <v>48796</v>
      </c>
      <c r="M3557" s="92">
        <f t="shared" ca="1" si="121"/>
        <v>6.25</v>
      </c>
      <c r="N3557" s="143">
        <f ca="1">(PRODUCT($O$5:$O3557)-1)*36000/_xlfn.DAYS(L3557, $C$2)</f>
        <v>9.9467955533767789</v>
      </c>
      <c r="O3557" s="149">
        <f t="shared" ca="1" si="122"/>
        <v>1.000173611111111</v>
      </c>
    </row>
    <row r="3558" spans="12:15" x14ac:dyDescent="0.25">
      <c r="L3558" s="147">
        <f ca="1"/>
        <v>48797</v>
      </c>
      <c r="M3558" s="92">
        <f t="shared" ca="1" si="121"/>
        <v>6.25</v>
      </c>
      <c r="N3558" s="143">
        <f ca="1">(PRODUCT($O$5:$O3558)-1)*36000/_xlfn.DAYS(L3558, $C$2)</f>
        <v>9.9474817628812122</v>
      </c>
      <c r="O3558" s="149">
        <f t="shared" ca="1" si="122"/>
        <v>1.000173611111111</v>
      </c>
    </row>
    <row r="3559" spans="12:15" x14ac:dyDescent="0.25">
      <c r="L3559" s="147">
        <f ca="1"/>
        <v>48798</v>
      </c>
      <c r="M3559" s="92">
        <f t="shared" ca="1" si="121"/>
        <v>6.25</v>
      </c>
      <c r="N3559" s="143">
        <f ca="1">(PRODUCT($O$5:$O3559)-1)*36000/_xlfn.DAYS(L3559, $C$2)</f>
        <v>9.9481681911918418</v>
      </c>
      <c r="O3559" s="149">
        <f t="shared" ca="1" si="122"/>
        <v>1.000173611111111</v>
      </c>
    </row>
    <row r="3560" spans="12:15" x14ac:dyDescent="0.25">
      <c r="L3560" s="147">
        <f ca="1"/>
        <v>48799</v>
      </c>
      <c r="M3560" s="92">
        <f t="shared" ca="1" si="121"/>
        <v>6.25</v>
      </c>
      <c r="N3560" s="143">
        <f ca="1">(PRODUCT($O$5:$O3560)-1)*36000/_xlfn.DAYS(L3560, $C$2)</f>
        <v>9.948854838229046</v>
      </c>
      <c r="O3560" s="149">
        <f t="shared" ca="1" si="122"/>
        <v>1.000173611111111</v>
      </c>
    </row>
    <row r="3561" spans="12:15" x14ac:dyDescent="0.25">
      <c r="L3561" s="147">
        <f ca="1"/>
        <v>48800</v>
      </c>
      <c r="M3561" s="92">
        <f t="shared" ca="1" si="121"/>
        <v>6.25</v>
      </c>
      <c r="N3561" s="143">
        <f ca="1">(PRODUCT($O$5:$O3561)-1)*36000/_xlfn.DAYS(L3561, $C$2)</f>
        <v>9.949541703913324</v>
      </c>
      <c r="O3561" s="149">
        <f t="shared" ca="1" si="122"/>
        <v>1.000173611111111</v>
      </c>
    </row>
    <row r="3562" spans="12:15" x14ac:dyDescent="0.25">
      <c r="L3562" s="147">
        <f ca="1"/>
        <v>48801</v>
      </c>
      <c r="M3562" s="92">
        <f t="shared" ca="1" si="121"/>
        <v>6.25</v>
      </c>
      <c r="N3562" s="143">
        <f ca="1">(PRODUCT($O$5:$O3562)-1)*36000/_xlfn.DAYS(L3562, $C$2)</f>
        <v>9.950228788165278</v>
      </c>
      <c r="O3562" s="149">
        <f t="shared" ca="1" si="122"/>
        <v>1.000173611111111</v>
      </c>
    </row>
    <row r="3563" spans="12:15" x14ac:dyDescent="0.25">
      <c r="L3563" s="147">
        <f ca="1"/>
        <v>48802</v>
      </c>
      <c r="M3563" s="92">
        <f t="shared" ca="1" si="121"/>
        <v>6.25</v>
      </c>
      <c r="N3563" s="143">
        <f ca="1">(PRODUCT($O$5:$O3563)-1)*36000/_xlfn.DAYS(L3563, $C$2)</f>
        <v>9.9509160909056114</v>
      </c>
      <c r="O3563" s="149">
        <f t="shared" ca="1" si="122"/>
        <v>1.000173611111111</v>
      </c>
    </row>
    <row r="3564" spans="12:15" x14ac:dyDescent="0.25">
      <c r="L3564" s="147">
        <f ca="1"/>
        <v>48803</v>
      </c>
      <c r="M3564" s="92">
        <f t="shared" ca="1" si="121"/>
        <v>6.25</v>
      </c>
      <c r="N3564" s="143">
        <f ca="1">(PRODUCT($O$5:$O3564)-1)*36000/_xlfn.DAYS(L3564, $C$2)</f>
        <v>9.9516036120551448</v>
      </c>
      <c r="O3564" s="149">
        <f t="shared" ca="1" si="122"/>
        <v>1.000173611111111</v>
      </c>
    </row>
    <row r="3565" spans="12:15" x14ac:dyDescent="0.25">
      <c r="L3565" s="147">
        <f ca="1"/>
        <v>48804</v>
      </c>
      <c r="M3565" s="92">
        <f t="shared" ca="1" si="121"/>
        <v>6.25</v>
      </c>
      <c r="N3565" s="143">
        <f ca="1">(PRODUCT($O$5:$O3565)-1)*36000/_xlfn.DAYS(L3565, $C$2)</f>
        <v>9.9522913515348019</v>
      </c>
      <c r="O3565" s="149">
        <f t="shared" ca="1" si="122"/>
        <v>1.000173611111111</v>
      </c>
    </row>
    <row r="3566" spans="12:15" x14ac:dyDescent="0.25">
      <c r="L3566" s="147">
        <f ca="1"/>
        <v>48805</v>
      </c>
      <c r="M3566" s="92">
        <f t="shared" ca="1" si="121"/>
        <v>6.25</v>
      </c>
      <c r="N3566" s="143">
        <f ca="1">(PRODUCT($O$5:$O3566)-1)*36000/_xlfn.DAYS(L3566, $C$2)</f>
        <v>9.9529793092656096</v>
      </c>
      <c r="O3566" s="149">
        <f t="shared" ca="1" si="122"/>
        <v>1.000173611111111</v>
      </c>
    </row>
    <row r="3567" spans="12:15" x14ac:dyDescent="0.25">
      <c r="L3567" s="147">
        <f ca="1"/>
        <v>48806</v>
      </c>
      <c r="M3567" s="92">
        <f t="shared" ca="1" si="121"/>
        <v>6.25</v>
      </c>
      <c r="N3567" s="143">
        <f ca="1">(PRODUCT($O$5:$O3567)-1)*36000/_xlfn.DAYS(L3567, $C$2)</f>
        <v>9.9536674851687099</v>
      </c>
      <c r="O3567" s="149">
        <f t="shared" ca="1" si="122"/>
        <v>1.000173611111111</v>
      </c>
    </row>
    <row r="3568" spans="12:15" x14ac:dyDescent="0.25">
      <c r="L3568" s="147">
        <f ca="1"/>
        <v>48807</v>
      </c>
      <c r="M3568" s="92">
        <f t="shared" ca="1" si="121"/>
        <v>6.25</v>
      </c>
      <c r="N3568" s="143">
        <f ca="1">(PRODUCT($O$5:$O3568)-1)*36000/_xlfn.DAYS(L3568, $C$2)</f>
        <v>9.9543558791653464</v>
      </c>
      <c r="O3568" s="149">
        <f t="shared" ca="1" si="122"/>
        <v>1.000173611111111</v>
      </c>
    </row>
    <row r="3569" spans="12:15" x14ac:dyDescent="0.25">
      <c r="L3569" s="147">
        <f ca="1"/>
        <v>48808</v>
      </c>
      <c r="M3569" s="92">
        <f t="shared" ca="1" si="121"/>
        <v>6.25</v>
      </c>
      <c r="N3569" s="143">
        <f ca="1">(PRODUCT($O$5:$O3569)-1)*36000/_xlfn.DAYS(L3569, $C$2)</f>
        <v>9.9550444911768619</v>
      </c>
      <c r="O3569" s="149">
        <f t="shared" ca="1" si="122"/>
        <v>1.000173611111111</v>
      </c>
    </row>
    <row r="3570" spans="12:15" x14ac:dyDescent="0.25">
      <c r="L3570" s="147">
        <f ca="1"/>
        <v>48809</v>
      </c>
      <c r="M3570" s="92">
        <f t="shared" ca="1" si="121"/>
        <v>6.25</v>
      </c>
      <c r="N3570" s="143">
        <f ca="1">(PRODUCT($O$5:$O3570)-1)*36000/_xlfn.DAYS(L3570, $C$2)</f>
        <v>9.9557333211247219</v>
      </c>
      <c r="O3570" s="149">
        <f t="shared" ca="1" si="122"/>
        <v>1.000173611111111</v>
      </c>
    </row>
    <row r="3571" spans="12:15" x14ac:dyDescent="0.25">
      <c r="L3571" s="147">
        <f ca="1"/>
        <v>48810</v>
      </c>
      <c r="M3571" s="92">
        <f t="shared" ca="1" si="121"/>
        <v>6.25</v>
      </c>
      <c r="N3571" s="143">
        <f ca="1">(PRODUCT($O$5:$O3571)-1)*36000/_xlfn.DAYS(L3571, $C$2)</f>
        <v>9.9564223689304878</v>
      </c>
      <c r="O3571" s="149">
        <f t="shared" ca="1" si="122"/>
        <v>1.000173611111111</v>
      </c>
    </row>
    <row r="3572" spans="12:15" x14ac:dyDescent="0.25">
      <c r="L3572" s="147">
        <f ca="1"/>
        <v>48811</v>
      </c>
      <c r="M3572" s="92">
        <f t="shared" ca="1" si="121"/>
        <v>6.25</v>
      </c>
      <c r="N3572" s="143">
        <f ca="1">(PRODUCT($O$5:$O3572)-1)*36000/_xlfn.DAYS(L3572, $C$2)</f>
        <v>9.9571116345158259</v>
      </c>
      <c r="O3572" s="149">
        <f t="shared" ca="1" si="122"/>
        <v>1.000173611111111</v>
      </c>
    </row>
    <row r="3573" spans="12:15" x14ac:dyDescent="0.25">
      <c r="L3573" s="147">
        <f ca="1"/>
        <v>48812</v>
      </c>
      <c r="M3573" s="92">
        <f t="shared" ca="1" si="121"/>
        <v>6.25</v>
      </c>
      <c r="N3573" s="143">
        <f ca="1">(PRODUCT($O$5:$O3573)-1)*36000/_xlfn.DAYS(L3573, $C$2)</f>
        <v>9.9578011178025143</v>
      </c>
      <c r="O3573" s="149">
        <f t="shared" ca="1" si="122"/>
        <v>1.000173611111111</v>
      </c>
    </row>
    <row r="3574" spans="12:15" x14ac:dyDescent="0.25">
      <c r="L3574" s="147">
        <f ca="1"/>
        <v>48813</v>
      </c>
      <c r="M3574" s="92">
        <f t="shared" ca="1" si="121"/>
        <v>6.25</v>
      </c>
      <c r="N3574" s="143">
        <f ca="1">(PRODUCT($O$5:$O3574)-1)*36000/_xlfn.DAYS(L3574, $C$2)</f>
        <v>9.9584908187124341</v>
      </c>
      <c r="O3574" s="149">
        <f t="shared" ca="1" si="122"/>
        <v>1.000173611111111</v>
      </c>
    </row>
    <row r="3575" spans="12:15" x14ac:dyDescent="0.25">
      <c r="L3575" s="147">
        <f ca="1"/>
        <v>48814</v>
      </c>
      <c r="M3575" s="92">
        <f t="shared" ca="1" si="121"/>
        <v>6.25</v>
      </c>
      <c r="N3575" s="143">
        <f ca="1">(PRODUCT($O$5:$O3575)-1)*36000/_xlfn.DAYS(L3575, $C$2)</f>
        <v>9.9591807371675696</v>
      </c>
      <c r="O3575" s="149">
        <f t="shared" ca="1" si="122"/>
        <v>1.000173611111111</v>
      </c>
    </row>
    <row r="3576" spans="12:15" x14ac:dyDescent="0.25">
      <c r="L3576" s="147">
        <f ca="1"/>
        <v>48815</v>
      </c>
      <c r="M3576" s="92">
        <f t="shared" ca="1" si="121"/>
        <v>6.25</v>
      </c>
      <c r="N3576" s="143">
        <f ca="1">(PRODUCT($O$5:$O3576)-1)*36000/_xlfn.DAYS(L3576, $C$2)</f>
        <v>9.9598708730900203</v>
      </c>
      <c r="O3576" s="149">
        <f t="shared" ca="1" si="122"/>
        <v>1.000173611111111</v>
      </c>
    </row>
    <row r="3577" spans="12:15" x14ac:dyDescent="0.25">
      <c r="L3577" s="147">
        <f ca="1"/>
        <v>48816</v>
      </c>
      <c r="M3577" s="92">
        <f t="shared" ca="1" si="121"/>
        <v>6.25</v>
      </c>
      <c r="N3577" s="143">
        <f ca="1">(PRODUCT($O$5:$O3577)-1)*36000/_xlfn.DAYS(L3577, $C$2)</f>
        <v>9.9605612264019747</v>
      </c>
      <c r="O3577" s="149">
        <f t="shared" ca="1" si="122"/>
        <v>1.000173611111111</v>
      </c>
    </row>
    <row r="3578" spans="12:15" x14ac:dyDescent="0.25">
      <c r="L3578" s="147">
        <f ca="1"/>
        <v>48817</v>
      </c>
      <c r="M3578" s="92">
        <f t="shared" ca="1" si="121"/>
        <v>6.25</v>
      </c>
      <c r="N3578" s="143">
        <f ca="1">(PRODUCT($O$5:$O3578)-1)*36000/_xlfn.DAYS(L3578, $C$2)</f>
        <v>9.9612517970257421</v>
      </c>
      <c r="O3578" s="149">
        <f t="shared" ca="1" si="122"/>
        <v>1.000173611111111</v>
      </c>
    </row>
    <row r="3579" spans="12:15" x14ac:dyDescent="0.25">
      <c r="L3579" s="147">
        <f ca="1"/>
        <v>48818</v>
      </c>
      <c r="M3579" s="92">
        <f t="shared" ca="1" si="121"/>
        <v>6.25</v>
      </c>
      <c r="N3579" s="143">
        <f ca="1">(PRODUCT($O$5:$O3579)-1)*36000/_xlfn.DAYS(L3579, $C$2)</f>
        <v>9.9619425848837295</v>
      </c>
      <c r="O3579" s="149">
        <f t="shared" ca="1" si="122"/>
        <v>1.000173611111111</v>
      </c>
    </row>
    <row r="3580" spans="12:15" x14ac:dyDescent="0.25">
      <c r="L3580" s="147">
        <f ca="1"/>
        <v>48819</v>
      </c>
      <c r="M3580" s="92">
        <f t="shared" ca="1" si="121"/>
        <v>6.25</v>
      </c>
      <c r="N3580" s="143">
        <f ca="1">(PRODUCT($O$5:$O3580)-1)*36000/_xlfn.DAYS(L3580, $C$2)</f>
        <v>9.9626335898984486</v>
      </c>
      <c r="O3580" s="149">
        <f t="shared" ca="1" si="122"/>
        <v>1.000173611111111</v>
      </c>
    </row>
    <row r="3581" spans="12:15" x14ac:dyDescent="0.25">
      <c r="L3581" s="147">
        <f ca="1"/>
        <v>48820</v>
      </c>
      <c r="M3581" s="92">
        <f t="shared" ca="1" si="121"/>
        <v>6.25</v>
      </c>
      <c r="N3581" s="143">
        <f ca="1">(PRODUCT($O$5:$O3581)-1)*36000/_xlfn.DAYS(L3581, $C$2)</f>
        <v>9.9633248119925195</v>
      </c>
      <c r="O3581" s="149">
        <f t="shared" ca="1" si="122"/>
        <v>1.000173611111111</v>
      </c>
    </row>
    <row r="3582" spans="12:15" x14ac:dyDescent="0.25">
      <c r="L3582" s="147">
        <f ca="1"/>
        <v>48821</v>
      </c>
      <c r="M3582" s="92">
        <f t="shared" ca="1" si="121"/>
        <v>6.25</v>
      </c>
      <c r="N3582" s="143">
        <f ca="1">(PRODUCT($O$5:$O3582)-1)*36000/_xlfn.DAYS(L3582, $C$2)</f>
        <v>9.9640162510886636</v>
      </c>
      <c r="O3582" s="149">
        <f t="shared" ca="1" si="122"/>
        <v>1.000173611111111</v>
      </c>
    </row>
    <row r="3583" spans="12:15" x14ac:dyDescent="0.25">
      <c r="L3583" s="147">
        <f ca="1"/>
        <v>48822</v>
      </c>
      <c r="M3583" s="92">
        <f t="shared" ca="1" si="121"/>
        <v>6.25</v>
      </c>
      <c r="N3583" s="143">
        <f ca="1">(PRODUCT($O$5:$O3583)-1)*36000/_xlfn.DAYS(L3583, $C$2)</f>
        <v>9.9647079071097089</v>
      </c>
      <c r="O3583" s="149">
        <f t="shared" ca="1" si="122"/>
        <v>1.000173611111111</v>
      </c>
    </row>
    <row r="3584" spans="12:15" x14ac:dyDescent="0.25">
      <c r="L3584" s="147">
        <f ca="1"/>
        <v>48823</v>
      </c>
      <c r="M3584" s="92">
        <f t="shared" ca="1" si="121"/>
        <v>6.25</v>
      </c>
      <c r="N3584" s="143">
        <f ca="1">(PRODUCT($O$5:$O3584)-1)*36000/_xlfn.DAYS(L3584, $C$2)</f>
        <v>9.9653997799785863</v>
      </c>
      <c r="O3584" s="149">
        <f t="shared" ca="1" si="122"/>
        <v>1.000173611111111</v>
      </c>
    </row>
    <row r="3585" spans="12:15" x14ac:dyDescent="0.25">
      <c r="L3585" s="147">
        <f ca="1"/>
        <v>48824</v>
      </c>
      <c r="M3585" s="92">
        <f t="shared" ca="1" si="121"/>
        <v>6.25</v>
      </c>
      <c r="N3585" s="143">
        <f ca="1">(PRODUCT($O$5:$O3585)-1)*36000/_xlfn.DAYS(L3585, $C$2)</f>
        <v>9.9660918696183334</v>
      </c>
      <c r="O3585" s="149">
        <f t="shared" ca="1" si="122"/>
        <v>1.000173611111111</v>
      </c>
    </row>
    <row r="3586" spans="12:15" x14ac:dyDescent="0.25">
      <c r="L3586" s="147">
        <f ca="1"/>
        <v>48825</v>
      </c>
      <c r="M3586" s="92">
        <f t="shared" ca="1" si="121"/>
        <v>6.25</v>
      </c>
      <c r="N3586" s="143">
        <f ca="1">(PRODUCT($O$5:$O3586)-1)*36000/_xlfn.DAYS(L3586, $C$2)</f>
        <v>9.9667841759520872</v>
      </c>
      <c r="O3586" s="149">
        <f t="shared" ca="1" si="122"/>
        <v>1.000173611111111</v>
      </c>
    </row>
    <row r="3587" spans="12:15" x14ac:dyDescent="0.25">
      <c r="L3587" s="147">
        <f ca="1"/>
        <v>48826</v>
      </c>
      <c r="M3587" s="92">
        <f t="shared" ca="1" si="121"/>
        <v>6.25</v>
      </c>
      <c r="N3587" s="143">
        <f ca="1">(PRODUCT($O$5:$O3587)-1)*36000/_xlfn.DAYS(L3587, $C$2)</f>
        <v>9.9674766989030967</v>
      </c>
      <c r="O3587" s="149">
        <f t="shared" ca="1" si="122"/>
        <v>1.000173611111111</v>
      </c>
    </row>
    <row r="3588" spans="12:15" x14ac:dyDescent="0.25">
      <c r="L3588" s="147">
        <f ca="1"/>
        <v>48827</v>
      </c>
      <c r="M3588" s="92">
        <f t="shared" ca="1" si="121"/>
        <v>6.25</v>
      </c>
      <c r="N3588" s="143">
        <f ca="1">(PRODUCT($O$5:$O3588)-1)*36000/_xlfn.DAYS(L3588, $C$2)</f>
        <v>9.9681694383947068</v>
      </c>
      <c r="O3588" s="149">
        <f t="shared" ca="1" si="122"/>
        <v>1.000173611111111</v>
      </c>
    </row>
    <row r="3589" spans="12:15" x14ac:dyDescent="0.25">
      <c r="L3589" s="147">
        <f ca="1"/>
        <v>48828</v>
      </c>
      <c r="M3589" s="92">
        <f t="shared" ref="M3589:M3652" ca="1" si="123">IFERROR(INDEX($E$27:$H$47, MATCH(L3589, $F$27:$F$47, 0), 4), IF(ISNUMBER(M3588), M3588, $C$5))</f>
        <v>6.25</v>
      </c>
      <c r="N3589" s="143">
        <f ca="1">(PRODUCT($O$5:$O3589)-1)*36000/_xlfn.DAYS(L3589, $C$2)</f>
        <v>9.9688623943503654</v>
      </c>
      <c r="O3589" s="149">
        <f t="shared" ca="1" si="122"/>
        <v>1.000173611111111</v>
      </c>
    </row>
    <row r="3590" spans="12:15" x14ac:dyDescent="0.25">
      <c r="L3590" s="147">
        <f ca="1"/>
        <v>48829</v>
      </c>
      <c r="M3590" s="92">
        <f t="shared" ca="1" si="123"/>
        <v>6.25</v>
      </c>
      <c r="N3590" s="143">
        <f ca="1">(PRODUCT($O$5:$O3590)-1)*36000/_xlfn.DAYS(L3590, $C$2)</f>
        <v>9.9695555666936357</v>
      </c>
      <c r="O3590" s="149">
        <f t="shared" ref="O3590:O3653" ca="1" si="124">1+M3590*IFERROR(_xlfn.DAYS(L3590, L3589), _xlfn.DAYS(L3590, $C$2))/36000</f>
        <v>1.000173611111111</v>
      </c>
    </row>
    <row r="3591" spans="12:15" x14ac:dyDescent="0.25">
      <c r="L3591" s="147">
        <f ca="1"/>
        <v>48830</v>
      </c>
      <c r="M3591" s="92">
        <f t="shared" ca="1" si="123"/>
        <v>6.25</v>
      </c>
      <c r="N3591" s="143">
        <f ca="1">(PRODUCT($O$5:$O3591)-1)*36000/_xlfn.DAYS(L3591, $C$2)</f>
        <v>9.9702489553481701</v>
      </c>
      <c r="O3591" s="149">
        <f t="shared" ca="1" si="124"/>
        <v>1.000173611111111</v>
      </c>
    </row>
    <row r="3592" spans="12:15" x14ac:dyDescent="0.25">
      <c r="L3592" s="147">
        <f ca="1"/>
        <v>48831</v>
      </c>
      <c r="M3592" s="92">
        <f t="shared" ca="1" si="123"/>
        <v>6.25</v>
      </c>
      <c r="N3592" s="143">
        <f ca="1">(PRODUCT($O$5:$O3592)-1)*36000/_xlfn.DAYS(L3592, $C$2)</f>
        <v>9.9709425602377308</v>
      </c>
      <c r="O3592" s="149">
        <f t="shared" ca="1" si="124"/>
        <v>1.000173611111111</v>
      </c>
    </row>
    <row r="3593" spans="12:15" x14ac:dyDescent="0.25">
      <c r="L3593" s="147">
        <f ca="1"/>
        <v>48832</v>
      </c>
      <c r="M3593" s="92">
        <f t="shared" ca="1" si="123"/>
        <v>6.25</v>
      </c>
      <c r="N3593" s="143">
        <f ca="1">(PRODUCT($O$5:$O3593)-1)*36000/_xlfn.DAYS(L3593, $C$2)</f>
        <v>9.9716363812861868</v>
      </c>
      <c r="O3593" s="149">
        <f t="shared" ca="1" si="124"/>
        <v>1.000173611111111</v>
      </c>
    </row>
    <row r="3594" spans="12:15" x14ac:dyDescent="0.25">
      <c r="L3594" s="147">
        <f ca="1"/>
        <v>48833</v>
      </c>
      <c r="M3594" s="92">
        <f t="shared" ca="1" si="123"/>
        <v>6.25</v>
      </c>
      <c r="N3594" s="143">
        <f ca="1">(PRODUCT($O$5:$O3594)-1)*36000/_xlfn.DAYS(L3594, $C$2)</f>
        <v>9.972330418417501</v>
      </c>
      <c r="O3594" s="149">
        <f t="shared" ca="1" si="124"/>
        <v>1.000173611111111</v>
      </c>
    </row>
    <row r="3595" spans="12:15" x14ac:dyDescent="0.25">
      <c r="L3595" s="147">
        <f ca="1"/>
        <v>48834</v>
      </c>
      <c r="M3595" s="92">
        <f t="shared" ca="1" si="123"/>
        <v>6.25</v>
      </c>
      <c r="N3595" s="143">
        <f ca="1">(PRODUCT($O$5:$O3595)-1)*36000/_xlfn.DAYS(L3595, $C$2)</f>
        <v>9.9730246715557485</v>
      </c>
      <c r="O3595" s="149">
        <f t="shared" ca="1" si="124"/>
        <v>1.000173611111111</v>
      </c>
    </row>
    <row r="3596" spans="12:15" x14ac:dyDescent="0.25">
      <c r="L3596" s="147">
        <f ca="1"/>
        <v>48835</v>
      </c>
      <c r="M3596" s="92">
        <f t="shared" ca="1" si="123"/>
        <v>6.25</v>
      </c>
      <c r="N3596" s="143">
        <f ca="1">(PRODUCT($O$5:$O3596)-1)*36000/_xlfn.DAYS(L3596, $C$2)</f>
        <v>9.9737191406251</v>
      </c>
      <c r="O3596" s="149">
        <f t="shared" ca="1" si="124"/>
        <v>1.000173611111111</v>
      </c>
    </row>
    <row r="3597" spans="12:15" x14ac:dyDescent="0.25">
      <c r="L3597" s="147">
        <f ca="1"/>
        <v>48836</v>
      </c>
      <c r="M3597" s="92">
        <f t="shared" ca="1" si="123"/>
        <v>6.25</v>
      </c>
      <c r="N3597" s="143">
        <f ca="1">(PRODUCT($O$5:$O3597)-1)*36000/_xlfn.DAYS(L3597, $C$2)</f>
        <v>9.9744138255498314</v>
      </c>
      <c r="O3597" s="149">
        <f t="shared" ca="1" si="124"/>
        <v>1.000173611111111</v>
      </c>
    </row>
    <row r="3598" spans="12:15" x14ac:dyDescent="0.25">
      <c r="L3598" s="147">
        <f ca="1"/>
        <v>48837</v>
      </c>
      <c r="M3598" s="92">
        <f t="shared" ca="1" si="123"/>
        <v>6.25</v>
      </c>
      <c r="N3598" s="143">
        <f ca="1">(PRODUCT($O$5:$O3598)-1)*36000/_xlfn.DAYS(L3598, $C$2)</f>
        <v>9.975108726254323</v>
      </c>
      <c r="O3598" s="149">
        <f t="shared" ca="1" si="124"/>
        <v>1.000173611111111</v>
      </c>
    </row>
    <row r="3599" spans="12:15" x14ac:dyDescent="0.25">
      <c r="L3599" s="147">
        <f ca="1"/>
        <v>48838</v>
      </c>
      <c r="M3599" s="92">
        <f t="shared" ca="1" si="123"/>
        <v>6.25</v>
      </c>
      <c r="N3599" s="143">
        <f ca="1">(PRODUCT($O$5:$O3599)-1)*36000/_xlfn.DAYS(L3599, $C$2)</f>
        <v>9.9758038426630566</v>
      </c>
      <c r="O3599" s="149">
        <f t="shared" ca="1" si="124"/>
        <v>1.000173611111111</v>
      </c>
    </row>
    <row r="3600" spans="12:15" x14ac:dyDescent="0.25">
      <c r="L3600" s="147">
        <f ca="1"/>
        <v>48839</v>
      </c>
      <c r="M3600" s="92">
        <f t="shared" ca="1" si="123"/>
        <v>6.25</v>
      </c>
      <c r="N3600" s="143">
        <f ca="1">(PRODUCT($O$5:$O3600)-1)*36000/_xlfn.DAYS(L3600, $C$2)</f>
        <v>9.9764991747006118</v>
      </c>
      <c r="O3600" s="149">
        <f t="shared" ca="1" si="124"/>
        <v>1.000173611111111</v>
      </c>
    </row>
    <row r="3601" spans="12:15" x14ac:dyDescent="0.25">
      <c r="L3601" s="147">
        <f ca="1"/>
        <v>48840</v>
      </c>
      <c r="M3601" s="92">
        <f t="shared" ca="1" si="123"/>
        <v>6.25</v>
      </c>
      <c r="N3601" s="143">
        <f ca="1">(PRODUCT($O$5:$O3601)-1)*36000/_xlfn.DAYS(L3601, $C$2)</f>
        <v>9.9771947222916761</v>
      </c>
      <c r="O3601" s="149">
        <f t="shared" ca="1" si="124"/>
        <v>1.000173611111111</v>
      </c>
    </row>
    <row r="3602" spans="12:15" x14ac:dyDescent="0.25">
      <c r="L3602" s="147">
        <f ca="1"/>
        <v>48841</v>
      </c>
      <c r="M3602" s="92">
        <f t="shared" ca="1" si="123"/>
        <v>6.25</v>
      </c>
      <c r="N3602" s="143">
        <f ca="1">(PRODUCT($O$5:$O3602)-1)*36000/_xlfn.DAYS(L3602, $C$2)</f>
        <v>9.9778904853610335</v>
      </c>
      <c r="O3602" s="149">
        <f t="shared" ca="1" si="124"/>
        <v>1.000173611111111</v>
      </c>
    </row>
    <row r="3603" spans="12:15" x14ac:dyDescent="0.25">
      <c r="L3603" s="147">
        <f ca="1"/>
        <v>48842</v>
      </c>
      <c r="M3603" s="92">
        <f t="shared" ca="1" si="123"/>
        <v>6.25</v>
      </c>
      <c r="N3603" s="143">
        <f ca="1">(PRODUCT($O$5:$O3603)-1)*36000/_xlfn.DAYS(L3603, $C$2)</f>
        <v>9.9785864638335742</v>
      </c>
      <c r="O3603" s="149">
        <f t="shared" ca="1" si="124"/>
        <v>1.000173611111111</v>
      </c>
    </row>
    <row r="3604" spans="12:15" x14ac:dyDescent="0.25">
      <c r="L3604" s="147">
        <f ca="1"/>
        <v>48843</v>
      </c>
      <c r="M3604" s="92">
        <f t="shared" ca="1" si="123"/>
        <v>6.25</v>
      </c>
      <c r="N3604" s="143">
        <f ca="1">(PRODUCT($O$5:$O3604)-1)*36000/_xlfn.DAYS(L3604, $C$2)</f>
        <v>9.9792826576342897</v>
      </c>
      <c r="O3604" s="149">
        <f t="shared" ca="1" si="124"/>
        <v>1.000173611111111</v>
      </c>
    </row>
    <row r="3605" spans="12:15" x14ac:dyDescent="0.25">
      <c r="L3605" s="147">
        <f ca="1"/>
        <v>48844</v>
      </c>
      <c r="M3605" s="92">
        <f t="shared" ca="1" si="123"/>
        <v>6.25</v>
      </c>
      <c r="N3605" s="143">
        <f ca="1">(PRODUCT($O$5:$O3605)-1)*36000/_xlfn.DAYS(L3605, $C$2)</f>
        <v>9.9799790666882693</v>
      </c>
      <c r="O3605" s="149">
        <f t="shared" ca="1" si="124"/>
        <v>1.000173611111111</v>
      </c>
    </row>
    <row r="3606" spans="12:15" x14ac:dyDescent="0.25">
      <c r="L3606" s="147">
        <f ca="1"/>
        <v>48845</v>
      </c>
      <c r="M3606" s="92">
        <f t="shared" ca="1" si="123"/>
        <v>6.25</v>
      </c>
      <c r="N3606" s="143">
        <f ca="1">(PRODUCT($O$5:$O3606)-1)*36000/_xlfn.DAYS(L3606, $C$2)</f>
        <v>9.9806756909207088</v>
      </c>
      <c r="O3606" s="149">
        <f t="shared" ca="1" si="124"/>
        <v>1.000173611111111</v>
      </c>
    </row>
    <row r="3607" spans="12:15" x14ac:dyDescent="0.25">
      <c r="L3607" s="147">
        <f ca="1"/>
        <v>48846</v>
      </c>
      <c r="M3607" s="92">
        <f t="shared" ca="1" si="123"/>
        <v>6.25</v>
      </c>
      <c r="N3607" s="143">
        <f ca="1">(PRODUCT($O$5:$O3607)-1)*36000/_xlfn.DAYS(L3607, $C$2)</f>
        <v>9.9813725302568983</v>
      </c>
      <c r="O3607" s="149">
        <f t="shared" ca="1" si="124"/>
        <v>1.000173611111111</v>
      </c>
    </row>
    <row r="3608" spans="12:15" x14ac:dyDescent="0.25">
      <c r="L3608" s="147">
        <f ca="1"/>
        <v>48847</v>
      </c>
      <c r="M3608" s="92">
        <f t="shared" ca="1" si="123"/>
        <v>6.25</v>
      </c>
      <c r="N3608" s="143">
        <f ca="1">(PRODUCT($O$5:$O3608)-1)*36000/_xlfn.DAYS(L3608, $C$2)</f>
        <v>9.9820695846222325</v>
      </c>
      <c r="O3608" s="149">
        <f t="shared" ca="1" si="124"/>
        <v>1.000173611111111</v>
      </c>
    </row>
    <row r="3609" spans="12:15" x14ac:dyDescent="0.25">
      <c r="L3609" s="147">
        <f ca="1"/>
        <v>48848</v>
      </c>
      <c r="M3609" s="92">
        <f t="shared" ca="1" si="123"/>
        <v>6.25</v>
      </c>
      <c r="N3609" s="143">
        <f ca="1">(PRODUCT($O$5:$O3609)-1)*36000/_xlfn.DAYS(L3609, $C$2)</f>
        <v>9.9827668539422145</v>
      </c>
      <c r="O3609" s="149">
        <f t="shared" ca="1" si="124"/>
        <v>1.000173611111111</v>
      </c>
    </row>
    <row r="3610" spans="12:15" x14ac:dyDescent="0.25">
      <c r="L3610" s="147">
        <f ca="1"/>
        <v>48849</v>
      </c>
      <c r="M3610" s="92">
        <f t="shared" ca="1" si="123"/>
        <v>6.25</v>
      </c>
      <c r="N3610" s="143">
        <f ca="1">(PRODUCT($O$5:$O3610)-1)*36000/_xlfn.DAYS(L3610, $C$2)</f>
        <v>9.9834643381424346</v>
      </c>
      <c r="O3610" s="149">
        <f t="shared" ca="1" si="124"/>
        <v>1.000173611111111</v>
      </c>
    </row>
    <row r="3611" spans="12:15" x14ac:dyDescent="0.25">
      <c r="L3611" s="147">
        <f ca="1"/>
        <v>48850</v>
      </c>
      <c r="M3611" s="92">
        <f t="shared" ca="1" si="123"/>
        <v>6.25</v>
      </c>
      <c r="N3611" s="143">
        <f ca="1">(PRODUCT($O$5:$O3611)-1)*36000/_xlfn.DAYS(L3611, $C$2)</f>
        <v>9.9841620371485913</v>
      </c>
      <c r="O3611" s="149">
        <f t="shared" ca="1" si="124"/>
        <v>1.000173611111111</v>
      </c>
    </row>
    <row r="3612" spans="12:15" x14ac:dyDescent="0.25">
      <c r="L3612" s="147">
        <f ca="1"/>
        <v>48851</v>
      </c>
      <c r="M3612" s="92">
        <f t="shared" ca="1" si="123"/>
        <v>6.25</v>
      </c>
      <c r="N3612" s="143">
        <f ca="1">(PRODUCT($O$5:$O3612)-1)*36000/_xlfn.DAYS(L3612, $C$2)</f>
        <v>9.9848599508864861</v>
      </c>
      <c r="O3612" s="149">
        <f t="shared" ca="1" si="124"/>
        <v>1.000173611111111</v>
      </c>
    </row>
    <row r="3613" spans="12:15" x14ac:dyDescent="0.25">
      <c r="L3613" s="147">
        <f ca="1"/>
        <v>48852</v>
      </c>
      <c r="M3613" s="92">
        <f t="shared" ca="1" si="123"/>
        <v>6.25</v>
      </c>
      <c r="N3613" s="143">
        <f ca="1">(PRODUCT($O$5:$O3613)-1)*36000/_xlfn.DAYS(L3613, $C$2)</f>
        <v>9.9855580792820113</v>
      </c>
      <c r="O3613" s="149">
        <f t="shared" ca="1" si="124"/>
        <v>1.000173611111111</v>
      </c>
    </row>
    <row r="3614" spans="12:15" x14ac:dyDescent="0.25">
      <c r="L3614" s="147">
        <f ca="1"/>
        <v>48853</v>
      </c>
      <c r="M3614" s="92">
        <f t="shared" ca="1" si="123"/>
        <v>6.25</v>
      </c>
      <c r="N3614" s="143">
        <f ca="1">(PRODUCT($O$5:$O3614)-1)*36000/_xlfn.DAYS(L3614, $C$2)</f>
        <v>9.9862564222611692</v>
      </c>
      <c r="O3614" s="149">
        <f t="shared" ca="1" si="124"/>
        <v>1.000173611111111</v>
      </c>
    </row>
    <row r="3615" spans="12:15" x14ac:dyDescent="0.25">
      <c r="L3615" s="147">
        <f ca="1"/>
        <v>48854</v>
      </c>
      <c r="M3615" s="92">
        <f t="shared" ca="1" si="123"/>
        <v>6.25</v>
      </c>
      <c r="N3615" s="143">
        <f ca="1">(PRODUCT($O$5:$O3615)-1)*36000/_xlfn.DAYS(L3615, $C$2)</f>
        <v>9.9869549797500596</v>
      </c>
      <c r="O3615" s="149">
        <f t="shared" ca="1" si="124"/>
        <v>1.000173611111111</v>
      </c>
    </row>
    <row r="3616" spans="12:15" x14ac:dyDescent="0.25">
      <c r="L3616" s="147">
        <f ca="1"/>
        <v>48855</v>
      </c>
      <c r="M3616" s="92">
        <f t="shared" ca="1" si="123"/>
        <v>6.25</v>
      </c>
      <c r="N3616" s="143">
        <f ca="1">(PRODUCT($O$5:$O3616)-1)*36000/_xlfn.DAYS(L3616, $C$2)</f>
        <v>9.9876537516748805</v>
      </c>
      <c r="O3616" s="149">
        <f t="shared" ca="1" si="124"/>
        <v>1.000173611111111</v>
      </c>
    </row>
    <row r="3617" spans="12:15" x14ac:dyDescent="0.25">
      <c r="L3617" s="147">
        <f ca="1"/>
        <v>48856</v>
      </c>
      <c r="M3617" s="92">
        <f t="shared" ca="1" si="123"/>
        <v>6.25</v>
      </c>
      <c r="N3617" s="143">
        <f ca="1">(PRODUCT($O$5:$O3617)-1)*36000/_xlfn.DAYS(L3617, $C$2)</f>
        <v>9.9883527379619252</v>
      </c>
      <c r="O3617" s="149">
        <f t="shared" ca="1" si="124"/>
        <v>1.000173611111111</v>
      </c>
    </row>
    <row r="3618" spans="12:15" x14ac:dyDescent="0.25">
      <c r="L3618" s="147">
        <f ca="1"/>
        <v>48857</v>
      </c>
      <c r="M3618" s="92">
        <f t="shared" ca="1" si="123"/>
        <v>6.25</v>
      </c>
      <c r="N3618" s="143">
        <f ca="1">(PRODUCT($O$5:$O3618)-1)*36000/_xlfn.DAYS(L3618, $C$2)</f>
        <v>9.9890519385375978</v>
      </c>
      <c r="O3618" s="149">
        <f t="shared" ca="1" si="124"/>
        <v>1.000173611111111</v>
      </c>
    </row>
    <row r="3619" spans="12:15" x14ac:dyDescent="0.25">
      <c r="L3619" s="147">
        <f ca="1"/>
        <v>48858</v>
      </c>
      <c r="M3619" s="92">
        <f t="shared" ca="1" si="123"/>
        <v>6.25</v>
      </c>
      <c r="N3619" s="143">
        <f ca="1">(PRODUCT($O$5:$O3619)-1)*36000/_xlfn.DAYS(L3619, $C$2)</f>
        <v>9.9897513533283906</v>
      </c>
      <c r="O3619" s="149">
        <f t="shared" ca="1" si="124"/>
        <v>1.000173611111111</v>
      </c>
    </row>
    <row r="3620" spans="12:15" x14ac:dyDescent="0.25">
      <c r="L3620" s="147">
        <f ca="1"/>
        <v>48859</v>
      </c>
      <c r="M3620" s="92">
        <f t="shared" ca="1" si="123"/>
        <v>6.25</v>
      </c>
      <c r="N3620" s="143">
        <f ca="1">(PRODUCT($O$5:$O3620)-1)*36000/_xlfn.DAYS(L3620, $C$2)</f>
        <v>9.9904509822609064</v>
      </c>
      <c r="O3620" s="149">
        <f t="shared" ca="1" si="124"/>
        <v>1.000173611111111</v>
      </c>
    </row>
    <row r="3621" spans="12:15" x14ac:dyDescent="0.25">
      <c r="L3621" s="147">
        <f ca="1"/>
        <v>48860</v>
      </c>
      <c r="M3621" s="92">
        <f t="shared" ca="1" si="123"/>
        <v>6.25</v>
      </c>
      <c r="N3621" s="143">
        <f ca="1">(PRODUCT($O$5:$O3621)-1)*36000/_xlfn.DAYS(L3621, $C$2)</f>
        <v>9.9911508252618386</v>
      </c>
      <c r="O3621" s="149">
        <f t="shared" ca="1" si="124"/>
        <v>1.000173611111111</v>
      </c>
    </row>
    <row r="3622" spans="12:15" x14ac:dyDescent="0.25">
      <c r="L3622" s="147">
        <f ca="1"/>
        <v>48861</v>
      </c>
      <c r="M3622" s="92">
        <f t="shared" ca="1" si="123"/>
        <v>6.25</v>
      </c>
      <c r="N3622" s="143">
        <f ca="1">(PRODUCT($O$5:$O3622)-1)*36000/_xlfn.DAYS(L3622, $C$2)</f>
        <v>9.9918508822579799</v>
      </c>
      <c r="O3622" s="149">
        <f t="shared" ca="1" si="124"/>
        <v>1.000173611111111</v>
      </c>
    </row>
    <row r="3623" spans="12:15" x14ac:dyDescent="0.25">
      <c r="L3623" s="147">
        <f ca="1"/>
        <v>48862</v>
      </c>
      <c r="M3623" s="92">
        <f t="shared" ca="1" si="123"/>
        <v>6.25</v>
      </c>
      <c r="N3623" s="143">
        <f ca="1">(PRODUCT($O$5:$O3623)-1)*36000/_xlfn.DAYS(L3623, $C$2)</f>
        <v>9.9925511531762332</v>
      </c>
      <c r="O3623" s="149">
        <f t="shared" ca="1" si="124"/>
        <v>1.000173611111111</v>
      </c>
    </row>
    <row r="3624" spans="12:15" x14ac:dyDescent="0.25">
      <c r="L3624" s="147">
        <f ca="1"/>
        <v>48863</v>
      </c>
      <c r="M3624" s="92">
        <f t="shared" ca="1" si="123"/>
        <v>6.25</v>
      </c>
      <c r="N3624" s="143">
        <f ca="1">(PRODUCT($O$5:$O3624)-1)*36000/_xlfn.DAYS(L3624, $C$2)</f>
        <v>9.9932516379435832</v>
      </c>
      <c r="O3624" s="149">
        <f t="shared" ca="1" si="124"/>
        <v>1.000173611111111</v>
      </c>
    </row>
    <row r="3625" spans="12:15" x14ac:dyDescent="0.25">
      <c r="L3625" s="147">
        <f ca="1"/>
        <v>48864</v>
      </c>
      <c r="M3625" s="92">
        <f t="shared" ca="1" si="123"/>
        <v>6.25</v>
      </c>
      <c r="N3625" s="143">
        <f ca="1">(PRODUCT($O$5:$O3625)-1)*36000/_xlfn.DAYS(L3625, $C$2)</f>
        <v>9.9939523364871263</v>
      </c>
      <c r="O3625" s="149">
        <f t="shared" ca="1" si="124"/>
        <v>1.000173611111111</v>
      </c>
    </row>
    <row r="3626" spans="12:15" x14ac:dyDescent="0.25">
      <c r="L3626" s="147">
        <f ca="1"/>
        <v>48865</v>
      </c>
      <c r="M3626" s="92">
        <f t="shared" ca="1" si="123"/>
        <v>6.25</v>
      </c>
      <c r="N3626" s="143">
        <f ca="1">(PRODUCT($O$5:$O3626)-1)*36000/_xlfn.DAYS(L3626, $C$2)</f>
        <v>9.9946532487340551</v>
      </c>
      <c r="O3626" s="149">
        <f t="shared" ca="1" si="124"/>
        <v>1.000173611111111</v>
      </c>
    </row>
    <row r="3627" spans="12:15" x14ac:dyDescent="0.25">
      <c r="L3627" s="147">
        <f ca="1"/>
        <v>48866</v>
      </c>
      <c r="M3627" s="92">
        <f t="shared" ca="1" si="123"/>
        <v>6.25</v>
      </c>
      <c r="N3627" s="143">
        <f ca="1">(PRODUCT($O$5:$O3627)-1)*36000/_xlfn.DAYS(L3627, $C$2)</f>
        <v>9.9953543746116527</v>
      </c>
      <c r="O3627" s="149">
        <f t="shared" ca="1" si="124"/>
        <v>1.000173611111111</v>
      </c>
    </row>
    <row r="3628" spans="12:15" x14ac:dyDescent="0.25">
      <c r="L3628" s="147">
        <f ca="1"/>
        <v>48867</v>
      </c>
      <c r="M3628" s="92">
        <f t="shared" ca="1" si="123"/>
        <v>6.25</v>
      </c>
      <c r="N3628" s="143">
        <f ca="1">(PRODUCT($O$5:$O3628)-1)*36000/_xlfn.DAYS(L3628, $C$2)</f>
        <v>9.9960557140473121</v>
      </c>
      <c r="O3628" s="149">
        <f t="shared" ca="1" si="124"/>
        <v>1.000173611111111</v>
      </c>
    </row>
    <row r="3629" spans="12:15" x14ac:dyDescent="0.25">
      <c r="L3629" s="147">
        <f ca="1"/>
        <v>48868</v>
      </c>
      <c r="M3629" s="92">
        <f t="shared" ca="1" si="123"/>
        <v>6.25</v>
      </c>
      <c r="N3629" s="143">
        <f ca="1">(PRODUCT($O$5:$O3629)-1)*36000/_xlfn.DAYS(L3629, $C$2)</f>
        <v>9.996757266968519</v>
      </c>
      <c r="O3629" s="149">
        <f t="shared" ca="1" si="124"/>
        <v>1.000173611111111</v>
      </c>
    </row>
    <row r="3630" spans="12:15" x14ac:dyDescent="0.25">
      <c r="L3630" s="147">
        <f ca="1"/>
        <v>48869</v>
      </c>
      <c r="M3630" s="92">
        <f t="shared" ca="1" si="123"/>
        <v>6.25</v>
      </c>
      <c r="N3630" s="143">
        <f ca="1">(PRODUCT($O$5:$O3630)-1)*36000/_xlfn.DAYS(L3630, $C$2)</f>
        <v>9.9974590333028512</v>
      </c>
      <c r="O3630" s="149">
        <f t="shared" ca="1" si="124"/>
        <v>1.000173611111111</v>
      </c>
    </row>
    <row r="3631" spans="12:15" x14ac:dyDescent="0.25">
      <c r="L3631" s="147">
        <f ca="1"/>
        <v>48870</v>
      </c>
      <c r="M3631" s="92">
        <f t="shared" ca="1" si="123"/>
        <v>6.25</v>
      </c>
      <c r="N3631" s="143">
        <f ca="1">(PRODUCT($O$5:$O3631)-1)*36000/_xlfn.DAYS(L3631, $C$2)</f>
        <v>9.9981610129779988</v>
      </c>
      <c r="O3631" s="149">
        <f t="shared" ca="1" si="124"/>
        <v>1.000173611111111</v>
      </c>
    </row>
    <row r="3632" spans="12:15" x14ac:dyDescent="0.25">
      <c r="L3632" s="147">
        <f ca="1"/>
        <v>48871</v>
      </c>
      <c r="M3632" s="92">
        <f t="shared" ca="1" si="123"/>
        <v>6.25</v>
      </c>
      <c r="N3632" s="143">
        <f ca="1">(PRODUCT($O$5:$O3632)-1)*36000/_xlfn.DAYS(L3632, $C$2)</f>
        <v>9.9988632059217366</v>
      </c>
      <c r="O3632" s="149">
        <f t="shared" ca="1" si="124"/>
        <v>1.000173611111111</v>
      </c>
    </row>
    <row r="3633" spans="12:15" x14ac:dyDescent="0.25">
      <c r="L3633" s="147">
        <f ca="1"/>
        <v>48872</v>
      </c>
      <c r="M3633" s="92">
        <f t="shared" ca="1" si="123"/>
        <v>6.25</v>
      </c>
      <c r="N3633" s="143">
        <f ca="1">(PRODUCT($O$5:$O3633)-1)*36000/_xlfn.DAYS(L3633, $C$2)</f>
        <v>9.9995656120619394</v>
      </c>
      <c r="O3633" s="149">
        <f t="shared" ca="1" si="124"/>
        <v>1.000173611111111</v>
      </c>
    </row>
    <row r="3634" spans="12:15" x14ac:dyDescent="0.25">
      <c r="L3634" s="147">
        <f ca="1"/>
        <v>48873</v>
      </c>
      <c r="M3634" s="92">
        <f t="shared" ca="1" si="123"/>
        <v>6.25</v>
      </c>
      <c r="N3634" s="143">
        <f ca="1">(PRODUCT($O$5:$O3634)-1)*36000/_xlfn.DAYS(L3634, $C$2)</f>
        <v>10.000268231326588</v>
      </c>
      <c r="O3634" s="149">
        <f t="shared" ca="1" si="124"/>
        <v>1.000173611111111</v>
      </c>
    </row>
    <row r="3635" spans="12:15" x14ac:dyDescent="0.25">
      <c r="L3635" s="147">
        <f ca="1"/>
        <v>48874</v>
      </c>
      <c r="M3635" s="92">
        <f t="shared" ca="1" si="123"/>
        <v>6.25</v>
      </c>
      <c r="N3635" s="143">
        <f ca="1">(PRODUCT($O$5:$O3635)-1)*36000/_xlfn.DAYS(L3635, $C$2)</f>
        <v>10.000971063643751</v>
      </c>
      <c r="O3635" s="149">
        <f t="shared" ca="1" si="124"/>
        <v>1.000173611111111</v>
      </c>
    </row>
    <row r="3636" spans="12:15" x14ac:dyDescent="0.25">
      <c r="L3636" s="147">
        <f ca="1"/>
        <v>48875</v>
      </c>
      <c r="M3636" s="92">
        <f t="shared" ca="1" si="123"/>
        <v>6.25</v>
      </c>
      <c r="N3636" s="143">
        <f ca="1">(PRODUCT($O$5:$O3636)-1)*36000/_xlfn.DAYS(L3636, $C$2)</f>
        <v>10.001674108941598</v>
      </c>
      <c r="O3636" s="149">
        <f t="shared" ca="1" si="124"/>
        <v>1.000173611111111</v>
      </c>
    </row>
    <row r="3637" spans="12:15" x14ac:dyDescent="0.25">
      <c r="L3637" s="147">
        <f ca="1"/>
        <v>48876</v>
      </c>
      <c r="M3637" s="92">
        <f t="shared" ca="1" si="123"/>
        <v>6.25</v>
      </c>
      <c r="N3637" s="143">
        <f ca="1">(PRODUCT($O$5:$O3637)-1)*36000/_xlfn.DAYS(L3637, $C$2)</f>
        <v>10.002377367148396</v>
      </c>
      <c r="O3637" s="149">
        <f t="shared" ca="1" si="124"/>
        <v>1.000173611111111</v>
      </c>
    </row>
    <row r="3638" spans="12:15" x14ac:dyDescent="0.25">
      <c r="L3638" s="147">
        <f ca="1"/>
        <v>48877</v>
      </c>
      <c r="M3638" s="92">
        <f t="shared" ca="1" si="123"/>
        <v>6.25</v>
      </c>
      <c r="N3638" s="143">
        <f ca="1">(PRODUCT($O$5:$O3638)-1)*36000/_xlfn.DAYS(L3638, $C$2)</f>
        <v>10.003080838192508</v>
      </c>
      <c r="O3638" s="149">
        <f t="shared" ca="1" si="124"/>
        <v>1.000173611111111</v>
      </c>
    </row>
    <row r="3639" spans="12:15" x14ac:dyDescent="0.25">
      <c r="L3639" s="147">
        <f ca="1"/>
        <v>48878</v>
      </c>
      <c r="M3639" s="92">
        <f t="shared" ca="1" si="123"/>
        <v>6.25</v>
      </c>
      <c r="N3639" s="143">
        <f ca="1">(PRODUCT($O$5:$O3639)-1)*36000/_xlfn.DAYS(L3639, $C$2)</f>
        <v>10.0037845220024</v>
      </c>
      <c r="O3639" s="149">
        <f t="shared" ca="1" si="124"/>
        <v>1.000173611111111</v>
      </c>
    </row>
    <row r="3640" spans="12:15" x14ac:dyDescent="0.25">
      <c r="L3640" s="147">
        <f ca="1"/>
        <v>48879</v>
      </c>
      <c r="M3640" s="92">
        <f t="shared" ca="1" si="123"/>
        <v>6.25</v>
      </c>
      <c r="N3640" s="143">
        <f ca="1">(PRODUCT($O$5:$O3640)-1)*36000/_xlfn.DAYS(L3640, $C$2)</f>
        <v>10.004488418506622</v>
      </c>
      <c r="O3640" s="149">
        <f t="shared" ca="1" si="124"/>
        <v>1.000173611111111</v>
      </c>
    </row>
    <row r="3641" spans="12:15" x14ac:dyDescent="0.25">
      <c r="L3641" s="147">
        <f ca="1"/>
        <v>48880</v>
      </c>
      <c r="M3641" s="92">
        <f t="shared" ca="1" si="123"/>
        <v>6.25</v>
      </c>
      <c r="N3641" s="143">
        <f ca="1">(PRODUCT($O$5:$O3641)-1)*36000/_xlfn.DAYS(L3641, $C$2)</f>
        <v>10.005192527633836</v>
      </c>
      <c r="O3641" s="149">
        <f t="shared" ca="1" si="124"/>
        <v>1.000173611111111</v>
      </c>
    </row>
    <row r="3642" spans="12:15" x14ac:dyDescent="0.25">
      <c r="L3642" s="147">
        <f ca="1"/>
        <v>48881</v>
      </c>
      <c r="M3642" s="92">
        <f t="shared" ca="1" si="123"/>
        <v>6.25</v>
      </c>
      <c r="N3642" s="143">
        <f ca="1">(PRODUCT($O$5:$O3642)-1)*36000/_xlfn.DAYS(L3642, $C$2)</f>
        <v>10.005896849312785</v>
      </c>
      <c r="O3642" s="149">
        <f t="shared" ca="1" si="124"/>
        <v>1.000173611111111</v>
      </c>
    </row>
    <row r="3643" spans="12:15" x14ac:dyDescent="0.25">
      <c r="L3643" s="147">
        <f ca="1"/>
        <v>48882</v>
      </c>
      <c r="M3643" s="92">
        <f t="shared" ca="1" si="123"/>
        <v>6.25</v>
      </c>
      <c r="N3643" s="143">
        <f ca="1">(PRODUCT($O$5:$O3643)-1)*36000/_xlfn.DAYS(L3643, $C$2)</f>
        <v>10.00660138347232</v>
      </c>
      <c r="O3643" s="149">
        <f t="shared" ca="1" si="124"/>
        <v>1.000173611111111</v>
      </c>
    </row>
    <row r="3644" spans="12:15" x14ac:dyDescent="0.25">
      <c r="L3644" s="147">
        <f ca="1"/>
        <v>48883</v>
      </c>
      <c r="M3644" s="92">
        <f t="shared" ca="1" si="123"/>
        <v>6.25</v>
      </c>
      <c r="N3644" s="143">
        <f ca="1">(PRODUCT($O$5:$O3644)-1)*36000/_xlfn.DAYS(L3644, $C$2)</f>
        <v>10.007306130041384</v>
      </c>
      <c r="O3644" s="149">
        <f t="shared" ca="1" si="124"/>
        <v>1.000173611111111</v>
      </c>
    </row>
    <row r="3645" spans="12:15" x14ac:dyDescent="0.25">
      <c r="L3645" s="147">
        <f ca="1"/>
        <v>48884</v>
      </c>
      <c r="M3645" s="92">
        <f t="shared" ca="1" si="123"/>
        <v>6.25</v>
      </c>
      <c r="N3645" s="143">
        <f ca="1">(PRODUCT($O$5:$O3645)-1)*36000/_xlfn.DAYS(L3645, $C$2)</f>
        <v>10.008011088949013</v>
      </c>
      <c r="O3645" s="149">
        <f t="shared" ca="1" si="124"/>
        <v>1.000173611111111</v>
      </c>
    </row>
    <row r="3646" spans="12:15" x14ac:dyDescent="0.25">
      <c r="L3646" s="147">
        <f ca="1"/>
        <v>48885</v>
      </c>
      <c r="M3646" s="92">
        <f t="shared" ca="1" si="123"/>
        <v>6.25</v>
      </c>
      <c r="N3646" s="143">
        <f ca="1">(PRODUCT($O$5:$O3646)-1)*36000/_xlfn.DAYS(L3646, $C$2)</f>
        <v>10.008716260124348</v>
      </c>
      <c r="O3646" s="149">
        <f t="shared" ca="1" si="124"/>
        <v>1.000173611111111</v>
      </c>
    </row>
    <row r="3647" spans="12:15" x14ac:dyDescent="0.25">
      <c r="L3647" s="147">
        <f ca="1"/>
        <v>48886</v>
      </c>
      <c r="M3647" s="92">
        <f t="shared" ca="1" si="123"/>
        <v>6.25</v>
      </c>
      <c r="N3647" s="143">
        <f ca="1">(PRODUCT($O$5:$O3647)-1)*36000/_xlfn.DAYS(L3647, $C$2)</f>
        <v>10.009421643496617</v>
      </c>
      <c r="O3647" s="149">
        <f t="shared" ca="1" si="124"/>
        <v>1.000173611111111</v>
      </c>
    </row>
    <row r="3648" spans="12:15" x14ac:dyDescent="0.25">
      <c r="L3648" s="147">
        <f ca="1"/>
        <v>48887</v>
      </c>
      <c r="M3648" s="92">
        <f t="shared" ca="1" si="123"/>
        <v>6.25</v>
      </c>
      <c r="N3648" s="143">
        <f ca="1">(PRODUCT($O$5:$O3648)-1)*36000/_xlfn.DAYS(L3648, $C$2)</f>
        <v>10.010127238995148</v>
      </c>
      <c r="O3648" s="149">
        <f t="shared" ca="1" si="124"/>
        <v>1.000173611111111</v>
      </c>
    </row>
    <row r="3649" spans="12:15" x14ac:dyDescent="0.25">
      <c r="L3649" s="147">
        <f ca="1"/>
        <v>48888</v>
      </c>
      <c r="M3649" s="92">
        <f t="shared" ca="1" si="123"/>
        <v>6.25</v>
      </c>
      <c r="N3649" s="143">
        <f ca="1">(PRODUCT($O$5:$O3649)-1)*36000/_xlfn.DAYS(L3649, $C$2)</f>
        <v>10.010833046549362</v>
      </c>
      <c r="O3649" s="149">
        <f t="shared" ca="1" si="124"/>
        <v>1.000173611111111</v>
      </c>
    </row>
    <row r="3650" spans="12:15" x14ac:dyDescent="0.25">
      <c r="L3650" s="147">
        <f ca="1"/>
        <v>48889</v>
      </c>
      <c r="M3650" s="92">
        <f t="shared" ca="1" si="123"/>
        <v>6.25</v>
      </c>
      <c r="N3650" s="143">
        <f ca="1">(PRODUCT($O$5:$O3650)-1)*36000/_xlfn.DAYS(L3650, $C$2)</f>
        <v>10.01153906608878</v>
      </c>
      <c r="O3650" s="149">
        <f t="shared" ca="1" si="124"/>
        <v>1.000173611111111</v>
      </c>
    </row>
    <row r="3651" spans="12:15" x14ac:dyDescent="0.25">
      <c r="L3651" s="147">
        <f ca="1"/>
        <v>48890</v>
      </c>
      <c r="M3651" s="92">
        <f t="shared" ca="1" si="123"/>
        <v>6.25</v>
      </c>
      <c r="N3651" s="143">
        <f ca="1">(PRODUCT($O$5:$O3651)-1)*36000/_xlfn.DAYS(L3651, $C$2)</f>
        <v>10.012245297543013</v>
      </c>
      <c r="O3651" s="149">
        <f t="shared" ca="1" si="124"/>
        <v>1.000173611111111</v>
      </c>
    </row>
    <row r="3652" spans="12:15" x14ac:dyDescent="0.25">
      <c r="L3652" s="147">
        <f ca="1"/>
        <v>48891</v>
      </c>
      <c r="M3652" s="92">
        <f t="shared" ca="1" si="123"/>
        <v>6.25</v>
      </c>
      <c r="N3652" s="143">
        <f ca="1">(PRODUCT($O$5:$O3652)-1)*36000/_xlfn.DAYS(L3652, $C$2)</f>
        <v>10.012951740841766</v>
      </c>
      <c r="O3652" s="149">
        <f t="shared" ca="1" si="124"/>
        <v>1.000173611111111</v>
      </c>
    </row>
    <row r="3653" spans="12:15" x14ac:dyDescent="0.25">
      <c r="L3653" s="147">
        <f ca="1"/>
        <v>48892</v>
      </c>
      <c r="M3653" s="92">
        <f t="shared" ref="M3653:M3716" ca="1" si="125">IFERROR(INDEX($E$27:$H$47, MATCH(L3653, $F$27:$F$47, 0), 4), IF(ISNUMBER(M3652), M3652, $C$5))</f>
        <v>6.25</v>
      </c>
      <c r="N3653" s="143">
        <f ca="1">(PRODUCT($O$5:$O3653)-1)*36000/_xlfn.DAYS(L3653, $C$2)</f>
        <v>10.013658395914852</v>
      </c>
      <c r="O3653" s="149">
        <f t="shared" ca="1" si="124"/>
        <v>1.000173611111111</v>
      </c>
    </row>
    <row r="3654" spans="12:15" x14ac:dyDescent="0.25">
      <c r="L3654" s="147">
        <f ca="1"/>
        <v>48893</v>
      </c>
      <c r="M3654" s="92">
        <f t="shared" ca="1" si="125"/>
        <v>6.25</v>
      </c>
      <c r="N3654" s="143">
        <f ca="1">(PRODUCT($O$5:$O3654)-1)*36000/_xlfn.DAYS(L3654, $C$2)</f>
        <v>10.014365262692165</v>
      </c>
      <c r="O3654" s="149">
        <f t="shared" ref="O3654:O3717" ca="1" si="126">1+M3654*IFERROR(_xlfn.DAYS(L3654, L3653), _xlfn.DAYS(L3654, $C$2))/36000</f>
        <v>1.000173611111111</v>
      </c>
    </row>
    <row r="3655" spans="12:15" x14ac:dyDescent="0.25">
      <c r="L3655" s="147">
        <f ca="1"/>
        <v>48894</v>
      </c>
      <c r="M3655" s="92">
        <f t="shared" ca="1" si="125"/>
        <v>6.25</v>
      </c>
      <c r="N3655" s="143">
        <f ca="1">(PRODUCT($O$5:$O3655)-1)*36000/_xlfn.DAYS(L3655, $C$2)</f>
        <v>10.015072341103696</v>
      </c>
      <c r="O3655" s="149">
        <f t="shared" ca="1" si="126"/>
        <v>1.000173611111111</v>
      </c>
    </row>
    <row r="3656" spans="12:15" x14ac:dyDescent="0.25">
      <c r="L3656" s="147">
        <f ca="1"/>
        <v>48895</v>
      </c>
      <c r="M3656" s="92">
        <f t="shared" ca="1" si="125"/>
        <v>6.25</v>
      </c>
      <c r="N3656" s="143">
        <f ca="1">(PRODUCT($O$5:$O3656)-1)*36000/_xlfn.DAYS(L3656, $C$2)</f>
        <v>10.015779631079537</v>
      </c>
      <c r="O3656" s="149">
        <f t="shared" ca="1" si="126"/>
        <v>1.000173611111111</v>
      </c>
    </row>
    <row r="3657" spans="12:15" x14ac:dyDescent="0.25">
      <c r="L3657" s="147">
        <f ca="1"/>
        <v>48896</v>
      </c>
      <c r="M3657" s="92">
        <f t="shared" ca="1" si="125"/>
        <v>6.25</v>
      </c>
      <c r="N3657" s="143">
        <f ca="1">(PRODUCT($O$5:$O3657)-1)*36000/_xlfn.DAYS(L3657, $C$2)</f>
        <v>10.016487132549869</v>
      </c>
      <c r="O3657" s="149">
        <f t="shared" ca="1" si="126"/>
        <v>1.000173611111111</v>
      </c>
    </row>
    <row r="3658" spans="12:15" x14ac:dyDescent="0.25">
      <c r="L3658" s="147">
        <f ca="1"/>
        <v>48897</v>
      </c>
      <c r="M3658" s="92">
        <f t="shared" ca="1" si="125"/>
        <v>6.25</v>
      </c>
      <c r="N3658" s="143">
        <f ca="1">(PRODUCT($O$5:$O3658)-1)*36000/_xlfn.DAYS(L3658, $C$2)</f>
        <v>10.017194845444966</v>
      </c>
      <c r="O3658" s="149">
        <f t="shared" ca="1" si="126"/>
        <v>1.000173611111111</v>
      </c>
    </row>
    <row r="3659" spans="12:15" x14ac:dyDescent="0.25">
      <c r="L3659" s="147">
        <f ca="1"/>
        <v>48898</v>
      </c>
      <c r="M3659" s="92">
        <f t="shared" ca="1" si="125"/>
        <v>6.25</v>
      </c>
      <c r="N3659" s="143">
        <f ca="1">(PRODUCT($O$5:$O3659)-1)*36000/_xlfn.DAYS(L3659, $C$2)</f>
        <v>10.017902769695205</v>
      </c>
      <c r="O3659" s="149">
        <f t="shared" ca="1" si="126"/>
        <v>1.000173611111111</v>
      </c>
    </row>
    <row r="3660" spans="12:15" x14ac:dyDescent="0.25">
      <c r="L3660" s="147">
        <f ca="1"/>
        <v>48899</v>
      </c>
      <c r="M3660" s="92">
        <f t="shared" ca="1" si="125"/>
        <v>6.25</v>
      </c>
      <c r="N3660" s="143">
        <f ca="1">(PRODUCT($O$5:$O3660)-1)*36000/_xlfn.DAYS(L3660, $C$2)</f>
        <v>10.018610905231053</v>
      </c>
      <c r="O3660" s="149">
        <f t="shared" ca="1" si="126"/>
        <v>1.000173611111111</v>
      </c>
    </row>
    <row r="3661" spans="12:15" x14ac:dyDescent="0.25">
      <c r="L3661" s="147">
        <f ca="1"/>
        <v>48900</v>
      </c>
      <c r="M3661" s="92">
        <f t="shared" ca="1" si="125"/>
        <v>6.25</v>
      </c>
      <c r="N3661" s="143">
        <f ca="1">(PRODUCT($O$5:$O3661)-1)*36000/_xlfn.DAYS(L3661, $C$2)</f>
        <v>10.019319251983067</v>
      </c>
      <c r="O3661" s="149">
        <f t="shared" ca="1" si="126"/>
        <v>1.000173611111111</v>
      </c>
    </row>
    <row r="3662" spans="12:15" x14ac:dyDescent="0.25">
      <c r="L3662" s="147">
        <f ca="1"/>
        <v>48901</v>
      </c>
      <c r="M3662" s="92">
        <f t="shared" ca="1" si="125"/>
        <v>6.25</v>
      </c>
      <c r="N3662" s="143">
        <f ca="1">(PRODUCT($O$5:$O3662)-1)*36000/_xlfn.DAYS(L3662, $C$2)</f>
        <v>10.020027809881901</v>
      </c>
      <c r="O3662" s="149">
        <f t="shared" ca="1" si="126"/>
        <v>1.000173611111111</v>
      </c>
    </row>
    <row r="3663" spans="12:15" x14ac:dyDescent="0.25">
      <c r="L3663" s="147">
        <f ca="1"/>
        <v>48902</v>
      </c>
      <c r="M3663" s="92">
        <f t="shared" ca="1" si="125"/>
        <v>6.25</v>
      </c>
      <c r="N3663" s="143">
        <f ca="1">(PRODUCT($O$5:$O3663)-1)*36000/_xlfn.DAYS(L3663, $C$2)</f>
        <v>10.020736578858301</v>
      </c>
      <c r="O3663" s="149">
        <f t="shared" ca="1" si="126"/>
        <v>1.000173611111111</v>
      </c>
    </row>
    <row r="3664" spans="12:15" x14ac:dyDescent="0.25">
      <c r="L3664" s="147">
        <f ca="1"/>
        <v>48903</v>
      </c>
      <c r="M3664" s="92">
        <f t="shared" ca="1" si="125"/>
        <v>6.25</v>
      </c>
      <c r="N3664" s="143">
        <f ca="1">(PRODUCT($O$5:$O3664)-1)*36000/_xlfn.DAYS(L3664, $C$2)</f>
        <v>10.021445558843109</v>
      </c>
      <c r="O3664" s="149">
        <f t="shared" ca="1" si="126"/>
        <v>1.000173611111111</v>
      </c>
    </row>
    <row r="3665" spans="12:15" x14ac:dyDescent="0.25">
      <c r="L3665" s="147">
        <f ca="1"/>
        <v>48904</v>
      </c>
      <c r="M3665" s="92">
        <f t="shared" ca="1" si="125"/>
        <v>6.25</v>
      </c>
      <c r="N3665" s="143">
        <f ca="1">(PRODUCT($O$5:$O3665)-1)*36000/_xlfn.DAYS(L3665, $C$2)</f>
        <v>10.022154749767264</v>
      </c>
      <c r="O3665" s="149">
        <f t="shared" ca="1" si="126"/>
        <v>1.000173611111111</v>
      </c>
    </row>
    <row r="3666" spans="12:15" x14ac:dyDescent="0.25">
      <c r="L3666" s="147">
        <f ca="1"/>
        <v>48905</v>
      </c>
      <c r="M3666" s="92">
        <f t="shared" ca="1" si="125"/>
        <v>6.25</v>
      </c>
      <c r="N3666" s="143">
        <f ca="1">(PRODUCT($O$5:$O3666)-1)*36000/_xlfn.DAYS(L3666, $C$2)</f>
        <v>10.022864151561793</v>
      </c>
      <c r="O3666" s="149">
        <f t="shared" ca="1" si="126"/>
        <v>1.000173611111111</v>
      </c>
    </row>
    <row r="3667" spans="12:15" x14ac:dyDescent="0.25">
      <c r="L3667" s="147">
        <f ca="1"/>
        <v>48906</v>
      </c>
      <c r="M3667" s="92">
        <f t="shared" ca="1" si="125"/>
        <v>6.25</v>
      </c>
      <c r="N3667" s="143">
        <f ca="1">(PRODUCT($O$5:$O3667)-1)*36000/_xlfn.DAYS(L3667, $C$2)</f>
        <v>10.023573764157817</v>
      </c>
      <c r="O3667" s="149">
        <f t="shared" ca="1" si="126"/>
        <v>1.000173611111111</v>
      </c>
    </row>
    <row r="3668" spans="12:15" x14ac:dyDescent="0.25">
      <c r="L3668" s="147">
        <f ca="1"/>
        <v>48907</v>
      </c>
      <c r="M3668" s="92">
        <f t="shared" ca="1" si="125"/>
        <v>6.25</v>
      </c>
      <c r="N3668" s="143">
        <f ca="1">(PRODUCT($O$5:$O3668)-1)*36000/_xlfn.DAYS(L3668, $C$2)</f>
        <v>10.024283587486551</v>
      </c>
      <c r="O3668" s="149">
        <f t="shared" ca="1" si="126"/>
        <v>1.000173611111111</v>
      </c>
    </row>
    <row r="3669" spans="12:15" x14ac:dyDescent="0.25">
      <c r="L3669" s="147">
        <f ca="1"/>
        <v>48908</v>
      </c>
      <c r="M3669" s="92">
        <f t="shared" ca="1" si="125"/>
        <v>6.25</v>
      </c>
      <c r="N3669" s="143">
        <f ca="1">(PRODUCT($O$5:$O3669)-1)*36000/_xlfn.DAYS(L3669, $C$2)</f>
        <v>10.024993621479306</v>
      </c>
      <c r="O3669" s="149">
        <f t="shared" ca="1" si="126"/>
        <v>1.000173611111111</v>
      </c>
    </row>
    <row r="3670" spans="12:15" x14ac:dyDescent="0.25">
      <c r="L3670" s="147">
        <f ca="1"/>
        <v>48909</v>
      </c>
      <c r="M3670" s="92">
        <f t="shared" ca="1" si="125"/>
        <v>6.25</v>
      </c>
      <c r="N3670" s="143">
        <f ca="1">(PRODUCT($O$5:$O3670)-1)*36000/_xlfn.DAYS(L3670, $C$2)</f>
        <v>10.025703866067474</v>
      </c>
      <c r="O3670" s="149">
        <f t="shared" ca="1" si="126"/>
        <v>1.000173611111111</v>
      </c>
    </row>
    <row r="3671" spans="12:15" x14ac:dyDescent="0.25">
      <c r="L3671" s="147">
        <f ca="1"/>
        <v>48910</v>
      </c>
      <c r="M3671" s="92">
        <f t="shared" ca="1" si="125"/>
        <v>6.25</v>
      </c>
      <c r="N3671" s="143">
        <f ca="1">(PRODUCT($O$5:$O3671)-1)*36000/_xlfn.DAYS(L3671, $C$2)</f>
        <v>10.026414321182559</v>
      </c>
      <c r="O3671" s="149">
        <f t="shared" ca="1" si="126"/>
        <v>1.000173611111111</v>
      </c>
    </row>
    <row r="3672" spans="12:15" x14ac:dyDescent="0.25">
      <c r="L3672" s="147">
        <f ca="1"/>
        <v>48911</v>
      </c>
      <c r="M3672" s="92">
        <f t="shared" ca="1" si="125"/>
        <v>6.25</v>
      </c>
      <c r="N3672" s="143">
        <f ca="1">(PRODUCT($O$5:$O3672)-1)*36000/_xlfn.DAYS(L3672, $C$2)</f>
        <v>10.027124986756144</v>
      </c>
      <c r="O3672" s="149">
        <f t="shared" ca="1" si="126"/>
        <v>1.000173611111111</v>
      </c>
    </row>
    <row r="3673" spans="12:15" x14ac:dyDescent="0.25">
      <c r="L3673" s="147">
        <f ca="1"/>
        <v>48912</v>
      </c>
      <c r="M3673" s="92">
        <f t="shared" ca="1" si="125"/>
        <v>6.25</v>
      </c>
      <c r="N3673" s="143">
        <f ca="1">(PRODUCT($O$5:$O3673)-1)*36000/_xlfn.DAYS(L3673, $C$2)</f>
        <v>10.027835862719909</v>
      </c>
      <c r="O3673" s="149">
        <f t="shared" ca="1" si="126"/>
        <v>1.000173611111111</v>
      </c>
    </row>
    <row r="3674" spans="12:15" x14ac:dyDescent="0.25">
      <c r="L3674" s="147">
        <f ca="1"/>
        <v>48913</v>
      </c>
      <c r="M3674" s="92">
        <f t="shared" ca="1" si="125"/>
        <v>6.25</v>
      </c>
      <c r="N3674" s="143">
        <f ca="1">(PRODUCT($O$5:$O3674)-1)*36000/_xlfn.DAYS(L3674, $C$2)</f>
        <v>10.028546949005625</v>
      </c>
      <c r="O3674" s="149">
        <f t="shared" ca="1" si="126"/>
        <v>1.000173611111111</v>
      </c>
    </row>
    <row r="3675" spans="12:15" x14ac:dyDescent="0.25">
      <c r="L3675" s="147">
        <f ca="1"/>
        <v>48914</v>
      </c>
      <c r="M3675" s="92">
        <f t="shared" ca="1" si="125"/>
        <v>6.25</v>
      </c>
      <c r="N3675" s="143">
        <f ca="1">(PRODUCT($O$5:$O3675)-1)*36000/_xlfn.DAYS(L3675, $C$2)</f>
        <v>10.029258245545154</v>
      </c>
      <c r="O3675" s="149">
        <f t="shared" ca="1" si="126"/>
        <v>1.000173611111111</v>
      </c>
    </row>
    <row r="3676" spans="12:15" x14ac:dyDescent="0.25">
      <c r="L3676" s="147">
        <f ca="1"/>
        <v>48915</v>
      </c>
      <c r="M3676" s="92">
        <f t="shared" ca="1" si="125"/>
        <v>6.25</v>
      </c>
      <c r="N3676" s="143">
        <f ca="1">(PRODUCT($O$5:$O3676)-1)*36000/_xlfn.DAYS(L3676, $C$2)</f>
        <v>10.029969752270461</v>
      </c>
      <c r="O3676" s="149">
        <f t="shared" ca="1" si="126"/>
        <v>1.000173611111111</v>
      </c>
    </row>
    <row r="3677" spans="12:15" x14ac:dyDescent="0.25">
      <c r="L3677" s="147">
        <f ca="1"/>
        <v>48916</v>
      </c>
      <c r="M3677" s="92">
        <f t="shared" ca="1" si="125"/>
        <v>6.25</v>
      </c>
      <c r="N3677" s="143">
        <f ca="1">(PRODUCT($O$5:$O3677)-1)*36000/_xlfn.DAYS(L3677, $C$2)</f>
        <v>10.030681469113585</v>
      </c>
      <c r="O3677" s="149">
        <f t="shared" ca="1" si="126"/>
        <v>1.000173611111111</v>
      </c>
    </row>
    <row r="3678" spans="12:15" x14ac:dyDescent="0.25">
      <c r="L3678" s="147">
        <f ca="1"/>
        <v>48917</v>
      </c>
      <c r="M3678" s="92">
        <f t="shared" ca="1" si="125"/>
        <v>6.25</v>
      </c>
      <c r="N3678" s="143">
        <f ca="1">(PRODUCT($O$5:$O3678)-1)*36000/_xlfn.DAYS(L3678, $C$2)</f>
        <v>10.031393396006667</v>
      </c>
      <c r="O3678" s="149">
        <f t="shared" ca="1" si="126"/>
        <v>1.000173611111111</v>
      </c>
    </row>
    <row r="3679" spans="12:15" x14ac:dyDescent="0.25">
      <c r="L3679" s="147">
        <f ca="1"/>
        <v>48918</v>
      </c>
      <c r="M3679" s="92">
        <f t="shared" ca="1" si="125"/>
        <v>6.25</v>
      </c>
      <c r="N3679" s="143">
        <f ca="1">(PRODUCT($O$5:$O3679)-1)*36000/_xlfn.DAYS(L3679, $C$2)</f>
        <v>10.032105532881944</v>
      </c>
      <c r="O3679" s="149">
        <f t="shared" ca="1" si="126"/>
        <v>1.000173611111111</v>
      </c>
    </row>
    <row r="3680" spans="12:15" x14ac:dyDescent="0.25">
      <c r="L3680" s="147">
        <f ca="1"/>
        <v>48919</v>
      </c>
      <c r="M3680" s="92">
        <f t="shared" ca="1" si="125"/>
        <v>6.25</v>
      </c>
      <c r="N3680" s="143">
        <f ca="1">(PRODUCT($O$5:$O3680)-1)*36000/_xlfn.DAYS(L3680, $C$2)</f>
        <v>10.032817879671741</v>
      </c>
      <c r="O3680" s="149">
        <f t="shared" ca="1" si="126"/>
        <v>1.000173611111111</v>
      </c>
    </row>
    <row r="3681" spans="12:15" x14ac:dyDescent="0.25">
      <c r="L3681" s="147">
        <f ca="1"/>
        <v>48920</v>
      </c>
      <c r="M3681" s="92">
        <f t="shared" ca="1" si="125"/>
        <v>6.25</v>
      </c>
      <c r="N3681" s="143">
        <f ca="1">(PRODUCT($O$5:$O3681)-1)*36000/_xlfn.DAYS(L3681, $C$2)</f>
        <v>10.033530436308467</v>
      </c>
      <c r="O3681" s="149">
        <f t="shared" ca="1" si="126"/>
        <v>1.000173611111111</v>
      </c>
    </row>
    <row r="3682" spans="12:15" x14ac:dyDescent="0.25">
      <c r="L3682" s="147">
        <f ca="1"/>
        <v>48921</v>
      </c>
      <c r="M3682" s="92">
        <f t="shared" ca="1" si="125"/>
        <v>6.25</v>
      </c>
      <c r="N3682" s="143">
        <f ca="1">(PRODUCT($O$5:$O3682)-1)*36000/_xlfn.DAYS(L3682, $C$2)</f>
        <v>10.034243202724639</v>
      </c>
      <c r="O3682" s="149">
        <f t="shared" ca="1" si="126"/>
        <v>1.000173611111111</v>
      </c>
    </row>
    <row r="3683" spans="12:15" x14ac:dyDescent="0.25">
      <c r="L3683" s="147">
        <f ca="1"/>
        <v>48922</v>
      </c>
      <c r="M3683" s="92">
        <f t="shared" ca="1" si="125"/>
        <v>6.25</v>
      </c>
      <c r="N3683" s="143">
        <f ca="1">(PRODUCT($O$5:$O3683)-1)*36000/_xlfn.DAYS(L3683, $C$2)</f>
        <v>10.034956178852845</v>
      </c>
      <c r="O3683" s="149">
        <f t="shared" ca="1" si="126"/>
        <v>1.000173611111111</v>
      </c>
    </row>
    <row r="3684" spans="12:15" x14ac:dyDescent="0.25">
      <c r="L3684" s="147">
        <f ca="1"/>
        <v>48923</v>
      </c>
      <c r="M3684" s="92">
        <f t="shared" ca="1" si="125"/>
        <v>6.25</v>
      </c>
      <c r="N3684" s="143">
        <f ca="1">(PRODUCT($O$5:$O3684)-1)*36000/_xlfn.DAYS(L3684, $C$2)</f>
        <v>10.035669364625781</v>
      </c>
      <c r="O3684" s="149">
        <f t="shared" ca="1" si="126"/>
        <v>1.000173611111111</v>
      </c>
    </row>
    <row r="3685" spans="12:15" x14ac:dyDescent="0.25">
      <c r="L3685" s="147">
        <f ca="1"/>
        <v>48924</v>
      </c>
      <c r="M3685" s="92">
        <f t="shared" ca="1" si="125"/>
        <v>6.25</v>
      </c>
      <c r="N3685" s="143">
        <f ca="1">(PRODUCT($O$5:$O3685)-1)*36000/_xlfn.DAYS(L3685, $C$2)</f>
        <v>10.036382759976227</v>
      </c>
      <c r="O3685" s="149">
        <f t="shared" ca="1" si="126"/>
        <v>1.000173611111111</v>
      </c>
    </row>
    <row r="3686" spans="12:15" x14ac:dyDescent="0.25">
      <c r="L3686" s="147">
        <f ca="1"/>
        <v>48925</v>
      </c>
      <c r="M3686" s="92">
        <f t="shared" ca="1" si="125"/>
        <v>6.25</v>
      </c>
      <c r="N3686" s="143">
        <f ca="1">(PRODUCT($O$5:$O3686)-1)*36000/_xlfn.DAYS(L3686, $C$2)</f>
        <v>10.037096364837051</v>
      </c>
      <c r="O3686" s="149">
        <f t="shared" ca="1" si="126"/>
        <v>1.000173611111111</v>
      </c>
    </row>
    <row r="3687" spans="12:15" x14ac:dyDescent="0.25">
      <c r="L3687" s="147">
        <f ca="1"/>
        <v>48926</v>
      </c>
      <c r="M3687" s="92">
        <f t="shared" ca="1" si="125"/>
        <v>6.25</v>
      </c>
      <c r="N3687" s="143">
        <f ca="1">(PRODUCT($O$5:$O3687)-1)*36000/_xlfn.DAYS(L3687, $C$2)</f>
        <v>10.037810179141223</v>
      </c>
      <c r="O3687" s="149">
        <f t="shared" ca="1" si="126"/>
        <v>1.000173611111111</v>
      </c>
    </row>
    <row r="3688" spans="12:15" x14ac:dyDescent="0.25">
      <c r="L3688" s="147">
        <f ca="1"/>
        <v>48927</v>
      </c>
      <c r="M3688" s="92">
        <f t="shared" ca="1" si="125"/>
        <v>6.25</v>
      </c>
      <c r="N3688" s="143">
        <f ca="1">(PRODUCT($O$5:$O3688)-1)*36000/_xlfn.DAYS(L3688, $C$2)</f>
        <v>10.038524202821794</v>
      </c>
      <c r="O3688" s="149">
        <f t="shared" ca="1" si="126"/>
        <v>1.000173611111111</v>
      </c>
    </row>
    <row r="3689" spans="12:15" x14ac:dyDescent="0.25">
      <c r="L3689" s="147">
        <f ca="1"/>
        <v>48928</v>
      </c>
      <c r="M3689" s="92">
        <f t="shared" ca="1" si="125"/>
        <v>6.25</v>
      </c>
      <c r="N3689" s="143">
        <f ca="1">(PRODUCT($O$5:$O3689)-1)*36000/_xlfn.DAYS(L3689, $C$2)</f>
        <v>10.039238435811905</v>
      </c>
      <c r="O3689" s="149">
        <f t="shared" ca="1" si="126"/>
        <v>1.000173611111111</v>
      </c>
    </row>
    <row r="3690" spans="12:15" x14ac:dyDescent="0.25">
      <c r="L3690" s="147">
        <f ca="1"/>
        <v>48929</v>
      </c>
      <c r="M3690" s="92">
        <f t="shared" ca="1" si="125"/>
        <v>6.25</v>
      </c>
      <c r="N3690" s="143">
        <f ca="1">(PRODUCT($O$5:$O3690)-1)*36000/_xlfn.DAYS(L3690, $C$2)</f>
        <v>10.039952878044794</v>
      </c>
      <c r="O3690" s="149">
        <f t="shared" ca="1" si="126"/>
        <v>1.000173611111111</v>
      </c>
    </row>
    <row r="3691" spans="12:15" x14ac:dyDescent="0.25">
      <c r="L3691" s="147">
        <f ca="1"/>
        <v>48930</v>
      </c>
      <c r="M3691" s="92">
        <f t="shared" ca="1" si="125"/>
        <v>6.25</v>
      </c>
      <c r="N3691" s="143">
        <f ca="1">(PRODUCT($O$5:$O3691)-1)*36000/_xlfn.DAYS(L3691, $C$2)</f>
        <v>10.040667529453787</v>
      </c>
      <c r="O3691" s="149">
        <f t="shared" ca="1" si="126"/>
        <v>1.000173611111111</v>
      </c>
    </row>
    <row r="3692" spans="12:15" x14ac:dyDescent="0.25">
      <c r="L3692" s="147">
        <f ca="1"/>
        <v>48931</v>
      </c>
      <c r="M3692" s="92">
        <f t="shared" ca="1" si="125"/>
        <v>6.25</v>
      </c>
      <c r="N3692" s="143">
        <f ca="1">(PRODUCT($O$5:$O3692)-1)*36000/_xlfn.DAYS(L3692, $C$2)</f>
        <v>10.041382389972295</v>
      </c>
      <c r="O3692" s="149">
        <f t="shared" ca="1" si="126"/>
        <v>1.000173611111111</v>
      </c>
    </row>
    <row r="3693" spans="12:15" x14ac:dyDescent="0.25">
      <c r="L3693" s="147">
        <f ca="1"/>
        <v>48932</v>
      </c>
      <c r="M3693" s="92">
        <f t="shared" ca="1" si="125"/>
        <v>6.25</v>
      </c>
      <c r="N3693" s="143">
        <f ca="1">(PRODUCT($O$5:$O3693)-1)*36000/_xlfn.DAYS(L3693, $C$2)</f>
        <v>10.042097459533828</v>
      </c>
      <c r="O3693" s="149">
        <f t="shared" ca="1" si="126"/>
        <v>1.000173611111111</v>
      </c>
    </row>
    <row r="3694" spans="12:15" x14ac:dyDescent="0.25">
      <c r="L3694" s="147">
        <f ca="1"/>
        <v>48933</v>
      </c>
      <c r="M3694" s="92">
        <f t="shared" ca="1" si="125"/>
        <v>6.25</v>
      </c>
      <c r="N3694" s="143">
        <f ca="1">(PRODUCT($O$5:$O3694)-1)*36000/_xlfn.DAYS(L3694, $C$2)</f>
        <v>10.042812738071976</v>
      </c>
      <c r="O3694" s="149">
        <f t="shared" ca="1" si="126"/>
        <v>1.000173611111111</v>
      </c>
    </row>
    <row r="3695" spans="12:15" x14ac:dyDescent="0.25">
      <c r="L3695" s="147">
        <f ca="1"/>
        <v>48934</v>
      </c>
      <c r="M3695" s="92">
        <f t="shared" ca="1" si="125"/>
        <v>6.25</v>
      </c>
      <c r="N3695" s="143">
        <f ca="1">(PRODUCT($O$5:$O3695)-1)*36000/_xlfn.DAYS(L3695, $C$2)</f>
        <v>10.043528225520431</v>
      </c>
      <c r="O3695" s="149">
        <f t="shared" ca="1" si="126"/>
        <v>1.000173611111111</v>
      </c>
    </row>
    <row r="3696" spans="12:15" x14ac:dyDescent="0.25">
      <c r="L3696" s="147">
        <f ca="1"/>
        <v>48935</v>
      </c>
      <c r="M3696" s="92">
        <f t="shared" ca="1" si="125"/>
        <v>6.25</v>
      </c>
      <c r="N3696" s="143">
        <f ca="1">(PRODUCT($O$5:$O3696)-1)*36000/_xlfn.DAYS(L3696, $C$2)</f>
        <v>10.044243921812965</v>
      </c>
      <c r="O3696" s="149">
        <f t="shared" ca="1" si="126"/>
        <v>1.000173611111111</v>
      </c>
    </row>
    <row r="3697" spans="12:15" x14ac:dyDescent="0.25">
      <c r="L3697" s="147">
        <f ca="1"/>
        <v>48936</v>
      </c>
      <c r="M3697" s="92">
        <f t="shared" ca="1" si="125"/>
        <v>6.25</v>
      </c>
      <c r="N3697" s="143">
        <f ca="1">(PRODUCT($O$5:$O3697)-1)*36000/_xlfn.DAYS(L3697, $C$2)</f>
        <v>10.044959826883447</v>
      </c>
      <c r="O3697" s="149">
        <f t="shared" ca="1" si="126"/>
        <v>1.000173611111111</v>
      </c>
    </row>
    <row r="3698" spans="12:15" x14ac:dyDescent="0.25">
      <c r="L3698" s="147">
        <f ca="1"/>
        <v>48937</v>
      </c>
      <c r="M3698" s="92">
        <f t="shared" ca="1" si="125"/>
        <v>6.25</v>
      </c>
      <c r="N3698" s="143">
        <f ca="1">(PRODUCT($O$5:$O3698)-1)*36000/_xlfn.DAYS(L3698, $C$2)</f>
        <v>10.045675940665829</v>
      </c>
      <c r="O3698" s="149">
        <f t="shared" ca="1" si="126"/>
        <v>1.000173611111111</v>
      </c>
    </row>
    <row r="3699" spans="12:15" x14ac:dyDescent="0.25">
      <c r="L3699" s="147">
        <f ca="1"/>
        <v>48938</v>
      </c>
      <c r="M3699" s="92">
        <f t="shared" ca="1" si="125"/>
        <v>6.25</v>
      </c>
      <c r="N3699" s="143">
        <f ca="1">(PRODUCT($O$5:$O3699)-1)*36000/_xlfn.DAYS(L3699, $C$2)</f>
        <v>10.046392263094154</v>
      </c>
      <c r="O3699" s="149">
        <f t="shared" ca="1" si="126"/>
        <v>1.000173611111111</v>
      </c>
    </row>
    <row r="3700" spans="12:15" x14ac:dyDescent="0.25">
      <c r="L3700" s="147">
        <f ca="1"/>
        <v>48939</v>
      </c>
      <c r="M3700" s="92">
        <f t="shared" ca="1" si="125"/>
        <v>6.25</v>
      </c>
      <c r="N3700" s="143">
        <f ca="1">(PRODUCT($O$5:$O3700)-1)*36000/_xlfn.DAYS(L3700, $C$2)</f>
        <v>10.047108794102558</v>
      </c>
      <c r="O3700" s="149">
        <f t="shared" ca="1" si="126"/>
        <v>1.000173611111111</v>
      </c>
    </row>
    <row r="3701" spans="12:15" x14ac:dyDescent="0.25">
      <c r="L3701" s="147">
        <f ca="1"/>
        <v>48940</v>
      </c>
      <c r="M3701" s="92">
        <f t="shared" ca="1" si="125"/>
        <v>6.25</v>
      </c>
      <c r="N3701" s="143">
        <f ca="1">(PRODUCT($O$5:$O3701)-1)*36000/_xlfn.DAYS(L3701, $C$2)</f>
        <v>10.047825533625263</v>
      </c>
      <c r="O3701" s="149">
        <f t="shared" ca="1" si="126"/>
        <v>1.000173611111111</v>
      </c>
    </row>
    <row r="3702" spans="12:15" x14ac:dyDescent="0.25">
      <c r="L3702" s="147">
        <f ca="1"/>
        <v>48941</v>
      </c>
      <c r="M3702" s="92">
        <f t="shared" ca="1" si="125"/>
        <v>6.25</v>
      </c>
      <c r="N3702" s="143">
        <f ca="1">(PRODUCT($O$5:$O3702)-1)*36000/_xlfn.DAYS(L3702, $C$2)</f>
        <v>10.048542481596581</v>
      </c>
      <c r="O3702" s="149">
        <f t="shared" ca="1" si="126"/>
        <v>1.000173611111111</v>
      </c>
    </row>
    <row r="3703" spans="12:15" x14ac:dyDescent="0.25">
      <c r="L3703" s="147">
        <f ca="1"/>
        <v>48942</v>
      </c>
      <c r="M3703" s="92">
        <f t="shared" ca="1" si="125"/>
        <v>6.25</v>
      </c>
      <c r="N3703" s="143">
        <f ca="1">(PRODUCT($O$5:$O3703)-1)*36000/_xlfn.DAYS(L3703, $C$2)</f>
        <v>10.049259637950911</v>
      </c>
      <c r="O3703" s="149">
        <f t="shared" ca="1" si="126"/>
        <v>1.000173611111111</v>
      </c>
    </row>
    <row r="3704" spans="12:15" x14ac:dyDescent="0.25">
      <c r="L3704" s="147">
        <f ca="1"/>
        <v>48943</v>
      </c>
      <c r="M3704" s="92">
        <f t="shared" ca="1" si="125"/>
        <v>6.25</v>
      </c>
      <c r="N3704" s="143">
        <f ca="1">(PRODUCT($O$5:$O3704)-1)*36000/_xlfn.DAYS(L3704, $C$2)</f>
        <v>10.049977002622745</v>
      </c>
      <c r="O3704" s="149">
        <f t="shared" ca="1" si="126"/>
        <v>1.000173611111111</v>
      </c>
    </row>
    <row r="3705" spans="12:15" x14ac:dyDescent="0.25">
      <c r="L3705" s="147">
        <f ca="1"/>
        <v>48944</v>
      </c>
      <c r="M3705" s="92">
        <f t="shared" ca="1" si="125"/>
        <v>6.25</v>
      </c>
      <c r="N3705" s="143">
        <f ca="1">(PRODUCT($O$5:$O3705)-1)*36000/_xlfn.DAYS(L3705, $C$2)</f>
        <v>10.050694575546663</v>
      </c>
      <c r="O3705" s="149">
        <f t="shared" ca="1" si="126"/>
        <v>1.000173611111111</v>
      </c>
    </row>
    <row r="3706" spans="12:15" x14ac:dyDescent="0.25">
      <c r="L3706" s="147">
        <f ca="1"/>
        <v>48945</v>
      </c>
      <c r="M3706" s="92">
        <f t="shared" ca="1" si="125"/>
        <v>6.25</v>
      </c>
      <c r="N3706" s="143">
        <f ca="1">(PRODUCT($O$5:$O3706)-1)*36000/_xlfn.DAYS(L3706, $C$2)</f>
        <v>10.05141235665733</v>
      </c>
      <c r="O3706" s="149">
        <f t="shared" ca="1" si="126"/>
        <v>1.000173611111111</v>
      </c>
    </row>
    <row r="3707" spans="12:15" x14ac:dyDescent="0.25">
      <c r="L3707" s="147">
        <f ca="1"/>
        <v>48946</v>
      </c>
      <c r="M3707" s="92">
        <f t="shared" ca="1" si="125"/>
        <v>6.25</v>
      </c>
      <c r="N3707" s="143">
        <f ca="1">(PRODUCT($O$5:$O3707)-1)*36000/_xlfn.DAYS(L3707, $C$2)</f>
        <v>10.052130345889502</v>
      </c>
      <c r="O3707" s="149">
        <f t="shared" ca="1" si="126"/>
        <v>1.000173611111111</v>
      </c>
    </row>
    <row r="3708" spans="12:15" x14ac:dyDescent="0.25">
      <c r="L3708" s="147">
        <f ca="1"/>
        <v>48947</v>
      </c>
      <c r="M3708" s="92">
        <f t="shared" ca="1" si="125"/>
        <v>6.25</v>
      </c>
      <c r="N3708" s="143">
        <f ca="1">(PRODUCT($O$5:$O3708)-1)*36000/_xlfn.DAYS(L3708, $C$2)</f>
        <v>10.052848543178023</v>
      </c>
      <c r="O3708" s="149">
        <f t="shared" ca="1" si="126"/>
        <v>1.000173611111111</v>
      </c>
    </row>
    <row r="3709" spans="12:15" x14ac:dyDescent="0.25">
      <c r="L3709" s="147">
        <f ca="1"/>
        <v>48948</v>
      </c>
      <c r="M3709" s="92">
        <f t="shared" ca="1" si="125"/>
        <v>6.25</v>
      </c>
      <c r="N3709" s="143">
        <f ca="1">(PRODUCT($O$5:$O3709)-1)*36000/_xlfn.DAYS(L3709, $C$2)</f>
        <v>10.053566948457824</v>
      </c>
      <c r="O3709" s="149">
        <f t="shared" ca="1" si="126"/>
        <v>1.000173611111111</v>
      </c>
    </row>
    <row r="3710" spans="12:15" x14ac:dyDescent="0.25">
      <c r="L3710" s="147">
        <f ca="1"/>
        <v>48949</v>
      </c>
      <c r="M3710" s="92">
        <f t="shared" ca="1" si="125"/>
        <v>6.25</v>
      </c>
      <c r="N3710" s="143">
        <f ca="1">(PRODUCT($O$5:$O3710)-1)*36000/_xlfn.DAYS(L3710, $C$2)</f>
        <v>10.05428556166393</v>
      </c>
      <c r="O3710" s="149">
        <f t="shared" ca="1" si="126"/>
        <v>1.000173611111111</v>
      </c>
    </row>
    <row r="3711" spans="12:15" x14ac:dyDescent="0.25">
      <c r="L3711" s="147">
        <f ca="1"/>
        <v>48950</v>
      </c>
      <c r="M3711" s="92">
        <f t="shared" ca="1" si="125"/>
        <v>6.25</v>
      </c>
      <c r="N3711" s="143">
        <f ca="1">(PRODUCT($O$5:$O3711)-1)*36000/_xlfn.DAYS(L3711, $C$2)</f>
        <v>10.055004382731445</v>
      </c>
      <c r="O3711" s="149">
        <f t="shared" ca="1" si="126"/>
        <v>1.000173611111111</v>
      </c>
    </row>
    <row r="3712" spans="12:15" x14ac:dyDescent="0.25">
      <c r="L3712" s="147">
        <f ca="1"/>
        <v>48951</v>
      </c>
      <c r="M3712" s="92">
        <f t="shared" ca="1" si="125"/>
        <v>6.25</v>
      </c>
      <c r="N3712" s="143">
        <f ca="1">(PRODUCT($O$5:$O3712)-1)*36000/_xlfn.DAYS(L3712, $C$2)</f>
        <v>10.055723411595567</v>
      </c>
      <c r="O3712" s="149">
        <f t="shared" ca="1" si="126"/>
        <v>1.000173611111111</v>
      </c>
    </row>
    <row r="3713" spans="12:15" x14ac:dyDescent="0.25">
      <c r="L3713" s="147">
        <f ca="1"/>
        <v>48952</v>
      </c>
      <c r="M3713" s="92">
        <f t="shared" ca="1" si="125"/>
        <v>6.25</v>
      </c>
      <c r="N3713" s="143">
        <f ca="1">(PRODUCT($O$5:$O3713)-1)*36000/_xlfn.DAYS(L3713, $C$2)</f>
        <v>10.056442648191579</v>
      </c>
      <c r="O3713" s="149">
        <f t="shared" ca="1" si="126"/>
        <v>1.000173611111111</v>
      </c>
    </row>
    <row r="3714" spans="12:15" x14ac:dyDescent="0.25">
      <c r="L3714" s="147">
        <f ca="1"/>
        <v>48953</v>
      </c>
      <c r="M3714" s="92">
        <f t="shared" ca="1" si="125"/>
        <v>6.25</v>
      </c>
      <c r="N3714" s="143">
        <f ca="1">(PRODUCT($O$5:$O3714)-1)*36000/_xlfn.DAYS(L3714, $C$2)</f>
        <v>10.057162092454854</v>
      </c>
      <c r="O3714" s="149">
        <f t="shared" ca="1" si="126"/>
        <v>1.000173611111111</v>
      </c>
    </row>
    <row r="3715" spans="12:15" x14ac:dyDescent="0.25">
      <c r="L3715" s="147">
        <f ca="1"/>
        <v>48954</v>
      </c>
      <c r="M3715" s="92">
        <f t="shared" ca="1" si="125"/>
        <v>6.25</v>
      </c>
      <c r="N3715" s="143">
        <f ca="1">(PRODUCT($O$5:$O3715)-1)*36000/_xlfn.DAYS(L3715, $C$2)</f>
        <v>10.057881744320857</v>
      </c>
      <c r="O3715" s="149">
        <f t="shared" ca="1" si="126"/>
        <v>1.000173611111111</v>
      </c>
    </row>
    <row r="3716" spans="12:15" x14ac:dyDescent="0.25">
      <c r="L3716" s="147">
        <f ca="1"/>
        <v>48955</v>
      </c>
      <c r="M3716" s="92">
        <f t="shared" ca="1" si="125"/>
        <v>6.25</v>
      </c>
      <c r="N3716" s="143">
        <f ca="1">(PRODUCT($O$5:$O3716)-1)*36000/_xlfn.DAYS(L3716, $C$2)</f>
        <v>10.05860160372513</v>
      </c>
      <c r="O3716" s="149">
        <f t="shared" ca="1" si="126"/>
        <v>1.000173611111111</v>
      </c>
    </row>
    <row r="3717" spans="12:15" x14ac:dyDescent="0.25">
      <c r="L3717" s="147">
        <f ca="1"/>
        <v>48956</v>
      </c>
      <c r="M3717" s="92">
        <f t="shared" ref="M3717:M3780" ca="1" si="127">IFERROR(INDEX($E$27:$H$47, MATCH(L3717, $F$27:$F$47, 0), 4), IF(ISNUMBER(M3716), M3716, $C$5))</f>
        <v>6.25</v>
      </c>
      <c r="N3717" s="143">
        <f ca="1">(PRODUCT($O$5:$O3717)-1)*36000/_xlfn.DAYS(L3717, $C$2)</f>
        <v>10.059321670603305</v>
      </c>
      <c r="O3717" s="149">
        <f t="shared" ca="1" si="126"/>
        <v>1.000173611111111</v>
      </c>
    </row>
    <row r="3718" spans="12:15" x14ac:dyDescent="0.25">
      <c r="L3718" s="147">
        <f ca="1"/>
        <v>48957</v>
      </c>
      <c r="M3718" s="92">
        <f t="shared" ca="1" si="127"/>
        <v>6.25</v>
      </c>
      <c r="N3718" s="143">
        <f ca="1">(PRODUCT($O$5:$O3718)-1)*36000/_xlfn.DAYS(L3718, $C$2)</f>
        <v>10.060041944891108</v>
      </c>
      <c r="O3718" s="149">
        <f t="shared" ref="O3718:O3781" ca="1" si="128">1+M3718*IFERROR(_xlfn.DAYS(L3718, L3717), _xlfn.DAYS(L3718, $C$2))/36000</f>
        <v>1.000173611111111</v>
      </c>
    </row>
    <row r="3719" spans="12:15" x14ac:dyDescent="0.25">
      <c r="L3719" s="147">
        <f ca="1"/>
        <v>48958</v>
      </c>
      <c r="M3719" s="92">
        <f t="shared" ca="1" si="127"/>
        <v>6.25</v>
      </c>
      <c r="N3719" s="143">
        <f ca="1">(PRODUCT($O$5:$O3719)-1)*36000/_xlfn.DAYS(L3719, $C$2)</f>
        <v>10.060762426524349</v>
      </c>
      <c r="O3719" s="149">
        <f t="shared" ca="1" si="128"/>
        <v>1.000173611111111</v>
      </c>
    </row>
    <row r="3720" spans="12:15" x14ac:dyDescent="0.25">
      <c r="L3720" s="147">
        <f ca="1"/>
        <v>48959</v>
      </c>
      <c r="M3720" s="92">
        <f t="shared" ca="1" si="127"/>
        <v>6.25</v>
      </c>
      <c r="N3720" s="143">
        <f ca="1">(PRODUCT($O$5:$O3720)-1)*36000/_xlfn.DAYS(L3720, $C$2)</f>
        <v>10.06148311543892</v>
      </c>
      <c r="O3720" s="149">
        <f t="shared" ca="1" si="128"/>
        <v>1.000173611111111</v>
      </c>
    </row>
    <row r="3721" spans="12:15" x14ac:dyDescent="0.25">
      <c r="L3721" s="147">
        <f ca="1"/>
        <v>48960</v>
      </c>
      <c r="M3721" s="92">
        <f t="shared" ca="1" si="127"/>
        <v>6.25</v>
      </c>
      <c r="N3721" s="143">
        <f ca="1">(PRODUCT($O$5:$O3721)-1)*36000/_xlfn.DAYS(L3721, $C$2)</f>
        <v>10.06220401157081</v>
      </c>
      <c r="O3721" s="149">
        <f t="shared" ca="1" si="128"/>
        <v>1.000173611111111</v>
      </c>
    </row>
    <row r="3722" spans="12:15" x14ac:dyDescent="0.25">
      <c r="L3722" s="147">
        <f ca="1"/>
        <v>48961</v>
      </c>
      <c r="M3722" s="92">
        <f t="shared" ca="1" si="127"/>
        <v>6.25</v>
      </c>
      <c r="N3722" s="143">
        <f ca="1">(PRODUCT($O$5:$O3722)-1)*36000/_xlfn.DAYS(L3722, $C$2)</f>
        <v>10.062925114856082</v>
      </c>
      <c r="O3722" s="149">
        <f t="shared" ca="1" si="128"/>
        <v>1.000173611111111</v>
      </c>
    </row>
    <row r="3723" spans="12:15" x14ac:dyDescent="0.25">
      <c r="L3723" s="147">
        <f ca="1"/>
        <v>48962</v>
      </c>
      <c r="M3723" s="92">
        <f t="shared" ca="1" si="127"/>
        <v>6.25</v>
      </c>
      <c r="N3723" s="143">
        <f ca="1">(PRODUCT($O$5:$O3723)-1)*36000/_xlfn.DAYS(L3723, $C$2)</f>
        <v>10.063646425230894</v>
      </c>
      <c r="O3723" s="149">
        <f t="shared" ca="1" si="128"/>
        <v>1.000173611111111</v>
      </c>
    </row>
    <row r="3724" spans="12:15" x14ac:dyDescent="0.25">
      <c r="L3724" s="147">
        <f ca="1"/>
        <v>48963</v>
      </c>
      <c r="M3724" s="92">
        <f t="shared" ca="1" si="127"/>
        <v>6.25</v>
      </c>
      <c r="N3724" s="143">
        <f ca="1">(PRODUCT($O$5:$O3724)-1)*36000/_xlfn.DAYS(L3724, $C$2)</f>
        <v>10.06436794263149</v>
      </c>
      <c r="O3724" s="149">
        <f t="shared" ca="1" si="128"/>
        <v>1.000173611111111</v>
      </c>
    </row>
    <row r="3725" spans="12:15" x14ac:dyDescent="0.25">
      <c r="L3725" s="147">
        <f ca="1"/>
        <v>48964</v>
      </c>
      <c r="M3725" s="92">
        <f t="shared" ca="1" si="127"/>
        <v>6.25</v>
      </c>
      <c r="N3725" s="143">
        <f ca="1">(PRODUCT($O$5:$O3725)-1)*36000/_xlfn.DAYS(L3725, $C$2)</f>
        <v>10.065089666994202</v>
      </c>
      <c r="O3725" s="149">
        <f t="shared" ca="1" si="128"/>
        <v>1.000173611111111</v>
      </c>
    </row>
    <row r="3726" spans="12:15" x14ac:dyDescent="0.25">
      <c r="L3726" s="147">
        <f ca="1"/>
        <v>48965</v>
      </c>
      <c r="M3726" s="92">
        <f t="shared" ca="1" si="127"/>
        <v>6.25</v>
      </c>
      <c r="N3726" s="143">
        <f ca="1">(PRODUCT($O$5:$O3726)-1)*36000/_xlfn.DAYS(L3726, $C$2)</f>
        <v>10.065811598255442</v>
      </c>
      <c r="O3726" s="149">
        <f t="shared" ca="1" si="128"/>
        <v>1.000173611111111</v>
      </c>
    </row>
    <row r="3727" spans="12:15" x14ac:dyDescent="0.25">
      <c r="L3727" s="147">
        <f ca="1"/>
        <v>48966</v>
      </c>
      <c r="M3727" s="92">
        <f t="shared" ca="1" si="127"/>
        <v>6.25</v>
      </c>
      <c r="N3727" s="143">
        <f ca="1">(PRODUCT($O$5:$O3727)-1)*36000/_xlfn.DAYS(L3727, $C$2)</f>
        <v>10.066533736351714</v>
      </c>
      <c r="O3727" s="149">
        <f t="shared" ca="1" si="128"/>
        <v>1.000173611111111</v>
      </c>
    </row>
    <row r="3728" spans="12:15" x14ac:dyDescent="0.25">
      <c r="L3728" s="147">
        <f ca="1"/>
        <v>48967</v>
      </c>
      <c r="M3728" s="92">
        <f t="shared" ca="1" si="127"/>
        <v>6.25</v>
      </c>
      <c r="N3728" s="143">
        <f ca="1">(PRODUCT($O$5:$O3728)-1)*36000/_xlfn.DAYS(L3728, $C$2)</f>
        <v>10.067256081219602</v>
      </c>
      <c r="O3728" s="149">
        <f t="shared" ca="1" si="128"/>
        <v>1.000173611111111</v>
      </c>
    </row>
    <row r="3729" spans="12:15" x14ac:dyDescent="0.25">
      <c r="L3729" s="147">
        <f ca="1"/>
        <v>48968</v>
      </c>
      <c r="M3729" s="92">
        <f t="shared" ca="1" si="127"/>
        <v>6.25</v>
      </c>
      <c r="N3729" s="143">
        <f ca="1">(PRODUCT($O$5:$O3729)-1)*36000/_xlfn.DAYS(L3729, $C$2)</f>
        <v>10.067978632795789</v>
      </c>
      <c r="O3729" s="149">
        <f t="shared" ca="1" si="128"/>
        <v>1.000173611111111</v>
      </c>
    </row>
    <row r="3730" spans="12:15" x14ac:dyDescent="0.25">
      <c r="L3730" s="147">
        <f ca="1"/>
        <v>48969</v>
      </c>
      <c r="M3730" s="92">
        <f t="shared" ca="1" si="127"/>
        <v>6.25</v>
      </c>
      <c r="N3730" s="143">
        <f ca="1">(PRODUCT($O$5:$O3730)-1)*36000/_xlfn.DAYS(L3730, $C$2)</f>
        <v>10.068701391017024</v>
      </c>
      <c r="O3730" s="149">
        <f t="shared" ca="1" si="128"/>
        <v>1.000173611111111</v>
      </c>
    </row>
    <row r="3731" spans="12:15" x14ac:dyDescent="0.25">
      <c r="L3731" s="147">
        <f ca="1"/>
        <v>48970</v>
      </c>
      <c r="M3731" s="92">
        <f t="shared" ca="1" si="127"/>
        <v>6.25</v>
      </c>
      <c r="N3731" s="143">
        <f ca="1">(PRODUCT($O$5:$O3731)-1)*36000/_xlfn.DAYS(L3731, $C$2)</f>
        <v>10.069424355820161</v>
      </c>
      <c r="O3731" s="149">
        <f t="shared" ca="1" si="128"/>
        <v>1.000173611111111</v>
      </c>
    </row>
    <row r="3732" spans="12:15" x14ac:dyDescent="0.25">
      <c r="L3732" s="147">
        <f ca="1"/>
        <v>48971</v>
      </c>
      <c r="M3732" s="92">
        <f t="shared" ca="1" si="127"/>
        <v>6.25</v>
      </c>
      <c r="N3732" s="143">
        <f ca="1">(PRODUCT($O$5:$O3732)-1)*36000/_xlfn.DAYS(L3732, $C$2)</f>
        <v>10.070147527142126</v>
      </c>
      <c r="O3732" s="149">
        <f t="shared" ca="1" si="128"/>
        <v>1.000173611111111</v>
      </c>
    </row>
    <row r="3733" spans="12:15" x14ac:dyDescent="0.25">
      <c r="L3733" s="147">
        <f ca="1"/>
        <v>48972</v>
      </c>
      <c r="M3733" s="92">
        <f t="shared" ca="1" si="127"/>
        <v>6.25</v>
      </c>
      <c r="N3733" s="143">
        <f ca="1">(PRODUCT($O$5:$O3733)-1)*36000/_xlfn.DAYS(L3733, $C$2)</f>
        <v>10.070870904919945</v>
      </c>
      <c r="O3733" s="149">
        <f t="shared" ca="1" si="128"/>
        <v>1.000173611111111</v>
      </c>
    </row>
    <row r="3734" spans="12:15" x14ac:dyDescent="0.25">
      <c r="L3734" s="147">
        <f ca="1"/>
        <v>48973</v>
      </c>
      <c r="M3734" s="92">
        <f t="shared" ca="1" si="127"/>
        <v>6.25</v>
      </c>
      <c r="N3734" s="143">
        <f ca="1">(PRODUCT($O$5:$O3734)-1)*36000/_xlfn.DAYS(L3734, $C$2)</f>
        <v>10.071594489090707</v>
      </c>
      <c r="O3734" s="149">
        <f t="shared" ca="1" si="128"/>
        <v>1.000173611111111</v>
      </c>
    </row>
    <row r="3735" spans="12:15" x14ac:dyDescent="0.25">
      <c r="L3735" s="147">
        <f ca="1"/>
        <v>48974</v>
      </c>
      <c r="M3735" s="92">
        <f t="shared" ca="1" si="127"/>
        <v>6.25</v>
      </c>
      <c r="N3735" s="143">
        <f ca="1">(PRODUCT($O$5:$O3735)-1)*36000/_xlfn.DAYS(L3735, $C$2)</f>
        <v>10.072318279591615</v>
      </c>
      <c r="O3735" s="149">
        <f t="shared" ca="1" si="128"/>
        <v>1.000173611111111</v>
      </c>
    </row>
    <row r="3736" spans="12:15" x14ac:dyDescent="0.25">
      <c r="L3736" s="147">
        <f ca="1"/>
        <v>48975</v>
      </c>
      <c r="M3736" s="92">
        <f t="shared" ca="1" si="127"/>
        <v>6.25</v>
      </c>
      <c r="N3736" s="143">
        <f ca="1">(PRODUCT($O$5:$O3736)-1)*36000/_xlfn.DAYS(L3736, $C$2)</f>
        <v>10.07304227635993</v>
      </c>
      <c r="O3736" s="149">
        <f t="shared" ca="1" si="128"/>
        <v>1.000173611111111</v>
      </c>
    </row>
    <row r="3737" spans="12:15" x14ac:dyDescent="0.25">
      <c r="L3737" s="147">
        <f ca="1"/>
        <v>48976</v>
      </c>
      <c r="M3737" s="92">
        <f t="shared" ca="1" si="127"/>
        <v>6.25</v>
      </c>
      <c r="N3737" s="143">
        <f ca="1">(PRODUCT($O$5:$O3737)-1)*36000/_xlfn.DAYS(L3737, $C$2)</f>
        <v>10.073766479333012</v>
      </c>
      <c r="O3737" s="149">
        <f t="shared" ca="1" si="128"/>
        <v>1.000173611111111</v>
      </c>
    </row>
    <row r="3738" spans="12:15" x14ac:dyDescent="0.25">
      <c r="L3738" s="147">
        <f ca="1"/>
        <v>48977</v>
      </c>
      <c r="M3738" s="92">
        <f t="shared" ca="1" si="127"/>
        <v>6.25</v>
      </c>
      <c r="N3738" s="143">
        <f ca="1">(PRODUCT($O$5:$O3738)-1)*36000/_xlfn.DAYS(L3738, $C$2)</f>
        <v>10.074490888448311</v>
      </c>
      <c r="O3738" s="149">
        <f t="shared" ca="1" si="128"/>
        <v>1.000173611111111</v>
      </c>
    </row>
    <row r="3739" spans="12:15" x14ac:dyDescent="0.25">
      <c r="L3739" s="147">
        <f ca="1"/>
        <v>48978</v>
      </c>
      <c r="M3739" s="92">
        <f t="shared" ca="1" si="127"/>
        <v>6.25</v>
      </c>
      <c r="N3739" s="143">
        <f ca="1">(PRODUCT($O$5:$O3739)-1)*36000/_xlfn.DAYS(L3739, $C$2)</f>
        <v>10.075215503643349</v>
      </c>
      <c r="O3739" s="149">
        <f t="shared" ca="1" si="128"/>
        <v>1.000173611111111</v>
      </c>
    </row>
    <row r="3740" spans="12:15" x14ac:dyDescent="0.25">
      <c r="L3740" s="147">
        <f ca="1"/>
        <v>48979</v>
      </c>
      <c r="M3740" s="92">
        <f t="shared" ca="1" si="127"/>
        <v>6.25</v>
      </c>
      <c r="N3740" s="143">
        <f ca="1">(PRODUCT($O$5:$O3740)-1)*36000/_xlfn.DAYS(L3740, $C$2)</f>
        <v>10.075940324855742</v>
      </c>
      <c r="O3740" s="149">
        <f t="shared" ca="1" si="128"/>
        <v>1.000173611111111</v>
      </c>
    </row>
    <row r="3741" spans="12:15" x14ac:dyDescent="0.25">
      <c r="L3741" s="147">
        <f ca="1"/>
        <v>48980</v>
      </c>
      <c r="M3741" s="92">
        <f t="shared" ca="1" si="127"/>
        <v>6.25</v>
      </c>
      <c r="N3741" s="143">
        <f ca="1">(PRODUCT($O$5:$O3741)-1)*36000/_xlfn.DAYS(L3741, $C$2)</f>
        <v>10.076665352023182</v>
      </c>
      <c r="O3741" s="149">
        <f t="shared" ca="1" si="128"/>
        <v>1.000173611111111</v>
      </c>
    </row>
    <row r="3742" spans="12:15" x14ac:dyDescent="0.25">
      <c r="L3742" s="147">
        <f ca="1"/>
        <v>48981</v>
      </c>
      <c r="M3742" s="92">
        <f t="shared" ca="1" si="127"/>
        <v>6.25</v>
      </c>
      <c r="N3742" s="143">
        <f ca="1">(PRODUCT($O$5:$O3742)-1)*36000/_xlfn.DAYS(L3742, $C$2)</f>
        <v>10.077390585083458</v>
      </c>
      <c r="O3742" s="149">
        <f t="shared" ca="1" si="128"/>
        <v>1.000173611111111</v>
      </c>
    </row>
    <row r="3743" spans="12:15" x14ac:dyDescent="0.25">
      <c r="L3743" s="147">
        <f ca="1"/>
        <v>48982</v>
      </c>
      <c r="M3743" s="92">
        <f t="shared" ca="1" si="127"/>
        <v>6.25</v>
      </c>
      <c r="N3743" s="143">
        <f ca="1">(PRODUCT($O$5:$O3743)-1)*36000/_xlfn.DAYS(L3743, $C$2)</f>
        <v>10.078116023974435</v>
      </c>
      <c r="O3743" s="149">
        <f t="shared" ca="1" si="128"/>
        <v>1.000173611111111</v>
      </c>
    </row>
    <row r="3744" spans="12:15" x14ac:dyDescent="0.25">
      <c r="L3744" s="147">
        <f ca="1"/>
        <v>48983</v>
      </c>
      <c r="M3744" s="92">
        <f t="shared" ca="1" si="127"/>
        <v>6.25</v>
      </c>
      <c r="N3744" s="143">
        <f ca="1">(PRODUCT($O$5:$O3744)-1)*36000/_xlfn.DAYS(L3744, $C$2)</f>
        <v>10.078841668634057</v>
      </c>
      <c r="O3744" s="149">
        <f t="shared" ca="1" si="128"/>
        <v>1.000173611111111</v>
      </c>
    </row>
    <row r="3745" spans="12:15" x14ac:dyDescent="0.25">
      <c r="L3745" s="147">
        <f ca="1"/>
        <v>48984</v>
      </c>
      <c r="M3745" s="92">
        <f t="shared" ca="1" si="127"/>
        <v>6.25</v>
      </c>
      <c r="N3745" s="143">
        <f ca="1">(PRODUCT($O$5:$O3745)-1)*36000/_xlfn.DAYS(L3745, $C$2)</f>
        <v>10.079567519000371</v>
      </c>
      <c r="O3745" s="149">
        <f t="shared" ca="1" si="128"/>
        <v>1.000173611111111</v>
      </c>
    </row>
    <row r="3746" spans="12:15" x14ac:dyDescent="0.25">
      <c r="L3746" s="147">
        <f ca="1"/>
        <v>48985</v>
      </c>
      <c r="M3746" s="92">
        <f t="shared" ca="1" si="127"/>
        <v>6.25</v>
      </c>
      <c r="N3746" s="143">
        <f ca="1">(PRODUCT($O$5:$O3746)-1)*36000/_xlfn.DAYS(L3746, $C$2)</f>
        <v>10.080293575011487</v>
      </c>
      <c r="O3746" s="149">
        <f t="shared" ca="1" si="128"/>
        <v>1.000173611111111</v>
      </c>
    </row>
    <row r="3747" spans="12:15" x14ac:dyDescent="0.25">
      <c r="L3747" s="147">
        <f ca="1"/>
        <v>48986</v>
      </c>
      <c r="M3747" s="92">
        <f t="shared" ca="1" si="127"/>
        <v>6.25</v>
      </c>
      <c r="N3747" s="143">
        <f ca="1">(PRODUCT($O$5:$O3747)-1)*36000/_xlfn.DAYS(L3747, $C$2)</f>
        <v>10.081019836605609</v>
      </c>
      <c r="O3747" s="149">
        <f t="shared" ca="1" si="128"/>
        <v>1.000173611111111</v>
      </c>
    </row>
    <row r="3748" spans="12:15" x14ac:dyDescent="0.25">
      <c r="L3748" s="147">
        <f ca="1"/>
        <v>48987</v>
      </c>
      <c r="M3748" s="92">
        <f t="shared" ca="1" si="127"/>
        <v>6.25</v>
      </c>
      <c r="N3748" s="143">
        <f ca="1">(PRODUCT($O$5:$O3748)-1)*36000/_xlfn.DAYS(L3748, $C$2)</f>
        <v>10.08174630372103</v>
      </c>
      <c r="O3748" s="149">
        <f t="shared" ca="1" si="128"/>
        <v>1.000173611111111</v>
      </c>
    </row>
    <row r="3749" spans="12:15" x14ac:dyDescent="0.25">
      <c r="L3749" s="147">
        <f ca="1"/>
        <v>48988</v>
      </c>
      <c r="M3749" s="92">
        <f t="shared" ca="1" si="127"/>
        <v>6.25</v>
      </c>
      <c r="N3749" s="143">
        <f ca="1">(PRODUCT($O$5:$O3749)-1)*36000/_xlfn.DAYS(L3749, $C$2)</f>
        <v>10.082472976296117</v>
      </c>
      <c r="O3749" s="149">
        <f t="shared" ca="1" si="128"/>
        <v>1.000173611111111</v>
      </c>
    </row>
    <row r="3750" spans="12:15" x14ac:dyDescent="0.25">
      <c r="L3750" s="147">
        <f ca="1"/>
        <v>48989</v>
      </c>
      <c r="M3750" s="92">
        <f t="shared" ca="1" si="127"/>
        <v>6.25</v>
      </c>
      <c r="N3750" s="143">
        <f ca="1">(PRODUCT($O$5:$O3750)-1)*36000/_xlfn.DAYS(L3750, $C$2)</f>
        <v>10.083199854269319</v>
      </c>
      <c r="O3750" s="149">
        <f t="shared" ca="1" si="128"/>
        <v>1.000173611111111</v>
      </c>
    </row>
    <row r="3751" spans="12:15" x14ac:dyDescent="0.25">
      <c r="L3751" s="147">
        <f ca="1"/>
        <v>48990</v>
      </c>
      <c r="M3751" s="92">
        <f t="shared" ca="1" si="127"/>
        <v>6.25</v>
      </c>
      <c r="N3751" s="143">
        <f ca="1">(PRODUCT($O$5:$O3751)-1)*36000/_xlfn.DAYS(L3751, $C$2)</f>
        <v>10.083926937579182</v>
      </c>
      <c r="O3751" s="149">
        <f t="shared" ca="1" si="128"/>
        <v>1.000173611111111</v>
      </c>
    </row>
    <row r="3752" spans="12:15" x14ac:dyDescent="0.25">
      <c r="L3752" s="147">
        <f ca="1"/>
        <v>48991</v>
      </c>
      <c r="M3752" s="92">
        <f t="shared" ca="1" si="127"/>
        <v>6.25</v>
      </c>
      <c r="N3752" s="143">
        <f ca="1">(PRODUCT($O$5:$O3752)-1)*36000/_xlfn.DAYS(L3752, $C$2)</f>
        <v>10.08465422616433</v>
      </c>
      <c r="O3752" s="149">
        <f t="shared" ca="1" si="128"/>
        <v>1.000173611111111</v>
      </c>
    </row>
    <row r="3753" spans="12:15" x14ac:dyDescent="0.25">
      <c r="L3753" s="147">
        <f ca="1"/>
        <v>48992</v>
      </c>
      <c r="M3753" s="92">
        <f t="shared" ca="1" si="127"/>
        <v>6.25</v>
      </c>
      <c r="N3753" s="143">
        <f ca="1">(PRODUCT($O$5:$O3753)-1)*36000/_xlfn.DAYS(L3753, $C$2)</f>
        <v>10.085381719963458</v>
      </c>
      <c r="O3753" s="149">
        <f t="shared" ca="1" si="128"/>
        <v>1.000173611111111</v>
      </c>
    </row>
    <row r="3754" spans="12:15" x14ac:dyDescent="0.25">
      <c r="L3754" s="147">
        <f ca="1"/>
        <v>48993</v>
      </c>
      <c r="M3754" s="92">
        <f t="shared" ca="1" si="127"/>
        <v>6.25</v>
      </c>
      <c r="N3754" s="143">
        <f ca="1">(PRODUCT($O$5:$O3754)-1)*36000/_xlfn.DAYS(L3754, $C$2)</f>
        <v>10.086109418915363</v>
      </c>
      <c r="O3754" s="149">
        <f t="shared" ca="1" si="128"/>
        <v>1.000173611111111</v>
      </c>
    </row>
    <row r="3755" spans="12:15" x14ac:dyDescent="0.25">
      <c r="L3755" s="147">
        <f ca="1"/>
        <v>48994</v>
      </c>
      <c r="M3755" s="92">
        <f t="shared" ca="1" si="127"/>
        <v>6.25</v>
      </c>
      <c r="N3755" s="143">
        <f ca="1">(PRODUCT($O$5:$O3755)-1)*36000/_xlfn.DAYS(L3755, $C$2)</f>
        <v>10.08683732295891</v>
      </c>
      <c r="O3755" s="149">
        <f t="shared" ca="1" si="128"/>
        <v>1.000173611111111</v>
      </c>
    </row>
    <row r="3756" spans="12:15" x14ac:dyDescent="0.25">
      <c r="L3756" s="147">
        <f ca="1"/>
        <v>48995</v>
      </c>
      <c r="M3756" s="92">
        <f t="shared" ca="1" si="127"/>
        <v>6.25</v>
      </c>
      <c r="N3756" s="143">
        <f ca="1">(PRODUCT($O$5:$O3756)-1)*36000/_xlfn.DAYS(L3756, $C$2)</f>
        <v>10.087565432033058</v>
      </c>
      <c r="O3756" s="149">
        <f t="shared" ca="1" si="128"/>
        <v>1.000173611111111</v>
      </c>
    </row>
    <row r="3757" spans="12:15" x14ac:dyDescent="0.25">
      <c r="L3757" s="147">
        <f ca="1"/>
        <v>48996</v>
      </c>
      <c r="M3757" s="92">
        <f t="shared" ca="1" si="127"/>
        <v>6.25</v>
      </c>
      <c r="N3757" s="143">
        <f ca="1">(PRODUCT($O$5:$O3757)-1)*36000/_xlfn.DAYS(L3757, $C$2)</f>
        <v>10.088293746076845</v>
      </c>
      <c r="O3757" s="149">
        <f t="shared" ca="1" si="128"/>
        <v>1.000173611111111</v>
      </c>
    </row>
    <row r="3758" spans="12:15" x14ac:dyDescent="0.25">
      <c r="L3758" s="147">
        <f ca="1"/>
        <v>48997</v>
      </c>
      <c r="M3758" s="92">
        <f t="shared" ca="1" si="127"/>
        <v>6.25</v>
      </c>
      <c r="N3758" s="143">
        <f ca="1">(PRODUCT($O$5:$O3758)-1)*36000/_xlfn.DAYS(L3758, $C$2)</f>
        <v>10.089022265029387</v>
      </c>
      <c r="O3758" s="149">
        <f t="shared" ca="1" si="128"/>
        <v>1.000173611111111</v>
      </c>
    </row>
    <row r="3759" spans="12:15" x14ac:dyDescent="0.25">
      <c r="L3759" s="147">
        <f ca="1"/>
        <v>48998</v>
      </c>
      <c r="M3759" s="92">
        <f t="shared" ca="1" si="127"/>
        <v>6.25</v>
      </c>
      <c r="N3759" s="143">
        <f ca="1">(PRODUCT($O$5:$O3759)-1)*36000/_xlfn.DAYS(L3759, $C$2)</f>
        <v>10.08975098882989</v>
      </c>
      <c r="O3759" s="149">
        <f t="shared" ca="1" si="128"/>
        <v>1.000173611111111</v>
      </c>
    </row>
    <row r="3760" spans="12:15" x14ac:dyDescent="0.25">
      <c r="L3760" s="147">
        <f ca="1"/>
        <v>48999</v>
      </c>
      <c r="M3760" s="92">
        <f t="shared" ca="1" si="127"/>
        <v>6.25</v>
      </c>
      <c r="N3760" s="143">
        <f ca="1">(PRODUCT($O$5:$O3760)-1)*36000/_xlfn.DAYS(L3760, $C$2)</f>
        <v>10.090479917417641</v>
      </c>
      <c r="O3760" s="149">
        <f t="shared" ca="1" si="128"/>
        <v>1.000173611111111</v>
      </c>
    </row>
    <row r="3761" spans="12:15" x14ac:dyDescent="0.25">
      <c r="L3761" s="147">
        <f ca="1"/>
        <v>49000</v>
      </c>
      <c r="M3761" s="92">
        <f t="shared" ca="1" si="127"/>
        <v>6.25</v>
      </c>
      <c r="N3761" s="143">
        <f ca="1">(PRODUCT($O$5:$O3761)-1)*36000/_xlfn.DAYS(L3761, $C$2)</f>
        <v>10.091209050732003</v>
      </c>
      <c r="O3761" s="149">
        <f t="shared" ca="1" si="128"/>
        <v>1.000173611111111</v>
      </c>
    </row>
    <row r="3762" spans="12:15" x14ac:dyDescent="0.25">
      <c r="L3762" s="147">
        <f ca="1"/>
        <v>49001</v>
      </c>
      <c r="M3762" s="92">
        <f t="shared" ca="1" si="127"/>
        <v>6.25</v>
      </c>
      <c r="N3762" s="143">
        <f ca="1">(PRODUCT($O$5:$O3762)-1)*36000/_xlfn.DAYS(L3762, $C$2)</f>
        <v>10.091938388712428</v>
      </c>
      <c r="O3762" s="149">
        <f t="shared" ca="1" si="128"/>
        <v>1.000173611111111</v>
      </c>
    </row>
    <row r="3763" spans="12:15" x14ac:dyDescent="0.25">
      <c r="L3763" s="147">
        <f ca="1"/>
        <v>49002</v>
      </c>
      <c r="M3763" s="92">
        <f t="shared" ca="1" si="127"/>
        <v>6.25</v>
      </c>
      <c r="N3763" s="143">
        <f ca="1">(PRODUCT($O$5:$O3763)-1)*36000/_xlfn.DAYS(L3763, $C$2)</f>
        <v>10.09266793129845</v>
      </c>
      <c r="O3763" s="149">
        <f t="shared" ca="1" si="128"/>
        <v>1.000173611111111</v>
      </c>
    </row>
    <row r="3764" spans="12:15" x14ac:dyDescent="0.25">
      <c r="L3764" s="147">
        <f ca="1"/>
        <v>49003</v>
      </c>
      <c r="M3764" s="92">
        <f t="shared" ca="1" si="127"/>
        <v>6.25</v>
      </c>
      <c r="N3764" s="143">
        <f ca="1">(PRODUCT($O$5:$O3764)-1)*36000/_xlfn.DAYS(L3764, $C$2)</f>
        <v>10.093397678429683</v>
      </c>
      <c r="O3764" s="149">
        <f t="shared" ca="1" si="128"/>
        <v>1.000173611111111</v>
      </c>
    </row>
    <row r="3765" spans="12:15" x14ac:dyDescent="0.25">
      <c r="L3765" s="147">
        <f ca="1"/>
        <v>49004</v>
      </c>
      <c r="M3765" s="92">
        <f t="shared" ca="1" si="127"/>
        <v>6.25</v>
      </c>
      <c r="N3765" s="143">
        <f ca="1">(PRODUCT($O$5:$O3765)-1)*36000/_xlfn.DAYS(L3765, $C$2)</f>
        <v>10.094127630045827</v>
      </c>
      <c r="O3765" s="149">
        <f t="shared" ca="1" si="128"/>
        <v>1.000173611111111</v>
      </c>
    </row>
    <row r="3766" spans="12:15" x14ac:dyDescent="0.25">
      <c r="L3766" s="147">
        <f ca="1"/>
        <v>49005</v>
      </c>
      <c r="M3766" s="92">
        <f t="shared" ca="1" si="127"/>
        <v>6.25</v>
      </c>
      <c r="N3766" s="143">
        <f ca="1">(PRODUCT($O$5:$O3766)-1)*36000/_xlfn.DAYS(L3766, $C$2)</f>
        <v>10.09485778608666</v>
      </c>
      <c r="O3766" s="149">
        <f t="shared" ca="1" si="128"/>
        <v>1.000173611111111</v>
      </c>
    </row>
    <row r="3767" spans="12:15" x14ac:dyDescent="0.25">
      <c r="L3767" s="147">
        <f ca="1"/>
        <v>49006</v>
      </c>
      <c r="M3767" s="92">
        <f t="shared" ca="1" si="127"/>
        <v>6.25</v>
      </c>
      <c r="N3767" s="143">
        <f ca="1">(PRODUCT($O$5:$O3767)-1)*36000/_xlfn.DAYS(L3767, $C$2)</f>
        <v>10.095588146492037</v>
      </c>
      <c r="O3767" s="149">
        <f t="shared" ca="1" si="128"/>
        <v>1.000173611111111</v>
      </c>
    </row>
    <row r="3768" spans="12:15" x14ac:dyDescent="0.25">
      <c r="L3768" s="147">
        <f ca="1"/>
        <v>49007</v>
      </c>
      <c r="M3768" s="92">
        <f t="shared" ca="1" si="127"/>
        <v>6.25</v>
      </c>
      <c r="N3768" s="143">
        <f ca="1">(PRODUCT($O$5:$O3768)-1)*36000/_xlfn.DAYS(L3768, $C$2)</f>
        <v>10.096318711201906</v>
      </c>
      <c r="O3768" s="149">
        <f t="shared" ca="1" si="128"/>
        <v>1.000173611111111</v>
      </c>
    </row>
    <row r="3769" spans="12:15" x14ac:dyDescent="0.25">
      <c r="L3769" s="147">
        <f ca="1"/>
        <v>49008</v>
      </c>
      <c r="M3769" s="92">
        <f t="shared" ca="1" si="127"/>
        <v>6.25</v>
      </c>
      <c r="N3769" s="143">
        <f ca="1">(PRODUCT($O$5:$O3769)-1)*36000/_xlfn.DAYS(L3769, $C$2)</f>
        <v>10.097049480156292</v>
      </c>
      <c r="O3769" s="149">
        <f t="shared" ca="1" si="128"/>
        <v>1.000173611111111</v>
      </c>
    </row>
    <row r="3770" spans="12:15" x14ac:dyDescent="0.25">
      <c r="L3770" s="147">
        <f ca="1"/>
        <v>49009</v>
      </c>
      <c r="M3770" s="92">
        <f t="shared" ca="1" si="127"/>
        <v>6.25</v>
      </c>
      <c r="N3770" s="143">
        <f ca="1">(PRODUCT($O$5:$O3770)-1)*36000/_xlfn.DAYS(L3770, $C$2)</f>
        <v>10.097780453295298</v>
      </c>
      <c r="O3770" s="149">
        <f t="shared" ca="1" si="128"/>
        <v>1.000173611111111</v>
      </c>
    </row>
    <row r="3771" spans="12:15" x14ac:dyDescent="0.25">
      <c r="L3771" s="147">
        <f ca="1"/>
        <v>49010</v>
      </c>
      <c r="M3771" s="92">
        <f t="shared" ca="1" si="127"/>
        <v>6.25</v>
      </c>
      <c r="N3771" s="143">
        <f ca="1">(PRODUCT($O$5:$O3771)-1)*36000/_xlfn.DAYS(L3771, $C$2)</f>
        <v>10.098511630559114</v>
      </c>
      <c r="O3771" s="149">
        <f t="shared" ca="1" si="128"/>
        <v>1.000173611111111</v>
      </c>
    </row>
    <row r="3772" spans="12:15" x14ac:dyDescent="0.25">
      <c r="L3772" s="147">
        <f ca="1"/>
        <v>49011</v>
      </c>
      <c r="M3772" s="92">
        <f t="shared" ca="1" si="127"/>
        <v>6.25</v>
      </c>
      <c r="N3772" s="143">
        <f ca="1">(PRODUCT($O$5:$O3772)-1)*36000/_xlfn.DAYS(L3772, $C$2)</f>
        <v>10.099243011888005</v>
      </c>
      <c r="O3772" s="149">
        <f t="shared" ca="1" si="128"/>
        <v>1.000173611111111</v>
      </c>
    </row>
    <row r="3773" spans="12:15" x14ac:dyDescent="0.25">
      <c r="L3773" s="147">
        <f ca="1"/>
        <v>49012</v>
      </c>
      <c r="M3773" s="92">
        <f t="shared" ca="1" si="127"/>
        <v>6.25</v>
      </c>
      <c r="N3773" s="143">
        <f ca="1">(PRODUCT($O$5:$O3773)-1)*36000/_xlfn.DAYS(L3773, $C$2)</f>
        <v>10.099974597222323</v>
      </c>
      <c r="O3773" s="149">
        <f t="shared" ca="1" si="128"/>
        <v>1.000173611111111</v>
      </c>
    </row>
    <row r="3774" spans="12:15" x14ac:dyDescent="0.25">
      <c r="L3774" s="147">
        <f ca="1"/>
        <v>49013</v>
      </c>
      <c r="M3774" s="92">
        <f t="shared" ca="1" si="127"/>
        <v>6.25</v>
      </c>
      <c r="N3774" s="143">
        <f ca="1">(PRODUCT($O$5:$O3774)-1)*36000/_xlfn.DAYS(L3774, $C$2)</f>
        <v>10.100706386502502</v>
      </c>
      <c r="O3774" s="149">
        <f t="shared" ca="1" si="128"/>
        <v>1.000173611111111</v>
      </c>
    </row>
    <row r="3775" spans="12:15" x14ac:dyDescent="0.25">
      <c r="L3775" s="147">
        <f ca="1"/>
        <v>49014</v>
      </c>
      <c r="M3775" s="92">
        <f t="shared" ca="1" si="127"/>
        <v>6.25</v>
      </c>
      <c r="N3775" s="143">
        <f ca="1">(PRODUCT($O$5:$O3775)-1)*36000/_xlfn.DAYS(L3775, $C$2)</f>
        <v>10.101438379669046</v>
      </c>
      <c r="O3775" s="149">
        <f t="shared" ca="1" si="128"/>
        <v>1.000173611111111</v>
      </c>
    </row>
    <row r="3776" spans="12:15" x14ac:dyDescent="0.25">
      <c r="L3776" s="147">
        <f ca="1"/>
        <v>49015</v>
      </c>
      <c r="M3776" s="92">
        <f t="shared" ca="1" si="127"/>
        <v>6.25</v>
      </c>
      <c r="N3776" s="143">
        <f ca="1">(PRODUCT($O$5:$O3776)-1)*36000/_xlfn.DAYS(L3776, $C$2)</f>
        <v>10.102170576662553</v>
      </c>
      <c r="O3776" s="149">
        <f t="shared" ca="1" si="128"/>
        <v>1.000173611111111</v>
      </c>
    </row>
    <row r="3777" spans="12:15" x14ac:dyDescent="0.25">
      <c r="L3777" s="147">
        <f ca="1"/>
        <v>49016</v>
      </c>
      <c r="M3777" s="92">
        <f t="shared" ca="1" si="127"/>
        <v>6.25</v>
      </c>
      <c r="N3777" s="143">
        <f ca="1">(PRODUCT($O$5:$O3777)-1)*36000/_xlfn.DAYS(L3777, $C$2)</f>
        <v>10.1029029774237</v>
      </c>
      <c r="O3777" s="149">
        <f t="shared" ca="1" si="128"/>
        <v>1.000173611111111</v>
      </c>
    </row>
    <row r="3778" spans="12:15" x14ac:dyDescent="0.25">
      <c r="L3778" s="147">
        <f ca="1"/>
        <v>49017</v>
      </c>
      <c r="M3778" s="92">
        <f t="shared" ca="1" si="127"/>
        <v>6.25</v>
      </c>
      <c r="N3778" s="143">
        <f ca="1">(PRODUCT($O$5:$O3778)-1)*36000/_xlfn.DAYS(L3778, $C$2)</f>
        <v>10.103635581893233</v>
      </c>
      <c r="O3778" s="149">
        <f t="shared" ca="1" si="128"/>
        <v>1.000173611111111</v>
      </c>
    </row>
    <row r="3779" spans="12:15" x14ac:dyDescent="0.25">
      <c r="L3779" s="147">
        <f ca="1"/>
        <v>49018</v>
      </c>
      <c r="M3779" s="92">
        <f t="shared" ca="1" si="127"/>
        <v>6.25</v>
      </c>
      <c r="N3779" s="143">
        <f ca="1">(PRODUCT($O$5:$O3779)-1)*36000/_xlfn.DAYS(L3779, $C$2)</f>
        <v>10.104368390011993</v>
      </c>
      <c r="O3779" s="149">
        <f t="shared" ca="1" si="128"/>
        <v>1.000173611111111</v>
      </c>
    </row>
    <row r="3780" spans="12:15" x14ac:dyDescent="0.25">
      <c r="L3780" s="147">
        <f ca="1"/>
        <v>49019</v>
      </c>
      <c r="M3780" s="92">
        <f t="shared" ca="1" si="127"/>
        <v>6.25</v>
      </c>
      <c r="N3780" s="143">
        <f ca="1">(PRODUCT($O$5:$O3780)-1)*36000/_xlfn.DAYS(L3780, $C$2)</f>
        <v>10.105101401720896</v>
      </c>
      <c r="O3780" s="149">
        <f t="shared" ca="1" si="128"/>
        <v>1.000173611111111</v>
      </c>
    </row>
    <row r="3781" spans="12:15" x14ac:dyDescent="0.25">
      <c r="L3781" s="147">
        <f ca="1"/>
        <v>49020</v>
      </c>
      <c r="M3781" s="92">
        <f t="shared" ref="M3781:M3844" ca="1" si="129">IFERROR(INDEX($E$27:$H$47, MATCH(L3781, $F$27:$F$47, 0), 4), IF(ISNUMBER(M3780), M3780, $C$5))</f>
        <v>6.25</v>
      </c>
      <c r="N3781" s="143">
        <f ca="1">(PRODUCT($O$5:$O3781)-1)*36000/_xlfn.DAYS(L3781, $C$2)</f>
        <v>10.105834616960937</v>
      </c>
      <c r="O3781" s="149">
        <f t="shared" ca="1" si="128"/>
        <v>1.000173611111111</v>
      </c>
    </row>
    <row r="3782" spans="12:15" x14ac:dyDescent="0.25">
      <c r="L3782" s="147">
        <f ca="1"/>
        <v>49021</v>
      </c>
      <c r="M3782" s="92">
        <f t="shared" ca="1" si="129"/>
        <v>6.25</v>
      </c>
      <c r="N3782" s="143">
        <f ca="1">(PRODUCT($O$5:$O3782)-1)*36000/_xlfn.DAYS(L3782, $C$2)</f>
        <v>10.106568035673188</v>
      </c>
      <c r="O3782" s="149">
        <f t="shared" ref="O3782:O3845" ca="1" si="130">1+M3782*IFERROR(_xlfn.DAYS(L3782, L3781), _xlfn.DAYS(L3782, $C$2))/36000</f>
        <v>1.000173611111111</v>
      </c>
    </row>
    <row r="3783" spans="12:15" x14ac:dyDescent="0.25">
      <c r="L3783" s="147">
        <f ca="1"/>
        <v>49022</v>
      </c>
      <c r="M3783" s="92">
        <f t="shared" ca="1" si="129"/>
        <v>6.25</v>
      </c>
      <c r="N3783" s="143">
        <f ca="1">(PRODUCT($O$5:$O3783)-1)*36000/_xlfn.DAYS(L3783, $C$2)</f>
        <v>10.107301657798807</v>
      </c>
      <c r="O3783" s="149">
        <f t="shared" ca="1" si="130"/>
        <v>1.000173611111111</v>
      </c>
    </row>
    <row r="3784" spans="12:15" x14ac:dyDescent="0.25">
      <c r="L3784" s="147">
        <f ca="1"/>
        <v>49023</v>
      </c>
      <c r="M3784" s="92">
        <f t="shared" ca="1" si="129"/>
        <v>6.25</v>
      </c>
      <c r="N3784" s="143">
        <f ca="1">(PRODUCT($O$5:$O3784)-1)*36000/_xlfn.DAYS(L3784, $C$2)</f>
        <v>10.108035483279032</v>
      </c>
      <c r="O3784" s="149">
        <f t="shared" ca="1" si="130"/>
        <v>1.000173611111111</v>
      </c>
    </row>
    <row r="3785" spans="12:15" x14ac:dyDescent="0.25">
      <c r="L3785" s="147">
        <f ca="1"/>
        <v>49024</v>
      </c>
      <c r="M3785" s="92">
        <f t="shared" ca="1" si="129"/>
        <v>6.25</v>
      </c>
      <c r="N3785" s="143">
        <f ca="1">(PRODUCT($O$5:$O3785)-1)*36000/_xlfn.DAYS(L3785, $C$2)</f>
        <v>10.108769512055181</v>
      </c>
      <c r="O3785" s="149">
        <f t="shared" ca="1" si="130"/>
        <v>1.000173611111111</v>
      </c>
    </row>
    <row r="3786" spans="12:15" x14ac:dyDescent="0.25">
      <c r="L3786" s="147">
        <f ca="1"/>
        <v>49025</v>
      </c>
      <c r="M3786" s="92">
        <f t="shared" ca="1" si="129"/>
        <v>6.25</v>
      </c>
      <c r="N3786" s="143">
        <f ca="1">(PRODUCT($O$5:$O3786)-1)*36000/_xlfn.DAYS(L3786, $C$2)</f>
        <v>10.109503744068649</v>
      </c>
      <c r="O3786" s="149">
        <f t="shared" ca="1" si="130"/>
        <v>1.000173611111111</v>
      </c>
    </row>
    <row r="3787" spans="12:15" x14ac:dyDescent="0.25">
      <c r="L3787" s="147">
        <f ca="1"/>
        <v>49026</v>
      </c>
      <c r="M3787" s="92">
        <f t="shared" ca="1" si="129"/>
        <v>6.25</v>
      </c>
      <c r="N3787" s="143">
        <f ca="1">(PRODUCT($O$5:$O3787)-1)*36000/_xlfn.DAYS(L3787, $C$2)</f>
        <v>10.110238179260909</v>
      </c>
      <c r="O3787" s="149">
        <f t="shared" ca="1" si="130"/>
        <v>1.000173611111111</v>
      </c>
    </row>
    <row r="3788" spans="12:15" x14ac:dyDescent="0.25">
      <c r="L3788" s="147">
        <f ca="1"/>
        <v>49027</v>
      </c>
      <c r="M3788" s="92">
        <f t="shared" ca="1" si="129"/>
        <v>6.25</v>
      </c>
      <c r="N3788" s="143">
        <f ca="1">(PRODUCT($O$5:$O3788)-1)*36000/_xlfn.DAYS(L3788, $C$2)</f>
        <v>10.110972817573522</v>
      </c>
      <c r="O3788" s="149">
        <f t="shared" ca="1" si="130"/>
        <v>1.000173611111111</v>
      </c>
    </row>
    <row r="3789" spans="12:15" x14ac:dyDescent="0.25">
      <c r="L3789" s="147">
        <f ca="1"/>
        <v>49028</v>
      </c>
      <c r="M3789" s="92">
        <f t="shared" ca="1" si="129"/>
        <v>6.25</v>
      </c>
      <c r="N3789" s="143">
        <f ca="1">(PRODUCT($O$5:$O3789)-1)*36000/_xlfn.DAYS(L3789, $C$2)</f>
        <v>10.111707658948122</v>
      </c>
      <c r="O3789" s="149">
        <f t="shared" ca="1" si="130"/>
        <v>1.000173611111111</v>
      </c>
    </row>
    <row r="3790" spans="12:15" x14ac:dyDescent="0.25">
      <c r="L3790" s="147">
        <f ca="1"/>
        <v>49029</v>
      </c>
      <c r="M3790" s="92">
        <f t="shared" ca="1" si="129"/>
        <v>6.25</v>
      </c>
      <c r="N3790" s="143">
        <f ca="1">(PRODUCT($O$5:$O3790)-1)*36000/_xlfn.DAYS(L3790, $C$2)</f>
        <v>10.112442703326421</v>
      </c>
      <c r="O3790" s="149">
        <f t="shared" ca="1" si="130"/>
        <v>1.000173611111111</v>
      </c>
    </row>
    <row r="3791" spans="12:15" x14ac:dyDescent="0.25">
      <c r="L3791" s="147">
        <f ca="1"/>
        <v>49030</v>
      </c>
      <c r="M3791" s="92">
        <f t="shared" ca="1" si="129"/>
        <v>6.25</v>
      </c>
      <c r="N3791" s="143">
        <f ca="1">(PRODUCT($O$5:$O3791)-1)*36000/_xlfn.DAYS(L3791, $C$2)</f>
        <v>10.113177950650215</v>
      </c>
      <c r="O3791" s="149">
        <f t="shared" ca="1" si="130"/>
        <v>1.000173611111111</v>
      </c>
    </row>
    <row r="3792" spans="12:15" x14ac:dyDescent="0.25">
      <c r="L3792" s="147">
        <f ca="1"/>
        <v>49031</v>
      </c>
      <c r="M3792" s="92">
        <f t="shared" ca="1" si="129"/>
        <v>6.25</v>
      </c>
      <c r="N3792" s="143">
        <f ca="1">(PRODUCT($O$5:$O3792)-1)*36000/_xlfn.DAYS(L3792, $C$2)</f>
        <v>10.113913400861378</v>
      </c>
      <c r="O3792" s="149">
        <f t="shared" ca="1" si="130"/>
        <v>1.000173611111111</v>
      </c>
    </row>
    <row r="3793" spans="12:15" x14ac:dyDescent="0.25">
      <c r="L3793" s="147">
        <f ca="1"/>
        <v>49032</v>
      </c>
      <c r="M3793" s="92">
        <f t="shared" ca="1" si="129"/>
        <v>6.25</v>
      </c>
      <c r="N3793" s="143">
        <f ca="1">(PRODUCT($O$5:$O3793)-1)*36000/_xlfn.DAYS(L3793, $C$2)</f>
        <v>10.114649053901859</v>
      </c>
      <c r="O3793" s="149">
        <f t="shared" ca="1" si="130"/>
        <v>1.000173611111111</v>
      </c>
    </row>
    <row r="3794" spans="12:15" x14ac:dyDescent="0.25">
      <c r="L3794" s="147">
        <f ca="1"/>
        <v>49033</v>
      </c>
      <c r="M3794" s="92">
        <f t="shared" ca="1" si="129"/>
        <v>6.25</v>
      </c>
      <c r="N3794" s="143">
        <f ca="1">(PRODUCT($O$5:$O3794)-1)*36000/_xlfn.DAYS(L3794, $C$2)</f>
        <v>10.115384909713699</v>
      </c>
      <c r="O3794" s="149">
        <f t="shared" ca="1" si="130"/>
        <v>1.000173611111111</v>
      </c>
    </row>
    <row r="3795" spans="12:15" x14ac:dyDescent="0.25">
      <c r="L3795" s="147">
        <f ca="1"/>
        <v>49034</v>
      </c>
      <c r="M3795" s="92">
        <f t="shared" ca="1" si="129"/>
        <v>6.25</v>
      </c>
      <c r="N3795" s="143">
        <f ca="1">(PRODUCT($O$5:$O3795)-1)*36000/_xlfn.DAYS(L3795, $C$2)</f>
        <v>10.116120968239001</v>
      </c>
      <c r="O3795" s="149">
        <f t="shared" ca="1" si="130"/>
        <v>1.000173611111111</v>
      </c>
    </row>
    <row r="3796" spans="12:15" x14ac:dyDescent="0.25">
      <c r="L3796" s="147">
        <f ca="1"/>
        <v>49035</v>
      </c>
      <c r="M3796" s="92">
        <f t="shared" ca="1" si="129"/>
        <v>6.25</v>
      </c>
      <c r="N3796" s="143">
        <f ca="1">(PRODUCT($O$5:$O3796)-1)*36000/_xlfn.DAYS(L3796, $C$2)</f>
        <v>10.116857229419953</v>
      </c>
      <c r="O3796" s="149">
        <f t="shared" ca="1" si="130"/>
        <v>1.000173611111111</v>
      </c>
    </row>
    <row r="3797" spans="12:15" x14ac:dyDescent="0.25">
      <c r="L3797" s="147">
        <f ca="1"/>
        <v>49036</v>
      </c>
      <c r="M3797" s="92">
        <f t="shared" ca="1" si="129"/>
        <v>6.25</v>
      </c>
      <c r="N3797" s="143">
        <f ca="1">(PRODUCT($O$5:$O3797)-1)*36000/_xlfn.DAYS(L3797, $C$2)</f>
        <v>10.117593693198831</v>
      </c>
      <c r="O3797" s="149">
        <f t="shared" ca="1" si="130"/>
        <v>1.000173611111111</v>
      </c>
    </row>
    <row r="3798" spans="12:15" x14ac:dyDescent="0.25">
      <c r="L3798" s="147">
        <f ca="1"/>
        <v>49037</v>
      </c>
      <c r="M3798" s="92">
        <f t="shared" ca="1" si="129"/>
        <v>6.25</v>
      </c>
      <c r="N3798" s="143">
        <f ca="1">(PRODUCT($O$5:$O3798)-1)*36000/_xlfn.DAYS(L3798, $C$2)</f>
        <v>10.118330359517975</v>
      </c>
      <c r="O3798" s="149">
        <f t="shared" ca="1" si="130"/>
        <v>1.000173611111111</v>
      </c>
    </row>
    <row r="3799" spans="12:15" x14ac:dyDescent="0.25">
      <c r="L3799" s="147">
        <f ca="1"/>
        <v>49038</v>
      </c>
      <c r="M3799" s="92">
        <f t="shared" ca="1" si="129"/>
        <v>6.25</v>
      </c>
      <c r="N3799" s="143">
        <f ca="1">(PRODUCT($O$5:$O3799)-1)*36000/_xlfn.DAYS(L3799, $C$2)</f>
        <v>10.119067228319814</v>
      </c>
      <c r="O3799" s="149">
        <f t="shared" ca="1" si="130"/>
        <v>1.000173611111111</v>
      </c>
    </row>
    <row r="3800" spans="12:15" x14ac:dyDescent="0.25">
      <c r="L3800" s="147">
        <f ca="1"/>
        <v>49039</v>
      </c>
      <c r="M3800" s="92">
        <f t="shared" ca="1" si="129"/>
        <v>6.25</v>
      </c>
      <c r="N3800" s="143">
        <f ca="1">(PRODUCT($O$5:$O3800)-1)*36000/_xlfn.DAYS(L3800, $C$2)</f>
        <v>10.119804299546852</v>
      </c>
      <c r="O3800" s="149">
        <f t="shared" ca="1" si="130"/>
        <v>1.000173611111111</v>
      </c>
    </row>
    <row r="3801" spans="12:15" x14ac:dyDescent="0.25">
      <c r="L3801" s="147">
        <f ca="1"/>
        <v>49040</v>
      </c>
      <c r="M3801" s="92">
        <f t="shared" ca="1" si="129"/>
        <v>6.25</v>
      </c>
      <c r="N3801" s="143">
        <f ca="1">(PRODUCT($O$5:$O3801)-1)*36000/_xlfn.DAYS(L3801, $C$2)</f>
        <v>10.120541573141669</v>
      </c>
      <c r="O3801" s="149">
        <f t="shared" ca="1" si="130"/>
        <v>1.000173611111111</v>
      </c>
    </row>
    <row r="3802" spans="12:15" x14ac:dyDescent="0.25">
      <c r="L3802" s="147">
        <f ca="1"/>
        <v>49041</v>
      </c>
      <c r="M3802" s="92">
        <f t="shared" ca="1" si="129"/>
        <v>6.25</v>
      </c>
      <c r="N3802" s="143">
        <f ca="1">(PRODUCT($O$5:$O3802)-1)*36000/_xlfn.DAYS(L3802, $C$2)</f>
        <v>10.121279049046928</v>
      </c>
      <c r="O3802" s="149">
        <f t="shared" ca="1" si="130"/>
        <v>1.000173611111111</v>
      </c>
    </row>
    <row r="3803" spans="12:15" x14ac:dyDescent="0.25">
      <c r="L3803" s="147">
        <f ca="1"/>
        <v>49042</v>
      </c>
      <c r="M3803" s="92">
        <f t="shared" ca="1" si="129"/>
        <v>6.25</v>
      </c>
      <c r="N3803" s="143">
        <f ca="1">(PRODUCT($O$5:$O3803)-1)*36000/_xlfn.DAYS(L3803, $C$2)</f>
        <v>10.122016727205366</v>
      </c>
      <c r="O3803" s="149">
        <f t="shared" ca="1" si="130"/>
        <v>1.000173611111111</v>
      </c>
    </row>
    <row r="3804" spans="12:15" x14ac:dyDescent="0.25">
      <c r="L3804" s="147">
        <f ca="1"/>
        <v>49043</v>
      </c>
      <c r="M3804" s="92">
        <f t="shared" ca="1" si="129"/>
        <v>6.25</v>
      </c>
      <c r="N3804" s="143">
        <f ca="1">(PRODUCT($O$5:$O3804)-1)*36000/_xlfn.DAYS(L3804, $C$2)</f>
        <v>10.122754607559806</v>
      </c>
      <c r="O3804" s="149">
        <f t="shared" ca="1" si="130"/>
        <v>1.000173611111111</v>
      </c>
    </row>
    <row r="3805" spans="12:15" x14ac:dyDescent="0.25">
      <c r="L3805" s="147">
        <f ca="1"/>
        <v>49044</v>
      </c>
      <c r="M3805" s="92">
        <f t="shared" ca="1" si="129"/>
        <v>6.25</v>
      </c>
      <c r="N3805" s="143">
        <f ca="1">(PRODUCT($O$5:$O3805)-1)*36000/_xlfn.DAYS(L3805, $C$2)</f>
        <v>10.123492690053133</v>
      </c>
      <c r="O3805" s="149">
        <f t="shared" ca="1" si="130"/>
        <v>1.000173611111111</v>
      </c>
    </row>
    <row r="3806" spans="12:15" x14ac:dyDescent="0.25">
      <c r="L3806" s="147">
        <f ca="1"/>
        <v>49045</v>
      </c>
      <c r="M3806" s="92">
        <f t="shared" ca="1" si="129"/>
        <v>6.25</v>
      </c>
      <c r="N3806" s="143">
        <f ca="1">(PRODUCT($O$5:$O3806)-1)*36000/_xlfn.DAYS(L3806, $C$2)</f>
        <v>10.124230974628327</v>
      </c>
      <c r="O3806" s="149">
        <f t="shared" ca="1" si="130"/>
        <v>1.000173611111111</v>
      </c>
    </row>
    <row r="3807" spans="12:15" x14ac:dyDescent="0.25">
      <c r="L3807" s="147">
        <f ca="1"/>
        <v>49046</v>
      </c>
      <c r="M3807" s="92">
        <f t="shared" ca="1" si="129"/>
        <v>6.25</v>
      </c>
      <c r="N3807" s="143">
        <f ca="1">(PRODUCT($O$5:$O3807)-1)*36000/_xlfn.DAYS(L3807, $C$2)</f>
        <v>10.124969461228435</v>
      </c>
      <c r="O3807" s="149">
        <f t="shared" ca="1" si="130"/>
        <v>1.000173611111111</v>
      </c>
    </row>
    <row r="3808" spans="12:15" x14ac:dyDescent="0.25">
      <c r="L3808" s="147">
        <f ca="1"/>
        <v>49047</v>
      </c>
      <c r="M3808" s="92">
        <f t="shared" ca="1" si="129"/>
        <v>6.25</v>
      </c>
      <c r="N3808" s="143">
        <f ca="1">(PRODUCT($O$5:$O3808)-1)*36000/_xlfn.DAYS(L3808, $C$2)</f>
        <v>10.125708149796587</v>
      </c>
      <c r="O3808" s="149">
        <f t="shared" ca="1" si="130"/>
        <v>1.000173611111111</v>
      </c>
    </row>
    <row r="3809" spans="12:15" x14ac:dyDescent="0.25">
      <c r="L3809" s="147">
        <f ca="1"/>
        <v>49048</v>
      </c>
      <c r="M3809" s="92">
        <f t="shared" ca="1" si="129"/>
        <v>6.25</v>
      </c>
      <c r="N3809" s="143">
        <f ca="1">(PRODUCT($O$5:$O3809)-1)*36000/_xlfn.DAYS(L3809, $C$2)</f>
        <v>10.126447040275989</v>
      </c>
      <c r="O3809" s="149">
        <f t="shared" ca="1" si="130"/>
        <v>1.000173611111111</v>
      </c>
    </row>
    <row r="3810" spans="12:15" x14ac:dyDescent="0.25">
      <c r="L3810" s="147">
        <f ca="1"/>
        <v>49049</v>
      </c>
      <c r="M3810" s="92">
        <f t="shared" ca="1" si="129"/>
        <v>6.25</v>
      </c>
      <c r="N3810" s="143">
        <f ca="1">(PRODUCT($O$5:$O3810)-1)*36000/_xlfn.DAYS(L3810, $C$2)</f>
        <v>10.127186132609923</v>
      </c>
      <c r="O3810" s="149">
        <f t="shared" ca="1" si="130"/>
        <v>1.000173611111111</v>
      </c>
    </row>
    <row r="3811" spans="12:15" x14ac:dyDescent="0.25">
      <c r="L3811" s="147">
        <f ca="1"/>
        <v>49050</v>
      </c>
      <c r="M3811" s="92">
        <f t="shared" ca="1" si="129"/>
        <v>6.25</v>
      </c>
      <c r="N3811" s="143">
        <f ca="1">(PRODUCT($O$5:$O3811)-1)*36000/_xlfn.DAYS(L3811, $C$2)</f>
        <v>10.127925426741749</v>
      </c>
      <c r="O3811" s="149">
        <f t="shared" ca="1" si="130"/>
        <v>1.000173611111111</v>
      </c>
    </row>
    <row r="3812" spans="12:15" x14ac:dyDescent="0.25">
      <c r="L3812" s="147">
        <f ca="1"/>
        <v>49051</v>
      </c>
      <c r="M3812" s="92">
        <f t="shared" ca="1" si="129"/>
        <v>6.25</v>
      </c>
      <c r="N3812" s="143">
        <f ca="1">(PRODUCT($O$5:$O3812)-1)*36000/_xlfn.DAYS(L3812, $C$2)</f>
        <v>10.128664922614911</v>
      </c>
      <c r="O3812" s="149">
        <f t="shared" ca="1" si="130"/>
        <v>1.000173611111111</v>
      </c>
    </row>
    <row r="3813" spans="12:15" x14ac:dyDescent="0.25">
      <c r="L3813" s="147">
        <f ca="1"/>
        <v>49052</v>
      </c>
      <c r="M3813" s="92">
        <f t="shared" ca="1" si="129"/>
        <v>6.25</v>
      </c>
      <c r="N3813" s="143">
        <f ca="1">(PRODUCT($O$5:$O3813)-1)*36000/_xlfn.DAYS(L3813, $C$2)</f>
        <v>10.129404620172915</v>
      </c>
      <c r="O3813" s="149">
        <f t="shared" ca="1" si="130"/>
        <v>1.000173611111111</v>
      </c>
    </row>
    <row r="3814" spans="12:15" x14ac:dyDescent="0.25">
      <c r="L3814" s="147">
        <f ca="1"/>
        <v>49053</v>
      </c>
      <c r="M3814" s="92">
        <f t="shared" ca="1" si="129"/>
        <v>6.25</v>
      </c>
      <c r="N3814" s="143">
        <f ca="1">(PRODUCT($O$5:$O3814)-1)*36000/_xlfn.DAYS(L3814, $C$2)</f>
        <v>10.130144519359357</v>
      </c>
      <c r="O3814" s="149">
        <f t="shared" ca="1" si="130"/>
        <v>1.000173611111111</v>
      </c>
    </row>
    <row r="3815" spans="12:15" x14ac:dyDescent="0.25">
      <c r="L3815" s="147">
        <f ca="1"/>
        <v>49054</v>
      </c>
      <c r="M3815" s="92">
        <f t="shared" ca="1" si="129"/>
        <v>6.25</v>
      </c>
      <c r="N3815" s="143">
        <f ca="1">(PRODUCT($O$5:$O3815)-1)*36000/_xlfn.DAYS(L3815, $C$2)</f>
        <v>10.130884620117909</v>
      </c>
      <c r="O3815" s="149">
        <f t="shared" ca="1" si="130"/>
        <v>1.000173611111111</v>
      </c>
    </row>
    <row r="3816" spans="12:15" x14ac:dyDescent="0.25">
      <c r="L3816" s="147">
        <f ca="1"/>
        <v>49055</v>
      </c>
      <c r="M3816" s="92">
        <f t="shared" ca="1" si="129"/>
        <v>6.25</v>
      </c>
      <c r="N3816" s="143">
        <f ca="1">(PRODUCT($O$5:$O3816)-1)*36000/_xlfn.DAYS(L3816, $C$2)</f>
        <v>10.131624922392312</v>
      </c>
      <c r="O3816" s="149">
        <f t="shared" ca="1" si="130"/>
        <v>1.000173611111111</v>
      </c>
    </row>
    <row r="3817" spans="12:15" x14ac:dyDescent="0.25">
      <c r="L3817" s="147">
        <f ca="1"/>
        <v>49056</v>
      </c>
      <c r="M3817" s="92">
        <f t="shared" ca="1" si="129"/>
        <v>6.25</v>
      </c>
      <c r="N3817" s="143">
        <f ca="1">(PRODUCT($O$5:$O3817)-1)*36000/_xlfn.DAYS(L3817, $C$2)</f>
        <v>10.132365426126391</v>
      </c>
      <c r="O3817" s="149">
        <f t="shared" ca="1" si="130"/>
        <v>1.000173611111111</v>
      </c>
    </row>
    <row r="3818" spans="12:15" x14ac:dyDescent="0.25">
      <c r="L3818" s="147">
        <f ca="1"/>
        <v>49057</v>
      </c>
      <c r="M3818" s="92">
        <f t="shared" ca="1" si="129"/>
        <v>6.25</v>
      </c>
      <c r="N3818" s="143">
        <f ca="1">(PRODUCT($O$5:$O3818)-1)*36000/_xlfn.DAYS(L3818, $C$2)</f>
        <v>10.133106131264048</v>
      </c>
      <c r="O3818" s="149">
        <f t="shared" ca="1" si="130"/>
        <v>1.000173611111111</v>
      </c>
    </row>
    <row r="3819" spans="12:15" x14ac:dyDescent="0.25">
      <c r="L3819" s="147">
        <f ca="1"/>
        <v>49058</v>
      </c>
      <c r="M3819" s="92">
        <f t="shared" ca="1" si="129"/>
        <v>6.25</v>
      </c>
      <c r="N3819" s="143">
        <f ca="1">(PRODUCT($O$5:$O3819)-1)*36000/_xlfn.DAYS(L3819, $C$2)</f>
        <v>10.133847037749252</v>
      </c>
      <c r="O3819" s="149">
        <f t="shared" ca="1" si="130"/>
        <v>1.000173611111111</v>
      </c>
    </row>
    <row r="3820" spans="12:15" x14ac:dyDescent="0.25">
      <c r="L3820" s="147">
        <f ca="1"/>
        <v>49059</v>
      </c>
      <c r="M3820" s="92">
        <f t="shared" ca="1" si="129"/>
        <v>6.25</v>
      </c>
      <c r="N3820" s="143">
        <f ca="1">(PRODUCT($O$5:$O3820)-1)*36000/_xlfn.DAYS(L3820, $C$2)</f>
        <v>10.134588145526063</v>
      </c>
      <c r="O3820" s="149">
        <f t="shared" ca="1" si="130"/>
        <v>1.000173611111111</v>
      </c>
    </row>
    <row r="3821" spans="12:15" x14ac:dyDescent="0.25">
      <c r="L3821" s="147">
        <f ca="1"/>
        <v>49060</v>
      </c>
      <c r="M3821" s="92">
        <f t="shared" ca="1" si="129"/>
        <v>6.25</v>
      </c>
      <c r="N3821" s="143">
        <f ca="1">(PRODUCT($O$5:$O3821)-1)*36000/_xlfn.DAYS(L3821, $C$2)</f>
        <v>10.135329454538608</v>
      </c>
      <c r="O3821" s="149">
        <f t="shared" ca="1" si="130"/>
        <v>1.000173611111111</v>
      </c>
    </row>
    <row r="3822" spans="12:15" x14ac:dyDescent="0.25">
      <c r="L3822" s="147">
        <f ca="1"/>
        <v>49061</v>
      </c>
      <c r="M3822" s="92">
        <f t="shared" ca="1" si="129"/>
        <v>6.25</v>
      </c>
      <c r="N3822" s="143">
        <f ca="1">(PRODUCT($O$5:$O3822)-1)*36000/_xlfn.DAYS(L3822, $C$2)</f>
        <v>10.13607096473109</v>
      </c>
      <c r="O3822" s="149">
        <f t="shared" ca="1" si="130"/>
        <v>1.000173611111111</v>
      </c>
    </row>
    <row r="3823" spans="12:15" x14ac:dyDescent="0.25">
      <c r="L3823" s="147">
        <f ca="1"/>
        <v>49062</v>
      </c>
      <c r="M3823" s="92">
        <f t="shared" ca="1" si="129"/>
        <v>6.25</v>
      </c>
      <c r="N3823" s="143">
        <f ca="1">(PRODUCT($O$5:$O3823)-1)*36000/_xlfn.DAYS(L3823, $C$2)</f>
        <v>10.136812676047793</v>
      </c>
      <c r="O3823" s="149">
        <f t="shared" ca="1" si="130"/>
        <v>1.000173611111111</v>
      </c>
    </row>
    <row r="3824" spans="12:15" x14ac:dyDescent="0.25">
      <c r="L3824" s="147">
        <f ca="1"/>
        <v>49063</v>
      </c>
      <c r="M3824" s="92">
        <f t="shared" ca="1" si="129"/>
        <v>6.25</v>
      </c>
      <c r="N3824" s="143">
        <f ca="1">(PRODUCT($O$5:$O3824)-1)*36000/_xlfn.DAYS(L3824, $C$2)</f>
        <v>10.137554588433073</v>
      </c>
      <c r="O3824" s="149">
        <f t="shared" ca="1" si="130"/>
        <v>1.000173611111111</v>
      </c>
    </row>
    <row r="3825" spans="12:15" x14ac:dyDescent="0.25">
      <c r="L3825" s="147">
        <f ca="1"/>
        <v>49064</v>
      </c>
      <c r="M3825" s="92">
        <f t="shared" ca="1" si="129"/>
        <v>6.25</v>
      </c>
      <c r="N3825" s="143">
        <f ca="1">(PRODUCT($O$5:$O3825)-1)*36000/_xlfn.DAYS(L3825, $C$2)</f>
        <v>10.138296701831361</v>
      </c>
      <c r="O3825" s="149">
        <f t="shared" ca="1" si="130"/>
        <v>1.000173611111111</v>
      </c>
    </row>
    <row r="3826" spans="12:15" x14ac:dyDescent="0.25">
      <c r="L3826" s="147">
        <f ca="1"/>
        <v>49065</v>
      </c>
      <c r="M3826" s="92">
        <f t="shared" ca="1" si="129"/>
        <v>6.25</v>
      </c>
      <c r="N3826" s="143">
        <f ca="1">(PRODUCT($O$5:$O3826)-1)*36000/_xlfn.DAYS(L3826, $C$2)</f>
        <v>10.139039016187173</v>
      </c>
      <c r="O3826" s="149">
        <f t="shared" ca="1" si="130"/>
        <v>1.000173611111111</v>
      </c>
    </row>
    <row r="3827" spans="12:15" x14ac:dyDescent="0.25">
      <c r="L3827" s="147">
        <f ca="1"/>
        <v>49066</v>
      </c>
      <c r="M3827" s="92">
        <f t="shared" ca="1" si="129"/>
        <v>6.25</v>
      </c>
      <c r="N3827" s="143">
        <f ca="1">(PRODUCT($O$5:$O3827)-1)*36000/_xlfn.DAYS(L3827, $C$2)</f>
        <v>10.139781531445086</v>
      </c>
      <c r="O3827" s="149">
        <f t="shared" ca="1" si="130"/>
        <v>1.000173611111111</v>
      </c>
    </row>
    <row r="3828" spans="12:15" x14ac:dyDescent="0.25">
      <c r="L3828" s="147">
        <f ca="1"/>
        <v>49067</v>
      </c>
      <c r="M3828" s="92">
        <f t="shared" ca="1" si="129"/>
        <v>6.25</v>
      </c>
      <c r="N3828" s="143">
        <f ca="1">(PRODUCT($O$5:$O3828)-1)*36000/_xlfn.DAYS(L3828, $C$2)</f>
        <v>10.140524247549767</v>
      </c>
      <c r="O3828" s="149">
        <f t="shared" ca="1" si="130"/>
        <v>1.000173611111111</v>
      </c>
    </row>
    <row r="3829" spans="12:15" x14ac:dyDescent="0.25">
      <c r="L3829" s="147">
        <f ca="1"/>
        <v>49068</v>
      </c>
      <c r="M3829" s="92">
        <f t="shared" ca="1" si="129"/>
        <v>6.25</v>
      </c>
      <c r="N3829" s="143">
        <f ca="1">(PRODUCT($O$5:$O3829)-1)*36000/_xlfn.DAYS(L3829, $C$2)</f>
        <v>10.141267164445948</v>
      </c>
      <c r="O3829" s="149">
        <f t="shared" ca="1" si="130"/>
        <v>1.000173611111111</v>
      </c>
    </row>
    <row r="3830" spans="12:15" x14ac:dyDescent="0.25">
      <c r="L3830" s="147">
        <f ca="1"/>
        <v>49069</v>
      </c>
      <c r="M3830" s="92">
        <f t="shared" ca="1" si="129"/>
        <v>6.25</v>
      </c>
      <c r="N3830" s="143">
        <f ca="1">(PRODUCT($O$5:$O3830)-1)*36000/_xlfn.DAYS(L3830, $C$2)</f>
        <v>10.142010282078449</v>
      </c>
      <c r="O3830" s="149">
        <f t="shared" ca="1" si="130"/>
        <v>1.000173611111111</v>
      </c>
    </row>
    <row r="3831" spans="12:15" x14ac:dyDescent="0.25">
      <c r="L3831" s="147">
        <f ca="1"/>
        <v>49070</v>
      </c>
      <c r="M3831" s="92">
        <f t="shared" ca="1" si="129"/>
        <v>6.25</v>
      </c>
      <c r="N3831" s="143">
        <f ca="1">(PRODUCT($O$5:$O3831)-1)*36000/_xlfn.DAYS(L3831, $C$2)</f>
        <v>10.142753600392147</v>
      </c>
      <c r="O3831" s="149">
        <f t="shared" ca="1" si="130"/>
        <v>1.000173611111111</v>
      </c>
    </row>
    <row r="3832" spans="12:15" x14ac:dyDescent="0.25">
      <c r="L3832" s="147">
        <f ca="1"/>
        <v>49071</v>
      </c>
      <c r="M3832" s="92">
        <f t="shared" ca="1" si="129"/>
        <v>6.25</v>
      </c>
      <c r="N3832" s="143">
        <f ca="1">(PRODUCT($O$5:$O3832)-1)*36000/_xlfn.DAYS(L3832, $C$2)</f>
        <v>10.143497119332013</v>
      </c>
      <c r="O3832" s="149">
        <f t="shared" ca="1" si="130"/>
        <v>1.000173611111111</v>
      </c>
    </row>
    <row r="3833" spans="12:15" x14ac:dyDescent="0.25">
      <c r="L3833" s="147">
        <f ca="1"/>
        <v>49072</v>
      </c>
      <c r="M3833" s="92">
        <f t="shared" ca="1" si="129"/>
        <v>6.25</v>
      </c>
      <c r="N3833" s="143">
        <f ca="1">(PRODUCT($O$5:$O3833)-1)*36000/_xlfn.DAYS(L3833, $C$2)</f>
        <v>10.144240838843082</v>
      </c>
      <c r="O3833" s="149">
        <f t="shared" ca="1" si="130"/>
        <v>1.000173611111111</v>
      </c>
    </row>
    <row r="3834" spans="12:15" x14ac:dyDescent="0.25">
      <c r="L3834" s="147">
        <f ca="1"/>
        <v>49073</v>
      </c>
      <c r="M3834" s="92">
        <f t="shared" ca="1" si="129"/>
        <v>6.25</v>
      </c>
      <c r="N3834" s="143">
        <f ca="1">(PRODUCT($O$5:$O3834)-1)*36000/_xlfn.DAYS(L3834, $C$2)</f>
        <v>10.14498475887047</v>
      </c>
      <c r="O3834" s="149">
        <f t="shared" ca="1" si="130"/>
        <v>1.000173611111111</v>
      </c>
    </row>
    <row r="3835" spans="12:15" x14ac:dyDescent="0.25">
      <c r="L3835" s="147">
        <f ca="1"/>
        <v>49074</v>
      </c>
      <c r="M3835" s="92">
        <f t="shared" ca="1" si="129"/>
        <v>6.25</v>
      </c>
      <c r="N3835" s="143">
        <f ca="1">(PRODUCT($O$5:$O3835)-1)*36000/_xlfn.DAYS(L3835, $C$2)</f>
        <v>10.145728879359361</v>
      </c>
      <c r="O3835" s="149">
        <f t="shared" ca="1" si="130"/>
        <v>1.000173611111111</v>
      </c>
    </row>
    <row r="3836" spans="12:15" x14ac:dyDescent="0.25">
      <c r="L3836" s="147">
        <f ca="1"/>
        <v>49075</v>
      </c>
      <c r="M3836" s="92">
        <f t="shared" ca="1" si="129"/>
        <v>6.25</v>
      </c>
      <c r="N3836" s="143">
        <f ca="1">(PRODUCT($O$5:$O3836)-1)*36000/_xlfn.DAYS(L3836, $C$2)</f>
        <v>10.14647320025502</v>
      </c>
      <c r="O3836" s="149">
        <f t="shared" ca="1" si="130"/>
        <v>1.000173611111111</v>
      </c>
    </row>
    <row r="3837" spans="12:15" x14ac:dyDescent="0.25">
      <c r="L3837" s="147">
        <f ca="1"/>
        <v>49076</v>
      </c>
      <c r="M3837" s="92">
        <f t="shared" ca="1" si="129"/>
        <v>6.25</v>
      </c>
      <c r="N3837" s="143">
        <f ca="1">(PRODUCT($O$5:$O3837)-1)*36000/_xlfn.DAYS(L3837, $C$2)</f>
        <v>10.147217721502784</v>
      </c>
      <c r="O3837" s="149">
        <f t="shared" ca="1" si="130"/>
        <v>1.000173611111111</v>
      </c>
    </row>
    <row r="3838" spans="12:15" x14ac:dyDescent="0.25">
      <c r="L3838" s="147">
        <f ca="1"/>
        <v>49077</v>
      </c>
      <c r="M3838" s="92">
        <f t="shared" ca="1" si="129"/>
        <v>6.25</v>
      </c>
      <c r="N3838" s="143">
        <f ca="1">(PRODUCT($O$5:$O3838)-1)*36000/_xlfn.DAYS(L3838, $C$2)</f>
        <v>10.147962443048069</v>
      </c>
      <c r="O3838" s="149">
        <f t="shared" ca="1" si="130"/>
        <v>1.000173611111111</v>
      </c>
    </row>
    <row r="3839" spans="12:15" x14ac:dyDescent="0.25">
      <c r="L3839" s="147">
        <f ca="1"/>
        <v>49078</v>
      </c>
      <c r="M3839" s="92">
        <f t="shared" ca="1" si="129"/>
        <v>6.25</v>
      </c>
      <c r="N3839" s="143">
        <f ca="1">(PRODUCT($O$5:$O3839)-1)*36000/_xlfn.DAYS(L3839, $C$2)</f>
        <v>10.148707364836362</v>
      </c>
      <c r="O3839" s="149">
        <f t="shared" ca="1" si="130"/>
        <v>1.000173611111111</v>
      </c>
    </row>
    <row r="3840" spans="12:15" x14ac:dyDescent="0.25">
      <c r="L3840" s="147">
        <f ca="1"/>
        <v>49079</v>
      </c>
      <c r="M3840" s="92">
        <f t="shared" ca="1" si="129"/>
        <v>6.25</v>
      </c>
      <c r="N3840" s="143">
        <f ca="1">(PRODUCT($O$5:$O3840)-1)*36000/_xlfn.DAYS(L3840, $C$2)</f>
        <v>10.149452486813223</v>
      </c>
      <c r="O3840" s="149">
        <f t="shared" ca="1" si="130"/>
        <v>1.000173611111111</v>
      </c>
    </row>
    <row r="3841" spans="12:15" x14ac:dyDescent="0.25">
      <c r="L3841" s="147">
        <f ca="1"/>
        <v>49080</v>
      </c>
      <c r="M3841" s="92">
        <f t="shared" ca="1" si="129"/>
        <v>6.25</v>
      </c>
      <c r="N3841" s="143">
        <f ca="1">(PRODUCT($O$5:$O3841)-1)*36000/_xlfn.DAYS(L3841, $C$2)</f>
        <v>10.150197808924291</v>
      </c>
      <c r="O3841" s="149">
        <f t="shared" ca="1" si="130"/>
        <v>1.000173611111111</v>
      </c>
    </row>
    <row r="3842" spans="12:15" x14ac:dyDescent="0.25">
      <c r="L3842" s="147">
        <f ca="1"/>
        <v>49081</v>
      </c>
      <c r="M3842" s="92">
        <f t="shared" ca="1" si="129"/>
        <v>6.25</v>
      </c>
      <c r="N3842" s="143">
        <f ca="1">(PRODUCT($O$5:$O3842)-1)*36000/_xlfn.DAYS(L3842, $C$2)</f>
        <v>10.150943331115274</v>
      </c>
      <c r="O3842" s="149">
        <f t="shared" ca="1" si="130"/>
        <v>1.000173611111111</v>
      </c>
    </row>
    <row r="3843" spans="12:15" x14ac:dyDescent="0.25">
      <c r="L3843" s="147">
        <f ca="1"/>
        <v>49082</v>
      </c>
      <c r="M3843" s="92">
        <f t="shared" ca="1" si="129"/>
        <v>6.25</v>
      </c>
      <c r="N3843" s="143">
        <f ca="1">(PRODUCT($O$5:$O3843)-1)*36000/_xlfn.DAYS(L3843, $C$2)</f>
        <v>10.151689053331959</v>
      </c>
      <c r="O3843" s="149">
        <f t="shared" ca="1" si="130"/>
        <v>1.000173611111111</v>
      </c>
    </row>
    <row r="3844" spans="12:15" x14ac:dyDescent="0.25">
      <c r="L3844" s="147">
        <f ca="1"/>
        <v>49083</v>
      </c>
      <c r="M3844" s="92">
        <f t="shared" ca="1" si="129"/>
        <v>6.25</v>
      </c>
      <c r="N3844" s="143">
        <f ca="1">(PRODUCT($O$5:$O3844)-1)*36000/_xlfn.DAYS(L3844, $C$2)</f>
        <v>10.152434975520206</v>
      </c>
      <c r="O3844" s="149">
        <f t="shared" ca="1" si="130"/>
        <v>1.000173611111111</v>
      </c>
    </row>
    <row r="3845" spans="12:15" x14ac:dyDescent="0.25">
      <c r="L3845" s="147">
        <f ca="1"/>
        <v>49084</v>
      </c>
      <c r="M3845" s="92">
        <f t="shared" ref="M3845:M3908" ca="1" si="131">IFERROR(INDEX($E$27:$H$47, MATCH(L3845, $F$27:$F$47, 0), 4), IF(ISNUMBER(M3844), M3844, $C$5))</f>
        <v>6.25</v>
      </c>
      <c r="N3845" s="143">
        <f ca="1">(PRODUCT($O$5:$O3845)-1)*36000/_xlfn.DAYS(L3845, $C$2)</f>
        <v>10.153181097625948</v>
      </c>
      <c r="O3845" s="149">
        <f t="shared" ca="1" si="130"/>
        <v>1.000173611111111</v>
      </c>
    </row>
    <row r="3846" spans="12:15" x14ac:dyDescent="0.25">
      <c r="L3846" s="147">
        <f ca="1"/>
        <v>49085</v>
      </c>
      <c r="M3846" s="92">
        <f t="shared" ca="1" si="131"/>
        <v>6.25</v>
      </c>
      <c r="N3846" s="143">
        <f ca="1">(PRODUCT($O$5:$O3846)-1)*36000/_xlfn.DAYS(L3846, $C$2)</f>
        <v>10.153927419595192</v>
      </c>
      <c r="O3846" s="149">
        <f t="shared" ref="O3846:O3909" ca="1" si="132">1+M3846*IFERROR(_xlfn.DAYS(L3846, L3845), _xlfn.DAYS(L3846, $C$2))/36000</f>
        <v>1.000173611111111</v>
      </c>
    </row>
    <row r="3847" spans="12:15" x14ac:dyDescent="0.25">
      <c r="L3847" s="147">
        <f ca="1"/>
        <v>49086</v>
      </c>
      <c r="M3847" s="92">
        <f t="shared" ca="1" si="131"/>
        <v>6.25</v>
      </c>
      <c r="N3847" s="143">
        <f ca="1">(PRODUCT($O$5:$O3847)-1)*36000/_xlfn.DAYS(L3847, $C$2)</f>
        <v>10.154673941374019</v>
      </c>
      <c r="O3847" s="149">
        <f t="shared" ca="1" si="132"/>
        <v>1.000173611111111</v>
      </c>
    </row>
    <row r="3848" spans="12:15" x14ac:dyDescent="0.25">
      <c r="L3848" s="147">
        <f ca="1"/>
        <v>49087</v>
      </c>
      <c r="M3848" s="92">
        <f t="shared" ca="1" si="131"/>
        <v>6.25</v>
      </c>
      <c r="N3848" s="143">
        <f ca="1">(PRODUCT($O$5:$O3848)-1)*36000/_xlfn.DAYS(L3848, $C$2)</f>
        <v>10.155420662908588</v>
      </c>
      <c r="O3848" s="149">
        <f t="shared" ca="1" si="132"/>
        <v>1.000173611111111</v>
      </c>
    </row>
    <row r="3849" spans="12:15" x14ac:dyDescent="0.25">
      <c r="L3849" s="147">
        <f ca="1"/>
        <v>49088</v>
      </c>
      <c r="M3849" s="92">
        <f t="shared" ca="1" si="131"/>
        <v>6.25</v>
      </c>
      <c r="N3849" s="143">
        <f ca="1">(PRODUCT($O$5:$O3849)-1)*36000/_xlfn.DAYS(L3849, $C$2)</f>
        <v>10.156167584145123</v>
      </c>
      <c r="O3849" s="149">
        <f t="shared" ca="1" si="132"/>
        <v>1.000173611111111</v>
      </c>
    </row>
    <row r="3850" spans="12:15" x14ac:dyDescent="0.25">
      <c r="L3850" s="147">
        <f ca="1"/>
        <v>49089</v>
      </c>
      <c r="M3850" s="92">
        <f t="shared" ca="1" si="131"/>
        <v>6.25</v>
      </c>
      <c r="N3850" s="143">
        <f ca="1">(PRODUCT($O$5:$O3850)-1)*36000/_xlfn.DAYS(L3850, $C$2)</f>
        <v>10.156914705029934</v>
      </c>
      <c r="O3850" s="149">
        <f t="shared" ca="1" si="132"/>
        <v>1.000173611111111</v>
      </c>
    </row>
    <row r="3851" spans="12:15" x14ac:dyDescent="0.25">
      <c r="L3851" s="147">
        <f ca="1"/>
        <v>49090</v>
      </c>
      <c r="M3851" s="92">
        <f t="shared" ca="1" si="131"/>
        <v>6.25</v>
      </c>
      <c r="N3851" s="143">
        <f ca="1">(PRODUCT($O$5:$O3851)-1)*36000/_xlfn.DAYS(L3851, $C$2)</f>
        <v>10.15766202550939</v>
      </c>
      <c r="O3851" s="149">
        <f t="shared" ca="1" si="132"/>
        <v>1.000173611111111</v>
      </c>
    </row>
    <row r="3852" spans="12:15" x14ac:dyDescent="0.25">
      <c r="L3852" s="147">
        <f ca="1"/>
        <v>49091</v>
      </c>
      <c r="M3852" s="92">
        <f t="shared" ca="1" si="131"/>
        <v>6.25</v>
      </c>
      <c r="N3852" s="143">
        <f ca="1">(PRODUCT($O$5:$O3852)-1)*36000/_xlfn.DAYS(L3852, $C$2)</f>
        <v>10.158409545529944</v>
      </c>
      <c r="O3852" s="149">
        <f t="shared" ca="1" si="132"/>
        <v>1.000173611111111</v>
      </c>
    </row>
    <row r="3853" spans="12:15" x14ac:dyDescent="0.25">
      <c r="L3853" s="147">
        <f ca="1"/>
        <v>49092</v>
      </c>
      <c r="M3853" s="92">
        <f t="shared" ca="1" si="131"/>
        <v>6.25</v>
      </c>
      <c r="N3853" s="143">
        <f ca="1">(PRODUCT($O$5:$O3853)-1)*36000/_xlfn.DAYS(L3853, $C$2)</f>
        <v>10.15915726503812</v>
      </c>
      <c r="O3853" s="149">
        <f t="shared" ca="1" si="132"/>
        <v>1.000173611111111</v>
      </c>
    </row>
    <row r="3854" spans="12:15" x14ac:dyDescent="0.25">
      <c r="L3854" s="147">
        <f ca="1"/>
        <v>49093</v>
      </c>
      <c r="M3854" s="92">
        <f t="shared" ca="1" si="131"/>
        <v>6.25</v>
      </c>
      <c r="N3854" s="143">
        <f ca="1">(PRODUCT($O$5:$O3854)-1)*36000/_xlfn.DAYS(L3854, $C$2)</f>
        <v>10.159905183980511</v>
      </c>
      <c r="O3854" s="149">
        <f t="shared" ca="1" si="132"/>
        <v>1.000173611111111</v>
      </c>
    </row>
    <row r="3855" spans="12:15" x14ac:dyDescent="0.25">
      <c r="L3855" s="147">
        <f ca="1"/>
        <v>49094</v>
      </c>
      <c r="M3855" s="92">
        <f t="shared" ca="1" si="131"/>
        <v>6.25</v>
      </c>
      <c r="N3855" s="143">
        <f ca="1">(PRODUCT($O$5:$O3855)-1)*36000/_xlfn.DAYS(L3855, $C$2)</f>
        <v>10.160653302303789</v>
      </c>
      <c r="O3855" s="149">
        <f t="shared" ca="1" si="132"/>
        <v>1.000173611111111</v>
      </c>
    </row>
    <row r="3856" spans="12:15" x14ac:dyDescent="0.25">
      <c r="L3856" s="147">
        <f ca="1"/>
        <v>49095</v>
      </c>
      <c r="M3856" s="92">
        <f t="shared" ca="1" si="131"/>
        <v>6.25</v>
      </c>
      <c r="N3856" s="143">
        <f ca="1">(PRODUCT($O$5:$O3856)-1)*36000/_xlfn.DAYS(L3856, $C$2)</f>
        <v>10.161401619954695</v>
      </c>
      <c r="O3856" s="149">
        <f t="shared" ca="1" si="132"/>
        <v>1.000173611111111</v>
      </c>
    </row>
    <row r="3857" spans="12:15" x14ac:dyDescent="0.25">
      <c r="L3857" s="147">
        <f ca="1"/>
        <v>49096</v>
      </c>
      <c r="M3857" s="92">
        <f t="shared" ca="1" si="131"/>
        <v>6.25</v>
      </c>
      <c r="N3857" s="143">
        <f ca="1">(PRODUCT($O$5:$O3857)-1)*36000/_xlfn.DAYS(L3857, $C$2)</f>
        <v>10.162150136880049</v>
      </c>
      <c r="O3857" s="149">
        <f t="shared" ca="1" si="132"/>
        <v>1.000173611111111</v>
      </c>
    </row>
    <row r="3858" spans="12:15" x14ac:dyDescent="0.25">
      <c r="L3858" s="147">
        <f ca="1"/>
        <v>49097</v>
      </c>
      <c r="M3858" s="92">
        <f t="shared" ca="1" si="131"/>
        <v>6.25</v>
      </c>
      <c r="N3858" s="143">
        <f ca="1">(PRODUCT($O$5:$O3858)-1)*36000/_xlfn.DAYS(L3858, $C$2)</f>
        <v>10.162898853026736</v>
      </c>
      <c r="O3858" s="149">
        <f t="shared" ca="1" si="132"/>
        <v>1.000173611111111</v>
      </c>
    </row>
    <row r="3859" spans="12:15" x14ac:dyDescent="0.25">
      <c r="L3859" s="147">
        <f ca="1"/>
        <v>49098</v>
      </c>
      <c r="M3859" s="92">
        <f t="shared" ca="1" si="131"/>
        <v>6.25</v>
      </c>
      <c r="N3859" s="143">
        <f ca="1">(PRODUCT($O$5:$O3859)-1)*36000/_xlfn.DAYS(L3859, $C$2)</f>
        <v>10.163647768341715</v>
      </c>
      <c r="O3859" s="149">
        <f t="shared" ca="1" si="132"/>
        <v>1.000173611111111</v>
      </c>
    </row>
    <row r="3860" spans="12:15" x14ac:dyDescent="0.25">
      <c r="L3860" s="147">
        <f ca="1"/>
        <v>49099</v>
      </c>
      <c r="M3860" s="92">
        <f t="shared" ca="1" si="131"/>
        <v>6.25</v>
      </c>
      <c r="N3860" s="143">
        <f ca="1">(PRODUCT($O$5:$O3860)-1)*36000/_xlfn.DAYS(L3860, $C$2)</f>
        <v>10.164396882772026</v>
      </c>
      <c r="O3860" s="149">
        <f t="shared" ca="1" si="132"/>
        <v>1.000173611111111</v>
      </c>
    </row>
    <row r="3861" spans="12:15" x14ac:dyDescent="0.25">
      <c r="L3861" s="147">
        <f ca="1"/>
        <v>49100</v>
      </c>
      <c r="M3861" s="92">
        <f t="shared" ca="1" si="131"/>
        <v>6.25</v>
      </c>
      <c r="N3861" s="143">
        <f ca="1">(PRODUCT($O$5:$O3861)-1)*36000/_xlfn.DAYS(L3861, $C$2)</f>
        <v>10.165146196264772</v>
      </c>
      <c r="O3861" s="149">
        <f t="shared" ca="1" si="132"/>
        <v>1.000173611111111</v>
      </c>
    </row>
    <row r="3862" spans="12:15" x14ac:dyDescent="0.25">
      <c r="L3862" s="147">
        <f ca="1"/>
        <v>49101</v>
      </c>
      <c r="M3862" s="92">
        <f t="shared" ca="1" si="131"/>
        <v>6.25</v>
      </c>
      <c r="N3862" s="143">
        <f ca="1">(PRODUCT($O$5:$O3862)-1)*36000/_xlfn.DAYS(L3862, $C$2)</f>
        <v>10.165895708767133</v>
      </c>
      <c r="O3862" s="149">
        <f t="shared" ca="1" si="132"/>
        <v>1.000173611111111</v>
      </c>
    </row>
    <row r="3863" spans="12:15" x14ac:dyDescent="0.25">
      <c r="L3863" s="147">
        <f ca="1"/>
        <v>49102</v>
      </c>
      <c r="M3863" s="92">
        <f t="shared" ca="1" si="131"/>
        <v>6.25</v>
      </c>
      <c r="N3863" s="143">
        <f ca="1">(PRODUCT($O$5:$O3863)-1)*36000/_xlfn.DAYS(L3863, $C$2)</f>
        <v>10.166645420226361</v>
      </c>
      <c r="O3863" s="149">
        <f t="shared" ca="1" si="132"/>
        <v>1.000173611111111</v>
      </c>
    </row>
    <row r="3864" spans="12:15" x14ac:dyDescent="0.25">
      <c r="L3864" s="147">
        <f ca="1"/>
        <v>49103</v>
      </c>
      <c r="M3864" s="92">
        <f t="shared" ca="1" si="131"/>
        <v>6.25</v>
      </c>
      <c r="N3864" s="143">
        <f ca="1">(PRODUCT($O$5:$O3864)-1)*36000/_xlfn.DAYS(L3864, $C$2)</f>
        <v>10.167395330589782</v>
      </c>
      <c r="O3864" s="149">
        <f t="shared" ca="1" si="132"/>
        <v>1.000173611111111</v>
      </c>
    </row>
    <row r="3865" spans="12:15" x14ac:dyDescent="0.25">
      <c r="L3865" s="147">
        <f ca="1"/>
        <v>49104</v>
      </c>
      <c r="M3865" s="92">
        <f t="shared" ca="1" si="131"/>
        <v>6.25</v>
      </c>
      <c r="N3865" s="143">
        <f ca="1">(PRODUCT($O$5:$O3865)-1)*36000/_xlfn.DAYS(L3865, $C$2)</f>
        <v>10.168145439804787</v>
      </c>
      <c r="O3865" s="149">
        <f t="shared" ca="1" si="132"/>
        <v>1.000173611111111</v>
      </c>
    </row>
    <row r="3866" spans="12:15" x14ac:dyDescent="0.25">
      <c r="L3866" s="147">
        <f ca="1"/>
        <v>49105</v>
      </c>
      <c r="M3866" s="92">
        <f t="shared" ca="1" si="131"/>
        <v>6.25</v>
      </c>
      <c r="N3866" s="143">
        <f ca="1">(PRODUCT($O$5:$O3866)-1)*36000/_xlfn.DAYS(L3866, $C$2)</f>
        <v>10.168895747818851</v>
      </c>
      <c r="O3866" s="149">
        <f t="shared" ca="1" si="132"/>
        <v>1.000173611111111</v>
      </c>
    </row>
    <row r="3867" spans="12:15" x14ac:dyDescent="0.25">
      <c r="L3867" s="147">
        <f ca="1"/>
        <v>49106</v>
      </c>
      <c r="M3867" s="92">
        <f t="shared" ca="1" si="131"/>
        <v>6.25</v>
      </c>
      <c r="N3867" s="143">
        <f ca="1">(PRODUCT($O$5:$O3867)-1)*36000/_xlfn.DAYS(L3867, $C$2)</f>
        <v>10.169646254579511</v>
      </c>
      <c r="O3867" s="149">
        <f t="shared" ca="1" si="132"/>
        <v>1.000173611111111</v>
      </c>
    </row>
    <row r="3868" spans="12:15" x14ac:dyDescent="0.25">
      <c r="L3868" s="147">
        <f ca="1"/>
        <v>49107</v>
      </c>
      <c r="M3868" s="92">
        <f t="shared" ca="1" si="131"/>
        <v>6.25</v>
      </c>
      <c r="N3868" s="143">
        <f ca="1">(PRODUCT($O$5:$O3868)-1)*36000/_xlfn.DAYS(L3868, $C$2)</f>
        <v>10.170396960034379</v>
      </c>
      <c r="O3868" s="149">
        <f t="shared" ca="1" si="132"/>
        <v>1.000173611111111</v>
      </c>
    </row>
    <row r="3869" spans="12:15" x14ac:dyDescent="0.25">
      <c r="L3869" s="147">
        <f ca="1"/>
        <v>49108</v>
      </c>
      <c r="M3869" s="92">
        <f t="shared" ca="1" si="131"/>
        <v>6.25</v>
      </c>
      <c r="N3869" s="143">
        <f ca="1">(PRODUCT($O$5:$O3869)-1)*36000/_xlfn.DAYS(L3869, $C$2)</f>
        <v>10.171147864131139</v>
      </c>
      <c r="O3869" s="149">
        <f t="shared" ca="1" si="132"/>
        <v>1.000173611111111</v>
      </c>
    </row>
    <row r="3870" spans="12:15" x14ac:dyDescent="0.25">
      <c r="L3870" s="147">
        <f ca="1"/>
        <v>49109</v>
      </c>
      <c r="M3870" s="92">
        <f t="shared" ca="1" si="131"/>
        <v>6.25</v>
      </c>
      <c r="N3870" s="143">
        <f ca="1">(PRODUCT($O$5:$O3870)-1)*36000/_xlfn.DAYS(L3870, $C$2)</f>
        <v>10.171898966817551</v>
      </c>
      <c r="O3870" s="149">
        <f t="shared" ca="1" si="132"/>
        <v>1.000173611111111</v>
      </c>
    </row>
    <row r="3871" spans="12:15" x14ac:dyDescent="0.25">
      <c r="L3871" s="147">
        <f ca="1"/>
        <v>49110</v>
      </c>
      <c r="M3871" s="92">
        <f t="shared" ca="1" si="131"/>
        <v>6.25</v>
      </c>
      <c r="N3871" s="143">
        <f ca="1">(PRODUCT($O$5:$O3871)-1)*36000/_xlfn.DAYS(L3871, $C$2)</f>
        <v>10.172650268041441</v>
      </c>
      <c r="O3871" s="149">
        <f t="shared" ca="1" si="132"/>
        <v>1.000173611111111</v>
      </c>
    </row>
    <row r="3872" spans="12:15" x14ac:dyDescent="0.25">
      <c r="L3872" s="147">
        <f ca="1"/>
        <v>49111</v>
      </c>
      <c r="M3872" s="92">
        <f t="shared" ca="1" si="131"/>
        <v>6.25</v>
      </c>
      <c r="N3872" s="143">
        <f ca="1">(PRODUCT($O$5:$O3872)-1)*36000/_xlfn.DAYS(L3872, $C$2)</f>
        <v>10.173401767750708</v>
      </c>
      <c r="O3872" s="149">
        <f t="shared" ca="1" si="132"/>
        <v>1.000173611111111</v>
      </c>
    </row>
    <row r="3873" spans="12:15" x14ac:dyDescent="0.25">
      <c r="L3873" s="147">
        <f ca="1"/>
        <v>49112</v>
      </c>
      <c r="M3873" s="92">
        <f t="shared" ca="1" si="131"/>
        <v>6.25</v>
      </c>
      <c r="N3873" s="143">
        <f ca="1">(PRODUCT($O$5:$O3873)-1)*36000/_xlfn.DAYS(L3873, $C$2)</f>
        <v>10.174153465893326</v>
      </c>
      <c r="O3873" s="149">
        <f t="shared" ca="1" si="132"/>
        <v>1.000173611111111</v>
      </c>
    </row>
    <row r="3874" spans="12:15" x14ac:dyDescent="0.25">
      <c r="L3874" s="147">
        <f ca="1"/>
        <v>49113</v>
      </c>
      <c r="M3874" s="92">
        <f t="shared" ca="1" si="131"/>
        <v>6.25</v>
      </c>
      <c r="N3874" s="143">
        <f ca="1">(PRODUCT($O$5:$O3874)-1)*36000/_xlfn.DAYS(L3874, $C$2)</f>
        <v>10.174905362417332</v>
      </c>
      <c r="O3874" s="149">
        <f t="shared" ca="1" si="132"/>
        <v>1.000173611111111</v>
      </c>
    </row>
    <row r="3875" spans="12:15" x14ac:dyDescent="0.25">
      <c r="L3875" s="147">
        <f ca="1"/>
        <v>49114</v>
      </c>
      <c r="M3875" s="92">
        <f t="shared" ca="1" si="131"/>
        <v>6.25</v>
      </c>
      <c r="N3875" s="143">
        <f ca="1">(PRODUCT($O$5:$O3875)-1)*36000/_xlfn.DAYS(L3875, $C$2)</f>
        <v>10.175657457270846</v>
      </c>
      <c r="O3875" s="149">
        <f t="shared" ca="1" si="132"/>
        <v>1.000173611111111</v>
      </c>
    </row>
    <row r="3876" spans="12:15" x14ac:dyDescent="0.25">
      <c r="L3876" s="147">
        <f ca="1"/>
        <v>49115</v>
      </c>
      <c r="M3876" s="92">
        <f t="shared" ca="1" si="131"/>
        <v>6.25</v>
      </c>
      <c r="N3876" s="143">
        <f ca="1">(PRODUCT($O$5:$O3876)-1)*36000/_xlfn.DAYS(L3876, $C$2)</f>
        <v>10.176409750402048</v>
      </c>
      <c r="O3876" s="149">
        <f t="shared" ca="1" si="132"/>
        <v>1.000173611111111</v>
      </c>
    </row>
    <row r="3877" spans="12:15" x14ac:dyDescent="0.25">
      <c r="L3877" s="147">
        <f ca="1"/>
        <v>49116</v>
      </c>
      <c r="M3877" s="92">
        <f t="shared" ca="1" si="131"/>
        <v>6.25</v>
      </c>
      <c r="N3877" s="143">
        <f ca="1">(PRODUCT($O$5:$O3877)-1)*36000/_xlfn.DAYS(L3877, $C$2)</f>
        <v>10.1771622417592</v>
      </c>
      <c r="O3877" s="149">
        <f t="shared" ca="1" si="132"/>
        <v>1.000173611111111</v>
      </c>
    </row>
    <row r="3878" spans="12:15" x14ac:dyDescent="0.25">
      <c r="L3878" s="147">
        <f ca="1"/>
        <v>49117</v>
      </c>
      <c r="M3878" s="92">
        <f t="shared" ca="1" si="131"/>
        <v>6.25</v>
      </c>
      <c r="N3878" s="143">
        <f ca="1">(PRODUCT($O$5:$O3878)-1)*36000/_xlfn.DAYS(L3878, $C$2)</f>
        <v>10.177914931290626</v>
      </c>
      <c r="O3878" s="149">
        <f t="shared" ca="1" si="132"/>
        <v>1.000173611111111</v>
      </c>
    </row>
    <row r="3879" spans="12:15" x14ac:dyDescent="0.25">
      <c r="L3879" s="147">
        <f ca="1"/>
        <v>49118</v>
      </c>
      <c r="M3879" s="92">
        <f t="shared" ca="1" si="131"/>
        <v>6.25</v>
      </c>
      <c r="N3879" s="143">
        <f ca="1">(PRODUCT($O$5:$O3879)-1)*36000/_xlfn.DAYS(L3879, $C$2)</f>
        <v>10.178667818944726</v>
      </c>
      <c r="O3879" s="149">
        <f t="shared" ca="1" si="132"/>
        <v>1.000173611111111</v>
      </c>
    </row>
    <row r="3880" spans="12:15" x14ac:dyDescent="0.25">
      <c r="L3880" s="147">
        <f ca="1"/>
        <v>49119</v>
      </c>
      <c r="M3880" s="92">
        <f t="shared" ca="1" si="131"/>
        <v>6.25</v>
      </c>
      <c r="N3880" s="143">
        <f ca="1">(PRODUCT($O$5:$O3880)-1)*36000/_xlfn.DAYS(L3880, $C$2)</f>
        <v>10.179420904669975</v>
      </c>
      <c r="O3880" s="149">
        <f t="shared" ca="1" si="132"/>
        <v>1.000173611111111</v>
      </c>
    </row>
    <row r="3881" spans="12:15" x14ac:dyDescent="0.25">
      <c r="L3881" s="147">
        <f ca="1"/>
        <v>49120</v>
      </c>
      <c r="M3881" s="92">
        <f t="shared" ca="1" si="131"/>
        <v>6.25</v>
      </c>
      <c r="N3881" s="143">
        <f ca="1">(PRODUCT($O$5:$O3881)-1)*36000/_xlfn.DAYS(L3881, $C$2)</f>
        <v>10.180174188414904</v>
      </c>
      <c r="O3881" s="149">
        <f t="shared" ca="1" si="132"/>
        <v>1.000173611111111</v>
      </c>
    </row>
    <row r="3882" spans="12:15" x14ac:dyDescent="0.25">
      <c r="L3882" s="147">
        <f ca="1"/>
        <v>49121</v>
      </c>
      <c r="M3882" s="92">
        <f t="shared" ca="1" si="131"/>
        <v>6.25</v>
      </c>
      <c r="N3882" s="143">
        <f ca="1">(PRODUCT($O$5:$O3882)-1)*36000/_xlfn.DAYS(L3882, $C$2)</f>
        <v>10.180927670128128</v>
      </c>
      <c r="O3882" s="149">
        <f t="shared" ca="1" si="132"/>
        <v>1.000173611111111</v>
      </c>
    </row>
    <row r="3883" spans="12:15" x14ac:dyDescent="0.25">
      <c r="L3883" s="147">
        <f ca="1"/>
        <v>49122</v>
      </c>
      <c r="M3883" s="92">
        <f t="shared" ca="1" si="131"/>
        <v>6.25</v>
      </c>
      <c r="N3883" s="143">
        <f ca="1">(PRODUCT($O$5:$O3883)-1)*36000/_xlfn.DAYS(L3883, $C$2)</f>
        <v>10.18168134975833</v>
      </c>
      <c r="O3883" s="149">
        <f t="shared" ca="1" si="132"/>
        <v>1.000173611111111</v>
      </c>
    </row>
    <row r="3884" spans="12:15" x14ac:dyDescent="0.25">
      <c r="L3884" s="147">
        <f ca="1"/>
        <v>49123</v>
      </c>
      <c r="M3884" s="92">
        <f t="shared" ca="1" si="131"/>
        <v>6.25</v>
      </c>
      <c r="N3884" s="143">
        <f ca="1">(PRODUCT($O$5:$O3884)-1)*36000/_xlfn.DAYS(L3884, $C$2)</f>
        <v>10.18243522725426</v>
      </c>
      <c r="O3884" s="149">
        <f t="shared" ca="1" si="132"/>
        <v>1.000173611111111</v>
      </c>
    </row>
    <row r="3885" spans="12:15" x14ac:dyDescent="0.25">
      <c r="L3885" s="147">
        <f ca="1"/>
        <v>49124</v>
      </c>
      <c r="M3885" s="92">
        <f t="shared" ca="1" si="131"/>
        <v>6.25</v>
      </c>
      <c r="N3885" s="143">
        <f ca="1">(PRODUCT($O$5:$O3885)-1)*36000/_xlfn.DAYS(L3885, $C$2)</f>
        <v>10.183189302564742</v>
      </c>
      <c r="O3885" s="149">
        <f t="shared" ca="1" si="132"/>
        <v>1.000173611111111</v>
      </c>
    </row>
    <row r="3886" spans="12:15" x14ac:dyDescent="0.25">
      <c r="L3886" s="147">
        <f ca="1"/>
        <v>49125</v>
      </c>
      <c r="M3886" s="92">
        <f t="shared" ca="1" si="131"/>
        <v>6.25</v>
      </c>
      <c r="N3886" s="143">
        <f ca="1">(PRODUCT($O$5:$O3886)-1)*36000/_xlfn.DAYS(L3886, $C$2)</f>
        <v>10.183943575638672</v>
      </c>
      <c r="O3886" s="149">
        <f t="shared" ca="1" si="132"/>
        <v>1.000173611111111</v>
      </c>
    </row>
    <row r="3887" spans="12:15" x14ac:dyDescent="0.25">
      <c r="L3887" s="147">
        <f ca="1"/>
        <v>49126</v>
      </c>
      <c r="M3887" s="92">
        <f t="shared" ca="1" si="131"/>
        <v>6.25</v>
      </c>
      <c r="N3887" s="143">
        <f ca="1">(PRODUCT($O$5:$O3887)-1)*36000/_xlfn.DAYS(L3887, $C$2)</f>
        <v>10.184698046425011</v>
      </c>
      <c r="O3887" s="149">
        <f t="shared" ca="1" si="132"/>
        <v>1.000173611111111</v>
      </c>
    </row>
    <row r="3888" spans="12:15" x14ac:dyDescent="0.25">
      <c r="L3888" s="147">
        <f ca="1"/>
        <v>49127</v>
      </c>
      <c r="M3888" s="92">
        <f t="shared" ca="1" si="131"/>
        <v>6.25</v>
      </c>
      <c r="N3888" s="143">
        <f ca="1">(PRODUCT($O$5:$O3888)-1)*36000/_xlfn.DAYS(L3888, $C$2)</f>
        <v>10.185452714872792</v>
      </c>
      <c r="O3888" s="149">
        <f t="shared" ca="1" si="132"/>
        <v>1.000173611111111</v>
      </c>
    </row>
    <row r="3889" spans="12:15" x14ac:dyDescent="0.25">
      <c r="L3889" s="147">
        <f ca="1"/>
        <v>49128</v>
      </c>
      <c r="M3889" s="92">
        <f t="shared" ca="1" si="131"/>
        <v>6.25</v>
      </c>
      <c r="N3889" s="143">
        <f ca="1">(PRODUCT($O$5:$O3889)-1)*36000/_xlfn.DAYS(L3889, $C$2)</f>
        <v>10.186207580931123</v>
      </c>
      <c r="O3889" s="149">
        <f t="shared" ca="1" si="132"/>
        <v>1.000173611111111</v>
      </c>
    </row>
    <row r="3890" spans="12:15" x14ac:dyDescent="0.25">
      <c r="L3890" s="147">
        <f ca="1"/>
        <v>49129</v>
      </c>
      <c r="M3890" s="92">
        <f t="shared" ca="1" si="131"/>
        <v>6.25</v>
      </c>
      <c r="N3890" s="143">
        <f ca="1">(PRODUCT($O$5:$O3890)-1)*36000/_xlfn.DAYS(L3890, $C$2)</f>
        <v>10.186962644549174</v>
      </c>
      <c r="O3890" s="149">
        <f t="shared" ca="1" si="132"/>
        <v>1.000173611111111</v>
      </c>
    </row>
    <row r="3891" spans="12:15" x14ac:dyDescent="0.25">
      <c r="L3891" s="147">
        <f ca="1"/>
        <v>49130</v>
      </c>
      <c r="M3891" s="92">
        <f t="shared" ca="1" si="131"/>
        <v>6.25</v>
      </c>
      <c r="N3891" s="143">
        <f ca="1">(PRODUCT($O$5:$O3891)-1)*36000/_xlfn.DAYS(L3891, $C$2)</f>
        <v>10.187717905676191</v>
      </c>
      <c r="O3891" s="149">
        <f t="shared" ca="1" si="132"/>
        <v>1.000173611111111</v>
      </c>
    </row>
    <row r="3892" spans="12:15" x14ac:dyDescent="0.25">
      <c r="L3892" s="147">
        <f ca="1"/>
        <v>49131</v>
      </c>
      <c r="M3892" s="92">
        <f t="shared" ca="1" si="131"/>
        <v>6.25</v>
      </c>
      <c r="N3892" s="143">
        <f ca="1">(PRODUCT($O$5:$O3892)-1)*36000/_xlfn.DAYS(L3892, $C$2)</f>
        <v>10.188473364261489</v>
      </c>
      <c r="O3892" s="149">
        <f t="shared" ca="1" si="132"/>
        <v>1.000173611111111</v>
      </c>
    </row>
    <row r="3893" spans="12:15" x14ac:dyDescent="0.25">
      <c r="L3893" s="147">
        <f ca="1"/>
        <v>49132</v>
      </c>
      <c r="M3893" s="92">
        <f t="shared" ca="1" si="131"/>
        <v>6.25</v>
      </c>
      <c r="N3893" s="143">
        <f ca="1">(PRODUCT($O$5:$O3893)-1)*36000/_xlfn.DAYS(L3893, $C$2)</f>
        <v>10.189229020254446</v>
      </c>
      <c r="O3893" s="149">
        <f t="shared" ca="1" si="132"/>
        <v>1.000173611111111</v>
      </c>
    </row>
    <row r="3894" spans="12:15" x14ac:dyDescent="0.25">
      <c r="L3894" s="147">
        <f ca="1"/>
        <v>49133</v>
      </c>
      <c r="M3894" s="92">
        <f t="shared" ca="1" si="131"/>
        <v>6.25</v>
      </c>
      <c r="N3894" s="143">
        <f ca="1">(PRODUCT($O$5:$O3894)-1)*36000/_xlfn.DAYS(L3894, $C$2)</f>
        <v>10.189984873604516</v>
      </c>
      <c r="O3894" s="149">
        <f t="shared" ca="1" si="132"/>
        <v>1.000173611111111</v>
      </c>
    </row>
    <row r="3895" spans="12:15" x14ac:dyDescent="0.25">
      <c r="L3895" s="147">
        <f ca="1"/>
        <v>49134</v>
      </c>
      <c r="M3895" s="92">
        <f t="shared" ca="1" si="131"/>
        <v>6.25</v>
      </c>
      <c r="N3895" s="143">
        <f ca="1">(PRODUCT($O$5:$O3895)-1)*36000/_xlfn.DAYS(L3895, $C$2)</f>
        <v>10.190740924261229</v>
      </c>
      <c r="O3895" s="149">
        <f t="shared" ca="1" si="132"/>
        <v>1.000173611111111</v>
      </c>
    </row>
    <row r="3896" spans="12:15" x14ac:dyDescent="0.25">
      <c r="L3896" s="147">
        <f ca="1"/>
        <v>49135</v>
      </c>
      <c r="M3896" s="92">
        <f t="shared" ca="1" si="131"/>
        <v>6.25</v>
      </c>
      <c r="N3896" s="143">
        <f ca="1">(PRODUCT($O$5:$O3896)-1)*36000/_xlfn.DAYS(L3896, $C$2)</f>
        <v>10.191497172174174</v>
      </c>
      <c r="O3896" s="149">
        <f t="shared" ca="1" si="132"/>
        <v>1.000173611111111</v>
      </c>
    </row>
    <row r="3897" spans="12:15" x14ac:dyDescent="0.25">
      <c r="L3897" s="147">
        <f ca="1"/>
        <v>49136</v>
      </c>
      <c r="M3897" s="92">
        <f t="shared" ca="1" si="131"/>
        <v>6.25</v>
      </c>
      <c r="N3897" s="143">
        <f ca="1">(PRODUCT($O$5:$O3897)-1)*36000/_xlfn.DAYS(L3897, $C$2)</f>
        <v>10.192253617293009</v>
      </c>
      <c r="O3897" s="149">
        <f t="shared" ca="1" si="132"/>
        <v>1.000173611111111</v>
      </c>
    </row>
    <row r="3898" spans="12:15" x14ac:dyDescent="0.25">
      <c r="L3898" s="147">
        <f ca="1"/>
        <v>49137</v>
      </c>
      <c r="M3898" s="92">
        <f t="shared" ca="1" si="131"/>
        <v>6.25</v>
      </c>
      <c r="N3898" s="143">
        <f ca="1">(PRODUCT($O$5:$O3898)-1)*36000/_xlfn.DAYS(L3898, $C$2)</f>
        <v>10.193010259567473</v>
      </c>
      <c r="O3898" s="149">
        <f t="shared" ca="1" si="132"/>
        <v>1.000173611111111</v>
      </c>
    </row>
    <row r="3899" spans="12:15" x14ac:dyDescent="0.25">
      <c r="L3899" s="147">
        <f ca="1"/>
        <v>49138</v>
      </c>
      <c r="M3899" s="92">
        <f t="shared" ca="1" si="131"/>
        <v>6.25</v>
      </c>
      <c r="N3899" s="143">
        <f ca="1">(PRODUCT($O$5:$O3899)-1)*36000/_xlfn.DAYS(L3899, $C$2)</f>
        <v>10.19376709894736</v>
      </c>
      <c r="O3899" s="149">
        <f t="shared" ca="1" si="132"/>
        <v>1.000173611111111</v>
      </c>
    </row>
    <row r="3900" spans="12:15" x14ac:dyDescent="0.25">
      <c r="L3900" s="147">
        <f ca="1"/>
        <v>49139</v>
      </c>
      <c r="M3900" s="92">
        <f t="shared" ca="1" si="131"/>
        <v>6.25</v>
      </c>
      <c r="N3900" s="143">
        <f ca="1">(PRODUCT($O$5:$O3900)-1)*36000/_xlfn.DAYS(L3900, $C$2)</f>
        <v>10.19452413538254</v>
      </c>
      <c r="O3900" s="149">
        <f t="shared" ca="1" si="132"/>
        <v>1.000173611111111</v>
      </c>
    </row>
    <row r="3901" spans="12:15" x14ac:dyDescent="0.25">
      <c r="L3901" s="147">
        <f ca="1"/>
        <v>49140</v>
      </c>
      <c r="M3901" s="92">
        <f t="shared" ca="1" si="131"/>
        <v>6.25</v>
      </c>
      <c r="N3901" s="143">
        <f ca="1">(PRODUCT($O$5:$O3901)-1)*36000/_xlfn.DAYS(L3901, $C$2)</f>
        <v>10.195281368822956</v>
      </c>
      <c r="O3901" s="149">
        <f t="shared" ca="1" si="132"/>
        <v>1.000173611111111</v>
      </c>
    </row>
    <row r="3902" spans="12:15" x14ac:dyDescent="0.25">
      <c r="L3902" s="147">
        <f ca="1"/>
        <v>49141</v>
      </c>
      <c r="M3902" s="92">
        <f t="shared" ca="1" si="131"/>
        <v>6.25</v>
      </c>
      <c r="N3902" s="143">
        <f ca="1">(PRODUCT($O$5:$O3902)-1)*36000/_xlfn.DAYS(L3902, $C$2)</f>
        <v>10.196038799218613</v>
      </c>
      <c r="O3902" s="149">
        <f t="shared" ca="1" si="132"/>
        <v>1.000173611111111</v>
      </c>
    </row>
    <row r="3903" spans="12:15" x14ac:dyDescent="0.25">
      <c r="L3903" s="147">
        <f ca="1"/>
        <v>49142</v>
      </c>
      <c r="M3903" s="92">
        <f t="shared" ca="1" si="131"/>
        <v>6.25</v>
      </c>
      <c r="N3903" s="143">
        <f ca="1">(PRODUCT($O$5:$O3903)-1)*36000/_xlfn.DAYS(L3903, $C$2)</f>
        <v>10.196796426519589</v>
      </c>
      <c r="O3903" s="149">
        <f t="shared" ca="1" si="132"/>
        <v>1.000173611111111</v>
      </c>
    </row>
    <row r="3904" spans="12:15" x14ac:dyDescent="0.25">
      <c r="L3904" s="147">
        <f ca="1"/>
        <v>49143</v>
      </c>
      <c r="M3904" s="92">
        <f t="shared" ca="1" si="131"/>
        <v>6.25</v>
      </c>
      <c r="N3904" s="143">
        <f ca="1">(PRODUCT($O$5:$O3904)-1)*36000/_xlfn.DAYS(L3904, $C$2)</f>
        <v>10.197554250676024</v>
      </c>
      <c r="O3904" s="149">
        <f t="shared" ca="1" si="132"/>
        <v>1.000173611111111</v>
      </c>
    </row>
    <row r="3905" spans="12:15" x14ac:dyDescent="0.25">
      <c r="L3905" s="147">
        <f ca="1"/>
        <v>49144</v>
      </c>
      <c r="M3905" s="92">
        <f t="shared" ca="1" si="131"/>
        <v>6.25</v>
      </c>
      <c r="N3905" s="143">
        <f ca="1">(PRODUCT($O$5:$O3905)-1)*36000/_xlfn.DAYS(L3905, $C$2)</f>
        <v>10.198312271638141</v>
      </c>
      <c r="O3905" s="149">
        <f t="shared" ca="1" si="132"/>
        <v>1.000173611111111</v>
      </c>
    </row>
    <row r="3906" spans="12:15" x14ac:dyDescent="0.25">
      <c r="L3906" s="147">
        <f ca="1"/>
        <v>49145</v>
      </c>
      <c r="M3906" s="92">
        <f t="shared" ca="1" si="131"/>
        <v>6.25</v>
      </c>
      <c r="N3906" s="143">
        <f ca="1">(PRODUCT($O$5:$O3906)-1)*36000/_xlfn.DAYS(L3906, $C$2)</f>
        <v>10.199070489356215</v>
      </c>
      <c r="O3906" s="149">
        <f t="shared" ca="1" si="132"/>
        <v>1.000173611111111</v>
      </c>
    </row>
    <row r="3907" spans="12:15" x14ac:dyDescent="0.25">
      <c r="L3907" s="147">
        <f ca="1"/>
        <v>49146</v>
      </c>
      <c r="M3907" s="92">
        <f t="shared" ca="1" si="131"/>
        <v>6.25</v>
      </c>
      <c r="N3907" s="143">
        <f ca="1">(PRODUCT($O$5:$O3907)-1)*36000/_xlfn.DAYS(L3907, $C$2)</f>
        <v>10.199828903780606</v>
      </c>
      <c r="O3907" s="149">
        <f t="shared" ca="1" si="132"/>
        <v>1.000173611111111</v>
      </c>
    </row>
    <row r="3908" spans="12:15" x14ac:dyDescent="0.25">
      <c r="L3908" s="147">
        <f ca="1"/>
        <v>49147</v>
      </c>
      <c r="M3908" s="92">
        <f t="shared" ca="1" si="131"/>
        <v>6.25</v>
      </c>
      <c r="N3908" s="143">
        <f ca="1">(PRODUCT($O$5:$O3908)-1)*36000/_xlfn.DAYS(L3908, $C$2)</f>
        <v>10.200587514861727</v>
      </c>
      <c r="O3908" s="149">
        <f t="shared" ca="1" si="132"/>
        <v>1.000173611111111</v>
      </c>
    </row>
    <row r="3909" spans="12:15" x14ac:dyDescent="0.25">
      <c r="L3909" s="147">
        <f ca="1"/>
        <v>49148</v>
      </c>
      <c r="M3909" s="92">
        <f t="shared" ref="M3909:M3972" ca="1" si="133">IFERROR(INDEX($E$27:$H$47, MATCH(L3909, $F$27:$F$47, 0), 4), IF(ISNUMBER(M3908), M3908, $C$5))</f>
        <v>6.25</v>
      </c>
      <c r="N3909" s="143">
        <f ca="1">(PRODUCT($O$5:$O3909)-1)*36000/_xlfn.DAYS(L3909, $C$2)</f>
        <v>10.201346322550069</v>
      </c>
      <c r="O3909" s="149">
        <f t="shared" ca="1" si="132"/>
        <v>1.000173611111111</v>
      </c>
    </row>
    <row r="3910" spans="12:15" x14ac:dyDescent="0.25">
      <c r="L3910" s="147">
        <f ca="1"/>
        <v>49149</v>
      </c>
      <c r="M3910" s="92">
        <f t="shared" ca="1" si="133"/>
        <v>6.25</v>
      </c>
      <c r="N3910" s="143">
        <f ca="1">(PRODUCT($O$5:$O3910)-1)*36000/_xlfn.DAYS(L3910, $C$2)</f>
        <v>10.202105326796191</v>
      </c>
      <c r="O3910" s="149">
        <f t="shared" ref="O3910:O3973" ca="1" si="134">1+M3910*IFERROR(_xlfn.DAYS(L3910, L3909), _xlfn.DAYS(L3910, $C$2))/36000</f>
        <v>1.000173611111111</v>
      </c>
    </row>
    <row r="3911" spans="12:15" x14ac:dyDescent="0.25">
      <c r="L3911" s="147">
        <f ca="1"/>
        <v>49150</v>
      </c>
      <c r="M3911" s="92">
        <f t="shared" ca="1" si="133"/>
        <v>6.25</v>
      </c>
      <c r="N3911" s="143">
        <f ca="1">(PRODUCT($O$5:$O3911)-1)*36000/_xlfn.DAYS(L3911, $C$2)</f>
        <v>10.202864527550718</v>
      </c>
      <c r="O3911" s="149">
        <f t="shared" ca="1" si="134"/>
        <v>1.000173611111111</v>
      </c>
    </row>
    <row r="3912" spans="12:15" x14ac:dyDescent="0.25">
      <c r="L3912" s="147">
        <f ca="1"/>
        <v>49151</v>
      </c>
      <c r="M3912" s="92">
        <f t="shared" ca="1" si="133"/>
        <v>6.25</v>
      </c>
      <c r="N3912" s="143">
        <f ca="1">(PRODUCT($O$5:$O3912)-1)*36000/_xlfn.DAYS(L3912, $C$2)</f>
        <v>10.20362392476434</v>
      </c>
      <c r="O3912" s="149">
        <f t="shared" ca="1" si="134"/>
        <v>1.000173611111111</v>
      </c>
    </row>
    <row r="3913" spans="12:15" x14ac:dyDescent="0.25">
      <c r="L3913" s="147">
        <f ca="1"/>
        <v>49152</v>
      </c>
      <c r="M3913" s="92">
        <f t="shared" ca="1" si="133"/>
        <v>6.25</v>
      </c>
      <c r="N3913" s="143">
        <f ca="1">(PRODUCT($O$5:$O3913)-1)*36000/_xlfn.DAYS(L3913, $C$2)</f>
        <v>10.20438351838782</v>
      </c>
      <c r="O3913" s="149">
        <f t="shared" ca="1" si="134"/>
        <v>1.000173611111111</v>
      </c>
    </row>
    <row r="3914" spans="12:15" x14ac:dyDescent="0.25">
      <c r="L3914" s="147">
        <f ca="1"/>
        <v>49153</v>
      </c>
      <c r="M3914" s="92">
        <f t="shared" ca="1" si="133"/>
        <v>6.25</v>
      </c>
      <c r="N3914" s="143">
        <f ca="1">(PRODUCT($O$5:$O3914)-1)*36000/_xlfn.DAYS(L3914, $C$2)</f>
        <v>10.205143308371987</v>
      </c>
      <c r="O3914" s="149">
        <f t="shared" ca="1" si="134"/>
        <v>1.000173611111111</v>
      </c>
    </row>
    <row r="3915" spans="12:15" x14ac:dyDescent="0.25">
      <c r="L3915" s="147">
        <f ca="1"/>
        <v>49154</v>
      </c>
      <c r="M3915" s="92">
        <f t="shared" ca="1" si="133"/>
        <v>6.25</v>
      </c>
      <c r="N3915" s="143">
        <f ca="1">(PRODUCT($O$5:$O3915)-1)*36000/_xlfn.DAYS(L3915, $C$2)</f>
        <v>10.20590329466774</v>
      </c>
      <c r="O3915" s="149">
        <f t="shared" ca="1" si="134"/>
        <v>1.000173611111111</v>
      </c>
    </row>
    <row r="3916" spans="12:15" x14ac:dyDescent="0.25">
      <c r="L3916" s="147">
        <f ca="1"/>
        <v>49155</v>
      </c>
      <c r="M3916" s="92">
        <f t="shared" ca="1" si="133"/>
        <v>6.25</v>
      </c>
      <c r="N3916" s="143">
        <f ca="1">(PRODUCT($O$5:$O3916)-1)*36000/_xlfn.DAYS(L3916, $C$2)</f>
        <v>10.206663477226041</v>
      </c>
      <c r="O3916" s="149">
        <f t="shared" ca="1" si="134"/>
        <v>1.000173611111111</v>
      </c>
    </row>
    <row r="3917" spans="12:15" x14ac:dyDescent="0.25">
      <c r="L3917" s="147">
        <f ca="1"/>
        <v>49156</v>
      </c>
      <c r="M3917" s="92">
        <f t="shared" ca="1" si="133"/>
        <v>6.25</v>
      </c>
      <c r="N3917" s="143">
        <f ca="1">(PRODUCT($O$5:$O3917)-1)*36000/_xlfn.DAYS(L3917, $C$2)</f>
        <v>10.207423855997925</v>
      </c>
      <c r="O3917" s="149">
        <f t="shared" ca="1" si="134"/>
        <v>1.000173611111111</v>
      </c>
    </row>
    <row r="3918" spans="12:15" x14ac:dyDescent="0.25">
      <c r="L3918" s="147">
        <f ca="1"/>
        <v>49157</v>
      </c>
      <c r="M3918" s="92">
        <f t="shared" ca="1" si="133"/>
        <v>6.25</v>
      </c>
      <c r="N3918" s="143">
        <f ca="1">(PRODUCT($O$5:$O3918)-1)*36000/_xlfn.DAYS(L3918, $C$2)</f>
        <v>10.208184430934493</v>
      </c>
      <c r="O3918" s="149">
        <f t="shared" ca="1" si="134"/>
        <v>1.000173611111111</v>
      </c>
    </row>
    <row r="3919" spans="12:15" x14ac:dyDescent="0.25">
      <c r="L3919" s="147">
        <f ca="1"/>
        <v>49158</v>
      </c>
      <c r="M3919" s="92">
        <f t="shared" ca="1" si="133"/>
        <v>6.25</v>
      </c>
      <c r="N3919" s="143">
        <f ca="1">(PRODUCT($O$5:$O3919)-1)*36000/_xlfn.DAYS(L3919, $C$2)</f>
        <v>10.208945201986911</v>
      </c>
      <c r="O3919" s="149">
        <f t="shared" ca="1" si="134"/>
        <v>1.000173611111111</v>
      </c>
    </row>
    <row r="3920" spans="12:15" x14ac:dyDescent="0.25">
      <c r="L3920" s="147">
        <f ca="1"/>
        <v>49159</v>
      </c>
      <c r="M3920" s="92">
        <f t="shared" ca="1" si="133"/>
        <v>6.25</v>
      </c>
      <c r="N3920" s="143">
        <f ca="1">(PRODUCT($O$5:$O3920)-1)*36000/_xlfn.DAYS(L3920, $C$2)</f>
        <v>10.209706169106413</v>
      </c>
      <c r="O3920" s="149">
        <f t="shared" ca="1" si="134"/>
        <v>1.000173611111111</v>
      </c>
    </row>
    <row r="3921" spans="12:15" x14ac:dyDescent="0.25">
      <c r="L3921" s="147">
        <f ca="1"/>
        <v>49160</v>
      </c>
      <c r="M3921" s="92">
        <f t="shared" ca="1" si="133"/>
        <v>6.25</v>
      </c>
      <c r="N3921" s="143">
        <f ca="1">(PRODUCT($O$5:$O3921)-1)*36000/_xlfn.DAYS(L3921, $C$2)</f>
        <v>10.210467332244308</v>
      </c>
      <c r="O3921" s="149">
        <f t="shared" ca="1" si="134"/>
        <v>1.000173611111111</v>
      </c>
    </row>
    <row r="3922" spans="12:15" x14ac:dyDescent="0.25">
      <c r="L3922" s="147">
        <f ca="1"/>
        <v>49161</v>
      </c>
      <c r="M3922" s="92">
        <f t="shared" ca="1" si="133"/>
        <v>6.25</v>
      </c>
      <c r="N3922" s="143">
        <f ca="1">(PRODUCT($O$5:$O3922)-1)*36000/_xlfn.DAYS(L3922, $C$2)</f>
        <v>10.211228691351961</v>
      </c>
      <c r="O3922" s="149">
        <f t="shared" ca="1" si="134"/>
        <v>1.000173611111111</v>
      </c>
    </row>
    <row r="3923" spans="12:15" x14ac:dyDescent="0.25">
      <c r="L3923" s="147">
        <f ca="1"/>
        <v>49162</v>
      </c>
      <c r="M3923" s="92">
        <f t="shared" ca="1" si="133"/>
        <v>6.25</v>
      </c>
      <c r="N3923" s="143">
        <f ca="1">(PRODUCT($O$5:$O3923)-1)*36000/_xlfn.DAYS(L3923, $C$2)</f>
        <v>10.211990246380815</v>
      </c>
      <c r="O3923" s="149">
        <f t="shared" ca="1" si="134"/>
        <v>1.000173611111111</v>
      </c>
    </row>
    <row r="3924" spans="12:15" x14ac:dyDescent="0.25">
      <c r="L3924" s="147">
        <f ca="1"/>
        <v>49163</v>
      </c>
      <c r="M3924" s="92">
        <f t="shared" ca="1" si="133"/>
        <v>6.25</v>
      </c>
      <c r="N3924" s="143">
        <f ca="1">(PRODUCT($O$5:$O3924)-1)*36000/_xlfn.DAYS(L3924, $C$2)</f>
        <v>10.212751997282366</v>
      </c>
      <c r="O3924" s="149">
        <f t="shared" ca="1" si="134"/>
        <v>1.000173611111111</v>
      </c>
    </row>
    <row r="3925" spans="12:15" x14ac:dyDescent="0.25">
      <c r="L3925" s="147">
        <f ca="1"/>
        <v>49164</v>
      </c>
      <c r="M3925" s="92">
        <f t="shared" ca="1" si="133"/>
        <v>6.25</v>
      </c>
      <c r="N3925" s="143">
        <f ca="1">(PRODUCT($O$5:$O3925)-1)*36000/_xlfn.DAYS(L3925, $C$2)</f>
        <v>10.213513944008195</v>
      </c>
      <c r="O3925" s="149">
        <f t="shared" ca="1" si="134"/>
        <v>1.000173611111111</v>
      </c>
    </row>
    <row r="3926" spans="12:15" x14ac:dyDescent="0.25">
      <c r="L3926" s="147">
        <f ca="1"/>
        <v>49165</v>
      </c>
      <c r="M3926" s="92">
        <f t="shared" ca="1" si="133"/>
        <v>6.25</v>
      </c>
      <c r="N3926" s="143">
        <f ca="1">(PRODUCT($O$5:$O3926)-1)*36000/_xlfn.DAYS(L3926, $C$2)</f>
        <v>10.214276086509939</v>
      </c>
      <c r="O3926" s="149">
        <f t="shared" ca="1" si="134"/>
        <v>1.000173611111111</v>
      </c>
    </row>
    <row r="3927" spans="12:15" x14ac:dyDescent="0.25">
      <c r="L3927" s="147">
        <f ca="1"/>
        <v>49166</v>
      </c>
      <c r="M3927" s="92">
        <f t="shared" ca="1" si="133"/>
        <v>6.25</v>
      </c>
      <c r="N3927" s="143">
        <f ca="1">(PRODUCT($O$5:$O3927)-1)*36000/_xlfn.DAYS(L3927, $C$2)</f>
        <v>10.2150384247393</v>
      </c>
      <c r="O3927" s="149">
        <f t="shared" ca="1" si="134"/>
        <v>1.000173611111111</v>
      </c>
    </row>
    <row r="3928" spans="12:15" x14ac:dyDescent="0.25">
      <c r="L3928" s="147">
        <f ca="1"/>
        <v>49167</v>
      </c>
      <c r="M3928" s="92">
        <f t="shared" ca="1" si="133"/>
        <v>6.25</v>
      </c>
      <c r="N3928" s="143">
        <f ca="1">(PRODUCT($O$5:$O3928)-1)*36000/_xlfn.DAYS(L3928, $C$2)</f>
        <v>10.21580095864805</v>
      </c>
      <c r="O3928" s="149">
        <f t="shared" ca="1" si="134"/>
        <v>1.000173611111111</v>
      </c>
    </row>
    <row r="3929" spans="12:15" x14ac:dyDescent="0.25">
      <c r="L3929" s="147">
        <f ca="1"/>
        <v>49168</v>
      </c>
      <c r="M3929" s="92">
        <f t="shared" ca="1" si="133"/>
        <v>6.25</v>
      </c>
      <c r="N3929" s="143">
        <f ca="1">(PRODUCT($O$5:$O3929)-1)*36000/_xlfn.DAYS(L3929, $C$2)</f>
        <v>10.216563688188034</v>
      </c>
      <c r="O3929" s="149">
        <f t="shared" ca="1" si="134"/>
        <v>1.000173611111111</v>
      </c>
    </row>
    <row r="3930" spans="12:15" x14ac:dyDescent="0.25">
      <c r="L3930" s="147">
        <f ca="1"/>
        <v>49169</v>
      </c>
      <c r="M3930" s="92">
        <f t="shared" ca="1" si="133"/>
        <v>6.25</v>
      </c>
      <c r="N3930" s="143">
        <f ca="1">(PRODUCT($O$5:$O3930)-1)*36000/_xlfn.DAYS(L3930, $C$2)</f>
        <v>10.217326613311149</v>
      </c>
      <c r="O3930" s="149">
        <f t="shared" ca="1" si="134"/>
        <v>1.000173611111111</v>
      </c>
    </row>
    <row r="3931" spans="12:15" x14ac:dyDescent="0.25">
      <c r="L3931" s="147">
        <f ca="1"/>
        <v>49170</v>
      </c>
      <c r="M3931" s="92">
        <f t="shared" ca="1" si="133"/>
        <v>6.25</v>
      </c>
      <c r="N3931" s="143">
        <f ca="1">(PRODUCT($O$5:$O3931)-1)*36000/_xlfn.DAYS(L3931, $C$2)</f>
        <v>10.218089733969377</v>
      </c>
      <c r="O3931" s="149">
        <f t="shared" ca="1" si="134"/>
        <v>1.000173611111111</v>
      </c>
    </row>
    <row r="3932" spans="12:15" x14ac:dyDescent="0.25">
      <c r="L3932" s="147">
        <f ca="1"/>
        <v>49171</v>
      </c>
      <c r="M3932" s="92">
        <f t="shared" ca="1" si="133"/>
        <v>6.25</v>
      </c>
      <c r="N3932" s="143">
        <f ca="1">(PRODUCT($O$5:$O3932)-1)*36000/_xlfn.DAYS(L3932, $C$2)</f>
        <v>10.218853050114751</v>
      </c>
      <c r="O3932" s="149">
        <f t="shared" ca="1" si="134"/>
        <v>1.000173611111111</v>
      </c>
    </row>
    <row r="3933" spans="12:15" x14ac:dyDescent="0.25">
      <c r="L3933" s="147">
        <f ca="1"/>
        <v>49172</v>
      </c>
      <c r="M3933" s="92">
        <f t="shared" ca="1" si="133"/>
        <v>6.25</v>
      </c>
      <c r="N3933" s="143">
        <f ca="1">(PRODUCT($O$5:$O3933)-1)*36000/_xlfn.DAYS(L3933, $C$2)</f>
        <v>10.219616561699377</v>
      </c>
      <c r="O3933" s="149">
        <f t="shared" ca="1" si="134"/>
        <v>1.000173611111111</v>
      </c>
    </row>
    <row r="3934" spans="12:15" x14ac:dyDescent="0.25">
      <c r="L3934" s="147">
        <f ca="1"/>
        <v>49173</v>
      </c>
      <c r="M3934" s="92">
        <f t="shared" ca="1" si="133"/>
        <v>6.25</v>
      </c>
      <c r="N3934" s="143">
        <f ca="1">(PRODUCT($O$5:$O3934)-1)*36000/_xlfn.DAYS(L3934, $C$2)</f>
        <v>10.220380268675429</v>
      </c>
      <c r="O3934" s="149">
        <f t="shared" ca="1" si="134"/>
        <v>1.000173611111111</v>
      </c>
    </row>
    <row r="3935" spans="12:15" x14ac:dyDescent="0.25">
      <c r="L3935" s="147">
        <f ca="1"/>
        <v>49174</v>
      </c>
      <c r="M3935" s="92">
        <f t="shared" ca="1" si="133"/>
        <v>6.25</v>
      </c>
      <c r="N3935" s="143">
        <f ca="1">(PRODUCT($O$5:$O3935)-1)*36000/_xlfn.DAYS(L3935, $C$2)</f>
        <v>10.221144170995146</v>
      </c>
      <c r="O3935" s="149">
        <f t="shared" ca="1" si="134"/>
        <v>1.000173611111111</v>
      </c>
    </row>
    <row r="3936" spans="12:15" x14ac:dyDescent="0.25">
      <c r="L3936" s="147">
        <f ca="1"/>
        <v>49175</v>
      </c>
      <c r="M3936" s="92">
        <f t="shared" ca="1" si="133"/>
        <v>6.25</v>
      </c>
      <c r="N3936" s="143">
        <f ca="1">(PRODUCT($O$5:$O3936)-1)*36000/_xlfn.DAYS(L3936, $C$2)</f>
        <v>10.221908268610829</v>
      </c>
      <c r="O3936" s="149">
        <f t="shared" ca="1" si="134"/>
        <v>1.000173611111111</v>
      </c>
    </row>
    <row r="3937" spans="12:15" x14ac:dyDescent="0.25">
      <c r="L3937" s="147">
        <f ca="1"/>
        <v>49176</v>
      </c>
      <c r="M3937" s="92">
        <f t="shared" ca="1" si="133"/>
        <v>6.25</v>
      </c>
      <c r="N3937" s="143">
        <f ca="1">(PRODUCT($O$5:$O3937)-1)*36000/_xlfn.DAYS(L3937, $C$2)</f>
        <v>10.222672561474848</v>
      </c>
      <c r="O3937" s="149">
        <f t="shared" ca="1" si="134"/>
        <v>1.000173611111111</v>
      </c>
    </row>
    <row r="3938" spans="12:15" x14ac:dyDescent="0.25">
      <c r="L3938" s="147">
        <f ca="1"/>
        <v>49177</v>
      </c>
      <c r="M3938" s="92">
        <f t="shared" ca="1" si="133"/>
        <v>6.25</v>
      </c>
      <c r="N3938" s="143">
        <f ca="1">(PRODUCT($O$5:$O3938)-1)*36000/_xlfn.DAYS(L3938, $C$2)</f>
        <v>10.223437049539642</v>
      </c>
      <c r="O3938" s="149">
        <f t="shared" ca="1" si="134"/>
        <v>1.000173611111111</v>
      </c>
    </row>
    <row r="3939" spans="12:15" x14ac:dyDescent="0.25">
      <c r="L3939" s="147">
        <f ca="1"/>
        <v>49178</v>
      </c>
      <c r="M3939" s="92">
        <f t="shared" ca="1" si="133"/>
        <v>6.25</v>
      </c>
      <c r="N3939" s="143">
        <f ca="1">(PRODUCT($O$5:$O3939)-1)*36000/_xlfn.DAYS(L3939, $C$2)</f>
        <v>10.224201732757715</v>
      </c>
      <c r="O3939" s="149">
        <f t="shared" ca="1" si="134"/>
        <v>1.000173611111111</v>
      </c>
    </row>
    <row r="3940" spans="12:15" x14ac:dyDescent="0.25">
      <c r="L3940" s="147">
        <f ca="1"/>
        <v>49179</v>
      </c>
      <c r="M3940" s="92">
        <f t="shared" ca="1" si="133"/>
        <v>6.25</v>
      </c>
      <c r="N3940" s="143">
        <f ca="1">(PRODUCT($O$5:$O3940)-1)*36000/_xlfn.DAYS(L3940, $C$2)</f>
        <v>10.224966611081628</v>
      </c>
      <c r="O3940" s="149">
        <f t="shared" ca="1" si="134"/>
        <v>1.000173611111111</v>
      </c>
    </row>
    <row r="3941" spans="12:15" x14ac:dyDescent="0.25">
      <c r="L3941" s="147">
        <f ca="1"/>
        <v>49180</v>
      </c>
      <c r="M3941" s="92">
        <f t="shared" ca="1" si="133"/>
        <v>6.25</v>
      </c>
      <c r="N3941" s="143">
        <f ca="1">(PRODUCT($O$5:$O3941)-1)*36000/_xlfn.DAYS(L3941, $C$2)</f>
        <v>10.225731684464025</v>
      </c>
      <c r="O3941" s="149">
        <f t="shared" ca="1" si="134"/>
        <v>1.000173611111111</v>
      </c>
    </row>
    <row r="3942" spans="12:15" x14ac:dyDescent="0.25">
      <c r="L3942" s="147">
        <f ca="1"/>
        <v>49181</v>
      </c>
      <c r="M3942" s="92">
        <f t="shared" ca="1" si="133"/>
        <v>6.25</v>
      </c>
      <c r="N3942" s="143">
        <f ca="1">(PRODUCT($O$5:$O3942)-1)*36000/_xlfn.DAYS(L3942, $C$2)</f>
        <v>10.226496952857598</v>
      </c>
      <c r="O3942" s="149">
        <f t="shared" ca="1" si="134"/>
        <v>1.000173611111111</v>
      </c>
    </row>
    <row r="3943" spans="12:15" x14ac:dyDescent="0.25">
      <c r="L3943" s="147">
        <f ca="1"/>
        <v>49182</v>
      </c>
      <c r="M3943" s="92">
        <f t="shared" ca="1" si="133"/>
        <v>6.25</v>
      </c>
      <c r="N3943" s="143">
        <f ca="1">(PRODUCT($O$5:$O3943)-1)*36000/_xlfn.DAYS(L3943, $C$2)</f>
        <v>10.227262416215114</v>
      </c>
      <c r="O3943" s="149">
        <f t="shared" ca="1" si="134"/>
        <v>1.000173611111111</v>
      </c>
    </row>
    <row r="3944" spans="12:15" x14ac:dyDescent="0.25">
      <c r="L3944" s="147">
        <f ca="1"/>
        <v>49183</v>
      </c>
      <c r="M3944" s="92">
        <f t="shared" ca="1" si="133"/>
        <v>6.25</v>
      </c>
      <c r="N3944" s="143">
        <f ca="1">(PRODUCT($O$5:$O3944)-1)*36000/_xlfn.DAYS(L3944, $C$2)</f>
        <v>10.228028074489403</v>
      </c>
      <c r="O3944" s="149">
        <f t="shared" ca="1" si="134"/>
        <v>1.000173611111111</v>
      </c>
    </row>
    <row r="3945" spans="12:15" x14ac:dyDescent="0.25">
      <c r="L3945" s="147">
        <f ca="1"/>
        <v>49184</v>
      </c>
      <c r="M3945" s="92">
        <f t="shared" ca="1" si="133"/>
        <v>6.25</v>
      </c>
      <c r="N3945" s="143">
        <f ca="1">(PRODUCT($O$5:$O3945)-1)*36000/_xlfn.DAYS(L3945, $C$2)</f>
        <v>10.228793927633362</v>
      </c>
      <c r="O3945" s="149">
        <f t="shared" ca="1" si="134"/>
        <v>1.000173611111111</v>
      </c>
    </row>
    <row r="3946" spans="12:15" x14ac:dyDescent="0.25">
      <c r="L3946" s="147">
        <f ca="1"/>
        <v>49185</v>
      </c>
      <c r="M3946" s="92">
        <f t="shared" ca="1" si="133"/>
        <v>6.25</v>
      </c>
      <c r="N3946" s="143">
        <f ca="1">(PRODUCT($O$5:$O3946)-1)*36000/_xlfn.DAYS(L3946, $C$2)</f>
        <v>10.229559975599953</v>
      </c>
      <c r="O3946" s="149">
        <f t="shared" ca="1" si="134"/>
        <v>1.000173611111111</v>
      </c>
    </row>
    <row r="3947" spans="12:15" x14ac:dyDescent="0.25">
      <c r="L3947" s="147">
        <f ca="1"/>
        <v>49186</v>
      </c>
      <c r="M3947" s="92">
        <f t="shared" ca="1" si="133"/>
        <v>6.25</v>
      </c>
      <c r="N3947" s="143">
        <f ca="1">(PRODUCT($O$5:$O3947)-1)*36000/_xlfn.DAYS(L3947, $C$2)</f>
        <v>10.230326218342205</v>
      </c>
      <c r="O3947" s="149">
        <f t="shared" ca="1" si="134"/>
        <v>1.000173611111111</v>
      </c>
    </row>
    <row r="3948" spans="12:15" x14ac:dyDescent="0.25">
      <c r="L3948" s="147">
        <f ca="1"/>
        <v>49187</v>
      </c>
      <c r="M3948" s="92">
        <f t="shared" ca="1" si="133"/>
        <v>6.25</v>
      </c>
      <c r="N3948" s="143">
        <f ca="1">(PRODUCT($O$5:$O3948)-1)*36000/_xlfn.DAYS(L3948, $C$2)</f>
        <v>10.231092655813205</v>
      </c>
      <c r="O3948" s="149">
        <f t="shared" ca="1" si="134"/>
        <v>1.000173611111111</v>
      </c>
    </row>
    <row r="3949" spans="12:15" x14ac:dyDescent="0.25">
      <c r="L3949" s="147">
        <f ca="1"/>
        <v>49188</v>
      </c>
      <c r="M3949" s="92">
        <f t="shared" ca="1" si="133"/>
        <v>6.25</v>
      </c>
      <c r="N3949" s="143">
        <f ca="1">(PRODUCT($O$5:$O3949)-1)*36000/_xlfn.DAYS(L3949, $C$2)</f>
        <v>10.231859287966117</v>
      </c>
      <c r="O3949" s="149">
        <f t="shared" ca="1" si="134"/>
        <v>1.000173611111111</v>
      </c>
    </row>
    <row r="3950" spans="12:15" x14ac:dyDescent="0.25">
      <c r="L3950" s="147">
        <f ca="1"/>
        <v>49189</v>
      </c>
      <c r="M3950" s="92">
        <f t="shared" ca="1" si="133"/>
        <v>6.25</v>
      </c>
      <c r="N3950" s="143">
        <f ca="1">(PRODUCT($O$5:$O3950)-1)*36000/_xlfn.DAYS(L3950, $C$2)</f>
        <v>10.232626114754158</v>
      </c>
      <c r="O3950" s="149">
        <f t="shared" ca="1" si="134"/>
        <v>1.000173611111111</v>
      </c>
    </row>
    <row r="3951" spans="12:15" x14ac:dyDescent="0.25">
      <c r="L3951" s="147">
        <f ca="1"/>
        <v>49190</v>
      </c>
      <c r="M3951" s="92">
        <f t="shared" ca="1" si="133"/>
        <v>6.25</v>
      </c>
      <c r="N3951" s="143">
        <f ca="1">(PRODUCT($O$5:$O3951)-1)*36000/_xlfn.DAYS(L3951, $C$2)</f>
        <v>10.233393136130616</v>
      </c>
      <c r="O3951" s="149">
        <f t="shared" ca="1" si="134"/>
        <v>1.000173611111111</v>
      </c>
    </row>
    <row r="3952" spans="12:15" x14ac:dyDescent="0.25">
      <c r="L3952" s="147">
        <f ca="1"/>
        <v>49191</v>
      </c>
      <c r="M3952" s="92">
        <f t="shared" ca="1" si="133"/>
        <v>6.25</v>
      </c>
      <c r="N3952" s="143">
        <f ca="1">(PRODUCT($O$5:$O3952)-1)*36000/_xlfn.DAYS(L3952, $C$2)</f>
        <v>10.234160352048844</v>
      </c>
      <c r="O3952" s="149">
        <f t="shared" ca="1" si="134"/>
        <v>1.000173611111111</v>
      </c>
    </row>
    <row r="3953" spans="12:15" x14ac:dyDescent="0.25">
      <c r="L3953" s="147">
        <f ca="1"/>
        <v>49192</v>
      </c>
      <c r="M3953" s="92">
        <f t="shared" ca="1" si="133"/>
        <v>6.25</v>
      </c>
      <c r="N3953" s="143">
        <f ca="1">(PRODUCT($O$5:$O3953)-1)*36000/_xlfn.DAYS(L3953, $C$2)</f>
        <v>10.234927762462259</v>
      </c>
      <c r="O3953" s="149">
        <f t="shared" ca="1" si="134"/>
        <v>1.000173611111111</v>
      </c>
    </row>
    <row r="3954" spans="12:15" x14ac:dyDescent="0.25">
      <c r="L3954" s="147">
        <f ca="1"/>
        <v>49193</v>
      </c>
      <c r="M3954" s="92">
        <f t="shared" ca="1" si="133"/>
        <v>6.25</v>
      </c>
      <c r="N3954" s="143">
        <f ca="1">(PRODUCT($O$5:$O3954)-1)*36000/_xlfn.DAYS(L3954, $C$2)</f>
        <v>10.235695367324341</v>
      </c>
      <c r="O3954" s="149">
        <f t="shared" ca="1" si="134"/>
        <v>1.000173611111111</v>
      </c>
    </row>
    <row r="3955" spans="12:15" x14ac:dyDescent="0.25">
      <c r="L3955" s="147">
        <f ca="1"/>
        <v>49194</v>
      </c>
      <c r="M3955" s="92">
        <f t="shared" ca="1" si="133"/>
        <v>6.25</v>
      </c>
      <c r="N3955" s="143">
        <f ca="1">(PRODUCT($O$5:$O3955)-1)*36000/_xlfn.DAYS(L3955, $C$2)</f>
        <v>10.236463166588644</v>
      </c>
      <c r="O3955" s="149">
        <f t="shared" ca="1" si="134"/>
        <v>1.000173611111111</v>
      </c>
    </row>
    <row r="3956" spans="12:15" x14ac:dyDescent="0.25">
      <c r="L3956" s="147">
        <f ca="1"/>
        <v>49195</v>
      </c>
      <c r="M3956" s="92">
        <f t="shared" ca="1" si="133"/>
        <v>6.25</v>
      </c>
      <c r="N3956" s="143">
        <f ca="1">(PRODUCT($O$5:$O3956)-1)*36000/_xlfn.DAYS(L3956, $C$2)</f>
        <v>10.23723116020877</v>
      </c>
      <c r="O3956" s="149">
        <f t="shared" ca="1" si="134"/>
        <v>1.000173611111111</v>
      </c>
    </row>
    <row r="3957" spans="12:15" x14ac:dyDescent="0.25">
      <c r="L3957" s="147">
        <f ca="1"/>
        <v>49196</v>
      </c>
      <c r="M3957" s="92">
        <f t="shared" ca="1" si="133"/>
        <v>6.25</v>
      </c>
      <c r="N3957" s="143">
        <f ca="1">(PRODUCT($O$5:$O3957)-1)*36000/_xlfn.DAYS(L3957, $C$2)</f>
        <v>10.237999348138397</v>
      </c>
      <c r="O3957" s="149">
        <f t="shared" ca="1" si="134"/>
        <v>1.000173611111111</v>
      </c>
    </row>
    <row r="3958" spans="12:15" x14ac:dyDescent="0.25">
      <c r="L3958" s="147">
        <f ca="1"/>
        <v>49197</v>
      </c>
      <c r="M3958" s="92">
        <f t="shared" ca="1" si="133"/>
        <v>6.25</v>
      </c>
      <c r="N3958" s="143">
        <f ca="1">(PRODUCT($O$5:$O3958)-1)*36000/_xlfn.DAYS(L3958, $C$2)</f>
        <v>10.238767730331267</v>
      </c>
      <c r="O3958" s="149">
        <f t="shared" ca="1" si="134"/>
        <v>1.000173611111111</v>
      </c>
    </row>
    <row r="3959" spans="12:15" x14ac:dyDescent="0.25">
      <c r="L3959" s="147">
        <f ca="1"/>
        <v>49198</v>
      </c>
      <c r="M3959" s="92">
        <f t="shared" ca="1" si="133"/>
        <v>6.25</v>
      </c>
      <c r="N3959" s="143">
        <f ca="1">(PRODUCT($O$5:$O3959)-1)*36000/_xlfn.DAYS(L3959, $C$2)</f>
        <v>10.239536306741179</v>
      </c>
      <c r="O3959" s="149">
        <f t="shared" ca="1" si="134"/>
        <v>1.000173611111111</v>
      </c>
    </row>
    <row r="3960" spans="12:15" x14ac:dyDescent="0.25">
      <c r="L3960" s="147">
        <f ca="1"/>
        <v>49199</v>
      </c>
      <c r="M3960" s="92">
        <f t="shared" ca="1" si="133"/>
        <v>6.25</v>
      </c>
      <c r="N3960" s="143">
        <f ca="1">(PRODUCT($O$5:$O3960)-1)*36000/_xlfn.DAYS(L3960, $C$2)</f>
        <v>10.240305077322008</v>
      </c>
      <c r="O3960" s="149">
        <f t="shared" ca="1" si="134"/>
        <v>1.000173611111111</v>
      </c>
    </row>
    <row r="3961" spans="12:15" x14ac:dyDescent="0.25">
      <c r="L3961" s="147">
        <f ca="1"/>
        <v>49200</v>
      </c>
      <c r="M3961" s="92">
        <f t="shared" ca="1" si="133"/>
        <v>6.25</v>
      </c>
      <c r="N3961" s="143">
        <f ca="1">(PRODUCT($O$5:$O3961)-1)*36000/_xlfn.DAYS(L3961, $C$2)</f>
        <v>10.241074042027686</v>
      </c>
      <c r="O3961" s="149">
        <f t="shared" ca="1" si="134"/>
        <v>1.000173611111111</v>
      </c>
    </row>
    <row r="3962" spans="12:15" x14ac:dyDescent="0.25">
      <c r="L3962" s="147">
        <f ca="1"/>
        <v>49201</v>
      </c>
      <c r="M3962" s="92">
        <f t="shared" ca="1" si="133"/>
        <v>6.25</v>
      </c>
      <c r="N3962" s="143">
        <f ca="1">(PRODUCT($O$5:$O3962)-1)*36000/_xlfn.DAYS(L3962, $C$2)</f>
        <v>10.241843200812205</v>
      </c>
      <c r="O3962" s="149">
        <f t="shared" ca="1" si="134"/>
        <v>1.000173611111111</v>
      </c>
    </row>
    <row r="3963" spans="12:15" x14ac:dyDescent="0.25">
      <c r="L3963" s="147">
        <f ca="1"/>
        <v>49202</v>
      </c>
      <c r="M3963" s="92">
        <f t="shared" ca="1" si="133"/>
        <v>6.25</v>
      </c>
      <c r="N3963" s="143">
        <f ca="1">(PRODUCT($O$5:$O3963)-1)*36000/_xlfn.DAYS(L3963, $C$2)</f>
        <v>10.24261255362963</v>
      </c>
      <c r="O3963" s="149">
        <f t="shared" ca="1" si="134"/>
        <v>1.000173611111111</v>
      </c>
    </row>
    <row r="3964" spans="12:15" x14ac:dyDescent="0.25">
      <c r="L3964" s="147">
        <f ca="1"/>
        <v>49203</v>
      </c>
      <c r="M3964" s="92">
        <f t="shared" ca="1" si="133"/>
        <v>6.25</v>
      </c>
      <c r="N3964" s="143">
        <f ca="1">(PRODUCT($O$5:$O3964)-1)*36000/_xlfn.DAYS(L3964, $C$2)</f>
        <v>10.243382100434083</v>
      </c>
      <c r="O3964" s="149">
        <f t="shared" ca="1" si="134"/>
        <v>1.000173611111111</v>
      </c>
    </row>
    <row r="3965" spans="12:15" x14ac:dyDescent="0.25">
      <c r="L3965" s="147">
        <f ca="1"/>
        <v>49204</v>
      </c>
      <c r="M3965" s="92">
        <f t="shared" ca="1" si="133"/>
        <v>6.25</v>
      </c>
      <c r="N3965" s="143">
        <f ca="1">(PRODUCT($O$5:$O3965)-1)*36000/_xlfn.DAYS(L3965, $C$2)</f>
        <v>10.244151841179756</v>
      </c>
      <c r="O3965" s="149">
        <f t="shared" ca="1" si="134"/>
        <v>1.000173611111111</v>
      </c>
    </row>
    <row r="3966" spans="12:15" x14ac:dyDescent="0.25">
      <c r="L3966" s="147">
        <f ca="1"/>
        <v>49205</v>
      </c>
      <c r="M3966" s="92">
        <f t="shared" ca="1" si="133"/>
        <v>6.25</v>
      </c>
      <c r="N3966" s="143">
        <f ca="1">(PRODUCT($O$5:$O3966)-1)*36000/_xlfn.DAYS(L3966, $C$2)</f>
        <v>10.244921775820897</v>
      </c>
      <c r="O3966" s="149">
        <f t="shared" ca="1" si="134"/>
        <v>1.000173611111111</v>
      </c>
    </row>
    <row r="3967" spans="12:15" x14ac:dyDescent="0.25">
      <c r="L3967" s="147">
        <f ca="1"/>
        <v>49206</v>
      </c>
      <c r="M3967" s="92">
        <f t="shared" ca="1" si="133"/>
        <v>6.25</v>
      </c>
      <c r="N3967" s="143">
        <f ca="1">(PRODUCT($O$5:$O3967)-1)*36000/_xlfn.DAYS(L3967, $C$2)</f>
        <v>10.245691904311826</v>
      </c>
      <c r="O3967" s="149">
        <f t="shared" ca="1" si="134"/>
        <v>1.000173611111111</v>
      </c>
    </row>
    <row r="3968" spans="12:15" x14ac:dyDescent="0.25">
      <c r="L3968" s="147">
        <f ca="1"/>
        <v>49207</v>
      </c>
      <c r="M3968" s="92">
        <f t="shared" ca="1" si="133"/>
        <v>6.25</v>
      </c>
      <c r="N3968" s="143">
        <f ca="1">(PRODUCT($O$5:$O3968)-1)*36000/_xlfn.DAYS(L3968, $C$2)</f>
        <v>10.246462226606925</v>
      </c>
      <c r="O3968" s="149">
        <f t="shared" ca="1" si="134"/>
        <v>1.000173611111111</v>
      </c>
    </row>
    <row r="3969" spans="12:15" x14ac:dyDescent="0.25">
      <c r="L3969" s="147">
        <f ca="1"/>
        <v>49208</v>
      </c>
      <c r="M3969" s="92">
        <f t="shared" ca="1" si="133"/>
        <v>6.25</v>
      </c>
      <c r="N3969" s="143">
        <f ca="1">(PRODUCT($O$5:$O3969)-1)*36000/_xlfn.DAYS(L3969, $C$2)</f>
        <v>10.247232742660632</v>
      </c>
      <c r="O3969" s="149">
        <f t="shared" ca="1" si="134"/>
        <v>1.000173611111111</v>
      </c>
    </row>
    <row r="3970" spans="12:15" x14ac:dyDescent="0.25">
      <c r="L3970" s="147">
        <f ca="1"/>
        <v>49209</v>
      </c>
      <c r="M3970" s="92">
        <f t="shared" ca="1" si="133"/>
        <v>6.25</v>
      </c>
      <c r="N3970" s="143">
        <f ca="1">(PRODUCT($O$5:$O3970)-1)*36000/_xlfn.DAYS(L3970, $C$2)</f>
        <v>10.248003452427456</v>
      </c>
      <c r="O3970" s="149">
        <f t="shared" ca="1" si="134"/>
        <v>1.000173611111111</v>
      </c>
    </row>
    <row r="3971" spans="12:15" x14ac:dyDescent="0.25">
      <c r="L3971" s="147">
        <f ca="1"/>
        <v>49210</v>
      </c>
      <c r="M3971" s="92">
        <f t="shared" ca="1" si="133"/>
        <v>6.25</v>
      </c>
      <c r="N3971" s="143">
        <f ca="1">(PRODUCT($O$5:$O3971)-1)*36000/_xlfn.DAYS(L3971, $C$2)</f>
        <v>10.248774355861968</v>
      </c>
      <c r="O3971" s="149">
        <f t="shared" ca="1" si="134"/>
        <v>1.000173611111111</v>
      </c>
    </row>
    <row r="3972" spans="12:15" x14ac:dyDescent="0.25">
      <c r="L3972" s="147">
        <f ca="1"/>
        <v>49211</v>
      </c>
      <c r="M3972" s="92">
        <f t="shared" ca="1" si="133"/>
        <v>6.25</v>
      </c>
      <c r="N3972" s="143">
        <f ca="1">(PRODUCT($O$5:$O3972)-1)*36000/_xlfn.DAYS(L3972, $C$2)</f>
        <v>10.249545452918802</v>
      </c>
      <c r="O3972" s="149">
        <f t="shared" ca="1" si="134"/>
        <v>1.000173611111111</v>
      </c>
    </row>
    <row r="3973" spans="12:15" x14ac:dyDescent="0.25">
      <c r="L3973" s="147">
        <f ca="1"/>
        <v>49212</v>
      </c>
      <c r="M3973" s="92">
        <f t="shared" ref="M3973:M4036" ca="1" si="135">IFERROR(INDEX($E$27:$H$47, MATCH(L3973, $F$27:$F$47, 0), 4), IF(ISNUMBER(M3972), M3972, $C$5))</f>
        <v>6.25</v>
      </c>
      <c r="N3973" s="143">
        <f ca="1">(PRODUCT($O$5:$O3973)-1)*36000/_xlfn.DAYS(L3973, $C$2)</f>
        <v>10.250316743552652</v>
      </c>
      <c r="O3973" s="149">
        <f t="shared" ca="1" si="134"/>
        <v>1.000173611111111</v>
      </c>
    </row>
    <row r="3974" spans="12:15" x14ac:dyDescent="0.25">
      <c r="L3974" s="147">
        <f ca="1"/>
        <v>49213</v>
      </c>
      <c r="M3974" s="92">
        <f t="shared" ca="1" si="135"/>
        <v>6.25</v>
      </c>
      <c r="N3974" s="143">
        <f ca="1">(PRODUCT($O$5:$O3974)-1)*36000/_xlfn.DAYS(L3974, $C$2)</f>
        <v>10.251088227718281</v>
      </c>
      <c r="O3974" s="149">
        <f t="shared" ref="O3974:O4037" ca="1" si="136">1+M3974*IFERROR(_xlfn.DAYS(L3974, L3973), _xlfn.DAYS(L3974, $C$2))/36000</f>
        <v>1.000173611111111</v>
      </c>
    </row>
    <row r="3975" spans="12:15" x14ac:dyDescent="0.25">
      <c r="L3975" s="147">
        <f ca="1"/>
        <v>49214</v>
      </c>
      <c r="M3975" s="92">
        <f t="shared" ca="1" si="135"/>
        <v>6.25</v>
      </c>
      <c r="N3975" s="143">
        <f ca="1">(PRODUCT($O$5:$O3975)-1)*36000/_xlfn.DAYS(L3975, $C$2)</f>
        <v>10.251859905370512</v>
      </c>
      <c r="O3975" s="149">
        <f t="shared" ca="1" si="136"/>
        <v>1.000173611111111</v>
      </c>
    </row>
    <row r="3976" spans="12:15" x14ac:dyDescent="0.25">
      <c r="L3976" s="147">
        <f ca="1"/>
        <v>49215</v>
      </c>
      <c r="M3976" s="92">
        <f t="shared" ca="1" si="135"/>
        <v>6.25</v>
      </c>
      <c r="N3976" s="143">
        <f ca="1">(PRODUCT($O$5:$O3976)-1)*36000/_xlfn.DAYS(L3976, $C$2)</f>
        <v>10.252631776464231</v>
      </c>
      <c r="O3976" s="149">
        <f t="shared" ca="1" si="136"/>
        <v>1.000173611111111</v>
      </c>
    </row>
    <row r="3977" spans="12:15" x14ac:dyDescent="0.25">
      <c r="L3977" s="147">
        <f ca="1"/>
        <v>49216</v>
      </c>
      <c r="M3977" s="92">
        <f t="shared" ca="1" si="135"/>
        <v>6.25</v>
      </c>
      <c r="N3977" s="143">
        <f ca="1">(PRODUCT($O$5:$O3977)-1)*36000/_xlfn.DAYS(L3977, $C$2)</f>
        <v>10.253403840954386</v>
      </c>
      <c r="O3977" s="149">
        <f t="shared" ca="1" si="136"/>
        <v>1.000173611111111</v>
      </c>
    </row>
    <row r="3978" spans="12:15" x14ac:dyDescent="0.25">
      <c r="L3978" s="147">
        <f ca="1"/>
        <v>49217</v>
      </c>
      <c r="M3978" s="92">
        <f t="shared" ca="1" si="135"/>
        <v>6.25</v>
      </c>
      <c r="N3978" s="143">
        <f ca="1">(PRODUCT($O$5:$O3978)-1)*36000/_xlfn.DAYS(L3978, $C$2)</f>
        <v>10.254176098795988</v>
      </c>
      <c r="O3978" s="149">
        <f t="shared" ca="1" si="136"/>
        <v>1.000173611111111</v>
      </c>
    </row>
    <row r="3979" spans="12:15" x14ac:dyDescent="0.25">
      <c r="L3979" s="147">
        <f ca="1"/>
        <v>49218</v>
      </c>
      <c r="M3979" s="92">
        <f t="shared" ca="1" si="135"/>
        <v>6.25</v>
      </c>
      <c r="N3979" s="143">
        <f ca="1">(PRODUCT($O$5:$O3979)-1)*36000/_xlfn.DAYS(L3979, $C$2)</f>
        <v>10.254948549944116</v>
      </c>
      <c r="O3979" s="149">
        <f t="shared" ca="1" si="136"/>
        <v>1.000173611111111</v>
      </c>
    </row>
    <row r="3980" spans="12:15" x14ac:dyDescent="0.25">
      <c r="L3980" s="147">
        <f ca="1"/>
        <v>49219</v>
      </c>
      <c r="M3980" s="92">
        <f t="shared" ca="1" si="135"/>
        <v>6.25</v>
      </c>
      <c r="N3980" s="143">
        <f ca="1">(PRODUCT($O$5:$O3980)-1)*36000/_xlfn.DAYS(L3980, $C$2)</f>
        <v>10.255721194353903</v>
      </c>
      <c r="O3980" s="149">
        <f t="shared" ca="1" si="136"/>
        <v>1.000173611111111</v>
      </c>
    </row>
    <row r="3981" spans="12:15" x14ac:dyDescent="0.25">
      <c r="L3981" s="147">
        <f ca="1"/>
        <v>49220</v>
      </c>
      <c r="M3981" s="92">
        <f t="shared" ca="1" si="135"/>
        <v>6.25</v>
      </c>
      <c r="N3981" s="143">
        <f ca="1">(PRODUCT($O$5:$O3981)-1)*36000/_xlfn.DAYS(L3981, $C$2)</f>
        <v>10.256494031980552</v>
      </c>
      <c r="O3981" s="149">
        <f t="shared" ca="1" si="136"/>
        <v>1.000173611111111</v>
      </c>
    </row>
    <row r="3982" spans="12:15" x14ac:dyDescent="0.25">
      <c r="L3982" s="147">
        <f ca="1"/>
        <v>49221</v>
      </c>
      <c r="M3982" s="92">
        <f t="shared" ca="1" si="135"/>
        <v>6.25</v>
      </c>
      <c r="N3982" s="143">
        <f ca="1">(PRODUCT($O$5:$O3982)-1)*36000/_xlfn.DAYS(L3982, $C$2)</f>
        <v>10.257267062779325</v>
      </c>
      <c r="O3982" s="149">
        <f t="shared" ca="1" si="136"/>
        <v>1.000173611111111</v>
      </c>
    </row>
    <row r="3983" spans="12:15" x14ac:dyDescent="0.25">
      <c r="L3983" s="147">
        <f ca="1"/>
        <v>49222</v>
      </c>
      <c r="M3983" s="92">
        <f t="shared" ca="1" si="135"/>
        <v>6.25</v>
      </c>
      <c r="N3983" s="143">
        <f ca="1">(PRODUCT($O$5:$O3983)-1)*36000/_xlfn.DAYS(L3983, $C$2)</f>
        <v>10.258040286705549</v>
      </c>
      <c r="O3983" s="149">
        <f t="shared" ca="1" si="136"/>
        <v>1.000173611111111</v>
      </c>
    </row>
    <row r="3984" spans="12:15" x14ac:dyDescent="0.25">
      <c r="L3984" s="147">
        <f ca="1"/>
        <v>49223</v>
      </c>
      <c r="M3984" s="92">
        <f t="shared" ca="1" si="135"/>
        <v>6.25</v>
      </c>
      <c r="N3984" s="143">
        <f ca="1">(PRODUCT($O$5:$O3984)-1)*36000/_xlfn.DAYS(L3984, $C$2)</f>
        <v>10.258813703714612</v>
      </c>
      <c r="O3984" s="149">
        <f t="shared" ca="1" si="136"/>
        <v>1.000173611111111</v>
      </c>
    </row>
    <row r="3985" spans="12:15" x14ac:dyDescent="0.25">
      <c r="L3985" s="147">
        <f ca="1"/>
        <v>49224</v>
      </c>
      <c r="M3985" s="92">
        <f t="shared" ca="1" si="135"/>
        <v>6.25</v>
      </c>
      <c r="N3985" s="143">
        <f ca="1">(PRODUCT($O$5:$O3985)-1)*36000/_xlfn.DAYS(L3985, $C$2)</f>
        <v>10.25958731376196</v>
      </c>
      <c r="O3985" s="149">
        <f t="shared" ca="1" si="136"/>
        <v>1.000173611111111</v>
      </c>
    </row>
    <row r="3986" spans="12:15" x14ac:dyDescent="0.25">
      <c r="L3986" s="147">
        <f ca="1"/>
        <v>49225</v>
      </c>
      <c r="M3986" s="92">
        <f t="shared" ca="1" si="135"/>
        <v>6.25</v>
      </c>
      <c r="N3986" s="143">
        <f ca="1">(PRODUCT($O$5:$O3986)-1)*36000/_xlfn.DAYS(L3986, $C$2)</f>
        <v>10.260361116803111</v>
      </c>
      <c r="O3986" s="149">
        <f t="shared" ca="1" si="136"/>
        <v>1.000173611111111</v>
      </c>
    </row>
    <row r="3987" spans="12:15" x14ac:dyDescent="0.25">
      <c r="L3987" s="147">
        <f ca="1"/>
        <v>49226</v>
      </c>
      <c r="M3987" s="92">
        <f t="shared" ca="1" si="135"/>
        <v>6.25</v>
      </c>
      <c r="N3987" s="143">
        <f ca="1">(PRODUCT($O$5:$O3987)-1)*36000/_xlfn.DAYS(L3987, $C$2)</f>
        <v>10.261135112793633</v>
      </c>
      <c r="O3987" s="149">
        <f t="shared" ca="1" si="136"/>
        <v>1.000173611111111</v>
      </c>
    </row>
    <row r="3988" spans="12:15" x14ac:dyDescent="0.25">
      <c r="L3988" s="147">
        <f ca="1"/>
        <v>49227</v>
      </c>
      <c r="M3988" s="92">
        <f t="shared" ca="1" si="135"/>
        <v>6.25</v>
      </c>
      <c r="N3988" s="143">
        <f ca="1">(PRODUCT($O$5:$O3988)-1)*36000/_xlfn.DAYS(L3988, $C$2)</f>
        <v>10.261909301689169</v>
      </c>
      <c r="O3988" s="149">
        <f t="shared" ca="1" si="136"/>
        <v>1.000173611111111</v>
      </c>
    </row>
    <row r="3989" spans="12:15" x14ac:dyDescent="0.25">
      <c r="L3989" s="147">
        <f ca="1"/>
        <v>49228</v>
      </c>
      <c r="M3989" s="92">
        <f t="shared" ca="1" si="135"/>
        <v>6.25</v>
      </c>
      <c r="N3989" s="143">
        <f ca="1">(PRODUCT($O$5:$O3989)-1)*36000/_xlfn.DAYS(L3989, $C$2)</f>
        <v>10.262683683445415</v>
      </c>
      <c r="O3989" s="149">
        <f t="shared" ca="1" si="136"/>
        <v>1.000173611111111</v>
      </c>
    </row>
    <row r="3990" spans="12:15" x14ac:dyDescent="0.25">
      <c r="L3990" s="147">
        <f ca="1"/>
        <v>49229</v>
      </c>
      <c r="M3990" s="92">
        <f t="shared" ca="1" si="135"/>
        <v>6.25</v>
      </c>
      <c r="N3990" s="143">
        <f ca="1">(PRODUCT($O$5:$O3990)-1)*36000/_xlfn.DAYS(L3990, $C$2)</f>
        <v>10.263458258018128</v>
      </c>
      <c r="O3990" s="149">
        <f t="shared" ca="1" si="136"/>
        <v>1.000173611111111</v>
      </c>
    </row>
    <row r="3991" spans="12:15" x14ac:dyDescent="0.25">
      <c r="L3991" s="147">
        <f ca="1"/>
        <v>49230</v>
      </c>
      <c r="M3991" s="92">
        <f t="shared" ca="1" si="135"/>
        <v>6.25</v>
      </c>
      <c r="N3991" s="143">
        <f ca="1">(PRODUCT($O$5:$O3991)-1)*36000/_xlfn.DAYS(L3991, $C$2)</f>
        <v>10.264233025363142</v>
      </c>
      <c r="O3991" s="149">
        <f t="shared" ca="1" si="136"/>
        <v>1.000173611111111</v>
      </c>
    </row>
    <row r="3992" spans="12:15" x14ac:dyDescent="0.25">
      <c r="L3992" s="147">
        <f ca="1"/>
        <v>49231</v>
      </c>
      <c r="M3992" s="92">
        <f t="shared" ca="1" si="135"/>
        <v>6.25</v>
      </c>
      <c r="N3992" s="143">
        <f ca="1">(PRODUCT($O$5:$O3992)-1)*36000/_xlfn.DAYS(L3992, $C$2)</f>
        <v>10.265007985436331</v>
      </c>
      <c r="O3992" s="149">
        <f t="shared" ca="1" si="136"/>
        <v>1.000173611111111</v>
      </c>
    </row>
    <row r="3993" spans="12:15" x14ac:dyDescent="0.25">
      <c r="L3993" s="147">
        <f ca="1"/>
        <v>49232</v>
      </c>
      <c r="M3993" s="92">
        <f t="shared" ca="1" si="135"/>
        <v>6.25</v>
      </c>
      <c r="N3993" s="143">
        <f ca="1">(PRODUCT($O$5:$O3993)-1)*36000/_xlfn.DAYS(L3993, $C$2)</f>
        <v>10.26578313819364</v>
      </c>
      <c r="O3993" s="149">
        <f t="shared" ca="1" si="136"/>
        <v>1.000173611111111</v>
      </c>
    </row>
    <row r="3994" spans="12:15" x14ac:dyDescent="0.25">
      <c r="L3994" s="147">
        <f ca="1"/>
        <v>49233</v>
      </c>
      <c r="M3994" s="92">
        <f t="shared" ca="1" si="135"/>
        <v>6.25</v>
      </c>
      <c r="N3994" s="143">
        <f ca="1">(PRODUCT($O$5:$O3994)-1)*36000/_xlfn.DAYS(L3994, $C$2)</f>
        <v>10.266558483591083</v>
      </c>
      <c r="O3994" s="149">
        <f t="shared" ca="1" si="136"/>
        <v>1.000173611111111</v>
      </c>
    </row>
    <row r="3995" spans="12:15" x14ac:dyDescent="0.25">
      <c r="L3995" s="147">
        <f ca="1"/>
        <v>49234</v>
      </c>
      <c r="M3995" s="92">
        <f t="shared" ca="1" si="135"/>
        <v>6.25</v>
      </c>
      <c r="N3995" s="143">
        <f ca="1">(PRODUCT($O$5:$O3995)-1)*36000/_xlfn.DAYS(L3995, $C$2)</f>
        <v>10.26733402158473</v>
      </c>
      <c r="O3995" s="149">
        <f t="shared" ca="1" si="136"/>
        <v>1.000173611111111</v>
      </c>
    </row>
    <row r="3996" spans="12:15" x14ac:dyDescent="0.25">
      <c r="L3996" s="147">
        <f ca="1"/>
        <v>49235</v>
      </c>
      <c r="M3996" s="92">
        <f t="shared" ca="1" si="135"/>
        <v>6.25</v>
      </c>
      <c r="N3996" s="143">
        <f ca="1">(PRODUCT($O$5:$O3996)-1)*36000/_xlfn.DAYS(L3996, $C$2)</f>
        <v>10.268109752130709</v>
      </c>
      <c r="O3996" s="149">
        <f t="shared" ca="1" si="136"/>
        <v>1.000173611111111</v>
      </c>
    </row>
    <row r="3997" spans="12:15" x14ac:dyDescent="0.25">
      <c r="L3997" s="147">
        <f ca="1"/>
        <v>49236</v>
      </c>
      <c r="M3997" s="92">
        <f t="shared" ca="1" si="135"/>
        <v>6.25</v>
      </c>
      <c r="N3997" s="143">
        <f ca="1">(PRODUCT($O$5:$O3997)-1)*36000/_xlfn.DAYS(L3997, $C$2)</f>
        <v>10.268885675185214</v>
      </c>
      <c r="O3997" s="149">
        <f t="shared" ca="1" si="136"/>
        <v>1.000173611111111</v>
      </c>
    </row>
    <row r="3998" spans="12:15" x14ac:dyDescent="0.25">
      <c r="L3998" s="147">
        <f ca="1"/>
        <v>49237</v>
      </c>
      <c r="M3998" s="92">
        <f t="shared" ca="1" si="135"/>
        <v>6.25</v>
      </c>
      <c r="N3998" s="143">
        <f ca="1">(PRODUCT($O$5:$O3998)-1)*36000/_xlfn.DAYS(L3998, $C$2)</f>
        <v>10.269661790704495</v>
      </c>
      <c r="O3998" s="149">
        <f t="shared" ca="1" si="136"/>
        <v>1.000173611111111</v>
      </c>
    </row>
    <row r="3999" spans="12:15" x14ac:dyDescent="0.25">
      <c r="L3999" s="147">
        <f ca="1"/>
        <v>49238</v>
      </c>
      <c r="M3999" s="92">
        <f t="shared" ca="1" si="135"/>
        <v>6.25</v>
      </c>
      <c r="N3999" s="143">
        <f ca="1">(PRODUCT($O$5:$O3999)-1)*36000/_xlfn.DAYS(L3999, $C$2)</f>
        <v>10.27043809864487</v>
      </c>
      <c r="O3999" s="149">
        <f t="shared" ca="1" si="136"/>
        <v>1.000173611111111</v>
      </c>
    </row>
    <row r="4000" spans="12:15" x14ac:dyDescent="0.25">
      <c r="L4000" s="147">
        <f ca="1"/>
        <v>49239</v>
      </c>
      <c r="M4000" s="92">
        <f t="shared" ca="1" si="135"/>
        <v>6.25</v>
      </c>
      <c r="N4000" s="143">
        <f ca="1">(PRODUCT($O$5:$O4000)-1)*36000/_xlfn.DAYS(L4000, $C$2)</f>
        <v>10.271214598962715</v>
      </c>
      <c r="O4000" s="149">
        <f t="shared" ca="1" si="136"/>
        <v>1.000173611111111</v>
      </c>
    </row>
    <row r="4001" spans="12:15" x14ac:dyDescent="0.25">
      <c r="L4001" s="147">
        <f ca="1"/>
        <v>49240</v>
      </c>
      <c r="M4001" s="92">
        <f t="shared" ca="1" si="135"/>
        <v>6.25</v>
      </c>
      <c r="N4001" s="143">
        <f ca="1">(PRODUCT($O$5:$O4001)-1)*36000/_xlfn.DAYS(L4001, $C$2)</f>
        <v>10.271991291614468</v>
      </c>
      <c r="O4001" s="149">
        <f t="shared" ca="1" si="136"/>
        <v>1.000173611111111</v>
      </c>
    </row>
    <row r="4002" spans="12:15" x14ac:dyDescent="0.25">
      <c r="L4002" s="147">
        <f ca="1"/>
        <v>49241</v>
      </c>
      <c r="M4002" s="92">
        <f t="shared" ca="1" si="135"/>
        <v>6.25</v>
      </c>
      <c r="N4002" s="143">
        <f ca="1">(PRODUCT($O$5:$O4002)-1)*36000/_xlfn.DAYS(L4002, $C$2)</f>
        <v>10.272768176556626</v>
      </c>
      <c r="O4002" s="149">
        <f t="shared" ca="1" si="136"/>
        <v>1.000173611111111</v>
      </c>
    </row>
    <row r="4003" spans="12:15" x14ac:dyDescent="0.25">
      <c r="L4003" s="147">
        <f ca="1"/>
        <v>49242</v>
      </c>
      <c r="M4003" s="92">
        <f t="shared" ca="1" si="135"/>
        <v>6.25</v>
      </c>
      <c r="N4003" s="143">
        <f ca="1">(PRODUCT($O$5:$O4003)-1)*36000/_xlfn.DAYS(L4003, $C$2)</f>
        <v>10.273545253745752</v>
      </c>
      <c r="O4003" s="149">
        <f t="shared" ca="1" si="136"/>
        <v>1.000173611111111</v>
      </c>
    </row>
    <row r="4004" spans="12:15" x14ac:dyDescent="0.25">
      <c r="L4004" s="147">
        <f ca="1"/>
        <v>49243</v>
      </c>
      <c r="M4004" s="92">
        <f t="shared" ca="1" si="135"/>
        <v>6.25</v>
      </c>
      <c r="N4004" s="143">
        <f ca="1">(PRODUCT($O$5:$O4004)-1)*36000/_xlfn.DAYS(L4004, $C$2)</f>
        <v>10.274322523138466</v>
      </c>
      <c r="O4004" s="149">
        <f t="shared" ca="1" si="136"/>
        <v>1.000173611111111</v>
      </c>
    </row>
    <row r="4005" spans="12:15" x14ac:dyDescent="0.25">
      <c r="L4005" s="147">
        <f ca="1"/>
        <v>49244</v>
      </c>
      <c r="M4005" s="92">
        <f t="shared" ca="1" si="135"/>
        <v>6.25</v>
      </c>
      <c r="N4005" s="143">
        <f ca="1">(PRODUCT($O$5:$O4005)-1)*36000/_xlfn.DAYS(L4005, $C$2)</f>
        <v>10.275099984691447</v>
      </c>
      <c r="O4005" s="149">
        <f t="shared" ca="1" si="136"/>
        <v>1.000173611111111</v>
      </c>
    </row>
    <row r="4006" spans="12:15" x14ac:dyDescent="0.25">
      <c r="L4006" s="147">
        <f ca="1"/>
        <v>49245</v>
      </c>
      <c r="M4006" s="92">
        <f t="shared" ca="1" si="135"/>
        <v>6.25</v>
      </c>
      <c r="N4006" s="143">
        <f ca="1">(PRODUCT($O$5:$O4006)-1)*36000/_xlfn.DAYS(L4006, $C$2)</f>
        <v>10.27587763836144</v>
      </c>
      <c r="O4006" s="149">
        <f t="shared" ca="1" si="136"/>
        <v>1.000173611111111</v>
      </c>
    </row>
    <row r="4007" spans="12:15" x14ac:dyDescent="0.25">
      <c r="L4007" s="147">
        <f ca="1"/>
        <v>49246</v>
      </c>
      <c r="M4007" s="92">
        <f t="shared" ca="1" si="135"/>
        <v>6.25</v>
      </c>
      <c r="N4007" s="143">
        <f ca="1">(PRODUCT($O$5:$O4007)-1)*36000/_xlfn.DAYS(L4007, $C$2)</f>
        <v>10.276655484105245</v>
      </c>
      <c r="O4007" s="149">
        <f t="shared" ca="1" si="136"/>
        <v>1.000173611111111</v>
      </c>
    </row>
    <row r="4008" spans="12:15" x14ac:dyDescent="0.25">
      <c r="L4008" s="147">
        <f ca="1"/>
        <v>49247</v>
      </c>
      <c r="M4008" s="92">
        <f t="shared" ca="1" si="135"/>
        <v>6.25</v>
      </c>
      <c r="N4008" s="143">
        <f ca="1">(PRODUCT($O$5:$O4008)-1)*36000/_xlfn.DAYS(L4008, $C$2)</f>
        <v>10.277433521879727</v>
      </c>
      <c r="O4008" s="149">
        <f t="shared" ca="1" si="136"/>
        <v>1.000173611111111</v>
      </c>
    </row>
    <row r="4009" spans="12:15" x14ac:dyDescent="0.25">
      <c r="L4009" s="147">
        <f ca="1"/>
        <v>49248</v>
      </c>
      <c r="M4009" s="92">
        <f t="shared" ca="1" si="135"/>
        <v>6.25</v>
      </c>
      <c r="N4009" s="143">
        <f ca="1">(PRODUCT($O$5:$O4009)-1)*36000/_xlfn.DAYS(L4009, $C$2)</f>
        <v>10.278211751641811</v>
      </c>
      <c r="O4009" s="149">
        <f t="shared" ca="1" si="136"/>
        <v>1.000173611111111</v>
      </c>
    </row>
    <row r="4010" spans="12:15" x14ac:dyDescent="0.25">
      <c r="L4010" s="147">
        <f ca="1"/>
        <v>49249</v>
      </c>
      <c r="M4010" s="92">
        <f t="shared" ca="1" si="135"/>
        <v>6.25</v>
      </c>
      <c r="N4010" s="143">
        <f ca="1">(PRODUCT($O$5:$O4010)-1)*36000/_xlfn.DAYS(L4010, $C$2)</f>
        <v>10.278990173348483</v>
      </c>
      <c r="O4010" s="149">
        <f t="shared" ca="1" si="136"/>
        <v>1.000173611111111</v>
      </c>
    </row>
    <row r="4011" spans="12:15" x14ac:dyDescent="0.25">
      <c r="L4011" s="147">
        <f ca="1"/>
        <v>49250</v>
      </c>
      <c r="M4011" s="92">
        <f t="shared" ca="1" si="135"/>
        <v>6.25</v>
      </c>
      <c r="N4011" s="143">
        <f ca="1">(PRODUCT($O$5:$O4011)-1)*36000/_xlfn.DAYS(L4011, $C$2)</f>
        <v>10.279768786956781</v>
      </c>
      <c r="O4011" s="149">
        <f t="shared" ca="1" si="136"/>
        <v>1.000173611111111</v>
      </c>
    </row>
    <row r="4012" spans="12:15" x14ac:dyDescent="0.25">
      <c r="L4012" s="147">
        <f ca="1"/>
        <v>49251</v>
      </c>
      <c r="M4012" s="92">
        <f t="shared" ca="1" si="135"/>
        <v>6.25</v>
      </c>
      <c r="N4012" s="143">
        <f ca="1">(PRODUCT($O$5:$O4012)-1)*36000/_xlfn.DAYS(L4012, $C$2)</f>
        <v>10.280547592423815</v>
      </c>
      <c r="O4012" s="149">
        <f t="shared" ca="1" si="136"/>
        <v>1.000173611111111</v>
      </c>
    </row>
    <row r="4013" spans="12:15" x14ac:dyDescent="0.25">
      <c r="L4013" s="147">
        <f ca="1"/>
        <v>49252</v>
      </c>
      <c r="M4013" s="92">
        <f t="shared" ca="1" si="135"/>
        <v>6.25</v>
      </c>
      <c r="N4013" s="143">
        <f ca="1">(PRODUCT($O$5:$O4013)-1)*36000/_xlfn.DAYS(L4013, $C$2)</f>
        <v>10.281326589706753</v>
      </c>
      <c r="O4013" s="149">
        <f t="shared" ca="1" si="136"/>
        <v>1.000173611111111</v>
      </c>
    </row>
    <row r="4014" spans="12:15" x14ac:dyDescent="0.25">
      <c r="L4014" s="147">
        <f ca="1"/>
        <v>49253</v>
      </c>
      <c r="M4014" s="92">
        <f t="shared" ca="1" si="135"/>
        <v>6.25</v>
      </c>
      <c r="N4014" s="143">
        <f ca="1">(PRODUCT($O$5:$O4014)-1)*36000/_xlfn.DAYS(L4014, $C$2)</f>
        <v>10.282105778762823</v>
      </c>
      <c r="O4014" s="149">
        <f t="shared" ca="1" si="136"/>
        <v>1.000173611111111</v>
      </c>
    </row>
    <row r="4015" spans="12:15" x14ac:dyDescent="0.25">
      <c r="L4015" s="147">
        <f ca="1"/>
        <v>49254</v>
      </c>
      <c r="M4015" s="92">
        <f t="shared" ca="1" si="135"/>
        <v>6.25</v>
      </c>
      <c r="N4015" s="143">
        <f ca="1">(PRODUCT($O$5:$O4015)-1)*36000/_xlfn.DAYS(L4015, $C$2)</f>
        <v>10.2828851595493</v>
      </c>
      <c r="O4015" s="149">
        <f t="shared" ca="1" si="136"/>
        <v>1.000173611111111</v>
      </c>
    </row>
    <row r="4016" spans="12:15" x14ac:dyDescent="0.25">
      <c r="L4016" s="147">
        <f ca="1"/>
        <v>49255</v>
      </c>
      <c r="M4016" s="92">
        <f t="shared" ca="1" si="135"/>
        <v>6.25</v>
      </c>
      <c r="N4016" s="143">
        <f ca="1">(PRODUCT($O$5:$O4016)-1)*36000/_xlfn.DAYS(L4016, $C$2)</f>
        <v>10.283664732023542</v>
      </c>
      <c r="O4016" s="149">
        <f t="shared" ca="1" si="136"/>
        <v>1.000173611111111</v>
      </c>
    </row>
    <row r="4017" spans="12:15" x14ac:dyDescent="0.25">
      <c r="L4017" s="147">
        <f ca="1"/>
        <v>49256</v>
      </c>
      <c r="M4017" s="92">
        <f t="shared" ca="1" si="135"/>
        <v>6.25</v>
      </c>
      <c r="N4017" s="143">
        <f ca="1">(PRODUCT($O$5:$O4017)-1)*36000/_xlfn.DAYS(L4017, $C$2)</f>
        <v>10.284444496142948</v>
      </c>
      <c r="O4017" s="149">
        <f t="shared" ca="1" si="136"/>
        <v>1.000173611111111</v>
      </c>
    </row>
    <row r="4018" spans="12:15" x14ac:dyDescent="0.25">
      <c r="L4018" s="147">
        <f ca="1"/>
        <v>49257</v>
      </c>
      <c r="M4018" s="92">
        <f t="shared" ca="1" si="135"/>
        <v>6.25</v>
      </c>
      <c r="N4018" s="143">
        <f ca="1">(PRODUCT($O$5:$O4018)-1)*36000/_xlfn.DAYS(L4018, $C$2)</f>
        <v>10.285224451864989</v>
      </c>
      <c r="O4018" s="149">
        <f t="shared" ca="1" si="136"/>
        <v>1.000173611111111</v>
      </c>
    </row>
    <row r="4019" spans="12:15" x14ac:dyDescent="0.25">
      <c r="L4019" s="147">
        <f ca="1"/>
        <v>49258</v>
      </c>
      <c r="M4019" s="92">
        <f t="shared" ca="1" si="135"/>
        <v>6.25</v>
      </c>
      <c r="N4019" s="143">
        <f ca="1">(PRODUCT($O$5:$O4019)-1)*36000/_xlfn.DAYS(L4019, $C$2)</f>
        <v>10.286004599147184</v>
      </c>
      <c r="O4019" s="149">
        <f t="shared" ca="1" si="136"/>
        <v>1.000173611111111</v>
      </c>
    </row>
    <row r="4020" spans="12:15" x14ac:dyDescent="0.25">
      <c r="L4020" s="147">
        <f ca="1"/>
        <v>49259</v>
      </c>
      <c r="M4020" s="92">
        <f t="shared" ca="1" si="135"/>
        <v>6.25</v>
      </c>
      <c r="N4020" s="143">
        <f ca="1">(PRODUCT($O$5:$O4020)-1)*36000/_xlfn.DAYS(L4020, $C$2)</f>
        <v>10.286784937947127</v>
      </c>
      <c r="O4020" s="149">
        <f t="shared" ca="1" si="136"/>
        <v>1.000173611111111</v>
      </c>
    </row>
    <row r="4021" spans="12:15" x14ac:dyDescent="0.25">
      <c r="L4021" s="147">
        <f ca="1"/>
        <v>49260</v>
      </c>
      <c r="M4021" s="92">
        <f t="shared" ca="1" si="135"/>
        <v>6.25</v>
      </c>
      <c r="N4021" s="143">
        <f ca="1">(PRODUCT($O$5:$O4021)-1)*36000/_xlfn.DAYS(L4021, $C$2)</f>
        <v>10.287565468222455</v>
      </c>
      <c r="O4021" s="149">
        <f t="shared" ca="1" si="136"/>
        <v>1.000173611111111</v>
      </c>
    </row>
    <row r="4022" spans="12:15" x14ac:dyDescent="0.25">
      <c r="L4022" s="147">
        <f ca="1"/>
        <v>49261</v>
      </c>
      <c r="M4022" s="92">
        <f t="shared" ca="1" si="135"/>
        <v>6.25</v>
      </c>
      <c r="N4022" s="143">
        <f ca="1">(PRODUCT($O$5:$O4022)-1)*36000/_xlfn.DAYS(L4022, $C$2)</f>
        <v>10.288346189930884</v>
      </c>
      <c r="O4022" s="149">
        <f t="shared" ca="1" si="136"/>
        <v>1.000173611111111</v>
      </c>
    </row>
    <row r="4023" spans="12:15" x14ac:dyDescent="0.25">
      <c r="L4023" s="147">
        <f ca="1"/>
        <v>49262</v>
      </c>
      <c r="M4023" s="92">
        <f t="shared" ca="1" si="135"/>
        <v>6.25</v>
      </c>
      <c r="N4023" s="143">
        <f ca="1">(PRODUCT($O$5:$O4023)-1)*36000/_xlfn.DAYS(L4023, $C$2)</f>
        <v>10.28912710303017</v>
      </c>
      <c r="O4023" s="149">
        <f t="shared" ca="1" si="136"/>
        <v>1.000173611111111</v>
      </c>
    </row>
    <row r="4024" spans="12:15" x14ac:dyDescent="0.25">
      <c r="L4024" s="147">
        <f ca="1"/>
        <v>49263</v>
      </c>
      <c r="M4024" s="92">
        <f t="shared" ca="1" si="135"/>
        <v>6.25</v>
      </c>
      <c r="N4024" s="143">
        <f ca="1">(PRODUCT($O$5:$O4024)-1)*36000/_xlfn.DAYS(L4024, $C$2)</f>
        <v>10.289908207478137</v>
      </c>
      <c r="O4024" s="149">
        <f t="shared" ca="1" si="136"/>
        <v>1.000173611111111</v>
      </c>
    </row>
    <row r="4025" spans="12:15" x14ac:dyDescent="0.25">
      <c r="L4025" s="147">
        <f ca="1"/>
        <v>49264</v>
      </c>
      <c r="M4025" s="92">
        <f t="shared" ca="1" si="135"/>
        <v>6.25</v>
      </c>
      <c r="N4025" s="143">
        <f ca="1">(PRODUCT($O$5:$O4025)-1)*36000/_xlfn.DAYS(L4025, $C$2)</f>
        <v>10.290689503232672</v>
      </c>
      <c r="O4025" s="149">
        <f t="shared" ca="1" si="136"/>
        <v>1.000173611111111</v>
      </c>
    </row>
    <row r="4026" spans="12:15" x14ac:dyDescent="0.25">
      <c r="L4026" s="147">
        <f ca="1"/>
        <v>49265</v>
      </c>
      <c r="M4026" s="92">
        <f t="shared" ca="1" si="135"/>
        <v>6.25</v>
      </c>
      <c r="N4026" s="143">
        <f ca="1">(PRODUCT($O$5:$O4026)-1)*36000/_xlfn.DAYS(L4026, $C$2)</f>
        <v>10.291470990251714</v>
      </c>
      <c r="O4026" s="149">
        <f t="shared" ca="1" si="136"/>
        <v>1.000173611111111</v>
      </c>
    </row>
    <row r="4027" spans="12:15" x14ac:dyDescent="0.25">
      <c r="L4027" s="147">
        <f ca="1"/>
        <v>49266</v>
      </c>
      <c r="M4027" s="92">
        <f t="shared" ca="1" si="135"/>
        <v>6.25</v>
      </c>
      <c r="N4027" s="143">
        <f ca="1">(PRODUCT($O$5:$O4027)-1)*36000/_xlfn.DAYS(L4027, $C$2)</f>
        <v>10.292252668493269</v>
      </c>
      <c r="O4027" s="149">
        <f t="shared" ca="1" si="136"/>
        <v>1.000173611111111</v>
      </c>
    </row>
    <row r="4028" spans="12:15" x14ac:dyDescent="0.25">
      <c r="L4028" s="147">
        <f ca="1"/>
        <v>49267</v>
      </c>
      <c r="M4028" s="92">
        <f t="shared" ca="1" si="135"/>
        <v>6.25</v>
      </c>
      <c r="N4028" s="143">
        <f ca="1">(PRODUCT($O$5:$O4028)-1)*36000/_xlfn.DAYS(L4028, $C$2)</f>
        <v>10.2930345379154</v>
      </c>
      <c r="O4028" s="149">
        <f t="shared" ca="1" si="136"/>
        <v>1.000173611111111</v>
      </c>
    </row>
    <row r="4029" spans="12:15" x14ac:dyDescent="0.25">
      <c r="L4029" s="147">
        <f ca="1"/>
        <v>49268</v>
      </c>
      <c r="M4029" s="92">
        <f t="shared" ca="1" si="135"/>
        <v>6.25</v>
      </c>
      <c r="N4029" s="143">
        <f ca="1">(PRODUCT($O$5:$O4029)-1)*36000/_xlfn.DAYS(L4029, $C$2)</f>
        <v>10.293816598476225</v>
      </c>
      <c r="O4029" s="149">
        <f t="shared" ca="1" si="136"/>
        <v>1.000173611111111</v>
      </c>
    </row>
    <row r="4030" spans="12:15" x14ac:dyDescent="0.25">
      <c r="L4030" s="147">
        <f ca="1"/>
        <v>49269</v>
      </c>
      <c r="M4030" s="92">
        <f t="shared" ca="1" si="135"/>
        <v>6.25</v>
      </c>
      <c r="N4030" s="143">
        <f ca="1">(PRODUCT($O$5:$O4030)-1)*36000/_xlfn.DAYS(L4030, $C$2)</f>
        <v>10.294598850133921</v>
      </c>
      <c r="O4030" s="149">
        <f t="shared" ca="1" si="136"/>
        <v>1.000173611111111</v>
      </c>
    </row>
    <row r="4031" spans="12:15" x14ac:dyDescent="0.25">
      <c r="L4031" s="147">
        <f ca="1"/>
        <v>49270</v>
      </c>
      <c r="M4031" s="92">
        <f t="shared" ca="1" si="135"/>
        <v>6.25</v>
      </c>
      <c r="N4031" s="143">
        <f ca="1">(PRODUCT($O$5:$O4031)-1)*36000/_xlfn.DAYS(L4031, $C$2)</f>
        <v>10.295381292846729</v>
      </c>
      <c r="O4031" s="149">
        <f t="shared" ca="1" si="136"/>
        <v>1.000173611111111</v>
      </c>
    </row>
    <row r="4032" spans="12:15" x14ac:dyDescent="0.25">
      <c r="L4032" s="147">
        <f ca="1"/>
        <v>49271</v>
      </c>
      <c r="M4032" s="92">
        <f t="shared" ca="1" si="135"/>
        <v>6.25</v>
      </c>
      <c r="N4032" s="143">
        <f ca="1">(PRODUCT($O$5:$O4032)-1)*36000/_xlfn.DAYS(L4032, $C$2)</f>
        <v>10.29616392657295</v>
      </c>
      <c r="O4032" s="149">
        <f t="shared" ca="1" si="136"/>
        <v>1.000173611111111</v>
      </c>
    </row>
    <row r="4033" spans="12:15" x14ac:dyDescent="0.25">
      <c r="L4033" s="147">
        <f ca="1"/>
        <v>49272</v>
      </c>
      <c r="M4033" s="92">
        <f t="shared" ca="1" si="135"/>
        <v>6.25</v>
      </c>
      <c r="N4033" s="143">
        <f ca="1">(PRODUCT($O$5:$O4033)-1)*36000/_xlfn.DAYS(L4033, $C$2)</f>
        <v>10.296946751270935</v>
      </c>
      <c r="O4033" s="149">
        <f t="shared" ca="1" si="136"/>
        <v>1.000173611111111</v>
      </c>
    </row>
    <row r="4034" spans="12:15" x14ac:dyDescent="0.25">
      <c r="L4034" s="147">
        <f ca="1"/>
        <v>49273</v>
      </c>
      <c r="M4034" s="92">
        <f t="shared" ca="1" si="135"/>
        <v>6.25</v>
      </c>
      <c r="N4034" s="143">
        <f ca="1">(PRODUCT($O$5:$O4034)-1)*36000/_xlfn.DAYS(L4034, $C$2)</f>
        <v>10.297729766899101</v>
      </c>
      <c r="O4034" s="149">
        <f t="shared" ca="1" si="136"/>
        <v>1.000173611111111</v>
      </c>
    </row>
    <row r="4035" spans="12:15" x14ac:dyDescent="0.25">
      <c r="L4035" s="147">
        <f ca="1"/>
        <v>49274</v>
      </c>
      <c r="M4035" s="92">
        <f t="shared" ca="1" si="135"/>
        <v>6.25</v>
      </c>
      <c r="N4035" s="143">
        <f ca="1">(PRODUCT($O$5:$O4035)-1)*36000/_xlfn.DAYS(L4035, $C$2)</f>
        <v>10.298512973415924</v>
      </c>
      <c r="O4035" s="149">
        <f t="shared" ca="1" si="136"/>
        <v>1.000173611111111</v>
      </c>
    </row>
    <row r="4036" spans="12:15" x14ac:dyDescent="0.25">
      <c r="L4036" s="147">
        <f ca="1"/>
        <v>49275</v>
      </c>
      <c r="M4036" s="92">
        <f t="shared" ca="1" si="135"/>
        <v>6.25</v>
      </c>
      <c r="N4036" s="143">
        <f ca="1">(PRODUCT($O$5:$O4036)-1)*36000/_xlfn.DAYS(L4036, $C$2)</f>
        <v>10.299296370779937</v>
      </c>
      <c r="O4036" s="149">
        <f t="shared" ca="1" si="136"/>
        <v>1.000173611111111</v>
      </c>
    </row>
    <row r="4037" spans="12:15" x14ac:dyDescent="0.25">
      <c r="L4037" s="147">
        <f ca="1"/>
        <v>49276</v>
      </c>
      <c r="M4037" s="92">
        <f t="shared" ref="M4037:M4100" ca="1" si="137">IFERROR(INDEX($E$27:$H$47, MATCH(L4037, $F$27:$F$47, 0), 4), IF(ISNUMBER(M4036), M4036, $C$5))</f>
        <v>6.25</v>
      </c>
      <c r="N4037" s="143">
        <f ca="1">(PRODUCT($O$5:$O4037)-1)*36000/_xlfn.DAYS(L4037, $C$2)</f>
        <v>10.300079958949725</v>
      </c>
      <c r="O4037" s="149">
        <f t="shared" ca="1" si="136"/>
        <v>1.000173611111111</v>
      </c>
    </row>
    <row r="4038" spans="12:15" x14ac:dyDescent="0.25">
      <c r="L4038" s="147">
        <f ca="1"/>
        <v>49277</v>
      </c>
      <c r="M4038" s="92">
        <f t="shared" ca="1" si="137"/>
        <v>6.25</v>
      </c>
      <c r="N4038" s="143">
        <f ca="1">(PRODUCT($O$5:$O4038)-1)*36000/_xlfn.DAYS(L4038, $C$2)</f>
        <v>10.300863737883942</v>
      </c>
      <c r="O4038" s="149">
        <f t="shared" ref="O4038:O4101" ca="1" si="138">1+M4038*IFERROR(_xlfn.DAYS(L4038, L4037), _xlfn.DAYS(L4038, $C$2))/36000</f>
        <v>1.000173611111111</v>
      </c>
    </row>
    <row r="4039" spans="12:15" x14ac:dyDescent="0.25">
      <c r="L4039" s="147">
        <f ca="1"/>
        <v>49278</v>
      </c>
      <c r="M4039" s="92">
        <f t="shared" ca="1" si="137"/>
        <v>6.25</v>
      </c>
      <c r="N4039" s="143">
        <f ca="1">(PRODUCT($O$5:$O4039)-1)*36000/_xlfn.DAYS(L4039, $C$2)</f>
        <v>10.301647707541296</v>
      </c>
      <c r="O4039" s="149">
        <f t="shared" ca="1" si="138"/>
        <v>1.000173611111111</v>
      </c>
    </row>
    <row r="4040" spans="12:15" x14ac:dyDescent="0.25">
      <c r="L4040" s="147">
        <f ca="1"/>
        <v>49279</v>
      </c>
      <c r="M4040" s="92">
        <f t="shared" ca="1" si="137"/>
        <v>6.25</v>
      </c>
      <c r="N4040" s="143">
        <f ca="1">(PRODUCT($O$5:$O4040)-1)*36000/_xlfn.DAYS(L4040, $C$2)</f>
        <v>10.302431867880552</v>
      </c>
      <c r="O4040" s="149">
        <f t="shared" ca="1" si="138"/>
        <v>1.000173611111111</v>
      </c>
    </row>
    <row r="4041" spans="12:15" x14ac:dyDescent="0.25">
      <c r="L4041" s="147">
        <f ca="1"/>
        <v>49280</v>
      </c>
      <c r="M4041" s="92">
        <f t="shared" ca="1" si="137"/>
        <v>6.25</v>
      </c>
      <c r="N4041" s="143">
        <f ca="1">(PRODUCT($O$5:$O4041)-1)*36000/_xlfn.DAYS(L4041, $C$2)</f>
        <v>10.303216218860538</v>
      </c>
      <c r="O4041" s="149">
        <f t="shared" ca="1" si="138"/>
        <v>1.000173611111111</v>
      </c>
    </row>
    <row r="4042" spans="12:15" x14ac:dyDescent="0.25">
      <c r="L4042" s="147">
        <f ca="1"/>
        <v>49281</v>
      </c>
      <c r="M4042" s="92">
        <f t="shared" ca="1" si="137"/>
        <v>6.25</v>
      </c>
      <c r="N4042" s="143">
        <f ca="1">(PRODUCT($O$5:$O4042)-1)*36000/_xlfn.DAYS(L4042, $C$2)</f>
        <v>10.304000760440136</v>
      </c>
      <c r="O4042" s="149">
        <f t="shared" ca="1" si="138"/>
        <v>1.000173611111111</v>
      </c>
    </row>
    <row r="4043" spans="12:15" x14ac:dyDescent="0.25">
      <c r="L4043" s="147">
        <f ca="1"/>
        <v>49282</v>
      </c>
      <c r="M4043" s="92">
        <f t="shared" ca="1" si="137"/>
        <v>6.25</v>
      </c>
      <c r="N4043" s="143">
        <f ca="1">(PRODUCT($O$5:$O4043)-1)*36000/_xlfn.DAYS(L4043, $C$2)</f>
        <v>10.304785492578286</v>
      </c>
      <c r="O4043" s="149">
        <f t="shared" ca="1" si="138"/>
        <v>1.000173611111111</v>
      </c>
    </row>
    <row r="4044" spans="12:15" x14ac:dyDescent="0.25">
      <c r="L4044" s="147">
        <f ca="1"/>
        <v>49283</v>
      </c>
      <c r="M4044" s="92">
        <f t="shared" ca="1" si="137"/>
        <v>6.25</v>
      </c>
      <c r="N4044" s="143">
        <f ca="1">(PRODUCT($O$5:$O4044)-1)*36000/_xlfn.DAYS(L4044, $C$2)</f>
        <v>10.305570415233989</v>
      </c>
      <c r="O4044" s="149">
        <f t="shared" ca="1" si="138"/>
        <v>1.000173611111111</v>
      </c>
    </row>
    <row r="4045" spans="12:15" x14ac:dyDescent="0.25">
      <c r="L4045" s="147">
        <f ca="1"/>
        <v>49284</v>
      </c>
      <c r="M4045" s="92">
        <f t="shared" ca="1" si="137"/>
        <v>6.25</v>
      </c>
      <c r="N4045" s="143">
        <f ca="1">(PRODUCT($O$5:$O4045)-1)*36000/_xlfn.DAYS(L4045, $C$2)</f>
        <v>10.306355528366298</v>
      </c>
      <c r="O4045" s="149">
        <f t="shared" ca="1" si="138"/>
        <v>1.000173611111111</v>
      </c>
    </row>
    <row r="4046" spans="12:15" x14ac:dyDescent="0.25">
      <c r="L4046" s="147">
        <f ca="1"/>
        <v>49285</v>
      </c>
      <c r="M4046" s="92">
        <f t="shared" ca="1" si="137"/>
        <v>6.25</v>
      </c>
      <c r="N4046" s="143">
        <f ca="1">(PRODUCT($O$5:$O4046)-1)*36000/_xlfn.DAYS(L4046, $C$2)</f>
        <v>10.307140831934335</v>
      </c>
      <c r="O4046" s="149">
        <f t="shared" ca="1" si="138"/>
        <v>1.000173611111111</v>
      </c>
    </row>
    <row r="4047" spans="12:15" x14ac:dyDescent="0.25">
      <c r="L4047" s="147">
        <f ca="1"/>
        <v>49286</v>
      </c>
      <c r="M4047" s="92">
        <f t="shared" ca="1" si="137"/>
        <v>6.25</v>
      </c>
      <c r="N4047" s="143">
        <f ca="1">(PRODUCT($O$5:$O4047)-1)*36000/_xlfn.DAYS(L4047, $C$2)</f>
        <v>10.307926325897267</v>
      </c>
      <c r="O4047" s="149">
        <f t="shared" ca="1" si="138"/>
        <v>1.000173611111111</v>
      </c>
    </row>
    <row r="4048" spans="12:15" x14ac:dyDescent="0.25">
      <c r="L4048" s="147">
        <f ca="1"/>
        <v>49287</v>
      </c>
      <c r="M4048" s="92">
        <f t="shared" ca="1" si="137"/>
        <v>6.25</v>
      </c>
      <c r="N4048" s="143">
        <f ca="1">(PRODUCT($O$5:$O4048)-1)*36000/_xlfn.DAYS(L4048, $C$2)</f>
        <v>10.308712010214327</v>
      </c>
      <c r="O4048" s="149">
        <f t="shared" ca="1" si="138"/>
        <v>1.000173611111111</v>
      </c>
    </row>
    <row r="4049" spans="12:15" x14ac:dyDescent="0.25">
      <c r="L4049" s="147">
        <f ca="1"/>
        <v>49288</v>
      </c>
      <c r="M4049" s="92">
        <f t="shared" ca="1" si="137"/>
        <v>6.25</v>
      </c>
      <c r="N4049" s="143">
        <f ca="1">(PRODUCT($O$5:$O4049)-1)*36000/_xlfn.DAYS(L4049, $C$2)</f>
        <v>10.309497884844804</v>
      </c>
      <c r="O4049" s="149">
        <f t="shared" ca="1" si="138"/>
        <v>1.000173611111111</v>
      </c>
    </row>
    <row r="4050" spans="12:15" x14ac:dyDescent="0.25">
      <c r="L4050" s="147">
        <f ca="1"/>
        <v>49289</v>
      </c>
      <c r="M4050" s="92">
        <f t="shared" ca="1" si="137"/>
        <v>6.25</v>
      </c>
      <c r="N4050" s="143">
        <f ca="1">(PRODUCT($O$5:$O4050)-1)*36000/_xlfn.DAYS(L4050, $C$2)</f>
        <v>10.310283949748044</v>
      </c>
      <c r="O4050" s="149">
        <f t="shared" ca="1" si="138"/>
        <v>1.000173611111111</v>
      </c>
    </row>
    <row r="4051" spans="12:15" x14ac:dyDescent="0.25">
      <c r="L4051" s="147">
        <f ca="1"/>
        <v>49290</v>
      </c>
      <c r="M4051" s="92">
        <f t="shared" ca="1" si="137"/>
        <v>6.25</v>
      </c>
      <c r="N4051" s="143">
        <f ca="1">(PRODUCT($O$5:$O4051)-1)*36000/_xlfn.DAYS(L4051, $C$2)</f>
        <v>10.311070204883455</v>
      </c>
      <c r="O4051" s="149">
        <f t="shared" ca="1" si="138"/>
        <v>1.000173611111111</v>
      </c>
    </row>
    <row r="4052" spans="12:15" x14ac:dyDescent="0.25">
      <c r="L4052" s="147">
        <f ca="1"/>
        <v>49291</v>
      </c>
      <c r="M4052" s="92">
        <f t="shared" ca="1" si="137"/>
        <v>6.25</v>
      </c>
      <c r="N4052" s="143">
        <f ca="1">(PRODUCT($O$5:$O4052)-1)*36000/_xlfn.DAYS(L4052, $C$2)</f>
        <v>10.31185665021049</v>
      </c>
      <c r="O4052" s="149">
        <f t="shared" ca="1" si="138"/>
        <v>1.000173611111111</v>
      </c>
    </row>
    <row r="4053" spans="12:15" x14ac:dyDescent="0.25">
      <c r="L4053" s="147">
        <f ca="1"/>
        <v>49292</v>
      </c>
      <c r="M4053" s="92">
        <f t="shared" ca="1" si="137"/>
        <v>6.25</v>
      </c>
      <c r="N4053" s="143">
        <f ca="1">(PRODUCT($O$5:$O4053)-1)*36000/_xlfn.DAYS(L4053, $C$2)</f>
        <v>10.312643285688679</v>
      </c>
      <c r="O4053" s="149">
        <f t="shared" ca="1" si="138"/>
        <v>1.000173611111111</v>
      </c>
    </row>
    <row r="4054" spans="12:15" x14ac:dyDescent="0.25">
      <c r="L4054" s="147">
        <f ca="1"/>
        <v>49293</v>
      </c>
      <c r="M4054" s="92">
        <f t="shared" ca="1" si="137"/>
        <v>6.25</v>
      </c>
      <c r="N4054" s="143">
        <f ca="1">(PRODUCT($O$5:$O4054)-1)*36000/_xlfn.DAYS(L4054, $C$2)</f>
        <v>10.313430111277594</v>
      </c>
      <c r="O4054" s="149">
        <f t="shared" ca="1" si="138"/>
        <v>1.000173611111111</v>
      </c>
    </row>
    <row r="4055" spans="12:15" x14ac:dyDescent="0.25">
      <c r="L4055" s="147">
        <f ca="1"/>
        <v>49294</v>
      </c>
      <c r="M4055" s="92">
        <f t="shared" ca="1" si="137"/>
        <v>6.25</v>
      </c>
      <c r="N4055" s="143">
        <f ca="1">(PRODUCT($O$5:$O4055)-1)*36000/_xlfn.DAYS(L4055, $C$2)</f>
        <v>10.314217126936862</v>
      </c>
      <c r="O4055" s="149">
        <f t="shared" ca="1" si="138"/>
        <v>1.000173611111111</v>
      </c>
    </row>
    <row r="4056" spans="12:15" x14ac:dyDescent="0.25">
      <c r="L4056" s="147">
        <f ca="1"/>
        <v>49295</v>
      </c>
      <c r="M4056" s="92">
        <f t="shared" ca="1" si="137"/>
        <v>6.25</v>
      </c>
      <c r="N4056" s="143">
        <f ca="1">(PRODUCT($O$5:$O4056)-1)*36000/_xlfn.DAYS(L4056, $C$2)</f>
        <v>10.315004332626186</v>
      </c>
      <c r="O4056" s="149">
        <f t="shared" ca="1" si="138"/>
        <v>1.000173611111111</v>
      </c>
    </row>
    <row r="4057" spans="12:15" x14ac:dyDescent="0.25">
      <c r="L4057" s="147">
        <f ca="1"/>
        <v>49296</v>
      </c>
      <c r="M4057" s="92">
        <f t="shared" ca="1" si="137"/>
        <v>6.25</v>
      </c>
      <c r="N4057" s="143">
        <f ca="1">(PRODUCT($O$5:$O4057)-1)*36000/_xlfn.DAYS(L4057, $C$2)</f>
        <v>10.315791728305303</v>
      </c>
      <c r="O4057" s="149">
        <f t="shared" ca="1" si="138"/>
        <v>1.000173611111111</v>
      </c>
    </row>
    <row r="4058" spans="12:15" x14ac:dyDescent="0.25">
      <c r="L4058" s="147">
        <f ca="1"/>
        <v>49297</v>
      </c>
      <c r="M4058" s="92">
        <f t="shared" ca="1" si="137"/>
        <v>6.25</v>
      </c>
      <c r="N4058" s="143">
        <f ca="1">(PRODUCT($O$5:$O4058)-1)*36000/_xlfn.DAYS(L4058, $C$2)</f>
        <v>10.316579313934026</v>
      </c>
      <c r="O4058" s="149">
        <f t="shared" ca="1" si="138"/>
        <v>1.000173611111111</v>
      </c>
    </row>
    <row r="4059" spans="12:15" x14ac:dyDescent="0.25">
      <c r="L4059" s="147">
        <f ca="1"/>
        <v>49298</v>
      </c>
      <c r="M4059" s="92">
        <f t="shared" ca="1" si="137"/>
        <v>6.25</v>
      </c>
      <c r="N4059" s="143">
        <f ca="1">(PRODUCT($O$5:$O4059)-1)*36000/_xlfn.DAYS(L4059, $C$2)</f>
        <v>10.317367089472215</v>
      </c>
      <c r="O4059" s="149">
        <f t="shared" ca="1" si="138"/>
        <v>1.000173611111111</v>
      </c>
    </row>
    <row r="4060" spans="12:15" x14ac:dyDescent="0.25">
      <c r="L4060" s="147">
        <f ca="1"/>
        <v>49299</v>
      </c>
      <c r="M4060" s="92">
        <f t="shared" ca="1" si="137"/>
        <v>6.25</v>
      </c>
      <c r="N4060" s="143">
        <f ca="1">(PRODUCT($O$5:$O4060)-1)*36000/_xlfn.DAYS(L4060, $C$2)</f>
        <v>10.318155054879789</v>
      </c>
      <c r="O4060" s="149">
        <f t="shared" ca="1" si="138"/>
        <v>1.000173611111111</v>
      </c>
    </row>
    <row r="4061" spans="12:15" x14ac:dyDescent="0.25">
      <c r="L4061" s="147">
        <f ca="1"/>
        <v>49300</v>
      </c>
      <c r="M4061" s="92">
        <f t="shared" ca="1" si="137"/>
        <v>6.25</v>
      </c>
      <c r="N4061" s="143">
        <f ca="1">(PRODUCT($O$5:$O4061)-1)*36000/_xlfn.DAYS(L4061, $C$2)</f>
        <v>10.318943210116727</v>
      </c>
      <c r="O4061" s="149">
        <f t="shared" ca="1" si="138"/>
        <v>1.000173611111111</v>
      </c>
    </row>
    <row r="4062" spans="12:15" x14ac:dyDescent="0.25">
      <c r="L4062" s="147">
        <f ca="1"/>
        <v>49301</v>
      </c>
      <c r="M4062" s="92">
        <f t="shared" ca="1" si="137"/>
        <v>6.25</v>
      </c>
      <c r="N4062" s="143">
        <f ca="1">(PRODUCT($O$5:$O4062)-1)*36000/_xlfn.DAYS(L4062, $C$2)</f>
        <v>10.31973155514306</v>
      </c>
      <c r="O4062" s="149">
        <f t="shared" ca="1" si="138"/>
        <v>1.000173611111111</v>
      </c>
    </row>
    <row r="4063" spans="12:15" x14ac:dyDescent="0.25">
      <c r="L4063" s="147">
        <f ca="1"/>
        <v>49302</v>
      </c>
      <c r="M4063" s="92">
        <f t="shared" ca="1" si="137"/>
        <v>6.25</v>
      </c>
      <c r="N4063" s="143">
        <f ca="1">(PRODUCT($O$5:$O4063)-1)*36000/_xlfn.DAYS(L4063, $C$2)</f>
        <v>10.320520089918878</v>
      </c>
      <c r="O4063" s="149">
        <f t="shared" ca="1" si="138"/>
        <v>1.000173611111111</v>
      </c>
    </row>
    <row r="4064" spans="12:15" x14ac:dyDescent="0.25">
      <c r="L4064" s="147">
        <f ca="1"/>
        <v>49303</v>
      </c>
      <c r="M4064" s="92">
        <f t="shared" ca="1" si="137"/>
        <v>6.25</v>
      </c>
      <c r="N4064" s="143">
        <f ca="1">(PRODUCT($O$5:$O4064)-1)*36000/_xlfn.DAYS(L4064, $C$2)</f>
        <v>10.321308814404333</v>
      </c>
      <c r="O4064" s="149">
        <f t="shared" ca="1" si="138"/>
        <v>1.000173611111111</v>
      </c>
    </row>
    <row r="4065" spans="12:15" x14ac:dyDescent="0.25">
      <c r="L4065" s="147">
        <f ca="1"/>
        <v>49304</v>
      </c>
      <c r="M4065" s="92">
        <f t="shared" ca="1" si="137"/>
        <v>6.25</v>
      </c>
      <c r="N4065" s="143">
        <f ca="1">(PRODUCT($O$5:$O4065)-1)*36000/_xlfn.DAYS(L4065, $C$2)</f>
        <v>10.322097728559623</v>
      </c>
      <c r="O4065" s="149">
        <f t="shared" ca="1" si="138"/>
        <v>1.000173611111111</v>
      </c>
    </row>
    <row r="4066" spans="12:15" x14ac:dyDescent="0.25">
      <c r="L4066" s="147">
        <f ca="1"/>
        <v>49305</v>
      </c>
      <c r="M4066" s="92">
        <f t="shared" ca="1" si="137"/>
        <v>6.25</v>
      </c>
      <c r="N4066" s="143">
        <f ca="1">(PRODUCT($O$5:$O4066)-1)*36000/_xlfn.DAYS(L4066, $C$2)</f>
        <v>10.322886832345008</v>
      </c>
      <c r="O4066" s="149">
        <f t="shared" ca="1" si="138"/>
        <v>1.000173611111111</v>
      </c>
    </row>
    <row r="4067" spans="12:15" x14ac:dyDescent="0.25">
      <c r="L4067" s="147">
        <f ca="1"/>
        <v>49306</v>
      </c>
      <c r="M4067" s="92">
        <f t="shared" ca="1" si="137"/>
        <v>6.25</v>
      </c>
      <c r="N4067" s="143">
        <f ca="1">(PRODUCT($O$5:$O4067)-1)*36000/_xlfn.DAYS(L4067, $C$2)</f>
        <v>10.323676125720807</v>
      </c>
      <c r="O4067" s="149">
        <f t="shared" ca="1" si="138"/>
        <v>1.000173611111111</v>
      </c>
    </row>
    <row r="4068" spans="12:15" x14ac:dyDescent="0.25">
      <c r="L4068" s="147">
        <f ca="1"/>
        <v>49307</v>
      </c>
      <c r="M4068" s="92">
        <f t="shared" ca="1" si="137"/>
        <v>6.25</v>
      </c>
      <c r="N4068" s="143">
        <f ca="1">(PRODUCT($O$5:$O4068)-1)*36000/_xlfn.DAYS(L4068, $C$2)</f>
        <v>10.324465608647392</v>
      </c>
      <c r="O4068" s="149">
        <f t="shared" ca="1" si="138"/>
        <v>1.000173611111111</v>
      </c>
    </row>
    <row r="4069" spans="12:15" x14ac:dyDescent="0.25">
      <c r="L4069" s="147">
        <f ca="1"/>
        <v>49308</v>
      </c>
      <c r="M4069" s="92">
        <f t="shared" ca="1" si="137"/>
        <v>6.25</v>
      </c>
      <c r="N4069" s="143">
        <f ca="1">(PRODUCT($O$5:$O4069)-1)*36000/_xlfn.DAYS(L4069, $C$2)</f>
        <v>10.325255281085196</v>
      </c>
      <c r="O4069" s="149">
        <f t="shared" ca="1" si="138"/>
        <v>1.000173611111111</v>
      </c>
    </row>
    <row r="4070" spans="12:15" x14ac:dyDescent="0.25">
      <c r="L4070" s="147">
        <f ca="1"/>
        <v>49309</v>
      </c>
      <c r="M4070" s="92">
        <f t="shared" ca="1" si="137"/>
        <v>6.25</v>
      </c>
      <c r="N4070" s="143">
        <f ca="1">(PRODUCT($O$5:$O4070)-1)*36000/_xlfn.DAYS(L4070, $C$2)</f>
        <v>10.326045142994701</v>
      </c>
      <c r="O4070" s="149">
        <f t="shared" ca="1" si="138"/>
        <v>1.000173611111111</v>
      </c>
    </row>
    <row r="4071" spans="12:15" x14ac:dyDescent="0.25">
      <c r="L4071" s="147">
        <f ca="1"/>
        <v>49310</v>
      </c>
      <c r="M4071" s="92">
        <f t="shared" ca="1" si="137"/>
        <v>6.25</v>
      </c>
      <c r="N4071" s="143">
        <f ca="1">(PRODUCT($O$5:$O4071)-1)*36000/_xlfn.DAYS(L4071, $C$2)</f>
        <v>10.32683519433645</v>
      </c>
      <c r="O4071" s="149">
        <f t="shared" ca="1" si="138"/>
        <v>1.000173611111111</v>
      </c>
    </row>
    <row r="4072" spans="12:15" x14ac:dyDescent="0.25">
      <c r="L4072" s="147">
        <f ca="1"/>
        <v>49311</v>
      </c>
      <c r="M4072" s="92">
        <f t="shared" ca="1" si="137"/>
        <v>6.25</v>
      </c>
      <c r="N4072" s="143">
        <f ca="1">(PRODUCT($O$5:$O4072)-1)*36000/_xlfn.DAYS(L4072, $C$2)</f>
        <v>10.327625435071042</v>
      </c>
      <c r="O4072" s="149">
        <f t="shared" ca="1" si="138"/>
        <v>1.000173611111111</v>
      </c>
    </row>
    <row r="4073" spans="12:15" x14ac:dyDescent="0.25">
      <c r="L4073" s="147">
        <f ca="1"/>
        <v>49312</v>
      </c>
      <c r="M4073" s="92">
        <f t="shared" ca="1" si="137"/>
        <v>6.25</v>
      </c>
      <c r="N4073" s="143">
        <f ca="1">(PRODUCT($O$5:$O4073)-1)*36000/_xlfn.DAYS(L4073, $C$2)</f>
        <v>10.328415865159135</v>
      </c>
      <c r="O4073" s="149">
        <f t="shared" ca="1" si="138"/>
        <v>1.000173611111111</v>
      </c>
    </row>
    <row r="4074" spans="12:15" x14ac:dyDescent="0.25">
      <c r="L4074" s="147">
        <f ca="1"/>
        <v>49313</v>
      </c>
      <c r="M4074" s="92">
        <f t="shared" ca="1" si="137"/>
        <v>6.25</v>
      </c>
      <c r="N4074" s="143">
        <f ca="1">(PRODUCT($O$5:$O4074)-1)*36000/_xlfn.DAYS(L4074, $C$2)</f>
        <v>10.329206484561434</v>
      </c>
      <c r="O4074" s="149">
        <f t="shared" ca="1" si="138"/>
        <v>1.000173611111111</v>
      </c>
    </row>
    <row r="4075" spans="12:15" x14ac:dyDescent="0.25">
      <c r="L4075" s="147">
        <f ca="1"/>
        <v>49314</v>
      </c>
      <c r="M4075" s="92">
        <f t="shared" ca="1" si="137"/>
        <v>6.25</v>
      </c>
      <c r="N4075" s="143">
        <f ca="1">(PRODUCT($O$5:$O4075)-1)*36000/_xlfn.DAYS(L4075, $C$2)</f>
        <v>10.329997293238709</v>
      </c>
      <c r="O4075" s="149">
        <f t="shared" ca="1" si="138"/>
        <v>1.000173611111111</v>
      </c>
    </row>
    <row r="4076" spans="12:15" x14ac:dyDescent="0.25">
      <c r="L4076" s="147">
        <f ca="1"/>
        <v>49315</v>
      </c>
      <c r="M4076" s="92">
        <f t="shared" ca="1" si="137"/>
        <v>6.25</v>
      </c>
      <c r="N4076" s="143">
        <f ca="1">(PRODUCT($O$5:$O4076)-1)*36000/_xlfn.DAYS(L4076, $C$2)</f>
        <v>10.33078829115178</v>
      </c>
      <c r="O4076" s="149">
        <f t="shared" ca="1" si="138"/>
        <v>1.000173611111111</v>
      </c>
    </row>
    <row r="4077" spans="12:15" x14ac:dyDescent="0.25">
      <c r="L4077" s="147">
        <f ca="1"/>
        <v>49316</v>
      </c>
      <c r="M4077" s="92">
        <f t="shared" ca="1" si="137"/>
        <v>6.25</v>
      </c>
      <c r="N4077" s="143">
        <f ca="1">(PRODUCT($O$5:$O4077)-1)*36000/_xlfn.DAYS(L4077, $C$2)</f>
        <v>10.331579478261528</v>
      </c>
      <c r="O4077" s="149">
        <f t="shared" ca="1" si="138"/>
        <v>1.000173611111111</v>
      </c>
    </row>
    <row r="4078" spans="12:15" x14ac:dyDescent="0.25">
      <c r="L4078" s="147">
        <f ca="1"/>
        <v>49317</v>
      </c>
      <c r="M4078" s="92">
        <f t="shared" ca="1" si="137"/>
        <v>6.25</v>
      </c>
      <c r="N4078" s="143">
        <f ca="1">(PRODUCT($O$5:$O4078)-1)*36000/_xlfn.DAYS(L4078, $C$2)</f>
        <v>10.332370854528886</v>
      </c>
      <c r="O4078" s="149">
        <f t="shared" ca="1" si="138"/>
        <v>1.000173611111111</v>
      </c>
    </row>
    <row r="4079" spans="12:15" x14ac:dyDescent="0.25">
      <c r="L4079" s="147">
        <f ca="1"/>
        <v>49318</v>
      </c>
      <c r="M4079" s="92">
        <f t="shared" ca="1" si="137"/>
        <v>6.25</v>
      </c>
      <c r="N4079" s="143">
        <f ca="1">(PRODUCT($O$5:$O4079)-1)*36000/_xlfn.DAYS(L4079, $C$2)</f>
        <v>10.333162419914844</v>
      </c>
      <c r="O4079" s="149">
        <f t="shared" ca="1" si="138"/>
        <v>1.000173611111111</v>
      </c>
    </row>
    <row r="4080" spans="12:15" x14ac:dyDescent="0.25">
      <c r="L4080" s="147">
        <f ca="1"/>
        <v>49319</v>
      </c>
      <c r="M4080" s="92">
        <f t="shared" ca="1" si="137"/>
        <v>6.25</v>
      </c>
      <c r="N4080" s="143">
        <f ca="1">(PRODUCT($O$5:$O4080)-1)*36000/_xlfn.DAYS(L4080, $C$2)</f>
        <v>10.333954174380448</v>
      </c>
      <c r="O4080" s="149">
        <f t="shared" ca="1" si="138"/>
        <v>1.000173611111111</v>
      </c>
    </row>
    <row r="4081" spans="12:15" x14ac:dyDescent="0.25">
      <c r="L4081" s="147">
        <f ca="1"/>
        <v>49320</v>
      </c>
      <c r="M4081" s="92">
        <f t="shared" ca="1" si="137"/>
        <v>6.25</v>
      </c>
      <c r="N4081" s="143">
        <f ca="1">(PRODUCT($O$5:$O4081)-1)*36000/_xlfn.DAYS(L4081, $C$2)</f>
        <v>10.3347461178868</v>
      </c>
      <c r="O4081" s="149">
        <f t="shared" ca="1" si="138"/>
        <v>1.000173611111111</v>
      </c>
    </row>
    <row r="4082" spans="12:15" x14ac:dyDescent="0.25">
      <c r="L4082" s="147">
        <f ca="1"/>
        <v>49321</v>
      </c>
      <c r="M4082" s="92">
        <f t="shared" ca="1" si="137"/>
        <v>6.25</v>
      </c>
      <c r="N4082" s="143">
        <f ca="1">(PRODUCT($O$5:$O4082)-1)*36000/_xlfn.DAYS(L4082, $C$2)</f>
        <v>10.335538250395059</v>
      </c>
      <c r="O4082" s="149">
        <f t="shared" ca="1" si="138"/>
        <v>1.000173611111111</v>
      </c>
    </row>
    <row r="4083" spans="12:15" x14ac:dyDescent="0.25">
      <c r="L4083" s="147">
        <f ca="1"/>
        <v>49322</v>
      </c>
      <c r="M4083" s="92">
        <f t="shared" ca="1" si="137"/>
        <v>6.25</v>
      </c>
      <c r="N4083" s="143">
        <f ca="1">(PRODUCT($O$5:$O4083)-1)*36000/_xlfn.DAYS(L4083, $C$2)</f>
        <v>10.336330571866434</v>
      </c>
      <c r="O4083" s="149">
        <f t="shared" ca="1" si="138"/>
        <v>1.000173611111111</v>
      </c>
    </row>
    <row r="4084" spans="12:15" x14ac:dyDescent="0.25">
      <c r="L4084" s="147">
        <f ca="1"/>
        <v>49323</v>
      </c>
      <c r="M4084" s="92">
        <f t="shared" ca="1" si="137"/>
        <v>6.25</v>
      </c>
      <c r="N4084" s="143">
        <f ca="1">(PRODUCT($O$5:$O4084)-1)*36000/_xlfn.DAYS(L4084, $C$2)</f>
        <v>10.337123082262192</v>
      </c>
      <c r="O4084" s="149">
        <f t="shared" ca="1" si="138"/>
        <v>1.000173611111111</v>
      </c>
    </row>
    <row r="4085" spans="12:15" x14ac:dyDescent="0.25">
      <c r="L4085" s="147">
        <f ca="1"/>
        <v>49324</v>
      </c>
      <c r="M4085" s="92">
        <f t="shared" ca="1" si="137"/>
        <v>6.25</v>
      </c>
      <c r="N4085" s="143">
        <f ca="1">(PRODUCT($O$5:$O4085)-1)*36000/_xlfn.DAYS(L4085, $C$2)</f>
        <v>10.337915781543661</v>
      </c>
      <c r="O4085" s="149">
        <f t="shared" ca="1" si="138"/>
        <v>1.000173611111111</v>
      </c>
    </row>
    <row r="4086" spans="12:15" x14ac:dyDescent="0.25">
      <c r="L4086" s="147">
        <f ca="1"/>
        <v>49325</v>
      </c>
      <c r="M4086" s="92">
        <f t="shared" ca="1" si="137"/>
        <v>6.25</v>
      </c>
      <c r="N4086" s="143">
        <f ca="1">(PRODUCT($O$5:$O4086)-1)*36000/_xlfn.DAYS(L4086, $C$2)</f>
        <v>10.338708669672211</v>
      </c>
      <c r="O4086" s="149">
        <f t="shared" ca="1" si="138"/>
        <v>1.000173611111111</v>
      </c>
    </row>
    <row r="4087" spans="12:15" x14ac:dyDescent="0.25">
      <c r="L4087" s="147">
        <f ca="1"/>
        <v>49326</v>
      </c>
      <c r="M4087" s="92">
        <f t="shared" ca="1" si="137"/>
        <v>6.25</v>
      </c>
      <c r="N4087" s="143">
        <f ca="1">(PRODUCT($O$5:$O4087)-1)*36000/_xlfn.DAYS(L4087, $C$2)</f>
        <v>10.339501746609285</v>
      </c>
      <c r="O4087" s="149">
        <f t="shared" ca="1" si="138"/>
        <v>1.000173611111111</v>
      </c>
    </row>
    <row r="4088" spans="12:15" x14ac:dyDescent="0.25">
      <c r="L4088" s="147">
        <f ca="1"/>
        <v>49327</v>
      </c>
      <c r="M4088" s="92">
        <f t="shared" ca="1" si="137"/>
        <v>6.25</v>
      </c>
      <c r="N4088" s="143">
        <f ca="1">(PRODUCT($O$5:$O4088)-1)*36000/_xlfn.DAYS(L4088, $C$2)</f>
        <v>10.340295012316368</v>
      </c>
      <c r="O4088" s="149">
        <f t="shared" ca="1" si="138"/>
        <v>1.000173611111111</v>
      </c>
    </row>
    <row r="4089" spans="12:15" x14ac:dyDescent="0.25">
      <c r="L4089" s="147">
        <f ca="1"/>
        <v>49328</v>
      </c>
      <c r="M4089" s="92">
        <f t="shared" ca="1" si="137"/>
        <v>6.25</v>
      </c>
      <c r="N4089" s="143">
        <f ca="1">(PRODUCT($O$5:$O4089)-1)*36000/_xlfn.DAYS(L4089, $C$2)</f>
        <v>10.341088466755005</v>
      </c>
      <c r="O4089" s="149">
        <f t="shared" ca="1" si="138"/>
        <v>1.000173611111111</v>
      </c>
    </row>
    <row r="4090" spans="12:15" x14ac:dyDescent="0.25">
      <c r="L4090" s="147">
        <f ca="1"/>
        <v>49329</v>
      </c>
      <c r="M4090" s="92">
        <f t="shared" ca="1" si="137"/>
        <v>6.25</v>
      </c>
      <c r="N4090" s="143">
        <f ca="1">(PRODUCT($O$5:$O4090)-1)*36000/_xlfn.DAYS(L4090, $C$2)</f>
        <v>10.341882109886791</v>
      </c>
      <c r="O4090" s="149">
        <f t="shared" ca="1" si="138"/>
        <v>1.000173611111111</v>
      </c>
    </row>
    <row r="4091" spans="12:15" x14ac:dyDescent="0.25">
      <c r="L4091" s="147">
        <f ca="1"/>
        <v>49330</v>
      </c>
      <c r="M4091" s="92">
        <f t="shared" ca="1" si="137"/>
        <v>6.25</v>
      </c>
      <c r="N4091" s="143">
        <f ca="1">(PRODUCT($O$5:$O4091)-1)*36000/_xlfn.DAYS(L4091, $C$2)</f>
        <v>10.342675941673384</v>
      </c>
      <c r="O4091" s="149">
        <f t="shared" ca="1" si="138"/>
        <v>1.000173611111111</v>
      </c>
    </row>
    <row r="4092" spans="12:15" x14ac:dyDescent="0.25">
      <c r="L4092" s="147">
        <f ca="1"/>
        <v>49331</v>
      </c>
      <c r="M4092" s="92">
        <f t="shared" ca="1" si="137"/>
        <v>6.25</v>
      </c>
      <c r="N4092" s="143">
        <f ca="1">(PRODUCT($O$5:$O4092)-1)*36000/_xlfn.DAYS(L4092, $C$2)</f>
        <v>10.34346996207649</v>
      </c>
      <c r="O4092" s="149">
        <f t="shared" ca="1" si="138"/>
        <v>1.000173611111111</v>
      </c>
    </row>
    <row r="4093" spans="12:15" x14ac:dyDescent="0.25">
      <c r="L4093" s="147">
        <f ca="1"/>
        <v>49332</v>
      </c>
      <c r="M4093" s="92">
        <f t="shared" ca="1" si="137"/>
        <v>6.25</v>
      </c>
      <c r="N4093" s="143">
        <f ca="1">(PRODUCT($O$5:$O4093)-1)*36000/_xlfn.DAYS(L4093, $C$2)</f>
        <v>10.344264171057878</v>
      </c>
      <c r="O4093" s="149">
        <f t="shared" ca="1" si="138"/>
        <v>1.000173611111111</v>
      </c>
    </row>
    <row r="4094" spans="12:15" x14ac:dyDescent="0.25">
      <c r="L4094" s="147">
        <f ca="1"/>
        <v>49333</v>
      </c>
      <c r="M4094" s="92">
        <f t="shared" ca="1" si="137"/>
        <v>6.25</v>
      </c>
      <c r="N4094" s="143">
        <f ca="1">(PRODUCT($O$5:$O4094)-1)*36000/_xlfn.DAYS(L4094, $C$2)</f>
        <v>10.345058568579361</v>
      </c>
      <c r="O4094" s="149">
        <f t="shared" ca="1" si="138"/>
        <v>1.000173611111111</v>
      </c>
    </row>
    <row r="4095" spans="12:15" x14ac:dyDescent="0.25">
      <c r="L4095" s="147">
        <f ca="1"/>
        <v>49334</v>
      </c>
      <c r="M4095" s="92">
        <f t="shared" ca="1" si="137"/>
        <v>6.25</v>
      </c>
      <c r="N4095" s="143">
        <f ca="1">(PRODUCT($O$5:$O4095)-1)*36000/_xlfn.DAYS(L4095, $C$2)</f>
        <v>10.345853154602814</v>
      </c>
      <c r="O4095" s="149">
        <f t="shared" ca="1" si="138"/>
        <v>1.000173611111111</v>
      </c>
    </row>
    <row r="4096" spans="12:15" x14ac:dyDescent="0.25">
      <c r="L4096" s="147">
        <f ca="1"/>
        <v>49335</v>
      </c>
      <c r="M4096" s="92">
        <f t="shared" ca="1" si="137"/>
        <v>6.25</v>
      </c>
      <c r="N4096" s="143">
        <f ca="1">(PRODUCT($O$5:$O4096)-1)*36000/_xlfn.DAYS(L4096, $C$2)</f>
        <v>10.346647929090166</v>
      </c>
      <c r="O4096" s="149">
        <f t="shared" ca="1" si="138"/>
        <v>1.000173611111111</v>
      </c>
    </row>
    <row r="4097" spans="12:15" x14ac:dyDescent="0.25">
      <c r="L4097" s="147">
        <f ca="1"/>
        <v>49336</v>
      </c>
      <c r="M4097" s="92">
        <f t="shared" ca="1" si="137"/>
        <v>6.25</v>
      </c>
      <c r="N4097" s="143">
        <f ca="1">(PRODUCT($O$5:$O4097)-1)*36000/_xlfn.DAYS(L4097, $C$2)</f>
        <v>10.347442892003397</v>
      </c>
      <c r="O4097" s="149">
        <f t="shared" ca="1" si="138"/>
        <v>1.000173611111111</v>
      </c>
    </row>
    <row r="4098" spans="12:15" x14ac:dyDescent="0.25">
      <c r="L4098" s="147">
        <f ca="1"/>
        <v>49337</v>
      </c>
      <c r="M4098" s="92">
        <f t="shared" ca="1" si="137"/>
        <v>6.25</v>
      </c>
      <c r="N4098" s="143">
        <f ca="1">(PRODUCT($O$5:$O4098)-1)*36000/_xlfn.DAYS(L4098, $C$2)</f>
        <v>10.348238043304548</v>
      </c>
      <c r="O4098" s="149">
        <f t="shared" ca="1" si="138"/>
        <v>1.000173611111111</v>
      </c>
    </row>
    <row r="4099" spans="12:15" x14ac:dyDescent="0.25">
      <c r="L4099" s="147">
        <f ca="1"/>
        <v>49338</v>
      </c>
      <c r="M4099" s="92">
        <f t="shared" ca="1" si="137"/>
        <v>6.25</v>
      </c>
      <c r="N4099" s="143">
        <f ca="1">(PRODUCT($O$5:$O4099)-1)*36000/_xlfn.DAYS(L4099, $C$2)</f>
        <v>10.349033382955707</v>
      </c>
      <c r="O4099" s="149">
        <f t="shared" ca="1" si="138"/>
        <v>1.000173611111111</v>
      </c>
    </row>
    <row r="4100" spans="12:15" x14ac:dyDescent="0.25">
      <c r="L4100" s="147">
        <f ca="1"/>
        <v>49339</v>
      </c>
      <c r="M4100" s="92">
        <f t="shared" ca="1" si="137"/>
        <v>6.25</v>
      </c>
      <c r="N4100" s="143">
        <f ca="1">(PRODUCT($O$5:$O4100)-1)*36000/_xlfn.DAYS(L4100, $C$2)</f>
        <v>10.349828910919022</v>
      </c>
      <c r="O4100" s="149">
        <f t="shared" ca="1" si="138"/>
        <v>1.000173611111111</v>
      </c>
    </row>
    <row r="4101" spans="12:15" x14ac:dyDescent="0.25">
      <c r="L4101" s="147">
        <f ca="1"/>
        <v>49340</v>
      </c>
      <c r="M4101" s="92">
        <f t="shared" ref="M4101:M4164" ca="1" si="139">IFERROR(INDEX($E$27:$H$47, MATCH(L4101, $F$27:$F$47, 0), 4), IF(ISNUMBER(M4100), M4100, $C$5))</f>
        <v>6.25</v>
      </c>
      <c r="N4101" s="143">
        <f ca="1">(PRODUCT($O$5:$O4101)-1)*36000/_xlfn.DAYS(L4101, $C$2)</f>
        <v>10.350624627156693</v>
      </c>
      <c r="O4101" s="149">
        <f t="shared" ca="1" si="138"/>
        <v>1.000173611111111</v>
      </c>
    </row>
    <row r="4102" spans="12:15" x14ac:dyDescent="0.25">
      <c r="L4102" s="147">
        <f ca="1"/>
        <v>49341</v>
      </c>
      <c r="M4102" s="92">
        <f t="shared" ca="1" si="139"/>
        <v>6.25</v>
      </c>
      <c r="N4102" s="143">
        <f ca="1">(PRODUCT($O$5:$O4102)-1)*36000/_xlfn.DAYS(L4102, $C$2)</f>
        <v>10.351420531630971</v>
      </c>
      <c r="O4102" s="149">
        <f t="shared" ref="O4102:O4165" ca="1" si="140">1+M4102*IFERROR(_xlfn.DAYS(L4102, L4101), _xlfn.DAYS(L4102, $C$2))/36000</f>
        <v>1.000173611111111</v>
      </c>
    </row>
    <row r="4103" spans="12:15" x14ac:dyDescent="0.25">
      <c r="L4103" s="147">
        <f ca="1"/>
        <v>49342</v>
      </c>
      <c r="M4103" s="92">
        <f t="shared" ca="1" si="139"/>
        <v>6.25</v>
      </c>
      <c r="N4103" s="143">
        <f ca="1">(PRODUCT($O$5:$O4103)-1)*36000/_xlfn.DAYS(L4103, $C$2)</f>
        <v>10.352216624304168</v>
      </c>
      <c r="O4103" s="149">
        <f t="shared" ca="1" si="140"/>
        <v>1.000173611111111</v>
      </c>
    </row>
    <row r="4104" spans="12:15" x14ac:dyDescent="0.25">
      <c r="L4104" s="147">
        <f ca="1"/>
        <v>49343</v>
      </c>
      <c r="M4104" s="92">
        <f t="shared" ca="1" si="139"/>
        <v>6.25</v>
      </c>
      <c r="N4104" s="143">
        <f ca="1">(PRODUCT($O$5:$O4104)-1)*36000/_xlfn.DAYS(L4104, $C$2)</f>
        <v>10.353012905138643</v>
      </c>
      <c r="O4104" s="149">
        <f t="shared" ca="1" si="140"/>
        <v>1.000173611111111</v>
      </c>
    </row>
    <row r="4105" spans="12:15" x14ac:dyDescent="0.25">
      <c r="L4105" s="147">
        <f ca="1"/>
        <v>49344</v>
      </c>
      <c r="M4105" s="92">
        <f t="shared" ca="1" si="139"/>
        <v>6.25</v>
      </c>
      <c r="N4105" s="143">
        <f ca="1">(PRODUCT($O$5:$O4105)-1)*36000/_xlfn.DAYS(L4105, $C$2)</f>
        <v>10.353809374096818</v>
      </c>
      <c r="O4105" s="149">
        <f t="shared" ca="1" si="140"/>
        <v>1.000173611111111</v>
      </c>
    </row>
    <row r="4106" spans="12:15" x14ac:dyDescent="0.25">
      <c r="L4106" s="147">
        <f ca="1"/>
        <v>49345</v>
      </c>
      <c r="M4106" s="92">
        <f t="shared" ca="1" si="139"/>
        <v>6.25</v>
      </c>
      <c r="N4106" s="143">
        <f ca="1">(PRODUCT($O$5:$O4106)-1)*36000/_xlfn.DAYS(L4106, $C$2)</f>
        <v>10.354606031141159</v>
      </c>
      <c r="O4106" s="149">
        <f t="shared" ca="1" si="140"/>
        <v>1.000173611111111</v>
      </c>
    </row>
    <row r="4107" spans="12:15" x14ac:dyDescent="0.25">
      <c r="L4107" s="147">
        <f ca="1"/>
        <v>49346</v>
      </c>
      <c r="M4107" s="92">
        <f t="shared" ca="1" si="139"/>
        <v>6.25</v>
      </c>
      <c r="N4107" s="143">
        <f ca="1">(PRODUCT($O$5:$O4107)-1)*36000/_xlfn.DAYS(L4107, $C$2)</f>
        <v>10.355402876234194</v>
      </c>
      <c r="O4107" s="149">
        <f t="shared" ca="1" si="140"/>
        <v>1.000173611111111</v>
      </c>
    </row>
    <row r="4108" spans="12:15" x14ac:dyDescent="0.25">
      <c r="L4108" s="147">
        <f ca="1"/>
        <v>49347</v>
      </c>
      <c r="M4108" s="92">
        <f t="shared" ca="1" si="139"/>
        <v>6.25</v>
      </c>
      <c r="N4108" s="143">
        <f ca="1">(PRODUCT($O$5:$O4108)-1)*36000/_xlfn.DAYS(L4108, $C$2)</f>
        <v>10.356199909338503</v>
      </c>
      <c r="O4108" s="149">
        <f t="shared" ca="1" si="140"/>
        <v>1.000173611111111</v>
      </c>
    </row>
    <row r="4109" spans="12:15" x14ac:dyDescent="0.25">
      <c r="L4109" s="147">
        <f ca="1"/>
        <v>49348</v>
      </c>
      <c r="M4109" s="92">
        <f t="shared" ca="1" si="139"/>
        <v>6.25</v>
      </c>
      <c r="N4109" s="143">
        <f ca="1">(PRODUCT($O$5:$O4109)-1)*36000/_xlfn.DAYS(L4109, $C$2)</f>
        <v>10.356997130416715</v>
      </c>
      <c r="O4109" s="149">
        <f t="shared" ca="1" si="140"/>
        <v>1.000173611111111</v>
      </c>
    </row>
    <row r="4110" spans="12:15" x14ac:dyDescent="0.25">
      <c r="L4110" s="147">
        <f ca="1"/>
        <v>49349</v>
      </c>
      <c r="M4110" s="92">
        <f t="shared" ca="1" si="139"/>
        <v>6.25</v>
      </c>
      <c r="N4110" s="143">
        <f ca="1">(PRODUCT($O$5:$O4110)-1)*36000/_xlfn.DAYS(L4110, $C$2)</f>
        <v>10.357794539431518</v>
      </c>
      <c r="O4110" s="149">
        <f t="shared" ca="1" si="140"/>
        <v>1.000173611111111</v>
      </c>
    </row>
    <row r="4111" spans="12:15" x14ac:dyDescent="0.25">
      <c r="L4111" s="147">
        <f ca="1"/>
        <v>49350</v>
      </c>
      <c r="M4111" s="92">
        <f t="shared" ca="1" si="139"/>
        <v>6.25</v>
      </c>
      <c r="N4111" s="143">
        <f ca="1">(PRODUCT($O$5:$O4111)-1)*36000/_xlfn.DAYS(L4111, $C$2)</f>
        <v>10.358592136345651</v>
      </c>
      <c r="O4111" s="149">
        <f t="shared" ca="1" si="140"/>
        <v>1.000173611111111</v>
      </c>
    </row>
    <row r="4112" spans="12:15" x14ac:dyDescent="0.25">
      <c r="L4112" s="147">
        <f ca="1"/>
        <v>49351</v>
      </c>
      <c r="M4112" s="92">
        <f t="shared" ca="1" si="139"/>
        <v>6.25</v>
      </c>
      <c r="N4112" s="143">
        <f ca="1">(PRODUCT($O$5:$O4112)-1)*36000/_xlfn.DAYS(L4112, $C$2)</f>
        <v>10.359389921121906</v>
      </c>
      <c r="O4112" s="149">
        <f t="shared" ca="1" si="140"/>
        <v>1.000173611111111</v>
      </c>
    </row>
    <row r="4113" spans="12:15" x14ac:dyDescent="0.25">
      <c r="L4113" s="147">
        <f ca="1"/>
        <v>49352</v>
      </c>
      <c r="M4113" s="92">
        <f t="shared" ca="1" si="139"/>
        <v>6.25</v>
      </c>
      <c r="N4113" s="143">
        <f ca="1">(PRODUCT($O$5:$O4113)-1)*36000/_xlfn.DAYS(L4113, $C$2)</f>
        <v>10.360187893723136</v>
      </c>
      <c r="O4113" s="149">
        <f t="shared" ca="1" si="140"/>
        <v>1.000173611111111</v>
      </c>
    </row>
    <row r="4114" spans="12:15" x14ac:dyDescent="0.25">
      <c r="L4114" s="147">
        <f ca="1"/>
        <v>49353</v>
      </c>
      <c r="M4114" s="92">
        <f t="shared" ca="1" si="139"/>
        <v>6.25</v>
      </c>
      <c r="N4114" s="143">
        <f ca="1">(PRODUCT($O$5:$O4114)-1)*36000/_xlfn.DAYS(L4114, $C$2)</f>
        <v>10.36098605411224</v>
      </c>
      <c r="O4114" s="149">
        <f t="shared" ca="1" si="140"/>
        <v>1.000173611111111</v>
      </c>
    </row>
    <row r="4115" spans="12:15" x14ac:dyDescent="0.25">
      <c r="L4115" s="147">
        <f ca="1"/>
        <v>49354</v>
      </c>
      <c r="M4115" s="92">
        <f t="shared" ca="1" si="139"/>
        <v>6.25</v>
      </c>
      <c r="N4115" s="143">
        <f ca="1">(PRODUCT($O$5:$O4115)-1)*36000/_xlfn.DAYS(L4115, $C$2)</f>
        <v>10.361784402252166</v>
      </c>
      <c r="O4115" s="149">
        <f t="shared" ca="1" si="140"/>
        <v>1.000173611111111</v>
      </c>
    </row>
    <row r="4116" spans="12:15" x14ac:dyDescent="0.25">
      <c r="L4116" s="147">
        <f ca="1"/>
        <v>49355</v>
      </c>
      <c r="M4116" s="92">
        <f t="shared" ca="1" si="139"/>
        <v>6.25</v>
      </c>
      <c r="N4116" s="143">
        <f ca="1">(PRODUCT($O$5:$O4116)-1)*36000/_xlfn.DAYS(L4116, $C$2)</f>
        <v>10.362582938105929</v>
      </c>
      <c r="O4116" s="149">
        <f t="shared" ca="1" si="140"/>
        <v>1.000173611111111</v>
      </c>
    </row>
    <row r="4117" spans="12:15" x14ac:dyDescent="0.25">
      <c r="L4117" s="147">
        <f ca="1"/>
        <v>49356</v>
      </c>
      <c r="M4117" s="92">
        <f t="shared" ca="1" si="139"/>
        <v>6.25</v>
      </c>
      <c r="N4117" s="143">
        <f ca="1">(PRODUCT($O$5:$O4117)-1)*36000/_xlfn.DAYS(L4117, $C$2)</f>
        <v>10.363381661636582</v>
      </c>
      <c r="O4117" s="149">
        <f t="shared" ca="1" si="140"/>
        <v>1.000173611111111</v>
      </c>
    </row>
    <row r="4118" spans="12:15" x14ac:dyDescent="0.25">
      <c r="L4118" s="147">
        <f ca="1"/>
        <v>49357</v>
      </c>
      <c r="M4118" s="92">
        <f t="shared" ca="1" si="139"/>
        <v>6.25</v>
      </c>
      <c r="N4118" s="143">
        <f ca="1">(PRODUCT($O$5:$O4118)-1)*36000/_xlfn.DAYS(L4118, $C$2)</f>
        <v>10.36418057280725</v>
      </c>
      <c r="O4118" s="149">
        <f t="shared" ca="1" si="140"/>
        <v>1.000173611111111</v>
      </c>
    </row>
    <row r="4119" spans="12:15" x14ac:dyDescent="0.25">
      <c r="L4119" s="147">
        <f ca="1"/>
        <v>49358</v>
      </c>
      <c r="M4119" s="92">
        <f t="shared" ca="1" si="139"/>
        <v>6.25</v>
      </c>
      <c r="N4119" s="143">
        <f ca="1">(PRODUCT($O$5:$O4119)-1)*36000/_xlfn.DAYS(L4119, $C$2)</f>
        <v>10.364979671581089</v>
      </c>
      <c r="O4119" s="149">
        <f t="shared" ca="1" si="140"/>
        <v>1.000173611111111</v>
      </c>
    </row>
    <row r="4120" spans="12:15" x14ac:dyDescent="0.25">
      <c r="L4120" s="147">
        <f ca="1"/>
        <v>49359</v>
      </c>
      <c r="M4120" s="92">
        <f t="shared" ca="1" si="139"/>
        <v>6.25</v>
      </c>
      <c r="N4120" s="143">
        <f ca="1">(PRODUCT($O$5:$O4120)-1)*36000/_xlfn.DAYS(L4120, $C$2)</f>
        <v>10.365778957921329</v>
      </c>
      <c r="O4120" s="149">
        <f t="shared" ca="1" si="140"/>
        <v>1.000173611111111</v>
      </c>
    </row>
    <row r="4121" spans="12:15" x14ac:dyDescent="0.25">
      <c r="L4121" s="147">
        <f ca="1"/>
        <v>49360</v>
      </c>
      <c r="M4121" s="92">
        <f t="shared" ca="1" si="139"/>
        <v>6.25</v>
      </c>
      <c r="N4121" s="143">
        <f ca="1">(PRODUCT($O$5:$O4121)-1)*36000/_xlfn.DAYS(L4121, $C$2)</f>
        <v>10.36657843179124</v>
      </c>
      <c r="O4121" s="149">
        <f t="shared" ca="1" si="140"/>
        <v>1.000173611111111</v>
      </c>
    </row>
    <row r="4122" spans="12:15" x14ac:dyDescent="0.25">
      <c r="L4122" s="147">
        <f ca="1"/>
        <v>49361</v>
      </c>
      <c r="M4122" s="92">
        <f t="shared" ca="1" si="139"/>
        <v>6.25</v>
      </c>
      <c r="N4122" s="143">
        <f ca="1">(PRODUCT($O$5:$O4122)-1)*36000/_xlfn.DAYS(L4122, $C$2)</f>
        <v>10.36737809315415</v>
      </c>
      <c r="O4122" s="149">
        <f t="shared" ca="1" si="140"/>
        <v>1.000173611111111</v>
      </c>
    </row>
    <row r="4123" spans="12:15" x14ac:dyDescent="0.25">
      <c r="L4123" s="147">
        <f ca="1"/>
        <v>49362</v>
      </c>
      <c r="M4123" s="92">
        <f t="shared" ca="1" si="139"/>
        <v>6.25</v>
      </c>
      <c r="N4123" s="143">
        <f ca="1">(PRODUCT($O$5:$O4123)-1)*36000/_xlfn.DAYS(L4123, $C$2)</f>
        <v>10.368177941973432</v>
      </c>
      <c r="O4123" s="149">
        <f t="shared" ca="1" si="140"/>
        <v>1.000173611111111</v>
      </c>
    </row>
    <row r="4124" spans="12:15" x14ac:dyDescent="0.25">
      <c r="L4124" s="147">
        <f ca="1"/>
        <v>49363</v>
      </c>
      <c r="M4124" s="92">
        <f t="shared" ca="1" si="139"/>
        <v>6.25</v>
      </c>
      <c r="N4124" s="143">
        <f ca="1">(PRODUCT($O$5:$O4124)-1)*36000/_xlfn.DAYS(L4124, $C$2)</f>
        <v>10.368977978212525</v>
      </c>
      <c r="O4124" s="149">
        <f t="shared" ca="1" si="140"/>
        <v>1.000173611111111</v>
      </c>
    </row>
    <row r="4125" spans="12:15" x14ac:dyDescent="0.25">
      <c r="L4125" s="147">
        <f ca="1"/>
        <v>49364</v>
      </c>
      <c r="M4125" s="92">
        <f t="shared" ca="1" si="139"/>
        <v>6.25</v>
      </c>
      <c r="N4125" s="143">
        <f ca="1">(PRODUCT($O$5:$O4125)-1)*36000/_xlfn.DAYS(L4125, $C$2)</f>
        <v>10.369778201834913</v>
      </c>
      <c r="O4125" s="149">
        <f t="shared" ca="1" si="140"/>
        <v>1.000173611111111</v>
      </c>
    </row>
    <row r="4126" spans="12:15" x14ac:dyDescent="0.25">
      <c r="L4126" s="147">
        <f ca="1"/>
        <v>49365</v>
      </c>
      <c r="M4126" s="92">
        <f t="shared" ca="1" si="139"/>
        <v>6.25</v>
      </c>
      <c r="N4126" s="143">
        <f ca="1">(PRODUCT($O$5:$O4126)-1)*36000/_xlfn.DAYS(L4126, $C$2)</f>
        <v>10.370578612804133</v>
      </c>
      <c r="O4126" s="149">
        <f t="shared" ca="1" si="140"/>
        <v>1.000173611111111</v>
      </c>
    </row>
    <row r="4127" spans="12:15" x14ac:dyDescent="0.25">
      <c r="L4127" s="147">
        <f ca="1"/>
        <v>49366</v>
      </c>
      <c r="M4127" s="92">
        <f t="shared" ca="1" si="139"/>
        <v>6.25</v>
      </c>
      <c r="N4127" s="143">
        <f ca="1">(PRODUCT($O$5:$O4127)-1)*36000/_xlfn.DAYS(L4127, $C$2)</f>
        <v>10.371379211083779</v>
      </c>
      <c r="O4127" s="149">
        <f t="shared" ca="1" si="140"/>
        <v>1.000173611111111</v>
      </c>
    </row>
    <row r="4128" spans="12:15" x14ac:dyDescent="0.25">
      <c r="L4128" s="147">
        <f ca="1"/>
        <v>49367</v>
      </c>
      <c r="M4128" s="92">
        <f t="shared" ca="1" si="139"/>
        <v>6.25</v>
      </c>
      <c r="N4128" s="143">
        <f ca="1">(PRODUCT($O$5:$O4128)-1)*36000/_xlfn.DAYS(L4128, $C$2)</f>
        <v>10.372179996637492</v>
      </c>
      <c r="O4128" s="149">
        <f t="shared" ca="1" si="140"/>
        <v>1.000173611111111</v>
      </c>
    </row>
    <row r="4129" spans="12:15" x14ac:dyDescent="0.25">
      <c r="L4129" s="147">
        <f ca="1"/>
        <v>49368</v>
      </c>
      <c r="M4129" s="92">
        <f t="shared" ca="1" si="139"/>
        <v>6.25</v>
      </c>
      <c r="N4129" s="143">
        <f ca="1">(PRODUCT($O$5:$O4129)-1)*36000/_xlfn.DAYS(L4129, $C$2)</f>
        <v>10.372980969428966</v>
      </c>
      <c r="O4129" s="149">
        <f t="shared" ca="1" si="140"/>
        <v>1.000173611111111</v>
      </c>
    </row>
    <row r="4130" spans="12:15" x14ac:dyDescent="0.25">
      <c r="L4130" s="147">
        <f ca="1"/>
        <v>49369</v>
      </c>
      <c r="M4130" s="92">
        <f t="shared" ca="1" si="139"/>
        <v>6.25</v>
      </c>
      <c r="N4130" s="143">
        <f ca="1">(PRODUCT($O$5:$O4130)-1)*36000/_xlfn.DAYS(L4130, $C$2)</f>
        <v>10.373782129421953</v>
      </c>
      <c r="O4130" s="149">
        <f t="shared" ca="1" si="140"/>
        <v>1.000173611111111</v>
      </c>
    </row>
    <row r="4131" spans="12:15" x14ac:dyDescent="0.25">
      <c r="L4131" s="147">
        <f ca="1"/>
        <v>49370</v>
      </c>
      <c r="M4131" s="92">
        <f t="shared" ca="1" si="139"/>
        <v>6.25</v>
      </c>
      <c r="N4131" s="143">
        <f ca="1">(PRODUCT($O$5:$O4131)-1)*36000/_xlfn.DAYS(L4131, $C$2)</f>
        <v>10.374583476580254</v>
      </c>
      <c r="O4131" s="149">
        <f t="shared" ca="1" si="140"/>
        <v>1.000173611111111</v>
      </c>
    </row>
    <row r="4132" spans="12:15" x14ac:dyDescent="0.25">
      <c r="L4132" s="147">
        <f ca="1"/>
        <v>49371</v>
      </c>
      <c r="M4132" s="92">
        <f t="shared" ca="1" si="139"/>
        <v>6.25</v>
      </c>
      <c r="N4132" s="143">
        <f ca="1">(PRODUCT($O$5:$O4132)-1)*36000/_xlfn.DAYS(L4132, $C$2)</f>
        <v>10.375385010867721</v>
      </c>
      <c r="O4132" s="149">
        <f t="shared" ca="1" si="140"/>
        <v>1.000173611111111</v>
      </c>
    </row>
    <row r="4133" spans="12:15" x14ac:dyDescent="0.25">
      <c r="L4133" s="147">
        <f ca="1"/>
        <v>49372</v>
      </c>
      <c r="M4133" s="92">
        <f t="shared" ca="1" si="139"/>
        <v>6.25</v>
      </c>
      <c r="N4133" s="143">
        <f ca="1">(PRODUCT($O$5:$O4133)-1)*36000/_xlfn.DAYS(L4133, $C$2)</f>
        <v>10.376186732248261</v>
      </c>
      <c r="O4133" s="149">
        <f t="shared" ca="1" si="140"/>
        <v>1.000173611111111</v>
      </c>
    </row>
    <row r="4134" spans="12:15" x14ac:dyDescent="0.25">
      <c r="L4134" s="147">
        <f ca="1"/>
        <v>49373</v>
      </c>
      <c r="M4134" s="92">
        <f t="shared" ca="1" si="139"/>
        <v>6.25</v>
      </c>
      <c r="N4134" s="143">
        <f ca="1">(PRODUCT($O$5:$O4134)-1)*36000/_xlfn.DAYS(L4134, $C$2)</f>
        <v>10.37698864068583</v>
      </c>
      <c r="O4134" s="149">
        <f t="shared" ca="1" si="140"/>
        <v>1.000173611111111</v>
      </c>
    </row>
    <row r="4135" spans="12:15" x14ac:dyDescent="0.25">
      <c r="L4135" s="147">
        <f ca="1"/>
        <v>49374</v>
      </c>
      <c r="M4135" s="92">
        <f t="shared" ca="1" si="139"/>
        <v>6.25</v>
      </c>
      <c r="N4135" s="143">
        <f ca="1">(PRODUCT($O$5:$O4135)-1)*36000/_xlfn.DAYS(L4135, $C$2)</f>
        <v>10.377790736144441</v>
      </c>
      <c r="O4135" s="149">
        <f t="shared" ca="1" si="140"/>
        <v>1.000173611111111</v>
      </c>
    </row>
    <row r="4136" spans="12:15" x14ac:dyDescent="0.25">
      <c r="L4136" s="147">
        <f ca="1"/>
        <v>49375</v>
      </c>
      <c r="M4136" s="92">
        <f t="shared" ca="1" si="139"/>
        <v>6.25</v>
      </c>
      <c r="N4136" s="143">
        <f ca="1">(PRODUCT($O$5:$O4136)-1)*36000/_xlfn.DAYS(L4136, $C$2)</f>
        <v>10.378593018588155</v>
      </c>
      <c r="O4136" s="149">
        <f t="shared" ca="1" si="140"/>
        <v>1.000173611111111</v>
      </c>
    </row>
    <row r="4137" spans="12:15" x14ac:dyDescent="0.25">
      <c r="L4137" s="147">
        <f ca="1"/>
        <v>49376</v>
      </c>
      <c r="M4137" s="92">
        <f t="shared" ca="1" si="139"/>
        <v>6.25</v>
      </c>
      <c r="N4137" s="143">
        <f ca="1">(PRODUCT($O$5:$O4137)-1)*36000/_xlfn.DAYS(L4137, $C$2)</f>
        <v>10.379395487981087</v>
      </c>
      <c r="O4137" s="149">
        <f t="shared" ca="1" si="140"/>
        <v>1.000173611111111</v>
      </c>
    </row>
    <row r="4138" spans="12:15" x14ac:dyDescent="0.25">
      <c r="L4138" s="147">
        <f ca="1"/>
        <v>49377</v>
      </c>
      <c r="M4138" s="92">
        <f t="shared" ca="1" si="139"/>
        <v>6.25</v>
      </c>
      <c r="N4138" s="143">
        <f ca="1">(PRODUCT($O$5:$O4138)-1)*36000/_xlfn.DAYS(L4138, $C$2)</f>
        <v>10.380198144287403</v>
      </c>
      <c r="O4138" s="149">
        <f t="shared" ca="1" si="140"/>
        <v>1.000173611111111</v>
      </c>
    </row>
    <row r="4139" spans="12:15" x14ac:dyDescent="0.25">
      <c r="L4139" s="147">
        <f ca="1"/>
        <v>49378</v>
      </c>
      <c r="M4139" s="92">
        <f t="shared" ca="1" si="139"/>
        <v>6.25</v>
      </c>
      <c r="N4139" s="143">
        <f ca="1">(PRODUCT($O$5:$O4139)-1)*36000/_xlfn.DAYS(L4139, $C$2)</f>
        <v>10.381000987471324</v>
      </c>
      <c r="O4139" s="149">
        <f t="shared" ca="1" si="140"/>
        <v>1.000173611111111</v>
      </c>
    </row>
    <row r="4140" spans="12:15" x14ac:dyDescent="0.25">
      <c r="L4140" s="147">
        <f ca="1"/>
        <v>49379</v>
      </c>
      <c r="M4140" s="92">
        <f t="shared" ca="1" si="139"/>
        <v>6.25</v>
      </c>
      <c r="N4140" s="143">
        <f ca="1">(PRODUCT($O$5:$O4140)-1)*36000/_xlfn.DAYS(L4140, $C$2)</f>
        <v>10.381804017497119</v>
      </c>
      <c r="O4140" s="149">
        <f t="shared" ca="1" si="140"/>
        <v>1.000173611111111</v>
      </c>
    </row>
    <row r="4141" spans="12:15" x14ac:dyDescent="0.25">
      <c r="L4141" s="147">
        <f ca="1"/>
        <v>49380</v>
      </c>
      <c r="M4141" s="92">
        <f t="shared" ca="1" si="139"/>
        <v>6.25</v>
      </c>
      <c r="N4141" s="143">
        <f ca="1">(PRODUCT($O$5:$O4141)-1)*36000/_xlfn.DAYS(L4141, $C$2)</f>
        <v>10.382607234329107</v>
      </c>
      <c r="O4141" s="149">
        <f t="shared" ca="1" si="140"/>
        <v>1.000173611111111</v>
      </c>
    </row>
    <row r="4142" spans="12:15" x14ac:dyDescent="0.25">
      <c r="L4142" s="147">
        <f ca="1"/>
        <v>49381</v>
      </c>
      <c r="M4142" s="92">
        <f t="shared" ca="1" si="139"/>
        <v>6.25</v>
      </c>
      <c r="N4142" s="143">
        <f ca="1">(PRODUCT($O$5:$O4142)-1)*36000/_xlfn.DAYS(L4142, $C$2)</f>
        <v>10.383410637931672</v>
      </c>
      <c r="O4142" s="149">
        <f t="shared" ca="1" si="140"/>
        <v>1.000173611111111</v>
      </c>
    </row>
    <row r="4143" spans="12:15" x14ac:dyDescent="0.25">
      <c r="L4143" s="147">
        <f ca="1"/>
        <v>49382</v>
      </c>
      <c r="M4143" s="92">
        <f t="shared" ca="1" si="139"/>
        <v>6.25</v>
      </c>
      <c r="N4143" s="143">
        <f ca="1">(PRODUCT($O$5:$O4143)-1)*36000/_xlfn.DAYS(L4143, $C$2)</f>
        <v>10.384214228269231</v>
      </c>
      <c r="O4143" s="149">
        <f t="shared" ca="1" si="140"/>
        <v>1.000173611111111</v>
      </c>
    </row>
    <row r="4144" spans="12:15" x14ac:dyDescent="0.25">
      <c r="L4144" s="147">
        <f ca="1"/>
        <v>49383</v>
      </c>
      <c r="M4144" s="92">
        <f t="shared" ca="1" si="139"/>
        <v>6.25</v>
      </c>
      <c r="N4144" s="143">
        <f ca="1">(PRODUCT($O$5:$O4144)-1)*36000/_xlfn.DAYS(L4144, $C$2)</f>
        <v>10.385018005306264</v>
      </c>
      <c r="O4144" s="149">
        <f t="shared" ca="1" si="140"/>
        <v>1.000173611111111</v>
      </c>
    </row>
    <row r="4145" spans="12:15" x14ac:dyDescent="0.25">
      <c r="L4145" s="147">
        <f ca="1"/>
        <v>49384</v>
      </c>
      <c r="M4145" s="92">
        <f t="shared" ca="1" si="139"/>
        <v>6.25</v>
      </c>
      <c r="N4145" s="143">
        <f ca="1">(PRODUCT($O$5:$O4145)-1)*36000/_xlfn.DAYS(L4145, $C$2)</f>
        <v>10.385821969007301</v>
      </c>
      <c r="O4145" s="149">
        <f t="shared" ca="1" si="140"/>
        <v>1.000173611111111</v>
      </c>
    </row>
    <row r="4146" spans="12:15" x14ac:dyDescent="0.25">
      <c r="L4146" s="147">
        <f ca="1"/>
        <v>49385</v>
      </c>
      <c r="M4146" s="92">
        <f t="shared" ca="1" si="139"/>
        <v>6.25</v>
      </c>
      <c r="N4146" s="143">
        <f ca="1">(PRODUCT($O$5:$O4146)-1)*36000/_xlfn.DAYS(L4146, $C$2)</f>
        <v>10.386626119336924</v>
      </c>
      <c r="O4146" s="149">
        <f t="shared" ca="1" si="140"/>
        <v>1.000173611111111</v>
      </c>
    </row>
    <row r="4147" spans="12:15" x14ac:dyDescent="0.25">
      <c r="L4147" s="147">
        <f ca="1"/>
        <v>49386</v>
      </c>
      <c r="M4147" s="92">
        <f t="shared" ca="1" si="139"/>
        <v>6.25</v>
      </c>
      <c r="N4147" s="143">
        <f ca="1">(PRODUCT($O$5:$O4147)-1)*36000/_xlfn.DAYS(L4147, $C$2)</f>
        <v>10.387430456259766</v>
      </c>
      <c r="O4147" s="149">
        <f t="shared" ca="1" si="140"/>
        <v>1.000173611111111</v>
      </c>
    </row>
    <row r="4148" spans="12:15" x14ac:dyDescent="0.25">
      <c r="L4148" s="147">
        <f ca="1"/>
        <v>49387</v>
      </c>
      <c r="M4148" s="92">
        <f t="shared" ca="1" si="139"/>
        <v>6.25</v>
      </c>
      <c r="N4148" s="143">
        <f ca="1">(PRODUCT($O$5:$O4148)-1)*36000/_xlfn.DAYS(L4148, $C$2)</f>
        <v>10.38823497974051</v>
      </c>
      <c r="O4148" s="149">
        <f t="shared" ca="1" si="140"/>
        <v>1.000173611111111</v>
      </c>
    </row>
    <row r="4149" spans="12:15" x14ac:dyDescent="0.25">
      <c r="L4149" s="147">
        <f ca="1"/>
        <v>49388</v>
      </c>
      <c r="M4149" s="92">
        <f t="shared" ca="1" si="139"/>
        <v>6.25</v>
      </c>
      <c r="N4149" s="143">
        <f ca="1">(PRODUCT($O$5:$O4149)-1)*36000/_xlfn.DAYS(L4149, $C$2)</f>
        <v>10.389039689743893</v>
      </c>
      <c r="O4149" s="149">
        <f t="shared" ca="1" si="140"/>
        <v>1.000173611111111</v>
      </c>
    </row>
    <row r="4150" spans="12:15" x14ac:dyDescent="0.25">
      <c r="L4150" s="147">
        <f ca="1"/>
        <v>49389</v>
      </c>
      <c r="M4150" s="92">
        <f t="shared" ca="1" si="139"/>
        <v>6.25</v>
      </c>
      <c r="N4150" s="143">
        <f ca="1">(PRODUCT($O$5:$O4150)-1)*36000/_xlfn.DAYS(L4150, $C$2)</f>
        <v>10.389844586234695</v>
      </c>
      <c r="O4150" s="149">
        <f t="shared" ca="1" si="140"/>
        <v>1.000173611111111</v>
      </c>
    </row>
    <row r="4151" spans="12:15" x14ac:dyDescent="0.25">
      <c r="L4151" s="147">
        <f ca="1"/>
        <v>49390</v>
      </c>
      <c r="M4151" s="92">
        <f t="shared" ca="1" si="139"/>
        <v>6.25</v>
      </c>
      <c r="N4151" s="143">
        <f ca="1">(PRODUCT($O$5:$O4151)-1)*36000/_xlfn.DAYS(L4151, $C$2)</f>
        <v>10.390649669177758</v>
      </c>
      <c r="O4151" s="149">
        <f t="shared" ca="1" si="140"/>
        <v>1.000173611111111</v>
      </c>
    </row>
    <row r="4152" spans="12:15" x14ac:dyDescent="0.25">
      <c r="L4152" s="147">
        <f ca="1"/>
        <v>49391</v>
      </c>
      <c r="M4152" s="92">
        <f t="shared" ca="1" si="139"/>
        <v>6.25</v>
      </c>
      <c r="N4152" s="143">
        <f ca="1">(PRODUCT($O$5:$O4152)-1)*36000/_xlfn.DAYS(L4152, $C$2)</f>
        <v>10.391454938537974</v>
      </c>
      <c r="O4152" s="149">
        <f t="shared" ca="1" si="140"/>
        <v>1.000173611111111</v>
      </c>
    </row>
    <row r="4153" spans="12:15" x14ac:dyDescent="0.25">
      <c r="L4153" s="147">
        <f ca="1"/>
        <v>49392</v>
      </c>
      <c r="M4153" s="92">
        <f t="shared" ca="1" si="139"/>
        <v>6.25</v>
      </c>
      <c r="N4153" s="143">
        <f ca="1">(PRODUCT($O$5:$O4153)-1)*36000/_xlfn.DAYS(L4153, $C$2)</f>
        <v>10.392260394280282</v>
      </c>
      <c r="O4153" s="149">
        <f t="shared" ca="1" si="140"/>
        <v>1.000173611111111</v>
      </c>
    </row>
    <row r="4154" spans="12:15" x14ac:dyDescent="0.25">
      <c r="L4154" s="147">
        <f ca="1"/>
        <v>49393</v>
      </c>
      <c r="M4154" s="92">
        <f t="shared" ca="1" si="139"/>
        <v>6.25</v>
      </c>
      <c r="N4154" s="143">
        <f ca="1">(PRODUCT($O$5:$O4154)-1)*36000/_xlfn.DAYS(L4154, $C$2)</f>
        <v>10.393066036369673</v>
      </c>
      <c r="O4154" s="149">
        <f t="shared" ca="1" si="140"/>
        <v>1.000173611111111</v>
      </c>
    </row>
    <row r="4155" spans="12:15" x14ac:dyDescent="0.25">
      <c r="L4155" s="147">
        <f ca="1"/>
        <v>49394</v>
      </c>
      <c r="M4155" s="92">
        <f t="shared" ca="1" si="139"/>
        <v>6.25</v>
      </c>
      <c r="N4155" s="143">
        <f ca="1">(PRODUCT($O$5:$O4155)-1)*36000/_xlfn.DAYS(L4155, $C$2)</f>
        <v>10.393871864771189</v>
      </c>
      <c r="O4155" s="149">
        <f t="shared" ca="1" si="140"/>
        <v>1.000173611111111</v>
      </c>
    </row>
    <row r="4156" spans="12:15" x14ac:dyDescent="0.25">
      <c r="L4156" s="147">
        <f ca="1"/>
        <v>49395</v>
      </c>
      <c r="M4156" s="92">
        <f t="shared" ca="1" si="139"/>
        <v>6.25</v>
      </c>
      <c r="N4156" s="143">
        <f ca="1">(PRODUCT($O$5:$O4156)-1)*36000/_xlfn.DAYS(L4156, $C$2)</f>
        <v>10.394677879449924</v>
      </c>
      <c r="O4156" s="149">
        <f t="shared" ca="1" si="140"/>
        <v>1.000173611111111</v>
      </c>
    </row>
    <row r="4157" spans="12:15" x14ac:dyDescent="0.25">
      <c r="L4157" s="147">
        <f ca="1"/>
        <v>49396</v>
      </c>
      <c r="M4157" s="92">
        <f t="shared" ca="1" si="139"/>
        <v>6.25</v>
      </c>
      <c r="N4157" s="143">
        <f ca="1">(PRODUCT($O$5:$O4157)-1)*36000/_xlfn.DAYS(L4157, $C$2)</f>
        <v>10.39548408037102</v>
      </c>
      <c r="O4157" s="149">
        <f t="shared" ca="1" si="140"/>
        <v>1.000173611111111</v>
      </c>
    </row>
    <row r="4158" spans="12:15" x14ac:dyDescent="0.25">
      <c r="L4158" s="147">
        <f ca="1"/>
        <v>49397</v>
      </c>
      <c r="M4158" s="92">
        <f t="shared" ca="1" si="139"/>
        <v>6.25</v>
      </c>
      <c r="N4158" s="143">
        <f ca="1">(PRODUCT($O$5:$O4158)-1)*36000/_xlfn.DAYS(L4158, $C$2)</f>
        <v>10.396290467499677</v>
      </c>
      <c r="O4158" s="149">
        <f t="shared" ca="1" si="140"/>
        <v>1.000173611111111</v>
      </c>
    </row>
    <row r="4159" spans="12:15" x14ac:dyDescent="0.25">
      <c r="L4159" s="147">
        <f ca="1"/>
        <v>49398</v>
      </c>
      <c r="M4159" s="92">
        <f t="shared" ca="1" si="139"/>
        <v>6.25</v>
      </c>
      <c r="N4159" s="143">
        <f ca="1">(PRODUCT($O$5:$O4159)-1)*36000/_xlfn.DAYS(L4159, $C$2)</f>
        <v>10.397097040801135</v>
      </c>
      <c r="O4159" s="149">
        <f t="shared" ca="1" si="140"/>
        <v>1.000173611111111</v>
      </c>
    </row>
    <row r="4160" spans="12:15" x14ac:dyDescent="0.25">
      <c r="L4160" s="147">
        <f ca="1"/>
        <v>49399</v>
      </c>
      <c r="M4160" s="92">
        <f t="shared" ca="1" si="139"/>
        <v>6.25</v>
      </c>
      <c r="N4160" s="143">
        <f ca="1">(PRODUCT($O$5:$O4160)-1)*36000/_xlfn.DAYS(L4160, $C$2)</f>
        <v>10.397903800240698</v>
      </c>
      <c r="O4160" s="149">
        <f t="shared" ca="1" si="140"/>
        <v>1.000173611111111</v>
      </c>
    </row>
    <row r="4161" spans="12:15" x14ac:dyDescent="0.25">
      <c r="L4161" s="147">
        <f ca="1"/>
        <v>49400</v>
      </c>
      <c r="M4161" s="92">
        <f t="shared" ca="1" si="139"/>
        <v>6.25</v>
      </c>
      <c r="N4161" s="143">
        <f ca="1">(PRODUCT($O$5:$O4161)-1)*36000/_xlfn.DAYS(L4161, $C$2)</f>
        <v>10.398710745783706</v>
      </c>
      <c r="O4161" s="149">
        <f t="shared" ca="1" si="140"/>
        <v>1.000173611111111</v>
      </c>
    </row>
    <row r="4162" spans="12:15" x14ac:dyDescent="0.25">
      <c r="L4162" s="147">
        <f ca="1"/>
        <v>49401</v>
      </c>
      <c r="M4162" s="92">
        <f t="shared" ca="1" si="139"/>
        <v>6.25</v>
      </c>
      <c r="N4162" s="143">
        <f ca="1">(PRODUCT($O$5:$O4162)-1)*36000/_xlfn.DAYS(L4162, $C$2)</f>
        <v>10.399517877395562</v>
      </c>
      <c r="O4162" s="149">
        <f t="shared" ca="1" si="140"/>
        <v>1.000173611111111</v>
      </c>
    </row>
    <row r="4163" spans="12:15" x14ac:dyDescent="0.25">
      <c r="L4163" s="147">
        <f ca="1"/>
        <v>49402</v>
      </c>
      <c r="M4163" s="92">
        <f t="shared" ca="1" si="139"/>
        <v>6.25</v>
      </c>
      <c r="N4163" s="143">
        <f ca="1">(PRODUCT($O$5:$O4163)-1)*36000/_xlfn.DAYS(L4163, $C$2)</f>
        <v>10.400325195041713</v>
      </c>
      <c r="O4163" s="149">
        <f t="shared" ca="1" si="140"/>
        <v>1.000173611111111</v>
      </c>
    </row>
    <row r="4164" spans="12:15" x14ac:dyDescent="0.25">
      <c r="L4164" s="147">
        <f ca="1"/>
        <v>49403</v>
      </c>
      <c r="M4164" s="92">
        <f t="shared" ca="1" si="139"/>
        <v>6.25</v>
      </c>
      <c r="N4164" s="143">
        <f ca="1">(PRODUCT($O$5:$O4164)-1)*36000/_xlfn.DAYS(L4164, $C$2)</f>
        <v>10.401132698687659</v>
      </c>
      <c r="O4164" s="149">
        <f t="shared" ca="1" si="140"/>
        <v>1.000173611111111</v>
      </c>
    </row>
    <row r="4165" spans="12:15" x14ac:dyDescent="0.25">
      <c r="L4165" s="147">
        <f ca="1"/>
        <v>49404</v>
      </c>
      <c r="M4165" s="92">
        <f t="shared" ref="M4165:M4228" ca="1" si="141">IFERROR(INDEX($E$27:$H$47, MATCH(L4165, $F$27:$F$47, 0), 4), IF(ISNUMBER(M4164), M4164, $C$5))</f>
        <v>6.25</v>
      </c>
      <c r="N4165" s="143">
        <f ca="1">(PRODUCT($O$5:$O4165)-1)*36000/_xlfn.DAYS(L4165, $C$2)</f>
        <v>10.401940388298948</v>
      </c>
      <c r="O4165" s="149">
        <f t="shared" ca="1" si="140"/>
        <v>1.000173611111111</v>
      </c>
    </row>
    <row r="4166" spans="12:15" x14ac:dyDescent="0.25">
      <c r="L4166" s="147">
        <f ca="1"/>
        <v>49405</v>
      </c>
      <c r="M4166" s="92">
        <f t="shared" ca="1" si="141"/>
        <v>6.25</v>
      </c>
      <c r="N4166" s="143">
        <f ca="1">(PRODUCT($O$5:$O4166)-1)*36000/_xlfn.DAYS(L4166, $C$2)</f>
        <v>10.402748263841183</v>
      </c>
      <c r="O4166" s="149">
        <f t="shared" ref="O4166:O4229" ca="1" si="142">1+M4166*IFERROR(_xlfn.DAYS(L4166, L4165), _xlfn.DAYS(L4166, $C$2))/36000</f>
        <v>1.000173611111111</v>
      </c>
    </row>
    <row r="4167" spans="12:15" x14ac:dyDescent="0.25">
      <c r="L4167" s="147">
        <f ca="1"/>
        <v>49406</v>
      </c>
      <c r="M4167" s="92">
        <f t="shared" ca="1" si="141"/>
        <v>6.25</v>
      </c>
      <c r="N4167" s="143">
        <f ca="1">(PRODUCT($O$5:$O4167)-1)*36000/_xlfn.DAYS(L4167, $C$2)</f>
        <v>10.403556325280013</v>
      </c>
      <c r="O4167" s="149">
        <f t="shared" ca="1" si="142"/>
        <v>1.000173611111111</v>
      </c>
    </row>
    <row r="4168" spans="12:15" x14ac:dyDescent="0.25">
      <c r="L4168" s="147">
        <f ca="1"/>
        <v>49407</v>
      </c>
      <c r="M4168" s="92">
        <f t="shared" ca="1" si="141"/>
        <v>6.25</v>
      </c>
      <c r="N4168" s="143">
        <f ca="1">(PRODUCT($O$5:$O4168)-1)*36000/_xlfn.DAYS(L4168, $C$2)</f>
        <v>10.404364572581139</v>
      </c>
      <c r="O4168" s="149">
        <f t="shared" ca="1" si="142"/>
        <v>1.000173611111111</v>
      </c>
    </row>
    <row r="4169" spans="12:15" x14ac:dyDescent="0.25">
      <c r="L4169" s="147">
        <f ca="1"/>
        <v>49408</v>
      </c>
      <c r="M4169" s="92">
        <f t="shared" ca="1" si="141"/>
        <v>6.25</v>
      </c>
      <c r="N4169" s="143">
        <f ca="1">(PRODUCT($O$5:$O4169)-1)*36000/_xlfn.DAYS(L4169, $C$2)</f>
        <v>10.405173005710314</v>
      </c>
      <c r="O4169" s="149">
        <f t="shared" ca="1" si="142"/>
        <v>1.000173611111111</v>
      </c>
    </row>
    <row r="4170" spans="12:15" x14ac:dyDescent="0.25">
      <c r="L4170" s="147">
        <f ca="1"/>
        <v>49409</v>
      </c>
      <c r="M4170" s="92">
        <f t="shared" ca="1" si="141"/>
        <v>6.25</v>
      </c>
      <c r="N4170" s="143">
        <f ca="1">(PRODUCT($O$5:$O4170)-1)*36000/_xlfn.DAYS(L4170, $C$2)</f>
        <v>10.405981624633334</v>
      </c>
      <c r="O4170" s="149">
        <f t="shared" ca="1" si="142"/>
        <v>1.000173611111111</v>
      </c>
    </row>
    <row r="4171" spans="12:15" x14ac:dyDescent="0.25">
      <c r="L4171" s="147">
        <f ca="1"/>
        <v>49410</v>
      </c>
      <c r="M4171" s="92">
        <f t="shared" ca="1" si="141"/>
        <v>6.25</v>
      </c>
      <c r="N4171" s="143">
        <f ca="1">(PRODUCT($O$5:$O4171)-1)*36000/_xlfn.DAYS(L4171, $C$2)</f>
        <v>10.406790429316057</v>
      </c>
      <c r="O4171" s="149">
        <f t="shared" ca="1" si="142"/>
        <v>1.000173611111111</v>
      </c>
    </row>
    <row r="4172" spans="12:15" x14ac:dyDescent="0.25">
      <c r="L4172" s="147">
        <f ca="1"/>
        <v>49411</v>
      </c>
      <c r="M4172" s="92">
        <f t="shared" ca="1" si="141"/>
        <v>6.25</v>
      </c>
      <c r="N4172" s="143">
        <f ca="1">(PRODUCT($O$5:$O4172)-1)*36000/_xlfn.DAYS(L4172, $C$2)</f>
        <v>10.407599419724377</v>
      </c>
      <c r="O4172" s="149">
        <f t="shared" ca="1" si="142"/>
        <v>1.000173611111111</v>
      </c>
    </row>
    <row r="4173" spans="12:15" x14ac:dyDescent="0.25">
      <c r="L4173" s="147">
        <f ca="1"/>
        <v>49412</v>
      </c>
      <c r="M4173" s="92">
        <f t="shared" ca="1" si="141"/>
        <v>6.25</v>
      </c>
      <c r="N4173" s="143">
        <f ca="1">(PRODUCT($O$5:$O4173)-1)*36000/_xlfn.DAYS(L4173, $C$2)</f>
        <v>10.408408595824252</v>
      </c>
      <c r="O4173" s="149">
        <f t="shared" ca="1" si="142"/>
        <v>1.000173611111111</v>
      </c>
    </row>
    <row r="4174" spans="12:15" x14ac:dyDescent="0.25">
      <c r="L4174" s="147">
        <f ca="1"/>
        <v>49413</v>
      </c>
      <c r="M4174" s="92">
        <f t="shared" ca="1" si="141"/>
        <v>6.25</v>
      </c>
      <c r="N4174" s="143">
        <f ca="1">(PRODUCT($O$5:$O4174)-1)*36000/_xlfn.DAYS(L4174, $C$2)</f>
        <v>10.409217957581681</v>
      </c>
      <c r="O4174" s="149">
        <f t="shared" ca="1" si="142"/>
        <v>1.000173611111111</v>
      </c>
    </row>
    <row r="4175" spans="12:15" x14ac:dyDescent="0.25">
      <c r="L4175" s="147">
        <f ca="1"/>
        <v>49414</v>
      </c>
      <c r="M4175" s="92">
        <f t="shared" ca="1" si="141"/>
        <v>6.25</v>
      </c>
      <c r="N4175" s="143">
        <f ca="1">(PRODUCT($O$5:$O4175)-1)*36000/_xlfn.DAYS(L4175, $C$2)</f>
        <v>10.410027504962715</v>
      </c>
      <c r="O4175" s="149">
        <f t="shared" ca="1" si="142"/>
        <v>1.000173611111111</v>
      </c>
    </row>
    <row r="4176" spans="12:15" x14ac:dyDescent="0.25">
      <c r="L4176" s="147">
        <f ca="1"/>
        <v>49415</v>
      </c>
      <c r="M4176" s="92">
        <f t="shared" ca="1" si="141"/>
        <v>6.25</v>
      </c>
      <c r="N4176" s="143">
        <f ca="1">(PRODUCT($O$5:$O4176)-1)*36000/_xlfn.DAYS(L4176, $C$2)</f>
        <v>10.410837237933452</v>
      </c>
      <c r="O4176" s="149">
        <f t="shared" ca="1" si="142"/>
        <v>1.000173611111111</v>
      </c>
    </row>
    <row r="4177" spans="12:15" x14ac:dyDescent="0.25">
      <c r="L4177" s="147">
        <f ca="1"/>
        <v>49416</v>
      </c>
      <c r="M4177" s="92">
        <f t="shared" ca="1" si="141"/>
        <v>6.25</v>
      </c>
      <c r="N4177" s="143">
        <f ca="1">(PRODUCT($O$5:$O4177)-1)*36000/_xlfn.DAYS(L4177, $C$2)</f>
        <v>10.411647156460047</v>
      </c>
      <c r="O4177" s="149">
        <f t="shared" ca="1" si="142"/>
        <v>1.000173611111111</v>
      </c>
    </row>
    <row r="4178" spans="12:15" x14ac:dyDescent="0.25">
      <c r="L4178" s="147">
        <f ca="1"/>
        <v>49417</v>
      </c>
      <c r="M4178" s="92">
        <f t="shared" ca="1" si="141"/>
        <v>6.25</v>
      </c>
      <c r="N4178" s="143">
        <f ca="1">(PRODUCT($O$5:$O4178)-1)*36000/_xlfn.DAYS(L4178, $C$2)</f>
        <v>10.412457260508699</v>
      </c>
      <c r="O4178" s="149">
        <f t="shared" ca="1" si="142"/>
        <v>1.000173611111111</v>
      </c>
    </row>
    <row r="4179" spans="12:15" x14ac:dyDescent="0.25">
      <c r="L4179" s="147">
        <f ca="1"/>
        <v>49418</v>
      </c>
      <c r="M4179" s="92">
        <f t="shared" ca="1" si="141"/>
        <v>6.25</v>
      </c>
      <c r="N4179" s="143">
        <f ca="1">(PRODUCT($O$5:$O4179)-1)*36000/_xlfn.DAYS(L4179, $C$2)</f>
        <v>10.413267550045658</v>
      </c>
      <c r="O4179" s="149">
        <f t="shared" ca="1" si="142"/>
        <v>1.000173611111111</v>
      </c>
    </row>
    <row r="4180" spans="12:15" x14ac:dyDescent="0.25">
      <c r="L4180" s="147">
        <f ca="1"/>
        <v>49419</v>
      </c>
      <c r="M4180" s="92">
        <f t="shared" ca="1" si="141"/>
        <v>6.25</v>
      </c>
      <c r="N4180" s="143">
        <f ca="1">(PRODUCT($O$5:$O4180)-1)*36000/_xlfn.DAYS(L4180, $C$2)</f>
        <v>10.414078025037224</v>
      </c>
      <c r="O4180" s="149">
        <f t="shared" ca="1" si="142"/>
        <v>1.000173611111111</v>
      </c>
    </row>
    <row r="4181" spans="12:15" x14ac:dyDescent="0.25">
      <c r="L4181" s="147">
        <f ca="1"/>
        <v>49420</v>
      </c>
      <c r="M4181" s="92">
        <f t="shared" ca="1" si="141"/>
        <v>6.25</v>
      </c>
      <c r="N4181" s="143">
        <f ca="1">(PRODUCT($O$5:$O4181)-1)*36000/_xlfn.DAYS(L4181, $C$2)</f>
        <v>10.414888685449748</v>
      </c>
      <c r="O4181" s="149">
        <f t="shared" ca="1" si="142"/>
        <v>1.000173611111111</v>
      </c>
    </row>
    <row r="4182" spans="12:15" x14ac:dyDescent="0.25">
      <c r="L4182" s="147">
        <f ca="1"/>
        <v>49421</v>
      </c>
      <c r="M4182" s="92">
        <f t="shared" ca="1" si="141"/>
        <v>6.25</v>
      </c>
      <c r="N4182" s="143">
        <f ca="1">(PRODUCT($O$5:$O4182)-1)*36000/_xlfn.DAYS(L4182, $C$2)</f>
        <v>10.415699531249629</v>
      </c>
      <c r="O4182" s="149">
        <f t="shared" ca="1" si="142"/>
        <v>1.000173611111111</v>
      </c>
    </row>
    <row r="4183" spans="12:15" x14ac:dyDescent="0.25">
      <c r="L4183" s="147">
        <f ca="1"/>
        <v>49422</v>
      </c>
      <c r="M4183" s="92">
        <f t="shared" ca="1" si="141"/>
        <v>6.25</v>
      </c>
      <c r="N4183" s="143">
        <f ca="1">(PRODUCT($O$5:$O4183)-1)*36000/_xlfn.DAYS(L4183, $C$2)</f>
        <v>10.41651056240331</v>
      </c>
      <c r="O4183" s="149">
        <f t="shared" ca="1" si="142"/>
        <v>1.000173611111111</v>
      </c>
    </row>
    <row r="4184" spans="12:15" x14ac:dyDescent="0.25">
      <c r="L4184" s="147">
        <f ca="1"/>
        <v>49423</v>
      </c>
      <c r="M4184" s="92">
        <f t="shared" ca="1" si="141"/>
        <v>6.25</v>
      </c>
      <c r="N4184" s="143">
        <f ca="1">(PRODUCT($O$5:$O4184)-1)*36000/_xlfn.DAYS(L4184, $C$2)</f>
        <v>10.417321778877294</v>
      </c>
      <c r="O4184" s="149">
        <f t="shared" ca="1" si="142"/>
        <v>1.000173611111111</v>
      </c>
    </row>
    <row r="4185" spans="12:15" x14ac:dyDescent="0.25">
      <c r="L4185" s="147">
        <f ca="1"/>
        <v>49424</v>
      </c>
      <c r="M4185" s="92">
        <f t="shared" ca="1" si="141"/>
        <v>6.25</v>
      </c>
      <c r="N4185" s="143">
        <f ca="1">(PRODUCT($O$5:$O4185)-1)*36000/_xlfn.DAYS(L4185, $C$2)</f>
        <v>10.418133180638126</v>
      </c>
      <c r="O4185" s="149">
        <f t="shared" ca="1" si="142"/>
        <v>1.000173611111111</v>
      </c>
    </row>
    <row r="4186" spans="12:15" x14ac:dyDescent="0.25">
      <c r="L4186" s="147">
        <f ca="1"/>
        <v>49425</v>
      </c>
      <c r="M4186" s="92">
        <f t="shared" ca="1" si="141"/>
        <v>6.25</v>
      </c>
      <c r="N4186" s="143">
        <f ca="1">(PRODUCT($O$5:$O4186)-1)*36000/_xlfn.DAYS(L4186, $C$2)</f>
        <v>10.418944767652402</v>
      </c>
      <c r="O4186" s="149">
        <f t="shared" ca="1" si="142"/>
        <v>1.000173611111111</v>
      </c>
    </row>
    <row r="4187" spans="12:15" x14ac:dyDescent="0.25">
      <c r="L4187" s="147">
        <f ca="1"/>
        <v>49426</v>
      </c>
      <c r="M4187" s="92">
        <f t="shared" ca="1" si="141"/>
        <v>6.25</v>
      </c>
      <c r="N4187" s="143">
        <f ca="1">(PRODUCT($O$5:$O4187)-1)*36000/_xlfn.DAYS(L4187, $C$2)</f>
        <v>10.41975653988677</v>
      </c>
      <c r="O4187" s="149">
        <f t="shared" ca="1" si="142"/>
        <v>1.000173611111111</v>
      </c>
    </row>
    <row r="4188" spans="12:15" x14ac:dyDescent="0.25">
      <c r="L4188" s="147">
        <f ca="1"/>
        <v>49427</v>
      </c>
      <c r="M4188" s="92">
        <f t="shared" ca="1" si="141"/>
        <v>6.25</v>
      </c>
      <c r="N4188" s="143">
        <f ca="1">(PRODUCT($O$5:$O4188)-1)*36000/_xlfn.DAYS(L4188, $C$2)</f>
        <v>10.420568497307922</v>
      </c>
      <c r="O4188" s="149">
        <f t="shared" ca="1" si="142"/>
        <v>1.000173611111111</v>
      </c>
    </row>
    <row r="4189" spans="12:15" x14ac:dyDescent="0.25">
      <c r="L4189" s="147">
        <f ca="1"/>
        <v>49428</v>
      </c>
      <c r="M4189" s="92">
        <f t="shared" ca="1" si="141"/>
        <v>6.25</v>
      </c>
      <c r="N4189" s="143">
        <f ca="1">(PRODUCT($O$5:$O4189)-1)*36000/_xlfn.DAYS(L4189, $C$2)</f>
        <v>10.421380639882601</v>
      </c>
      <c r="O4189" s="149">
        <f t="shared" ca="1" si="142"/>
        <v>1.000173611111111</v>
      </c>
    </row>
    <row r="4190" spans="12:15" x14ac:dyDescent="0.25">
      <c r="L4190" s="147">
        <f ca="1"/>
        <v>49429</v>
      </c>
      <c r="M4190" s="92">
        <f t="shared" ca="1" si="141"/>
        <v>6.25</v>
      </c>
      <c r="N4190" s="143">
        <f ca="1">(PRODUCT($O$5:$O4190)-1)*36000/_xlfn.DAYS(L4190, $C$2)</f>
        <v>10.422192967577605</v>
      </c>
      <c r="O4190" s="149">
        <f t="shared" ca="1" si="142"/>
        <v>1.000173611111111</v>
      </c>
    </row>
    <row r="4191" spans="12:15" x14ac:dyDescent="0.25">
      <c r="L4191" s="147">
        <f ca="1"/>
        <v>49430</v>
      </c>
      <c r="M4191" s="92">
        <f t="shared" ca="1" si="141"/>
        <v>6.25</v>
      </c>
      <c r="N4191" s="143">
        <f ca="1">(PRODUCT($O$5:$O4191)-1)*36000/_xlfn.DAYS(L4191, $C$2)</f>
        <v>10.42300548035977</v>
      </c>
      <c r="O4191" s="149">
        <f t="shared" ca="1" si="142"/>
        <v>1.000173611111111</v>
      </c>
    </row>
    <row r="4192" spans="12:15" x14ac:dyDescent="0.25">
      <c r="L4192" s="147">
        <f ca="1"/>
        <v>49431</v>
      </c>
      <c r="M4192" s="92">
        <f t="shared" ca="1" si="141"/>
        <v>6.25</v>
      </c>
      <c r="N4192" s="143">
        <f ca="1">(PRODUCT($O$5:$O4192)-1)*36000/_xlfn.DAYS(L4192, $C$2)</f>
        <v>10.423818178195987</v>
      </c>
      <c r="O4192" s="149">
        <f t="shared" ca="1" si="142"/>
        <v>1.000173611111111</v>
      </c>
    </row>
    <row r="4193" spans="12:15" x14ac:dyDescent="0.25">
      <c r="L4193" s="147">
        <f ca="1"/>
        <v>49432</v>
      </c>
      <c r="M4193" s="92">
        <f t="shared" ca="1" si="141"/>
        <v>6.25</v>
      </c>
      <c r="N4193" s="143">
        <f ca="1">(PRODUCT($O$5:$O4193)-1)*36000/_xlfn.DAYS(L4193, $C$2)</f>
        <v>10.4246310610532</v>
      </c>
      <c r="O4193" s="149">
        <f t="shared" ca="1" si="142"/>
        <v>1.000173611111111</v>
      </c>
    </row>
    <row r="4194" spans="12:15" x14ac:dyDescent="0.25">
      <c r="L4194" s="147">
        <f ca="1"/>
        <v>49433</v>
      </c>
      <c r="M4194" s="92">
        <f t="shared" ca="1" si="141"/>
        <v>6.25</v>
      </c>
      <c r="N4194" s="143">
        <f ca="1">(PRODUCT($O$5:$O4194)-1)*36000/_xlfn.DAYS(L4194, $C$2)</f>
        <v>10.425444128898395</v>
      </c>
      <c r="O4194" s="149">
        <f t="shared" ca="1" si="142"/>
        <v>1.000173611111111</v>
      </c>
    </row>
    <row r="4195" spans="12:15" x14ac:dyDescent="0.25">
      <c r="L4195" s="147">
        <f ca="1"/>
        <v>49434</v>
      </c>
      <c r="M4195" s="92">
        <f t="shared" ca="1" si="141"/>
        <v>6.25</v>
      </c>
      <c r="N4195" s="143">
        <f ca="1">(PRODUCT($O$5:$O4195)-1)*36000/_xlfn.DAYS(L4195, $C$2)</f>
        <v>10.426257381698608</v>
      </c>
      <c r="O4195" s="149">
        <f t="shared" ca="1" si="142"/>
        <v>1.000173611111111</v>
      </c>
    </row>
    <row r="4196" spans="12:15" x14ac:dyDescent="0.25">
      <c r="L4196" s="147">
        <f ca="1"/>
        <v>49435</v>
      </c>
      <c r="M4196" s="92">
        <f t="shared" ca="1" si="141"/>
        <v>6.25</v>
      </c>
      <c r="N4196" s="143">
        <f ca="1">(PRODUCT($O$5:$O4196)-1)*36000/_xlfn.DAYS(L4196, $C$2)</f>
        <v>10.427070819420925</v>
      </c>
      <c r="O4196" s="149">
        <f t="shared" ca="1" si="142"/>
        <v>1.000173611111111</v>
      </c>
    </row>
    <row r="4197" spans="12:15" x14ac:dyDescent="0.25">
      <c r="L4197" s="147">
        <f ca="1"/>
        <v>49436</v>
      </c>
      <c r="M4197" s="92">
        <f t="shared" ca="1" si="141"/>
        <v>6.25</v>
      </c>
      <c r="N4197" s="143">
        <f ca="1">(PRODUCT($O$5:$O4197)-1)*36000/_xlfn.DAYS(L4197, $C$2)</f>
        <v>10.427884442032482</v>
      </c>
      <c r="O4197" s="149">
        <f t="shared" ca="1" si="142"/>
        <v>1.000173611111111</v>
      </c>
    </row>
    <row r="4198" spans="12:15" x14ac:dyDescent="0.25">
      <c r="L4198" s="147">
        <f ca="1"/>
        <v>49437</v>
      </c>
      <c r="M4198" s="92">
        <f t="shared" ca="1" si="141"/>
        <v>6.25</v>
      </c>
      <c r="N4198" s="143">
        <f ca="1">(PRODUCT($O$5:$O4198)-1)*36000/_xlfn.DAYS(L4198, $C$2)</f>
        <v>10.428698249500464</v>
      </c>
      <c r="O4198" s="149">
        <f t="shared" ca="1" si="142"/>
        <v>1.000173611111111</v>
      </c>
    </row>
    <row r="4199" spans="12:15" x14ac:dyDescent="0.25">
      <c r="L4199" s="147">
        <f ca="1"/>
        <v>49438</v>
      </c>
      <c r="M4199" s="92">
        <f t="shared" ca="1" si="141"/>
        <v>6.25</v>
      </c>
      <c r="N4199" s="143">
        <f ca="1">(PRODUCT($O$5:$O4199)-1)*36000/_xlfn.DAYS(L4199, $C$2)</f>
        <v>10.429512241792096</v>
      </c>
      <c r="O4199" s="149">
        <f t="shared" ca="1" si="142"/>
        <v>1.000173611111111</v>
      </c>
    </row>
    <row r="4200" spans="12:15" x14ac:dyDescent="0.25">
      <c r="L4200" s="147">
        <f ca="1"/>
        <v>49439</v>
      </c>
      <c r="M4200" s="92">
        <f t="shared" ca="1" si="141"/>
        <v>6.25</v>
      </c>
      <c r="N4200" s="143">
        <f ca="1">(PRODUCT($O$5:$O4200)-1)*36000/_xlfn.DAYS(L4200, $C$2)</f>
        <v>10.430326418874666</v>
      </c>
      <c r="O4200" s="149">
        <f t="shared" ca="1" si="142"/>
        <v>1.000173611111111</v>
      </c>
    </row>
    <row r="4201" spans="12:15" x14ac:dyDescent="0.25">
      <c r="L4201" s="147">
        <f ca="1"/>
        <v>49440</v>
      </c>
      <c r="M4201" s="92">
        <f t="shared" ca="1" si="141"/>
        <v>6.25</v>
      </c>
      <c r="N4201" s="143">
        <f ca="1">(PRODUCT($O$5:$O4201)-1)*36000/_xlfn.DAYS(L4201, $C$2)</f>
        <v>10.431140780715497</v>
      </c>
      <c r="O4201" s="149">
        <f t="shared" ca="1" si="142"/>
        <v>1.000173611111111</v>
      </c>
    </row>
    <row r="4202" spans="12:15" x14ac:dyDescent="0.25">
      <c r="L4202" s="147">
        <f ca="1"/>
        <v>49441</v>
      </c>
      <c r="M4202" s="92">
        <f t="shared" ca="1" si="141"/>
        <v>6.25</v>
      </c>
      <c r="N4202" s="143">
        <f ca="1">(PRODUCT($O$5:$O4202)-1)*36000/_xlfn.DAYS(L4202, $C$2)</f>
        <v>10.431955327281971</v>
      </c>
      <c r="O4202" s="149">
        <f t="shared" ca="1" si="142"/>
        <v>1.000173611111111</v>
      </c>
    </row>
    <row r="4203" spans="12:15" x14ac:dyDescent="0.25">
      <c r="L4203" s="147">
        <f ca="1"/>
        <v>49442</v>
      </c>
      <c r="M4203" s="92">
        <f t="shared" ca="1" si="141"/>
        <v>6.25</v>
      </c>
      <c r="N4203" s="143">
        <f ca="1">(PRODUCT($O$5:$O4203)-1)*36000/_xlfn.DAYS(L4203, $C$2)</f>
        <v>10.432770058541513</v>
      </c>
      <c r="O4203" s="149">
        <f t="shared" ca="1" si="142"/>
        <v>1.000173611111111</v>
      </c>
    </row>
    <row r="4204" spans="12:15" x14ac:dyDescent="0.25">
      <c r="L4204" s="147">
        <f ca="1"/>
        <v>49443</v>
      </c>
      <c r="M4204" s="92">
        <f t="shared" ca="1" si="141"/>
        <v>6.25</v>
      </c>
      <c r="N4204" s="143">
        <f ca="1">(PRODUCT($O$5:$O4204)-1)*36000/_xlfn.DAYS(L4204, $C$2)</f>
        <v>10.433584974461594</v>
      </c>
      <c r="O4204" s="149">
        <f t="shared" ca="1" si="142"/>
        <v>1.000173611111111</v>
      </c>
    </row>
    <row r="4205" spans="12:15" x14ac:dyDescent="0.25">
      <c r="L4205" s="147">
        <f ca="1"/>
        <v>49444</v>
      </c>
      <c r="M4205" s="92">
        <f t="shared" ca="1" si="141"/>
        <v>6.25</v>
      </c>
      <c r="N4205" s="143">
        <f ca="1">(PRODUCT($O$5:$O4205)-1)*36000/_xlfn.DAYS(L4205, $C$2)</f>
        <v>10.434400075009735</v>
      </c>
      <c r="O4205" s="149">
        <f t="shared" ca="1" si="142"/>
        <v>1.000173611111111</v>
      </c>
    </row>
    <row r="4206" spans="12:15" x14ac:dyDescent="0.25">
      <c r="L4206" s="147">
        <f ca="1"/>
        <v>49445</v>
      </c>
      <c r="M4206" s="92">
        <f t="shared" ca="1" si="141"/>
        <v>6.25</v>
      </c>
      <c r="N4206" s="143">
        <f ca="1">(PRODUCT($O$5:$O4206)-1)*36000/_xlfn.DAYS(L4206, $C$2)</f>
        <v>10.43521536015351</v>
      </c>
      <c r="O4206" s="149">
        <f t="shared" ca="1" si="142"/>
        <v>1.000173611111111</v>
      </c>
    </row>
    <row r="4207" spans="12:15" x14ac:dyDescent="0.25">
      <c r="L4207" s="147">
        <f ca="1"/>
        <v>49446</v>
      </c>
      <c r="M4207" s="92">
        <f t="shared" ca="1" si="141"/>
        <v>6.25</v>
      </c>
      <c r="N4207" s="143">
        <f ca="1">(PRODUCT($O$5:$O4207)-1)*36000/_xlfn.DAYS(L4207, $C$2)</f>
        <v>10.436030829860531</v>
      </c>
      <c r="O4207" s="149">
        <f t="shared" ca="1" si="142"/>
        <v>1.000173611111111</v>
      </c>
    </row>
    <row r="4208" spans="12:15" x14ac:dyDescent="0.25">
      <c r="L4208" s="147">
        <f ca="1"/>
        <v>49447</v>
      </c>
      <c r="M4208" s="92">
        <f t="shared" ca="1" si="141"/>
        <v>6.25</v>
      </c>
      <c r="N4208" s="143">
        <f ca="1">(PRODUCT($O$5:$O4208)-1)*36000/_xlfn.DAYS(L4208, $C$2)</f>
        <v>10.436846484098471</v>
      </c>
      <c r="O4208" s="149">
        <f t="shared" ca="1" si="142"/>
        <v>1.000173611111111</v>
      </c>
    </row>
    <row r="4209" spans="12:15" x14ac:dyDescent="0.25">
      <c r="L4209" s="147">
        <f ca="1"/>
        <v>49448</v>
      </c>
      <c r="M4209" s="92">
        <f t="shared" ca="1" si="141"/>
        <v>6.25</v>
      </c>
      <c r="N4209" s="143">
        <f ca="1">(PRODUCT($O$5:$O4209)-1)*36000/_xlfn.DAYS(L4209, $C$2)</f>
        <v>10.437662322835042</v>
      </c>
      <c r="O4209" s="149">
        <f t="shared" ca="1" si="142"/>
        <v>1.000173611111111</v>
      </c>
    </row>
    <row r="4210" spans="12:15" x14ac:dyDescent="0.25">
      <c r="L4210" s="147">
        <f ca="1"/>
        <v>49449</v>
      </c>
      <c r="M4210" s="92">
        <f t="shared" ca="1" si="141"/>
        <v>6.25</v>
      </c>
      <c r="N4210" s="143">
        <f ca="1">(PRODUCT($O$5:$O4210)-1)*36000/_xlfn.DAYS(L4210, $C$2)</f>
        <v>10.438478346038002</v>
      </c>
      <c r="O4210" s="149">
        <f t="shared" ca="1" si="142"/>
        <v>1.000173611111111</v>
      </c>
    </row>
    <row r="4211" spans="12:15" x14ac:dyDescent="0.25">
      <c r="L4211" s="147">
        <f ca="1"/>
        <v>49450</v>
      </c>
      <c r="M4211" s="92">
        <f t="shared" ca="1" si="141"/>
        <v>6.25</v>
      </c>
      <c r="N4211" s="143">
        <f ca="1">(PRODUCT($O$5:$O4211)-1)*36000/_xlfn.DAYS(L4211, $C$2)</f>
        <v>10.439294553675165</v>
      </c>
      <c r="O4211" s="149">
        <f t="shared" ca="1" si="142"/>
        <v>1.000173611111111</v>
      </c>
    </row>
    <row r="4212" spans="12:15" x14ac:dyDescent="0.25">
      <c r="L4212" s="147">
        <f ca="1"/>
        <v>49451</v>
      </c>
      <c r="M4212" s="92">
        <f t="shared" ca="1" si="141"/>
        <v>6.25</v>
      </c>
      <c r="N4212" s="143">
        <f ca="1">(PRODUCT($O$5:$O4212)-1)*36000/_xlfn.DAYS(L4212, $C$2)</f>
        <v>10.440110945714391</v>
      </c>
      <c r="O4212" s="149">
        <f t="shared" ca="1" si="142"/>
        <v>1.000173611111111</v>
      </c>
    </row>
    <row r="4213" spans="12:15" x14ac:dyDescent="0.25">
      <c r="L4213" s="147">
        <f ca="1"/>
        <v>49452</v>
      </c>
      <c r="M4213" s="92">
        <f t="shared" ca="1" si="141"/>
        <v>6.25</v>
      </c>
      <c r="N4213" s="143">
        <f ca="1">(PRODUCT($O$5:$O4213)-1)*36000/_xlfn.DAYS(L4213, $C$2)</f>
        <v>10.440927522123584</v>
      </c>
      <c r="O4213" s="149">
        <f t="shared" ca="1" si="142"/>
        <v>1.000173611111111</v>
      </c>
    </row>
    <row r="4214" spans="12:15" x14ac:dyDescent="0.25">
      <c r="L4214" s="147">
        <f ca="1"/>
        <v>49453</v>
      </c>
      <c r="M4214" s="92">
        <f t="shared" ca="1" si="141"/>
        <v>6.25</v>
      </c>
      <c r="N4214" s="143">
        <f ca="1">(PRODUCT($O$5:$O4214)-1)*36000/_xlfn.DAYS(L4214, $C$2)</f>
        <v>10.441744282870694</v>
      </c>
      <c r="O4214" s="149">
        <f t="shared" ca="1" si="142"/>
        <v>1.000173611111111</v>
      </c>
    </row>
    <row r="4215" spans="12:15" x14ac:dyDescent="0.25">
      <c r="L4215" s="147">
        <f ca="1"/>
        <v>49454</v>
      </c>
      <c r="M4215" s="92">
        <f t="shared" ca="1" si="141"/>
        <v>6.25</v>
      </c>
      <c r="N4215" s="143">
        <f ca="1">(PRODUCT($O$5:$O4215)-1)*36000/_xlfn.DAYS(L4215, $C$2)</f>
        <v>10.442561227923727</v>
      </c>
      <c r="O4215" s="149">
        <f t="shared" ca="1" si="142"/>
        <v>1.000173611111111</v>
      </c>
    </row>
    <row r="4216" spans="12:15" x14ac:dyDescent="0.25">
      <c r="L4216" s="147">
        <f ca="1"/>
        <v>49455</v>
      </c>
      <c r="M4216" s="92">
        <f t="shared" ca="1" si="141"/>
        <v>6.25</v>
      </c>
      <c r="N4216" s="143">
        <f ca="1">(PRODUCT($O$5:$O4216)-1)*36000/_xlfn.DAYS(L4216, $C$2)</f>
        <v>10.443378357250729</v>
      </c>
      <c r="O4216" s="149">
        <f t="shared" ca="1" si="142"/>
        <v>1.000173611111111</v>
      </c>
    </row>
    <row r="4217" spans="12:15" x14ac:dyDescent="0.25">
      <c r="L4217" s="147">
        <f ca="1"/>
        <v>49456</v>
      </c>
      <c r="M4217" s="92">
        <f t="shared" ca="1" si="141"/>
        <v>6.25</v>
      </c>
      <c r="N4217" s="143">
        <f ca="1">(PRODUCT($O$5:$O4217)-1)*36000/_xlfn.DAYS(L4217, $C$2)</f>
        <v>10.444195670819797</v>
      </c>
      <c r="O4217" s="149">
        <f t="shared" ca="1" si="142"/>
        <v>1.000173611111111</v>
      </c>
    </row>
    <row r="4218" spans="12:15" x14ac:dyDescent="0.25">
      <c r="L4218" s="147">
        <f ca="1"/>
        <v>49457</v>
      </c>
      <c r="M4218" s="92">
        <f t="shared" ca="1" si="141"/>
        <v>6.25</v>
      </c>
      <c r="N4218" s="143">
        <f ca="1">(PRODUCT($O$5:$O4218)-1)*36000/_xlfn.DAYS(L4218, $C$2)</f>
        <v>10.445013168599074</v>
      </c>
      <c r="O4218" s="149">
        <f t="shared" ca="1" si="142"/>
        <v>1.000173611111111</v>
      </c>
    </row>
    <row r="4219" spans="12:15" x14ac:dyDescent="0.25">
      <c r="L4219" s="147">
        <f ca="1"/>
        <v>49458</v>
      </c>
      <c r="M4219" s="92">
        <f t="shared" ca="1" si="141"/>
        <v>6.25</v>
      </c>
      <c r="N4219" s="143">
        <f ca="1">(PRODUCT($O$5:$O4219)-1)*36000/_xlfn.DAYS(L4219, $C$2)</f>
        <v>10.445830850556753</v>
      </c>
      <c r="O4219" s="149">
        <f t="shared" ca="1" si="142"/>
        <v>1.000173611111111</v>
      </c>
    </row>
    <row r="4220" spans="12:15" x14ac:dyDescent="0.25">
      <c r="L4220" s="147">
        <f ca="1"/>
        <v>49459</v>
      </c>
      <c r="M4220" s="92">
        <f t="shared" ca="1" si="141"/>
        <v>6.25</v>
      </c>
      <c r="N4220" s="143">
        <f ca="1">(PRODUCT($O$5:$O4220)-1)*36000/_xlfn.DAYS(L4220, $C$2)</f>
        <v>10.446648716661072</v>
      </c>
      <c r="O4220" s="149">
        <f t="shared" ca="1" si="142"/>
        <v>1.000173611111111</v>
      </c>
    </row>
    <row r="4221" spans="12:15" x14ac:dyDescent="0.25">
      <c r="L4221" s="147">
        <f ca="1"/>
        <v>49460</v>
      </c>
      <c r="M4221" s="92">
        <f t="shared" ca="1" si="141"/>
        <v>6.25</v>
      </c>
      <c r="N4221" s="143">
        <f ca="1">(PRODUCT($O$5:$O4221)-1)*36000/_xlfn.DAYS(L4221, $C$2)</f>
        <v>10.447466766880314</v>
      </c>
      <c r="O4221" s="149">
        <f t="shared" ca="1" si="142"/>
        <v>1.000173611111111</v>
      </c>
    </row>
    <row r="4222" spans="12:15" x14ac:dyDescent="0.25">
      <c r="L4222" s="147">
        <f ca="1"/>
        <v>49461</v>
      </c>
      <c r="M4222" s="92">
        <f t="shared" ca="1" si="141"/>
        <v>6.25</v>
      </c>
      <c r="N4222" s="143">
        <f ca="1">(PRODUCT($O$5:$O4222)-1)*36000/_xlfn.DAYS(L4222, $C$2)</f>
        <v>10.448285001182819</v>
      </c>
      <c r="O4222" s="149">
        <f t="shared" ca="1" si="142"/>
        <v>1.000173611111111</v>
      </c>
    </row>
    <row r="4223" spans="12:15" x14ac:dyDescent="0.25">
      <c r="L4223" s="147">
        <f ca="1"/>
        <v>49462</v>
      </c>
      <c r="M4223" s="92">
        <f t="shared" ca="1" si="141"/>
        <v>6.25</v>
      </c>
      <c r="N4223" s="143">
        <f ca="1">(PRODUCT($O$5:$O4223)-1)*36000/_xlfn.DAYS(L4223, $C$2)</f>
        <v>10.449103419536966</v>
      </c>
      <c r="O4223" s="149">
        <f t="shared" ca="1" si="142"/>
        <v>1.000173611111111</v>
      </c>
    </row>
    <row r="4224" spans="12:15" x14ac:dyDescent="0.25">
      <c r="L4224" s="147">
        <f ca="1"/>
        <v>49463</v>
      </c>
      <c r="M4224" s="92">
        <f t="shared" ca="1" si="141"/>
        <v>6.25</v>
      </c>
      <c r="N4224" s="143">
        <f ca="1">(PRODUCT($O$5:$O4224)-1)*36000/_xlfn.DAYS(L4224, $C$2)</f>
        <v>10.449922021911179</v>
      </c>
      <c r="O4224" s="149">
        <f t="shared" ca="1" si="142"/>
        <v>1.000173611111111</v>
      </c>
    </row>
    <row r="4225" spans="12:15" x14ac:dyDescent="0.25">
      <c r="L4225" s="147">
        <f ca="1"/>
        <v>49464</v>
      </c>
      <c r="M4225" s="92">
        <f t="shared" ca="1" si="141"/>
        <v>6.25</v>
      </c>
      <c r="N4225" s="143">
        <f ca="1">(PRODUCT($O$5:$O4225)-1)*36000/_xlfn.DAYS(L4225, $C$2)</f>
        <v>10.450740808273933</v>
      </c>
      <c r="O4225" s="149">
        <f t="shared" ca="1" si="142"/>
        <v>1.000173611111111</v>
      </c>
    </row>
    <row r="4226" spans="12:15" x14ac:dyDescent="0.25">
      <c r="L4226" s="147">
        <f ca="1"/>
        <v>49465</v>
      </c>
      <c r="M4226" s="92">
        <f t="shared" ca="1" si="141"/>
        <v>6.25</v>
      </c>
      <c r="N4226" s="143">
        <f ca="1">(PRODUCT($O$5:$O4226)-1)*36000/_xlfn.DAYS(L4226, $C$2)</f>
        <v>10.451559778593753</v>
      </c>
      <c r="O4226" s="149">
        <f t="shared" ca="1" si="142"/>
        <v>1.000173611111111</v>
      </c>
    </row>
    <row r="4227" spans="12:15" x14ac:dyDescent="0.25">
      <c r="L4227" s="147">
        <f ca="1"/>
        <v>49466</v>
      </c>
      <c r="M4227" s="92">
        <f t="shared" ca="1" si="141"/>
        <v>6.25</v>
      </c>
      <c r="N4227" s="143">
        <f ca="1">(PRODUCT($O$5:$O4227)-1)*36000/_xlfn.DAYS(L4227, $C$2)</f>
        <v>10.452378932839206</v>
      </c>
      <c r="O4227" s="149">
        <f t="shared" ca="1" si="142"/>
        <v>1.000173611111111</v>
      </c>
    </row>
    <row r="4228" spans="12:15" x14ac:dyDescent="0.25">
      <c r="L4228" s="147">
        <f ca="1"/>
        <v>49467</v>
      </c>
      <c r="M4228" s="92">
        <f t="shared" ca="1" si="141"/>
        <v>6.25</v>
      </c>
      <c r="N4228" s="143">
        <f ca="1">(PRODUCT($O$5:$O4228)-1)*36000/_xlfn.DAYS(L4228, $C$2)</f>
        <v>10.453198270978914</v>
      </c>
      <c r="O4228" s="149">
        <f t="shared" ca="1" si="142"/>
        <v>1.000173611111111</v>
      </c>
    </row>
    <row r="4229" spans="12:15" x14ac:dyDescent="0.25">
      <c r="L4229" s="147">
        <f ca="1"/>
        <v>49468</v>
      </c>
      <c r="M4229" s="92">
        <f t="shared" ref="M4229:M4292" ca="1" si="143">IFERROR(INDEX($E$27:$H$47, MATCH(L4229, $F$27:$F$47, 0), 4), IF(ISNUMBER(M4228), M4228, $C$5))</f>
        <v>6.25</v>
      </c>
      <c r="N4229" s="143">
        <f ca="1">(PRODUCT($O$5:$O4229)-1)*36000/_xlfn.DAYS(L4229, $C$2)</f>
        <v>10.454017792981533</v>
      </c>
      <c r="O4229" s="149">
        <f t="shared" ca="1" si="142"/>
        <v>1.000173611111111</v>
      </c>
    </row>
    <row r="4230" spans="12:15" x14ac:dyDescent="0.25">
      <c r="L4230" s="147">
        <f ca="1"/>
        <v>49469</v>
      </c>
      <c r="M4230" s="92">
        <f t="shared" ca="1" si="143"/>
        <v>6.25</v>
      </c>
      <c r="N4230" s="143">
        <f ca="1">(PRODUCT($O$5:$O4230)-1)*36000/_xlfn.DAYS(L4230, $C$2)</f>
        <v>10.454837498815776</v>
      </c>
      <c r="O4230" s="149">
        <f t="shared" ref="O4230:O4293" ca="1" si="144">1+M4230*IFERROR(_xlfn.DAYS(L4230, L4229), _xlfn.DAYS(L4230, $C$2))/36000</f>
        <v>1.000173611111111</v>
      </c>
    </row>
    <row r="4231" spans="12:15" x14ac:dyDescent="0.25">
      <c r="L4231" s="147">
        <f ca="1"/>
        <v>49470</v>
      </c>
      <c r="M4231" s="92">
        <f t="shared" ca="1" si="143"/>
        <v>6.25</v>
      </c>
      <c r="N4231" s="143">
        <f ca="1">(PRODUCT($O$5:$O4231)-1)*36000/_xlfn.DAYS(L4231, $C$2)</f>
        <v>10.455657388450399</v>
      </c>
      <c r="O4231" s="149">
        <f t="shared" ca="1" si="144"/>
        <v>1.000173611111111</v>
      </c>
    </row>
    <row r="4232" spans="12:15" x14ac:dyDescent="0.25">
      <c r="L4232" s="147">
        <f ca="1"/>
        <v>49471</v>
      </c>
      <c r="M4232" s="92">
        <f t="shared" ca="1" si="143"/>
        <v>6.25</v>
      </c>
      <c r="N4232" s="143">
        <f ca="1">(PRODUCT($O$5:$O4232)-1)*36000/_xlfn.DAYS(L4232, $C$2)</f>
        <v>10.456477461854204</v>
      </c>
      <c r="O4232" s="149">
        <f t="shared" ca="1" si="144"/>
        <v>1.000173611111111</v>
      </c>
    </row>
    <row r="4233" spans="12:15" x14ac:dyDescent="0.25">
      <c r="L4233" s="147">
        <f ca="1"/>
        <v>49472</v>
      </c>
      <c r="M4233" s="92">
        <f t="shared" ca="1" si="143"/>
        <v>6.25</v>
      </c>
      <c r="N4233" s="143">
        <f ca="1">(PRODUCT($O$5:$O4233)-1)*36000/_xlfn.DAYS(L4233, $C$2)</f>
        <v>10.457297718996045</v>
      </c>
      <c r="O4233" s="149">
        <f t="shared" ca="1" si="144"/>
        <v>1.000173611111111</v>
      </c>
    </row>
    <row r="4234" spans="12:15" x14ac:dyDescent="0.25">
      <c r="L4234" s="147">
        <f ca="1"/>
        <v>49473</v>
      </c>
      <c r="M4234" s="92">
        <f t="shared" ca="1" si="143"/>
        <v>6.25</v>
      </c>
      <c r="N4234" s="143">
        <f ca="1">(PRODUCT($O$5:$O4234)-1)*36000/_xlfn.DAYS(L4234, $C$2)</f>
        <v>10.458118159844817</v>
      </c>
      <c r="O4234" s="149">
        <f t="shared" ca="1" si="144"/>
        <v>1.000173611111111</v>
      </c>
    </row>
    <row r="4235" spans="12:15" x14ac:dyDescent="0.25">
      <c r="L4235" s="147">
        <f ca="1"/>
        <v>49474</v>
      </c>
      <c r="M4235" s="92">
        <f t="shared" ca="1" si="143"/>
        <v>6.25</v>
      </c>
      <c r="N4235" s="143">
        <f ca="1">(PRODUCT($O$5:$O4235)-1)*36000/_xlfn.DAYS(L4235, $C$2)</f>
        <v>10.458938784369467</v>
      </c>
      <c r="O4235" s="149">
        <f t="shared" ca="1" si="144"/>
        <v>1.000173611111111</v>
      </c>
    </row>
    <row r="4236" spans="12:15" x14ac:dyDescent="0.25">
      <c r="L4236" s="147">
        <f ca="1"/>
        <v>49475</v>
      </c>
      <c r="M4236" s="92">
        <f t="shared" ca="1" si="143"/>
        <v>6.25</v>
      </c>
      <c r="N4236" s="143">
        <f ca="1">(PRODUCT($O$5:$O4236)-1)*36000/_xlfn.DAYS(L4236, $C$2)</f>
        <v>10.459759592538978</v>
      </c>
      <c r="O4236" s="149">
        <f t="shared" ca="1" si="144"/>
        <v>1.000173611111111</v>
      </c>
    </row>
    <row r="4237" spans="12:15" x14ac:dyDescent="0.25">
      <c r="L4237" s="147">
        <f ca="1"/>
        <v>49476</v>
      </c>
      <c r="M4237" s="92">
        <f t="shared" ca="1" si="143"/>
        <v>6.25</v>
      </c>
      <c r="N4237" s="143">
        <f ca="1">(PRODUCT($O$5:$O4237)-1)*36000/_xlfn.DAYS(L4237, $C$2)</f>
        <v>10.460580584322393</v>
      </c>
      <c r="O4237" s="149">
        <f t="shared" ca="1" si="144"/>
        <v>1.000173611111111</v>
      </c>
    </row>
    <row r="4238" spans="12:15" x14ac:dyDescent="0.25">
      <c r="L4238" s="147">
        <f ca="1"/>
        <v>49477</v>
      </c>
      <c r="M4238" s="92">
        <f t="shared" ca="1" si="143"/>
        <v>6.25</v>
      </c>
      <c r="N4238" s="143">
        <f ca="1">(PRODUCT($O$5:$O4238)-1)*36000/_xlfn.DAYS(L4238, $C$2)</f>
        <v>10.461401759688794</v>
      </c>
      <c r="O4238" s="149">
        <f t="shared" ca="1" si="144"/>
        <v>1.000173611111111</v>
      </c>
    </row>
    <row r="4239" spans="12:15" x14ac:dyDescent="0.25">
      <c r="L4239" s="147">
        <f ca="1"/>
        <v>49478</v>
      </c>
      <c r="M4239" s="92">
        <f t="shared" ca="1" si="143"/>
        <v>6.25</v>
      </c>
      <c r="N4239" s="143">
        <f ca="1">(PRODUCT($O$5:$O4239)-1)*36000/_xlfn.DAYS(L4239, $C$2)</f>
        <v>10.462223118607309</v>
      </c>
      <c r="O4239" s="149">
        <f t="shared" ca="1" si="144"/>
        <v>1.000173611111111</v>
      </c>
    </row>
    <row r="4240" spans="12:15" x14ac:dyDescent="0.25">
      <c r="L4240" s="147">
        <f ca="1"/>
        <v>49479</v>
      </c>
      <c r="M4240" s="92">
        <f t="shared" ca="1" si="143"/>
        <v>6.25</v>
      </c>
      <c r="N4240" s="143">
        <f ca="1">(PRODUCT($O$5:$O4240)-1)*36000/_xlfn.DAYS(L4240, $C$2)</f>
        <v>10.463044661047112</v>
      </c>
      <c r="O4240" s="149">
        <f t="shared" ca="1" si="144"/>
        <v>1.000173611111111</v>
      </c>
    </row>
    <row r="4241" spans="12:15" x14ac:dyDescent="0.25">
      <c r="L4241" s="147">
        <f ca="1"/>
        <v>49480</v>
      </c>
      <c r="M4241" s="92">
        <f t="shared" ca="1" si="143"/>
        <v>6.25</v>
      </c>
      <c r="N4241" s="143">
        <f ca="1">(PRODUCT($O$5:$O4241)-1)*36000/_xlfn.DAYS(L4241, $C$2)</f>
        <v>10.463866386977433</v>
      </c>
      <c r="O4241" s="149">
        <f t="shared" ca="1" si="144"/>
        <v>1.000173611111111</v>
      </c>
    </row>
    <row r="4242" spans="12:15" x14ac:dyDescent="0.25">
      <c r="L4242" s="147">
        <f ca="1"/>
        <v>49481</v>
      </c>
      <c r="M4242" s="92">
        <f t="shared" ca="1" si="143"/>
        <v>6.25</v>
      </c>
      <c r="N4242" s="143">
        <f ca="1">(PRODUCT($O$5:$O4242)-1)*36000/_xlfn.DAYS(L4242, $C$2)</f>
        <v>10.464688296367532</v>
      </c>
      <c r="O4242" s="149">
        <f t="shared" ca="1" si="144"/>
        <v>1.000173611111111</v>
      </c>
    </row>
    <row r="4243" spans="12:15" x14ac:dyDescent="0.25">
      <c r="L4243" s="147">
        <f ca="1"/>
        <v>49482</v>
      </c>
      <c r="M4243" s="92">
        <f t="shared" ca="1" si="143"/>
        <v>6.25</v>
      </c>
      <c r="N4243" s="143">
        <f ca="1">(PRODUCT($O$5:$O4243)-1)*36000/_xlfn.DAYS(L4243, $C$2)</f>
        <v>10.465510389186729</v>
      </c>
      <c r="O4243" s="149">
        <f t="shared" ca="1" si="144"/>
        <v>1.000173611111111</v>
      </c>
    </row>
    <row r="4244" spans="12:15" x14ac:dyDescent="0.25">
      <c r="L4244" s="147">
        <f ca="1"/>
        <v>49483</v>
      </c>
      <c r="M4244" s="92">
        <f t="shared" ca="1" si="143"/>
        <v>6.25</v>
      </c>
      <c r="N4244" s="143">
        <f ca="1">(PRODUCT($O$5:$O4244)-1)*36000/_xlfn.DAYS(L4244, $C$2)</f>
        <v>10.466332665404384</v>
      </c>
      <c r="O4244" s="149">
        <f t="shared" ca="1" si="144"/>
        <v>1.000173611111111</v>
      </c>
    </row>
    <row r="4245" spans="12:15" x14ac:dyDescent="0.25">
      <c r="L4245" s="147">
        <f ca="1"/>
        <v>49484</v>
      </c>
      <c r="M4245" s="92">
        <f t="shared" ca="1" si="143"/>
        <v>6.25</v>
      </c>
      <c r="N4245" s="143">
        <f ca="1">(PRODUCT($O$5:$O4245)-1)*36000/_xlfn.DAYS(L4245, $C$2)</f>
        <v>10.467155124989901</v>
      </c>
      <c r="O4245" s="149">
        <f t="shared" ca="1" si="144"/>
        <v>1.000173611111111</v>
      </c>
    </row>
    <row r="4246" spans="12:15" x14ac:dyDescent="0.25">
      <c r="L4246" s="147">
        <f ca="1"/>
        <v>49485</v>
      </c>
      <c r="M4246" s="92">
        <f t="shared" ca="1" si="143"/>
        <v>6.25</v>
      </c>
      <c r="N4246" s="143">
        <f ca="1">(PRODUCT($O$5:$O4246)-1)*36000/_xlfn.DAYS(L4246, $C$2)</f>
        <v>10.467977767912734</v>
      </c>
      <c r="O4246" s="149">
        <f t="shared" ca="1" si="144"/>
        <v>1.000173611111111</v>
      </c>
    </row>
    <row r="4247" spans="12:15" x14ac:dyDescent="0.25">
      <c r="L4247" s="147">
        <f ca="1"/>
        <v>49486</v>
      </c>
      <c r="M4247" s="92">
        <f t="shared" ca="1" si="143"/>
        <v>6.25</v>
      </c>
      <c r="N4247" s="143">
        <f ca="1">(PRODUCT($O$5:$O4247)-1)*36000/_xlfn.DAYS(L4247, $C$2)</f>
        <v>10.468800594142385</v>
      </c>
      <c r="O4247" s="149">
        <f t="shared" ca="1" si="144"/>
        <v>1.000173611111111</v>
      </c>
    </row>
    <row r="4248" spans="12:15" x14ac:dyDescent="0.25">
      <c r="L4248" s="147">
        <f ca="1"/>
        <v>49487</v>
      </c>
      <c r="M4248" s="92">
        <f t="shared" ca="1" si="143"/>
        <v>6.25</v>
      </c>
      <c r="N4248" s="143">
        <f ca="1">(PRODUCT($O$5:$O4248)-1)*36000/_xlfn.DAYS(L4248, $C$2)</f>
        <v>10.469623603648396</v>
      </c>
      <c r="O4248" s="149">
        <f t="shared" ca="1" si="144"/>
        <v>1.000173611111111</v>
      </c>
    </row>
    <row r="4249" spans="12:15" x14ac:dyDescent="0.25">
      <c r="L4249" s="147">
        <f ca="1"/>
        <v>49488</v>
      </c>
      <c r="M4249" s="92">
        <f t="shared" ca="1" si="143"/>
        <v>6.25</v>
      </c>
      <c r="N4249" s="143">
        <f ca="1">(PRODUCT($O$5:$O4249)-1)*36000/_xlfn.DAYS(L4249, $C$2)</f>
        <v>10.47044679640036</v>
      </c>
      <c r="O4249" s="149">
        <f t="shared" ca="1" si="144"/>
        <v>1.000173611111111</v>
      </c>
    </row>
    <row r="4250" spans="12:15" x14ac:dyDescent="0.25">
      <c r="L4250" s="147">
        <f ca="1"/>
        <v>49489</v>
      </c>
      <c r="M4250" s="92">
        <f t="shared" ca="1" si="143"/>
        <v>6.25</v>
      </c>
      <c r="N4250" s="143">
        <f ca="1">(PRODUCT($O$5:$O4250)-1)*36000/_xlfn.DAYS(L4250, $C$2)</f>
        <v>10.471270172367916</v>
      </c>
      <c r="O4250" s="149">
        <f t="shared" ca="1" si="144"/>
        <v>1.000173611111111</v>
      </c>
    </row>
    <row r="4251" spans="12:15" x14ac:dyDescent="0.25">
      <c r="L4251" s="147">
        <f ca="1"/>
        <v>49490</v>
      </c>
      <c r="M4251" s="92">
        <f t="shared" ca="1" si="143"/>
        <v>6.25</v>
      </c>
      <c r="N4251" s="143">
        <f ca="1">(PRODUCT($O$5:$O4251)-1)*36000/_xlfn.DAYS(L4251, $C$2)</f>
        <v>10.472093731520742</v>
      </c>
      <c r="O4251" s="149">
        <f t="shared" ca="1" si="144"/>
        <v>1.000173611111111</v>
      </c>
    </row>
    <row r="4252" spans="12:15" x14ac:dyDescent="0.25">
      <c r="L4252" s="147">
        <f ca="1"/>
        <v>49491</v>
      </c>
      <c r="M4252" s="92">
        <f t="shared" ca="1" si="143"/>
        <v>6.25</v>
      </c>
      <c r="N4252" s="143">
        <f ca="1">(PRODUCT($O$5:$O4252)-1)*36000/_xlfn.DAYS(L4252, $C$2)</f>
        <v>10.472917473828566</v>
      </c>
      <c r="O4252" s="149">
        <f t="shared" ca="1" si="144"/>
        <v>1.000173611111111</v>
      </c>
    </row>
    <row r="4253" spans="12:15" x14ac:dyDescent="0.25">
      <c r="L4253" s="147">
        <f ca="1"/>
        <v>49492</v>
      </c>
      <c r="M4253" s="92">
        <f t="shared" ca="1" si="143"/>
        <v>6.25</v>
      </c>
      <c r="N4253" s="143">
        <f ca="1">(PRODUCT($O$5:$O4253)-1)*36000/_xlfn.DAYS(L4253, $C$2)</f>
        <v>10.473741399261167</v>
      </c>
      <c r="O4253" s="149">
        <f t="shared" ca="1" si="144"/>
        <v>1.000173611111111</v>
      </c>
    </row>
    <row r="4254" spans="12:15" x14ac:dyDescent="0.25">
      <c r="L4254" s="147">
        <f ca="1"/>
        <v>49493</v>
      </c>
      <c r="M4254" s="92">
        <f t="shared" ca="1" si="143"/>
        <v>6.25</v>
      </c>
      <c r="N4254" s="143">
        <f ca="1">(PRODUCT($O$5:$O4254)-1)*36000/_xlfn.DAYS(L4254, $C$2)</f>
        <v>10.474565507788361</v>
      </c>
      <c r="O4254" s="149">
        <f t="shared" ca="1" si="144"/>
        <v>1.000173611111111</v>
      </c>
    </row>
    <row r="4255" spans="12:15" x14ac:dyDescent="0.25">
      <c r="L4255" s="147">
        <f ca="1"/>
        <v>49494</v>
      </c>
      <c r="M4255" s="92">
        <f t="shared" ca="1" si="143"/>
        <v>6.25</v>
      </c>
      <c r="N4255" s="143">
        <f ca="1">(PRODUCT($O$5:$O4255)-1)*36000/_xlfn.DAYS(L4255, $C$2)</f>
        <v>10.475389799380013</v>
      </c>
      <c r="O4255" s="149">
        <f t="shared" ca="1" si="144"/>
        <v>1.000173611111111</v>
      </c>
    </row>
    <row r="4256" spans="12:15" x14ac:dyDescent="0.25">
      <c r="L4256" s="147">
        <f ca="1"/>
        <v>49495</v>
      </c>
      <c r="M4256" s="92">
        <f t="shared" ca="1" si="143"/>
        <v>6.25</v>
      </c>
      <c r="N4256" s="143">
        <f ca="1">(PRODUCT($O$5:$O4256)-1)*36000/_xlfn.DAYS(L4256, $C$2)</f>
        <v>10.476214274006033</v>
      </c>
      <c r="O4256" s="149">
        <f t="shared" ca="1" si="144"/>
        <v>1.000173611111111</v>
      </c>
    </row>
    <row r="4257" spans="12:15" x14ac:dyDescent="0.25">
      <c r="L4257" s="147">
        <f ca="1"/>
        <v>49496</v>
      </c>
      <c r="M4257" s="92">
        <f t="shared" ca="1" si="143"/>
        <v>6.25</v>
      </c>
      <c r="N4257" s="143">
        <f ca="1">(PRODUCT($O$5:$O4257)-1)*36000/_xlfn.DAYS(L4257, $C$2)</f>
        <v>10.477038931636383</v>
      </c>
      <c r="O4257" s="149">
        <f t="shared" ca="1" si="144"/>
        <v>1.000173611111111</v>
      </c>
    </row>
    <row r="4258" spans="12:15" x14ac:dyDescent="0.25">
      <c r="L4258" s="147">
        <f ca="1"/>
        <v>49497</v>
      </c>
      <c r="M4258" s="92">
        <f t="shared" ca="1" si="143"/>
        <v>6.25</v>
      </c>
      <c r="N4258" s="143">
        <f ca="1">(PRODUCT($O$5:$O4258)-1)*36000/_xlfn.DAYS(L4258, $C$2)</f>
        <v>10.477863772241058</v>
      </c>
      <c r="O4258" s="149">
        <f t="shared" ca="1" si="144"/>
        <v>1.000173611111111</v>
      </c>
    </row>
    <row r="4259" spans="12:15" x14ac:dyDescent="0.25">
      <c r="L4259" s="147">
        <f ca="1"/>
        <v>49498</v>
      </c>
      <c r="M4259" s="92">
        <f t="shared" ca="1" si="143"/>
        <v>6.25</v>
      </c>
      <c r="N4259" s="143">
        <f ca="1">(PRODUCT($O$5:$O4259)-1)*36000/_xlfn.DAYS(L4259, $C$2)</f>
        <v>10.478688795790109</v>
      </c>
      <c r="O4259" s="149">
        <f t="shared" ca="1" si="144"/>
        <v>1.000173611111111</v>
      </c>
    </row>
    <row r="4260" spans="12:15" x14ac:dyDescent="0.25">
      <c r="L4260" s="147">
        <f ca="1"/>
        <v>49499</v>
      </c>
      <c r="M4260" s="92">
        <f t="shared" ca="1" si="143"/>
        <v>6.25</v>
      </c>
      <c r="N4260" s="143">
        <f ca="1">(PRODUCT($O$5:$O4260)-1)*36000/_xlfn.DAYS(L4260, $C$2)</f>
        <v>10.479514002253628</v>
      </c>
      <c r="O4260" s="149">
        <f t="shared" ca="1" si="144"/>
        <v>1.000173611111111</v>
      </c>
    </row>
    <row r="4261" spans="12:15" x14ac:dyDescent="0.25">
      <c r="L4261" s="147">
        <f ca="1"/>
        <v>49500</v>
      </c>
      <c r="M4261" s="92">
        <f t="shared" ca="1" si="143"/>
        <v>6.25</v>
      </c>
      <c r="N4261" s="143">
        <f ca="1">(PRODUCT($O$5:$O4261)-1)*36000/_xlfn.DAYS(L4261, $C$2)</f>
        <v>10.480339391601749</v>
      </c>
      <c r="O4261" s="149">
        <f t="shared" ca="1" si="144"/>
        <v>1.000173611111111</v>
      </c>
    </row>
    <row r="4262" spans="12:15" x14ac:dyDescent="0.25">
      <c r="L4262" s="147">
        <f ca="1"/>
        <v>49501</v>
      </c>
      <c r="M4262" s="92">
        <f t="shared" ca="1" si="143"/>
        <v>6.25</v>
      </c>
      <c r="N4262" s="143">
        <f ca="1">(PRODUCT($O$5:$O4262)-1)*36000/_xlfn.DAYS(L4262, $C$2)</f>
        <v>10.481164963804661</v>
      </c>
      <c r="O4262" s="149">
        <f t="shared" ca="1" si="144"/>
        <v>1.000173611111111</v>
      </c>
    </row>
    <row r="4263" spans="12:15" x14ac:dyDescent="0.25">
      <c r="L4263" s="147">
        <f ca="1"/>
        <v>49502</v>
      </c>
      <c r="M4263" s="92">
        <f t="shared" ca="1" si="143"/>
        <v>6.25</v>
      </c>
      <c r="N4263" s="143">
        <f ca="1">(PRODUCT($O$5:$O4263)-1)*36000/_xlfn.DAYS(L4263, $C$2)</f>
        <v>10.481990718832586</v>
      </c>
      <c r="O4263" s="149">
        <f t="shared" ca="1" si="144"/>
        <v>1.000173611111111</v>
      </c>
    </row>
    <row r="4264" spans="12:15" x14ac:dyDescent="0.25">
      <c r="L4264" s="147">
        <f ca="1"/>
        <v>49503</v>
      </c>
      <c r="M4264" s="92">
        <f t="shared" ca="1" si="143"/>
        <v>6.25</v>
      </c>
      <c r="N4264" s="143">
        <f ca="1">(PRODUCT($O$5:$O4264)-1)*36000/_xlfn.DAYS(L4264, $C$2)</f>
        <v>10.482816656655807</v>
      </c>
      <c r="O4264" s="149">
        <f t="shared" ca="1" si="144"/>
        <v>1.000173611111111</v>
      </c>
    </row>
    <row r="4265" spans="12:15" x14ac:dyDescent="0.25">
      <c r="L4265" s="147">
        <f ca="1"/>
        <v>49504</v>
      </c>
      <c r="M4265" s="92">
        <f t="shared" ca="1" si="143"/>
        <v>6.25</v>
      </c>
      <c r="N4265" s="143">
        <f ca="1">(PRODUCT($O$5:$O4265)-1)*36000/_xlfn.DAYS(L4265, $C$2)</f>
        <v>10.483642777244631</v>
      </c>
      <c r="O4265" s="149">
        <f t="shared" ca="1" si="144"/>
        <v>1.000173611111111</v>
      </c>
    </row>
    <row r="4266" spans="12:15" x14ac:dyDescent="0.25">
      <c r="L4266" s="147">
        <f ca="1"/>
        <v>49505</v>
      </c>
      <c r="M4266" s="92">
        <f t="shared" ca="1" si="143"/>
        <v>6.25</v>
      </c>
      <c r="N4266" s="143">
        <f ca="1">(PRODUCT($O$5:$O4266)-1)*36000/_xlfn.DAYS(L4266, $C$2)</f>
        <v>10.484469080569429</v>
      </c>
      <c r="O4266" s="149">
        <f t="shared" ca="1" si="144"/>
        <v>1.000173611111111</v>
      </c>
    </row>
    <row r="4267" spans="12:15" x14ac:dyDescent="0.25">
      <c r="L4267" s="147">
        <f ca="1"/>
        <v>49506</v>
      </c>
      <c r="M4267" s="92">
        <f t="shared" ca="1" si="143"/>
        <v>6.25</v>
      </c>
      <c r="N4267" s="143">
        <f ca="1">(PRODUCT($O$5:$O4267)-1)*36000/_xlfn.DAYS(L4267, $C$2)</f>
        <v>10.485295566600607</v>
      </c>
      <c r="O4267" s="149">
        <f t="shared" ca="1" si="144"/>
        <v>1.000173611111111</v>
      </c>
    </row>
    <row r="4268" spans="12:15" x14ac:dyDescent="0.25">
      <c r="L4268" s="147">
        <f ca="1"/>
        <v>49507</v>
      </c>
      <c r="M4268" s="92">
        <f t="shared" ca="1" si="143"/>
        <v>6.25</v>
      </c>
      <c r="N4268" s="143">
        <f ca="1">(PRODUCT($O$5:$O4268)-1)*36000/_xlfn.DAYS(L4268, $C$2)</f>
        <v>10.486122235308619</v>
      </c>
      <c r="O4268" s="149">
        <f t="shared" ca="1" si="144"/>
        <v>1.000173611111111</v>
      </c>
    </row>
    <row r="4269" spans="12:15" x14ac:dyDescent="0.25">
      <c r="L4269" s="147">
        <f ca="1"/>
        <v>49508</v>
      </c>
      <c r="M4269" s="92">
        <f t="shared" ca="1" si="143"/>
        <v>6.25</v>
      </c>
      <c r="N4269" s="143">
        <f ca="1">(PRODUCT($O$5:$O4269)-1)*36000/_xlfn.DAYS(L4269, $C$2)</f>
        <v>10.486949086663964</v>
      </c>
      <c r="O4269" s="149">
        <f t="shared" ca="1" si="144"/>
        <v>1.000173611111111</v>
      </c>
    </row>
    <row r="4270" spans="12:15" x14ac:dyDescent="0.25">
      <c r="L4270" s="147">
        <f ca="1"/>
        <v>49509</v>
      </c>
      <c r="M4270" s="92">
        <f t="shared" ca="1" si="143"/>
        <v>6.25</v>
      </c>
      <c r="N4270" s="143">
        <f ca="1">(PRODUCT($O$5:$O4270)-1)*36000/_xlfn.DAYS(L4270, $C$2)</f>
        <v>10.487776120637182</v>
      </c>
      <c r="O4270" s="149">
        <f t="shared" ca="1" si="144"/>
        <v>1.000173611111111</v>
      </c>
    </row>
    <row r="4271" spans="12:15" x14ac:dyDescent="0.25">
      <c r="L4271" s="147">
        <f ca="1"/>
        <v>49510</v>
      </c>
      <c r="M4271" s="92">
        <f t="shared" ca="1" si="143"/>
        <v>6.25</v>
      </c>
      <c r="N4271" s="143">
        <f ca="1">(PRODUCT($O$5:$O4271)-1)*36000/_xlfn.DAYS(L4271, $C$2)</f>
        <v>10.488603337198867</v>
      </c>
      <c r="O4271" s="149">
        <f t="shared" ca="1" si="144"/>
        <v>1.000173611111111</v>
      </c>
    </row>
    <row r="4272" spans="12:15" x14ac:dyDescent="0.25">
      <c r="L4272" s="147">
        <f ca="1"/>
        <v>49511</v>
      </c>
      <c r="M4272" s="92">
        <f t="shared" ca="1" si="143"/>
        <v>6.25</v>
      </c>
      <c r="N4272" s="143">
        <f ca="1">(PRODUCT($O$5:$O4272)-1)*36000/_xlfn.DAYS(L4272, $C$2)</f>
        <v>10.489430736319646</v>
      </c>
      <c r="O4272" s="149">
        <f t="shared" ca="1" si="144"/>
        <v>1.000173611111111</v>
      </c>
    </row>
    <row r="4273" spans="12:15" x14ac:dyDescent="0.25">
      <c r="L4273" s="147">
        <f ca="1"/>
        <v>49512</v>
      </c>
      <c r="M4273" s="92">
        <f t="shared" ca="1" si="143"/>
        <v>6.25</v>
      </c>
      <c r="N4273" s="143">
        <f ca="1">(PRODUCT($O$5:$O4273)-1)*36000/_xlfn.DAYS(L4273, $C$2)</f>
        <v>10.490258317970198</v>
      </c>
      <c r="O4273" s="149">
        <f t="shared" ca="1" si="144"/>
        <v>1.000173611111111</v>
      </c>
    </row>
    <row r="4274" spans="12:15" x14ac:dyDescent="0.25">
      <c r="L4274" s="147">
        <f ca="1"/>
        <v>49513</v>
      </c>
      <c r="M4274" s="92">
        <f t="shared" ca="1" si="143"/>
        <v>6.25</v>
      </c>
      <c r="N4274" s="143">
        <f ca="1">(PRODUCT($O$5:$O4274)-1)*36000/_xlfn.DAYS(L4274, $C$2)</f>
        <v>10.491086082121248</v>
      </c>
      <c r="O4274" s="149">
        <f t="shared" ca="1" si="144"/>
        <v>1.000173611111111</v>
      </c>
    </row>
    <row r="4275" spans="12:15" x14ac:dyDescent="0.25">
      <c r="L4275" s="147">
        <f ca="1"/>
        <v>49514</v>
      </c>
      <c r="M4275" s="92">
        <f t="shared" ca="1" si="143"/>
        <v>6.25</v>
      </c>
      <c r="N4275" s="143">
        <f ca="1">(PRODUCT($O$5:$O4275)-1)*36000/_xlfn.DAYS(L4275, $C$2)</f>
        <v>10.491914028743558</v>
      </c>
      <c r="O4275" s="149">
        <f t="shared" ca="1" si="144"/>
        <v>1.000173611111111</v>
      </c>
    </row>
    <row r="4276" spans="12:15" x14ac:dyDescent="0.25">
      <c r="L4276" s="147">
        <f ca="1"/>
        <v>49515</v>
      </c>
      <c r="M4276" s="92">
        <f t="shared" ca="1" si="143"/>
        <v>6.25</v>
      </c>
      <c r="N4276" s="143">
        <f ca="1">(PRODUCT($O$5:$O4276)-1)*36000/_xlfn.DAYS(L4276, $C$2)</f>
        <v>10.492742157807941</v>
      </c>
      <c r="O4276" s="149">
        <f t="shared" ca="1" si="144"/>
        <v>1.000173611111111</v>
      </c>
    </row>
    <row r="4277" spans="12:15" x14ac:dyDescent="0.25">
      <c r="L4277" s="147">
        <f ca="1"/>
        <v>49516</v>
      </c>
      <c r="M4277" s="92">
        <f t="shared" ca="1" si="143"/>
        <v>6.25</v>
      </c>
      <c r="N4277" s="143">
        <f ca="1">(PRODUCT($O$5:$O4277)-1)*36000/_xlfn.DAYS(L4277, $C$2)</f>
        <v>10.493570469285254</v>
      </c>
      <c r="O4277" s="149">
        <f t="shared" ca="1" si="144"/>
        <v>1.000173611111111</v>
      </c>
    </row>
    <row r="4278" spans="12:15" x14ac:dyDescent="0.25">
      <c r="L4278" s="147">
        <f ca="1"/>
        <v>49517</v>
      </c>
      <c r="M4278" s="92">
        <f t="shared" ca="1" si="143"/>
        <v>6.25</v>
      </c>
      <c r="N4278" s="143">
        <f ca="1">(PRODUCT($O$5:$O4278)-1)*36000/_xlfn.DAYS(L4278, $C$2)</f>
        <v>10.494398963146395</v>
      </c>
      <c r="O4278" s="149">
        <f t="shared" ca="1" si="144"/>
        <v>1.000173611111111</v>
      </c>
    </row>
    <row r="4279" spans="12:15" x14ac:dyDescent="0.25">
      <c r="L4279" s="147">
        <f ca="1"/>
        <v>49518</v>
      </c>
      <c r="M4279" s="92">
        <f t="shared" ca="1" si="143"/>
        <v>6.25</v>
      </c>
      <c r="N4279" s="143">
        <f ca="1">(PRODUCT($O$5:$O4279)-1)*36000/_xlfn.DAYS(L4279, $C$2)</f>
        <v>10.495227639362312</v>
      </c>
      <c r="O4279" s="149">
        <f t="shared" ca="1" si="144"/>
        <v>1.000173611111111</v>
      </c>
    </row>
    <row r="4280" spans="12:15" x14ac:dyDescent="0.25">
      <c r="L4280" s="147">
        <f ca="1"/>
        <v>49519</v>
      </c>
      <c r="M4280" s="92">
        <f t="shared" ca="1" si="143"/>
        <v>6.25</v>
      </c>
      <c r="N4280" s="143">
        <f ca="1">(PRODUCT($O$5:$O4280)-1)*36000/_xlfn.DAYS(L4280, $C$2)</f>
        <v>10.496056497903989</v>
      </c>
      <c r="O4280" s="149">
        <f t="shared" ca="1" si="144"/>
        <v>1.000173611111111</v>
      </c>
    </row>
    <row r="4281" spans="12:15" x14ac:dyDescent="0.25">
      <c r="L4281" s="147">
        <f ca="1"/>
        <v>49520</v>
      </c>
      <c r="M4281" s="92">
        <f t="shared" ca="1" si="143"/>
        <v>6.25</v>
      </c>
      <c r="N4281" s="143">
        <f ca="1">(PRODUCT($O$5:$O4281)-1)*36000/_xlfn.DAYS(L4281, $C$2)</f>
        <v>10.496885538742466</v>
      </c>
      <c r="O4281" s="149">
        <f t="shared" ca="1" si="144"/>
        <v>1.000173611111111</v>
      </c>
    </row>
    <row r="4282" spans="12:15" x14ac:dyDescent="0.25">
      <c r="L4282" s="147">
        <f ca="1"/>
        <v>49521</v>
      </c>
      <c r="M4282" s="92">
        <f t="shared" ca="1" si="143"/>
        <v>6.25</v>
      </c>
      <c r="N4282" s="143">
        <f ca="1">(PRODUCT($O$5:$O4282)-1)*36000/_xlfn.DAYS(L4282, $C$2)</f>
        <v>10.497714761848817</v>
      </c>
      <c r="O4282" s="149">
        <f t="shared" ca="1" si="144"/>
        <v>1.000173611111111</v>
      </c>
    </row>
    <row r="4283" spans="12:15" x14ac:dyDescent="0.25">
      <c r="L4283" s="147">
        <f ca="1"/>
        <v>49522</v>
      </c>
      <c r="M4283" s="92">
        <f t="shared" ca="1" si="143"/>
        <v>6.25</v>
      </c>
      <c r="N4283" s="143">
        <f ca="1">(PRODUCT($O$5:$O4283)-1)*36000/_xlfn.DAYS(L4283, $C$2)</f>
        <v>10.49854416719416</v>
      </c>
      <c r="O4283" s="149">
        <f t="shared" ca="1" si="144"/>
        <v>1.000173611111111</v>
      </c>
    </row>
    <row r="4284" spans="12:15" x14ac:dyDescent="0.25">
      <c r="L4284" s="147">
        <f ca="1"/>
        <v>49523</v>
      </c>
      <c r="M4284" s="92">
        <f t="shared" ca="1" si="143"/>
        <v>6.25</v>
      </c>
      <c r="N4284" s="143">
        <f ca="1">(PRODUCT($O$5:$O4284)-1)*36000/_xlfn.DAYS(L4284, $C$2)</f>
        <v>10.499373754749664</v>
      </c>
      <c r="O4284" s="149">
        <f t="shared" ca="1" si="144"/>
        <v>1.000173611111111</v>
      </c>
    </row>
    <row r="4285" spans="12:15" x14ac:dyDescent="0.25">
      <c r="L4285" s="147">
        <f ca="1"/>
        <v>49524</v>
      </c>
      <c r="M4285" s="92">
        <f t="shared" ca="1" si="143"/>
        <v>6.25</v>
      </c>
      <c r="N4285" s="143">
        <f ca="1">(PRODUCT($O$5:$O4285)-1)*36000/_xlfn.DAYS(L4285, $C$2)</f>
        <v>10.50020352448654</v>
      </c>
      <c r="O4285" s="149">
        <f t="shared" ca="1" si="144"/>
        <v>1.000173611111111</v>
      </c>
    </row>
    <row r="4286" spans="12:15" x14ac:dyDescent="0.25">
      <c r="L4286" s="147">
        <f ca="1"/>
        <v>49525</v>
      </c>
      <c r="M4286" s="92">
        <f t="shared" ca="1" si="143"/>
        <v>6.25</v>
      </c>
      <c r="N4286" s="143">
        <f ca="1">(PRODUCT($O$5:$O4286)-1)*36000/_xlfn.DAYS(L4286, $C$2)</f>
        <v>10.50103347637604</v>
      </c>
      <c r="O4286" s="149">
        <f t="shared" ca="1" si="144"/>
        <v>1.000173611111111</v>
      </c>
    </row>
    <row r="4287" spans="12:15" x14ac:dyDescent="0.25">
      <c r="L4287" s="147">
        <f ca="1"/>
        <v>49526</v>
      </c>
      <c r="M4287" s="92">
        <f t="shared" ca="1" si="143"/>
        <v>6.25</v>
      </c>
      <c r="N4287" s="143">
        <f ca="1">(PRODUCT($O$5:$O4287)-1)*36000/_xlfn.DAYS(L4287, $C$2)</f>
        <v>10.501863610389462</v>
      </c>
      <c r="O4287" s="149">
        <f t="shared" ca="1" si="144"/>
        <v>1.000173611111111</v>
      </c>
    </row>
    <row r="4288" spans="12:15" x14ac:dyDescent="0.25">
      <c r="L4288" s="147">
        <f ca="1"/>
        <v>49527</v>
      </c>
      <c r="M4288" s="92">
        <f t="shared" ca="1" si="143"/>
        <v>6.25</v>
      </c>
      <c r="N4288" s="143">
        <f ca="1">(PRODUCT($O$5:$O4288)-1)*36000/_xlfn.DAYS(L4288, $C$2)</f>
        <v>10.50269392649815</v>
      </c>
      <c r="O4288" s="149">
        <f t="shared" ca="1" si="144"/>
        <v>1.000173611111111</v>
      </c>
    </row>
    <row r="4289" spans="12:15" x14ac:dyDescent="0.25">
      <c r="L4289" s="147">
        <f ca="1"/>
        <v>49528</v>
      </c>
      <c r="M4289" s="92">
        <f t="shared" ca="1" si="143"/>
        <v>6.25</v>
      </c>
      <c r="N4289" s="143">
        <f ca="1">(PRODUCT($O$5:$O4289)-1)*36000/_xlfn.DAYS(L4289, $C$2)</f>
        <v>10.50352442467349</v>
      </c>
      <c r="O4289" s="149">
        <f t="shared" ca="1" si="144"/>
        <v>1.000173611111111</v>
      </c>
    </row>
    <row r="4290" spans="12:15" x14ac:dyDescent="0.25">
      <c r="L4290" s="147">
        <f ca="1"/>
        <v>49529</v>
      </c>
      <c r="M4290" s="92">
        <f t="shared" ca="1" si="143"/>
        <v>6.25</v>
      </c>
      <c r="N4290" s="143">
        <f ca="1">(PRODUCT($O$5:$O4290)-1)*36000/_xlfn.DAYS(L4290, $C$2)</f>
        <v>10.50435510488691</v>
      </c>
      <c r="O4290" s="149">
        <f t="shared" ca="1" si="144"/>
        <v>1.000173611111111</v>
      </c>
    </row>
    <row r="4291" spans="12:15" x14ac:dyDescent="0.25">
      <c r="L4291" s="147">
        <f ca="1"/>
        <v>49530</v>
      </c>
      <c r="M4291" s="92">
        <f t="shared" ca="1" si="143"/>
        <v>6.25</v>
      </c>
      <c r="N4291" s="143">
        <f ca="1">(PRODUCT($O$5:$O4291)-1)*36000/_xlfn.DAYS(L4291, $C$2)</f>
        <v>10.505185967109885</v>
      </c>
      <c r="O4291" s="149">
        <f t="shared" ca="1" si="144"/>
        <v>1.000173611111111</v>
      </c>
    </row>
    <row r="4292" spans="12:15" x14ac:dyDescent="0.25">
      <c r="L4292" s="147">
        <f ca="1"/>
        <v>49531</v>
      </c>
      <c r="M4292" s="92">
        <f t="shared" ca="1" si="143"/>
        <v>6.25</v>
      </c>
      <c r="N4292" s="143">
        <f ca="1">(PRODUCT($O$5:$O4292)-1)*36000/_xlfn.DAYS(L4292, $C$2)</f>
        <v>10.506017011313931</v>
      </c>
      <c r="O4292" s="149">
        <f t="shared" ca="1" si="144"/>
        <v>1.000173611111111</v>
      </c>
    </row>
    <row r="4293" spans="12:15" x14ac:dyDescent="0.25">
      <c r="L4293" s="147">
        <f ca="1"/>
        <v>49532</v>
      </c>
      <c r="M4293" s="92">
        <f t="shared" ref="M4293:M4356" ca="1" si="145">IFERROR(INDEX($E$27:$H$47, MATCH(L4293, $F$27:$F$47, 0), 4), IF(ISNUMBER(M4292), M4292, $C$5))</f>
        <v>6.25</v>
      </c>
      <c r="N4293" s="143">
        <f ca="1">(PRODUCT($O$5:$O4293)-1)*36000/_xlfn.DAYS(L4293, $C$2)</f>
        <v>10.506848237470606</v>
      </c>
      <c r="O4293" s="149">
        <f t="shared" ca="1" si="144"/>
        <v>1.000173611111111</v>
      </c>
    </row>
    <row r="4294" spans="12:15" x14ac:dyDescent="0.25">
      <c r="L4294" s="147">
        <f ca="1"/>
        <v>49533</v>
      </c>
      <c r="M4294" s="92">
        <f t="shared" ca="1" si="145"/>
        <v>6.25</v>
      </c>
      <c r="N4294" s="143">
        <f ca="1">(PRODUCT($O$5:$O4294)-1)*36000/_xlfn.DAYS(L4294, $C$2)</f>
        <v>10.507679645551523</v>
      </c>
      <c r="O4294" s="149">
        <f t="shared" ref="O4294:O4357" ca="1" si="146">1+M4294*IFERROR(_xlfn.DAYS(L4294, L4293), _xlfn.DAYS(L4294, $C$2))/36000</f>
        <v>1.000173611111111</v>
      </c>
    </row>
    <row r="4295" spans="12:15" x14ac:dyDescent="0.25">
      <c r="L4295" s="147">
        <f ca="1"/>
        <v>49534</v>
      </c>
      <c r="M4295" s="92">
        <f t="shared" ca="1" si="145"/>
        <v>6.25</v>
      </c>
      <c r="N4295" s="143">
        <f ca="1">(PRODUCT($O$5:$O4295)-1)*36000/_xlfn.DAYS(L4295, $C$2)</f>
        <v>10.508511235528324</v>
      </c>
      <c r="O4295" s="149">
        <f t="shared" ca="1" si="146"/>
        <v>1.000173611111111</v>
      </c>
    </row>
    <row r="4296" spans="12:15" x14ac:dyDescent="0.25">
      <c r="L4296" s="147">
        <f ca="1"/>
        <v>49535</v>
      </c>
      <c r="M4296" s="92">
        <f t="shared" ca="1" si="145"/>
        <v>6.25</v>
      </c>
      <c r="N4296" s="143">
        <f ca="1">(PRODUCT($O$5:$O4296)-1)*36000/_xlfn.DAYS(L4296, $C$2)</f>
        <v>10.509343007372703</v>
      </c>
      <c r="O4296" s="149">
        <f t="shared" ca="1" si="146"/>
        <v>1.000173611111111</v>
      </c>
    </row>
    <row r="4297" spans="12:15" x14ac:dyDescent="0.25">
      <c r="L4297" s="147">
        <f ca="1"/>
        <v>49536</v>
      </c>
      <c r="M4297" s="92">
        <f t="shared" ca="1" si="145"/>
        <v>6.25</v>
      </c>
      <c r="N4297" s="143">
        <f ca="1">(PRODUCT($O$5:$O4297)-1)*36000/_xlfn.DAYS(L4297, $C$2)</f>
        <v>10.510174961056395</v>
      </c>
      <c r="O4297" s="149">
        <f t="shared" ca="1" si="146"/>
        <v>1.000173611111111</v>
      </c>
    </row>
    <row r="4298" spans="12:15" x14ac:dyDescent="0.25">
      <c r="L4298" s="147">
        <f ca="1"/>
        <v>49537</v>
      </c>
      <c r="M4298" s="92">
        <f t="shared" ca="1" si="145"/>
        <v>6.25</v>
      </c>
      <c r="N4298" s="143">
        <f ca="1">(PRODUCT($O$5:$O4298)-1)*36000/_xlfn.DAYS(L4298, $C$2)</f>
        <v>10.511007096551177</v>
      </c>
      <c r="O4298" s="149">
        <f t="shared" ca="1" si="146"/>
        <v>1.000173611111111</v>
      </c>
    </row>
    <row r="4299" spans="12:15" x14ac:dyDescent="0.25">
      <c r="L4299" s="147">
        <f ca="1"/>
        <v>49538</v>
      </c>
      <c r="M4299" s="92">
        <f t="shared" ca="1" si="145"/>
        <v>6.25</v>
      </c>
      <c r="N4299" s="143">
        <f ca="1">(PRODUCT($O$5:$O4299)-1)*36000/_xlfn.DAYS(L4299, $C$2)</f>
        <v>10.511839413828875</v>
      </c>
      <c r="O4299" s="149">
        <f t="shared" ca="1" si="146"/>
        <v>1.000173611111111</v>
      </c>
    </row>
    <row r="4300" spans="12:15" x14ac:dyDescent="0.25">
      <c r="L4300" s="147">
        <f ca="1"/>
        <v>49539</v>
      </c>
      <c r="M4300" s="92">
        <f t="shared" ca="1" si="145"/>
        <v>6.25</v>
      </c>
      <c r="N4300" s="143">
        <f ca="1">(PRODUCT($O$5:$O4300)-1)*36000/_xlfn.DAYS(L4300, $C$2)</f>
        <v>10.512671912861352</v>
      </c>
      <c r="O4300" s="149">
        <f t="shared" ca="1" si="146"/>
        <v>1.000173611111111</v>
      </c>
    </row>
    <row r="4301" spans="12:15" x14ac:dyDescent="0.25">
      <c r="L4301" s="147">
        <f ca="1"/>
        <v>49540</v>
      </c>
      <c r="M4301" s="92">
        <f t="shared" ca="1" si="145"/>
        <v>6.25</v>
      </c>
      <c r="N4301" s="143">
        <f ca="1">(PRODUCT($O$5:$O4301)-1)*36000/_xlfn.DAYS(L4301, $C$2)</f>
        <v>10.513504593620519</v>
      </c>
      <c r="O4301" s="149">
        <f t="shared" ca="1" si="146"/>
        <v>1.000173611111111</v>
      </c>
    </row>
    <row r="4302" spans="12:15" x14ac:dyDescent="0.25">
      <c r="L4302" s="147">
        <f ca="1"/>
        <v>49541</v>
      </c>
      <c r="M4302" s="92">
        <f t="shared" ca="1" si="145"/>
        <v>6.25</v>
      </c>
      <c r="N4302" s="143">
        <f ca="1">(PRODUCT($O$5:$O4302)-1)*36000/_xlfn.DAYS(L4302, $C$2)</f>
        <v>10.514337456078328</v>
      </c>
      <c r="O4302" s="149">
        <f t="shared" ca="1" si="146"/>
        <v>1.000173611111111</v>
      </c>
    </row>
    <row r="4303" spans="12:15" x14ac:dyDescent="0.25">
      <c r="L4303" s="147">
        <f ca="1"/>
        <v>49542</v>
      </c>
      <c r="M4303" s="92">
        <f t="shared" ca="1" si="145"/>
        <v>6.25</v>
      </c>
      <c r="N4303" s="143">
        <f ca="1">(PRODUCT($O$5:$O4303)-1)*36000/_xlfn.DAYS(L4303, $C$2)</f>
        <v>10.515170500206777</v>
      </c>
      <c r="O4303" s="149">
        <f t="shared" ca="1" si="146"/>
        <v>1.000173611111111</v>
      </c>
    </row>
    <row r="4304" spans="12:15" x14ac:dyDescent="0.25">
      <c r="L4304" s="147">
        <f ca="1"/>
        <v>49543</v>
      </c>
      <c r="M4304" s="92">
        <f t="shared" ca="1" si="145"/>
        <v>6.25</v>
      </c>
      <c r="N4304" s="143">
        <f ca="1">(PRODUCT($O$5:$O4304)-1)*36000/_xlfn.DAYS(L4304, $C$2)</f>
        <v>10.5160037259779</v>
      </c>
      <c r="O4304" s="149">
        <f t="shared" ca="1" si="146"/>
        <v>1.000173611111111</v>
      </c>
    </row>
    <row r="4305" spans="12:15" x14ac:dyDescent="0.25">
      <c r="L4305" s="147">
        <f ca="1"/>
        <v>49544</v>
      </c>
      <c r="M4305" s="92">
        <f t="shared" ca="1" si="145"/>
        <v>6.25</v>
      </c>
      <c r="N4305" s="143">
        <f ca="1">(PRODUCT($O$5:$O4305)-1)*36000/_xlfn.DAYS(L4305, $C$2)</f>
        <v>10.516837133363778</v>
      </c>
      <c r="O4305" s="149">
        <f t="shared" ca="1" si="146"/>
        <v>1.000173611111111</v>
      </c>
    </row>
    <row r="4306" spans="12:15" x14ac:dyDescent="0.25">
      <c r="L4306" s="147">
        <f ca="1"/>
        <v>49545</v>
      </c>
      <c r="M4306" s="92">
        <f t="shared" ca="1" si="145"/>
        <v>6.25</v>
      </c>
      <c r="N4306" s="143">
        <f ca="1">(PRODUCT($O$5:$O4306)-1)*36000/_xlfn.DAYS(L4306, $C$2)</f>
        <v>10.51767072233654</v>
      </c>
      <c r="O4306" s="149">
        <f t="shared" ca="1" si="146"/>
        <v>1.000173611111111</v>
      </c>
    </row>
    <row r="4307" spans="12:15" x14ac:dyDescent="0.25">
      <c r="L4307" s="147">
        <f ca="1"/>
        <v>49546</v>
      </c>
      <c r="M4307" s="92">
        <f t="shared" ca="1" si="145"/>
        <v>6.25</v>
      </c>
      <c r="N4307" s="143">
        <f ca="1">(PRODUCT($O$5:$O4307)-1)*36000/_xlfn.DAYS(L4307, $C$2)</f>
        <v>10.518504492868356</v>
      </c>
      <c r="O4307" s="149">
        <f t="shared" ca="1" si="146"/>
        <v>1.000173611111111</v>
      </c>
    </row>
    <row r="4308" spans="12:15" x14ac:dyDescent="0.25">
      <c r="L4308" s="147">
        <f ca="1"/>
        <v>49547</v>
      </c>
      <c r="M4308" s="92">
        <f t="shared" ca="1" si="145"/>
        <v>6.25</v>
      </c>
      <c r="N4308" s="143">
        <f ca="1">(PRODUCT($O$5:$O4308)-1)*36000/_xlfn.DAYS(L4308, $C$2)</f>
        <v>10.519338444931433</v>
      </c>
      <c r="O4308" s="149">
        <f t="shared" ca="1" si="146"/>
        <v>1.000173611111111</v>
      </c>
    </row>
    <row r="4309" spans="12:15" x14ac:dyDescent="0.25">
      <c r="L4309" s="147">
        <f ca="1"/>
        <v>49548</v>
      </c>
      <c r="M4309" s="92">
        <f t="shared" ca="1" si="145"/>
        <v>6.25</v>
      </c>
      <c r="N4309" s="143">
        <f ca="1">(PRODUCT($O$5:$O4309)-1)*36000/_xlfn.DAYS(L4309, $C$2)</f>
        <v>10.520172578498027</v>
      </c>
      <c r="O4309" s="149">
        <f t="shared" ca="1" si="146"/>
        <v>1.000173611111111</v>
      </c>
    </row>
    <row r="4310" spans="12:15" x14ac:dyDescent="0.25">
      <c r="L4310" s="147">
        <f ca="1"/>
        <v>49549</v>
      </c>
      <c r="M4310" s="92">
        <f t="shared" ca="1" si="145"/>
        <v>6.25</v>
      </c>
      <c r="N4310" s="143">
        <f ca="1">(PRODUCT($O$5:$O4310)-1)*36000/_xlfn.DAYS(L4310, $C$2)</f>
        <v>10.521006893540438</v>
      </c>
      <c r="O4310" s="149">
        <f t="shared" ca="1" si="146"/>
        <v>1.000173611111111</v>
      </c>
    </row>
    <row r="4311" spans="12:15" x14ac:dyDescent="0.25">
      <c r="L4311" s="147">
        <f ca="1"/>
        <v>49550</v>
      </c>
      <c r="M4311" s="92">
        <f t="shared" ca="1" si="145"/>
        <v>6.25</v>
      </c>
      <c r="N4311" s="143">
        <f ca="1">(PRODUCT($O$5:$O4311)-1)*36000/_xlfn.DAYS(L4311, $C$2)</f>
        <v>10.521841390031001</v>
      </c>
      <c r="O4311" s="149">
        <f t="shared" ca="1" si="146"/>
        <v>1.000173611111111</v>
      </c>
    </row>
    <row r="4312" spans="12:15" x14ac:dyDescent="0.25">
      <c r="L4312" s="147">
        <f ca="1"/>
        <v>49551</v>
      </c>
      <c r="M4312" s="92">
        <f t="shared" ca="1" si="145"/>
        <v>6.25</v>
      </c>
      <c r="N4312" s="143">
        <f ca="1">(PRODUCT($O$5:$O4312)-1)*36000/_xlfn.DAYS(L4312, $C$2)</f>
        <v>10.522676067942099</v>
      </c>
      <c r="O4312" s="149">
        <f t="shared" ca="1" si="146"/>
        <v>1.000173611111111</v>
      </c>
    </row>
    <row r="4313" spans="12:15" x14ac:dyDescent="0.25">
      <c r="L4313" s="147">
        <f ca="1"/>
        <v>49552</v>
      </c>
      <c r="M4313" s="92">
        <f t="shared" ca="1" si="145"/>
        <v>6.25</v>
      </c>
      <c r="N4313" s="143">
        <f ca="1">(PRODUCT($O$5:$O4313)-1)*36000/_xlfn.DAYS(L4313, $C$2)</f>
        <v>10.523510927246162</v>
      </c>
      <c r="O4313" s="149">
        <f t="shared" ca="1" si="146"/>
        <v>1.000173611111111</v>
      </c>
    </row>
    <row r="4314" spans="12:15" x14ac:dyDescent="0.25">
      <c r="L4314" s="147">
        <f ca="1"/>
        <v>49553</v>
      </c>
      <c r="M4314" s="92">
        <f t="shared" ca="1" si="145"/>
        <v>6.25</v>
      </c>
      <c r="N4314" s="143">
        <f ca="1">(PRODUCT($O$5:$O4314)-1)*36000/_xlfn.DAYS(L4314, $C$2)</f>
        <v>10.524345967915654</v>
      </c>
      <c r="O4314" s="149">
        <f t="shared" ca="1" si="146"/>
        <v>1.000173611111111</v>
      </c>
    </row>
    <row r="4315" spans="12:15" x14ac:dyDescent="0.25">
      <c r="L4315" s="147">
        <f ca="1"/>
        <v>49554</v>
      </c>
      <c r="M4315" s="92">
        <f t="shared" ca="1" si="145"/>
        <v>6.25</v>
      </c>
      <c r="N4315" s="143">
        <f ca="1">(PRODUCT($O$5:$O4315)-1)*36000/_xlfn.DAYS(L4315, $C$2)</f>
        <v>10.525181189923087</v>
      </c>
      <c r="O4315" s="149">
        <f t="shared" ca="1" si="146"/>
        <v>1.000173611111111</v>
      </c>
    </row>
    <row r="4316" spans="12:15" x14ac:dyDescent="0.25">
      <c r="L4316" s="147">
        <f ca="1"/>
        <v>49555</v>
      </c>
      <c r="M4316" s="92">
        <f t="shared" ca="1" si="145"/>
        <v>6.25</v>
      </c>
      <c r="N4316" s="143">
        <f ca="1">(PRODUCT($O$5:$O4316)-1)*36000/_xlfn.DAYS(L4316, $C$2)</f>
        <v>10.526016593241012</v>
      </c>
      <c r="O4316" s="149">
        <f t="shared" ca="1" si="146"/>
        <v>1.000173611111111</v>
      </c>
    </row>
    <row r="4317" spans="12:15" x14ac:dyDescent="0.25">
      <c r="L4317" s="147">
        <f ca="1"/>
        <v>49556</v>
      </c>
      <c r="M4317" s="92">
        <f t="shared" ca="1" si="145"/>
        <v>6.25</v>
      </c>
      <c r="N4317" s="143">
        <f ca="1">(PRODUCT($O$5:$O4317)-1)*36000/_xlfn.DAYS(L4317, $C$2)</f>
        <v>10.526852177842031</v>
      </c>
      <c r="O4317" s="149">
        <f t="shared" ca="1" si="146"/>
        <v>1.000173611111111</v>
      </c>
    </row>
    <row r="4318" spans="12:15" x14ac:dyDescent="0.25">
      <c r="L4318" s="147">
        <f ca="1"/>
        <v>49557</v>
      </c>
      <c r="M4318" s="92">
        <f t="shared" ca="1" si="145"/>
        <v>6.25</v>
      </c>
      <c r="N4318" s="143">
        <f ca="1">(PRODUCT($O$5:$O4318)-1)*36000/_xlfn.DAYS(L4318, $C$2)</f>
        <v>10.527687943698776</v>
      </c>
      <c r="O4318" s="149">
        <f t="shared" ca="1" si="146"/>
        <v>1.000173611111111</v>
      </c>
    </row>
    <row r="4319" spans="12:15" x14ac:dyDescent="0.25">
      <c r="L4319" s="147">
        <f ca="1"/>
        <v>49558</v>
      </c>
      <c r="M4319" s="92">
        <f t="shared" ca="1" si="145"/>
        <v>6.25</v>
      </c>
      <c r="N4319" s="143">
        <f ca="1">(PRODUCT($O$5:$O4319)-1)*36000/_xlfn.DAYS(L4319, $C$2)</f>
        <v>10.528523890783935</v>
      </c>
      <c r="O4319" s="149">
        <f t="shared" ca="1" si="146"/>
        <v>1.000173611111111</v>
      </c>
    </row>
    <row r="4320" spans="12:15" x14ac:dyDescent="0.25">
      <c r="L4320" s="147">
        <f ca="1"/>
        <v>49559</v>
      </c>
      <c r="M4320" s="92">
        <f t="shared" ca="1" si="145"/>
        <v>6.25</v>
      </c>
      <c r="N4320" s="143">
        <f ca="1">(PRODUCT($O$5:$O4320)-1)*36000/_xlfn.DAYS(L4320, $C$2)</f>
        <v>10.529360019070227</v>
      </c>
      <c r="O4320" s="149">
        <f t="shared" ca="1" si="146"/>
        <v>1.000173611111111</v>
      </c>
    </row>
    <row r="4321" spans="12:15" x14ac:dyDescent="0.25">
      <c r="L4321" s="147">
        <f ca="1"/>
        <v>49560</v>
      </c>
      <c r="M4321" s="92">
        <f t="shared" ca="1" si="145"/>
        <v>6.25</v>
      </c>
      <c r="N4321" s="143">
        <f ca="1">(PRODUCT($O$5:$O4321)-1)*36000/_xlfn.DAYS(L4321, $C$2)</f>
        <v>10.530196328530423</v>
      </c>
      <c r="O4321" s="149">
        <f t="shared" ca="1" si="146"/>
        <v>1.000173611111111</v>
      </c>
    </row>
    <row r="4322" spans="12:15" x14ac:dyDescent="0.25">
      <c r="L4322" s="147">
        <f ca="1"/>
        <v>49561</v>
      </c>
      <c r="M4322" s="92">
        <f t="shared" ca="1" si="145"/>
        <v>6.25</v>
      </c>
      <c r="N4322" s="143">
        <f ca="1">(PRODUCT($O$5:$O4322)-1)*36000/_xlfn.DAYS(L4322, $C$2)</f>
        <v>10.531032819137327</v>
      </c>
      <c r="O4322" s="149">
        <f t="shared" ca="1" si="146"/>
        <v>1.000173611111111</v>
      </c>
    </row>
    <row r="4323" spans="12:15" x14ac:dyDescent="0.25">
      <c r="L4323" s="147">
        <f ca="1"/>
        <v>49562</v>
      </c>
      <c r="M4323" s="92">
        <f t="shared" ca="1" si="145"/>
        <v>6.25</v>
      </c>
      <c r="N4323" s="143">
        <f ca="1">(PRODUCT($O$5:$O4323)-1)*36000/_xlfn.DAYS(L4323, $C$2)</f>
        <v>10.531869490863787</v>
      </c>
      <c r="O4323" s="149">
        <f t="shared" ca="1" si="146"/>
        <v>1.000173611111111</v>
      </c>
    </row>
    <row r="4324" spans="12:15" x14ac:dyDescent="0.25">
      <c r="L4324" s="147">
        <f ca="1"/>
        <v>49563</v>
      </c>
      <c r="M4324" s="92">
        <f t="shared" ca="1" si="145"/>
        <v>6.25</v>
      </c>
      <c r="N4324" s="143">
        <f ca="1">(PRODUCT($O$5:$O4324)-1)*36000/_xlfn.DAYS(L4324, $C$2)</f>
        <v>10.532706343682703</v>
      </c>
      <c r="O4324" s="149">
        <f t="shared" ca="1" si="146"/>
        <v>1.000173611111111</v>
      </c>
    </row>
    <row r="4325" spans="12:15" x14ac:dyDescent="0.25">
      <c r="L4325" s="147">
        <f ca="1"/>
        <v>49564</v>
      </c>
      <c r="M4325" s="92">
        <f t="shared" ca="1" si="145"/>
        <v>6.25</v>
      </c>
      <c r="N4325" s="143">
        <f ca="1">(PRODUCT($O$5:$O4325)-1)*36000/_xlfn.DAYS(L4325, $C$2)</f>
        <v>10.533543377567007</v>
      </c>
      <c r="O4325" s="149">
        <f t="shared" ca="1" si="146"/>
        <v>1.000173611111111</v>
      </c>
    </row>
    <row r="4326" spans="12:15" x14ac:dyDescent="0.25">
      <c r="L4326" s="147">
        <f ca="1"/>
        <v>49565</v>
      </c>
      <c r="M4326" s="92">
        <f t="shared" ca="1" si="145"/>
        <v>6.25</v>
      </c>
      <c r="N4326" s="143">
        <f ca="1">(PRODUCT($O$5:$O4326)-1)*36000/_xlfn.DAYS(L4326, $C$2)</f>
        <v>10.534380592489676</v>
      </c>
      <c r="O4326" s="149">
        <f t="shared" ca="1" si="146"/>
        <v>1.000173611111111</v>
      </c>
    </row>
    <row r="4327" spans="12:15" x14ac:dyDescent="0.25">
      <c r="L4327" s="147">
        <f ca="1"/>
        <v>49566</v>
      </c>
      <c r="M4327" s="92">
        <f t="shared" ca="1" si="145"/>
        <v>6.25</v>
      </c>
      <c r="N4327" s="143">
        <f ca="1">(PRODUCT($O$5:$O4327)-1)*36000/_xlfn.DAYS(L4327, $C$2)</f>
        <v>10.535217988423726</v>
      </c>
      <c r="O4327" s="149">
        <f t="shared" ca="1" si="146"/>
        <v>1.000173611111111</v>
      </c>
    </row>
    <row r="4328" spans="12:15" x14ac:dyDescent="0.25">
      <c r="L4328" s="147">
        <f ca="1"/>
        <v>49567</v>
      </c>
      <c r="M4328" s="92">
        <f t="shared" ca="1" si="145"/>
        <v>6.25</v>
      </c>
      <c r="N4328" s="143">
        <f ca="1">(PRODUCT($O$5:$O4328)-1)*36000/_xlfn.DAYS(L4328, $C$2)</f>
        <v>10.536055565342224</v>
      </c>
      <c r="O4328" s="149">
        <f t="shared" ca="1" si="146"/>
        <v>1.000173611111111</v>
      </c>
    </row>
    <row r="4329" spans="12:15" x14ac:dyDescent="0.25">
      <c r="L4329" s="147">
        <f ca="1"/>
        <v>49568</v>
      </c>
      <c r="M4329" s="92">
        <f t="shared" ca="1" si="145"/>
        <v>6.25</v>
      </c>
      <c r="N4329" s="143">
        <f ca="1">(PRODUCT($O$5:$O4329)-1)*36000/_xlfn.DAYS(L4329, $C$2)</f>
        <v>10.536893323218274</v>
      </c>
      <c r="O4329" s="149">
        <f t="shared" ca="1" si="146"/>
        <v>1.000173611111111</v>
      </c>
    </row>
    <row r="4330" spans="12:15" x14ac:dyDescent="0.25">
      <c r="L4330" s="147">
        <f ca="1"/>
        <v>49569</v>
      </c>
      <c r="M4330" s="92">
        <f t="shared" ca="1" si="145"/>
        <v>6.25</v>
      </c>
      <c r="N4330" s="143">
        <f ca="1">(PRODUCT($O$5:$O4330)-1)*36000/_xlfn.DAYS(L4330, $C$2)</f>
        <v>10.537731262025021</v>
      </c>
      <c r="O4330" s="149">
        <f t="shared" ca="1" si="146"/>
        <v>1.000173611111111</v>
      </c>
    </row>
    <row r="4331" spans="12:15" x14ac:dyDescent="0.25">
      <c r="L4331" s="147">
        <f ca="1"/>
        <v>49570</v>
      </c>
      <c r="M4331" s="92">
        <f t="shared" ca="1" si="145"/>
        <v>6.25</v>
      </c>
      <c r="N4331" s="143">
        <f ca="1">(PRODUCT($O$5:$O4331)-1)*36000/_xlfn.DAYS(L4331, $C$2)</f>
        <v>10.538569381735648</v>
      </c>
      <c r="O4331" s="149">
        <f t="shared" ca="1" si="146"/>
        <v>1.000173611111111</v>
      </c>
    </row>
    <row r="4332" spans="12:15" x14ac:dyDescent="0.25">
      <c r="L4332" s="147">
        <f ca="1"/>
        <v>49571</v>
      </c>
      <c r="M4332" s="92">
        <f t="shared" ca="1" si="145"/>
        <v>6.25</v>
      </c>
      <c r="N4332" s="143">
        <f ca="1">(PRODUCT($O$5:$O4332)-1)*36000/_xlfn.DAYS(L4332, $C$2)</f>
        <v>10.539407682323388</v>
      </c>
      <c r="O4332" s="149">
        <f t="shared" ca="1" si="146"/>
        <v>1.000173611111111</v>
      </c>
    </row>
    <row r="4333" spans="12:15" x14ac:dyDescent="0.25">
      <c r="L4333" s="147">
        <f ca="1"/>
        <v>49572</v>
      </c>
      <c r="M4333" s="92">
        <f t="shared" ca="1" si="145"/>
        <v>6.25</v>
      </c>
      <c r="N4333" s="143">
        <f ca="1">(PRODUCT($O$5:$O4333)-1)*36000/_xlfn.DAYS(L4333, $C$2)</f>
        <v>10.540246163761514</v>
      </c>
      <c r="O4333" s="149">
        <f t="shared" ca="1" si="146"/>
        <v>1.000173611111111</v>
      </c>
    </row>
    <row r="4334" spans="12:15" x14ac:dyDescent="0.25">
      <c r="L4334" s="147">
        <f ca="1"/>
        <v>49573</v>
      </c>
      <c r="M4334" s="92">
        <f t="shared" ca="1" si="145"/>
        <v>6.25</v>
      </c>
      <c r="N4334" s="143">
        <f ca="1">(PRODUCT($O$5:$O4334)-1)*36000/_xlfn.DAYS(L4334, $C$2)</f>
        <v>10.541084826023335</v>
      </c>
      <c r="O4334" s="149">
        <f t="shared" ca="1" si="146"/>
        <v>1.000173611111111</v>
      </c>
    </row>
    <row r="4335" spans="12:15" x14ac:dyDescent="0.25">
      <c r="L4335" s="147">
        <f ca="1"/>
        <v>49574</v>
      </c>
      <c r="M4335" s="92">
        <f t="shared" ca="1" si="145"/>
        <v>6.25</v>
      </c>
      <c r="N4335" s="143">
        <f ca="1">(PRODUCT($O$5:$O4335)-1)*36000/_xlfn.DAYS(L4335, $C$2)</f>
        <v>10.541923669082207</v>
      </c>
      <c r="O4335" s="149">
        <f t="shared" ca="1" si="146"/>
        <v>1.000173611111111</v>
      </c>
    </row>
    <row r="4336" spans="12:15" x14ac:dyDescent="0.25">
      <c r="L4336" s="147">
        <f ca="1"/>
        <v>49575</v>
      </c>
      <c r="M4336" s="92">
        <f t="shared" ca="1" si="145"/>
        <v>6.25</v>
      </c>
      <c r="N4336" s="143">
        <f ca="1">(PRODUCT($O$5:$O4336)-1)*36000/_xlfn.DAYS(L4336, $C$2)</f>
        <v>10.542762692911529</v>
      </c>
      <c r="O4336" s="149">
        <f t="shared" ca="1" si="146"/>
        <v>1.000173611111111</v>
      </c>
    </row>
    <row r="4337" spans="12:15" x14ac:dyDescent="0.25">
      <c r="L4337" s="147">
        <f ca="1"/>
        <v>49576</v>
      </c>
      <c r="M4337" s="92">
        <f t="shared" ca="1" si="145"/>
        <v>6.25</v>
      </c>
      <c r="N4337" s="143">
        <f ca="1">(PRODUCT($O$5:$O4337)-1)*36000/_xlfn.DAYS(L4337, $C$2)</f>
        <v>10.543601897484738</v>
      </c>
      <c r="O4337" s="149">
        <f t="shared" ca="1" si="146"/>
        <v>1.000173611111111</v>
      </c>
    </row>
    <row r="4338" spans="12:15" x14ac:dyDescent="0.25">
      <c r="L4338" s="147">
        <f ca="1"/>
        <v>49577</v>
      </c>
      <c r="M4338" s="92">
        <f t="shared" ca="1" si="145"/>
        <v>6.25</v>
      </c>
      <c r="N4338" s="143">
        <f ca="1">(PRODUCT($O$5:$O4338)-1)*36000/_xlfn.DAYS(L4338, $C$2)</f>
        <v>10.544441282775312</v>
      </c>
      <c r="O4338" s="149">
        <f t="shared" ca="1" si="146"/>
        <v>1.000173611111111</v>
      </c>
    </row>
    <row r="4339" spans="12:15" x14ac:dyDescent="0.25">
      <c r="L4339" s="147">
        <f ca="1"/>
        <v>49578</v>
      </c>
      <c r="M4339" s="92">
        <f t="shared" ca="1" si="145"/>
        <v>6.25</v>
      </c>
      <c r="N4339" s="143">
        <f ca="1">(PRODUCT($O$5:$O4339)-1)*36000/_xlfn.DAYS(L4339, $C$2)</f>
        <v>10.545280848756773</v>
      </c>
      <c r="O4339" s="149">
        <f t="shared" ca="1" si="146"/>
        <v>1.000173611111111</v>
      </c>
    </row>
    <row r="4340" spans="12:15" x14ac:dyDescent="0.25">
      <c r="L4340" s="147">
        <f ca="1"/>
        <v>49579</v>
      </c>
      <c r="M4340" s="92">
        <f t="shared" ca="1" si="145"/>
        <v>6.25</v>
      </c>
      <c r="N4340" s="143">
        <f ca="1">(PRODUCT($O$5:$O4340)-1)*36000/_xlfn.DAYS(L4340, $C$2)</f>
        <v>10.546120595402689</v>
      </c>
      <c r="O4340" s="149">
        <f t="shared" ca="1" si="146"/>
        <v>1.000173611111111</v>
      </c>
    </row>
    <row r="4341" spans="12:15" x14ac:dyDescent="0.25">
      <c r="L4341" s="147">
        <f ca="1"/>
        <v>49580</v>
      </c>
      <c r="M4341" s="92">
        <f t="shared" ca="1" si="145"/>
        <v>6.25</v>
      </c>
      <c r="N4341" s="143">
        <f ca="1">(PRODUCT($O$5:$O4341)-1)*36000/_xlfn.DAYS(L4341, $C$2)</f>
        <v>10.546960522686661</v>
      </c>
      <c r="O4341" s="149">
        <f t="shared" ca="1" si="146"/>
        <v>1.000173611111111</v>
      </c>
    </row>
    <row r="4342" spans="12:15" x14ac:dyDescent="0.25">
      <c r="L4342" s="147">
        <f ca="1"/>
        <v>49581</v>
      </c>
      <c r="M4342" s="92">
        <f t="shared" ca="1" si="145"/>
        <v>6.25</v>
      </c>
      <c r="N4342" s="143">
        <f ca="1">(PRODUCT($O$5:$O4342)-1)*36000/_xlfn.DAYS(L4342, $C$2)</f>
        <v>10.54780063058233</v>
      </c>
      <c r="O4342" s="149">
        <f t="shared" ca="1" si="146"/>
        <v>1.000173611111111</v>
      </c>
    </row>
    <row r="4343" spans="12:15" x14ac:dyDescent="0.25">
      <c r="L4343" s="147">
        <f ca="1"/>
        <v>49582</v>
      </c>
      <c r="M4343" s="92">
        <f t="shared" ca="1" si="145"/>
        <v>6.25</v>
      </c>
      <c r="N4343" s="143">
        <f ca="1">(PRODUCT($O$5:$O4343)-1)*36000/_xlfn.DAYS(L4343, $C$2)</f>
        <v>10.548640919063388</v>
      </c>
      <c r="O4343" s="149">
        <f t="shared" ca="1" si="146"/>
        <v>1.000173611111111</v>
      </c>
    </row>
    <row r="4344" spans="12:15" x14ac:dyDescent="0.25">
      <c r="L4344" s="147">
        <f ca="1"/>
        <v>49583</v>
      </c>
      <c r="M4344" s="92">
        <f t="shared" ca="1" si="145"/>
        <v>6.25</v>
      </c>
      <c r="N4344" s="143">
        <f ca="1">(PRODUCT($O$5:$O4344)-1)*36000/_xlfn.DAYS(L4344, $C$2)</f>
        <v>10.549481388103567</v>
      </c>
      <c r="O4344" s="149">
        <f t="shared" ca="1" si="146"/>
        <v>1.000173611111111</v>
      </c>
    </row>
    <row r="4345" spans="12:15" x14ac:dyDescent="0.25">
      <c r="L4345" s="147">
        <f ca="1"/>
        <v>49584</v>
      </c>
      <c r="M4345" s="92">
        <f t="shared" ca="1" si="145"/>
        <v>6.25</v>
      </c>
      <c r="N4345" s="143">
        <f ca="1">(PRODUCT($O$5:$O4345)-1)*36000/_xlfn.DAYS(L4345, $C$2)</f>
        <v>10.550322037676633</v>
      </c>
      <c r="O4345" s="149">
        <f t="shared" ca="1" si="146"/>
        <v>1.000173611111111</v>
      </c>
    </row>
    <row r="4346" spans="12:15" x14ac:dyDescent="0.25">
      <c r="L4346" s="147">
        <f ca="1"/>
        <v>49585</v>
      </c>
      <c r="M4346" s="92">
        <f t="shared" ca="1" si="145"/>
        <v>6.25</v>
      </c>
      <c r="N4346" s="143">
        <f ca="1">(PRODUCT($O$5:$O4346)-1)*36000/_xlfn.DAYS(L4346, $C$2)</f>
        <v>10.551162867756398</v>
      </c>
      <c r="O4346" s="149">
        <f t="shared" ca="1" si="146"/>
        <v>1.000173611111111</v>
      </c>
    </row>
    <row r="4347" spans="12:15" x14ac:dyDescent="0.25">
      <c r="L4347" s="147">
        <f ca="1"/>
        <v>49586</v>
      </c>
      <c r="M4347" s="92">
        <f t="shared" ca="1" si="145"/>
        <v>6.25</v>
      </c>
      <c r="N4347" s="143">
        <f ca="1">(PRODUCT($O$5:$O4347)-1)*36000/_xlfn.DAYS(L4347, $C$2)</f>
        <v>10.552003878316711</v>
      </c>
      <c r="O4347" s="149">
        <f t="shared" ca="1" si="146"/>
        <v>1.000173611111111</v>
      </c>
    </row>
    <row r="4348" spans="12:15" x14ac:dyDescent="0.25">
      <c r="L4348" s="147">
        <f ca="1"/>
        <v>49587</v>
      </c>
      <c r="M4348" s="92">
        <f t="shared" ca="1" si="145"/>
        <v>6.25</v>
      </c>
      <c r="N4348" s="143">
        <f ca="1">(PRODUCT($O$5:$O4348)-1)*36000/_xlfn.DAYS(L4348, $C$2)</f>
        <v>10.552845069331473</v>
      </c>
      <c r="O4348" s="149">
        <f t="shared" ca="1" si="146"/>
        <v>1.000173611111111</v>
      </c>
    </row>
    <row r="4349" spans="12:15" x14ac:dyDescent="0.25">
      <c r="L4349" s="147">
        <f ca="1"/>
        <v>49588</v>
      </c>
      <c r="M4349" s="92">
        <f t="shared" ca="1" si="145"/>
        <v>6.25</v>
      </c>
      <c r="N4349" s="143">
        <f ca="1">(PRODUCT($O$5:$O4349)-1)*36000/_xlfn.DAYS(L4349, $C$2)</f>
        <v>10.553686440774612</v>
      </c>
      <c r="O4349" s="149">
        <f t="shared" ca="1" si="146"/>
        <v>1.000173611111111</v>
      </c>
    </row>
    <row r="4350" spans="12:15" x14ac:dyDescent="0.25">
      <c r="L4350" s="147">
        <f ca="1"/>
        <v>49589</v>
      </c>
      <c r="M4350" s="92">
        <f t="shared" ca="1" si="145"/>
        <v>6.25</v>
      </c>
      <c r="N4350" s="143">
        <f ca="1">(PRODUCT($O$5:$O4350)-1)*36000/_xlfn.DAYS(L4350, $C$2)</f>
        <v>10.554527992620111</v>
      </c>
      <c r="O4350" s="149">
        <f t="shared" ca="1" si="146"/>
        <v>1.000173611111111</v>
      </c>
    </row>
    <row r="4351" spans="12:15" x14ac:dyDescent="0.25">
      <c r="L4351" s="147">
        <f ca="1"/>
        <v>49590</v>
      </c>
      <c r="M4351" s="92">
        <f t="shared" ca="1" si="145"/>
        <v>6.25</v>
      </c>
      <c r="N4351" s="143">
        <f ca="1">(PRODUCT($O$5:$O4351)-1)*36000/_xlfn.DAYS(L4351, $C$2)</f>
        <v>10.555369724841981</v>
      </c>
      <c r="O4351" s="149">
        <f t="shared" ca="1" si="146"/>
        <v>1.000173611111111</v>
      </c>
    </row>
    <row r="4352" spans="12:15" x14ac:dyDescent="0.25">
      <c r="L4352" s="147">
        <f ca="1"/>
        <v>49591</v>
      </c>
      <c r="M4352" s="92">
        <f t="shared" ca="1" si="145"/>
        <v>6.25</v>
      </c>
      <c r="N4352" s="143">
        <f ca="1">(PRODUCT($O$5:$O4352)-1)*36000/_xlfn.DAYS(L4352, $C$2)</f>
        <v>10.556211637414281</v>
      </c>
      <c r="O4352" s="149">
        <f t="shared" ca="1" si="146"/>
        <v>1.000173611111111</v>
      </c>
    </row>
    <row r="4353" spans="12:15" x14ac:dyDescent="0.25">
      <c r="L4353" s="147">
        <f ca="1"/>
        <v>49592</v>
      </c>
      <c r="M4353" s="92">
        <f t="shared" ca="1" si="145"/>
        <v>6.25</v>
      </c>
      <c r="N4353" s="143">
        <f ca="1">(PRODUCT($O$5:$O4353)-1)*36000/_xlfn.DAYS(L4353, $C$2)</f>
        <v>10.557053730311111</v>
      </c>
      <c r="O4353" s="149">
        <f t="shared" ca="1" si="146"/>
        <v>1.000173611111111</v>
      </c>
    </row>
    <row r="4354" spans="12:15" x14ac:dyDescent="0.25">
      <c r="L4354" s="147">
        <f ca="1"/>
        <v>49593</v>
      </c>
      <c r="M4354" s="92">
        <f t="shared" ca="1" si="145"/>
        <v>6.25</v>
      </c>
      <c r="N4354" s="143">
        <f ca="1">(PRODUCT($O$5:$O4354)-1)*36000/_xlfn.DAYS(L4354, $C$2)</f>
        <v>10.557896003506613</v>
      </c>
      <c r="O4354" s="149">
        <f t="shared" ca="1" si="146"/>
        <v>1.000173611111111</v>
      </c>
    </row>
    <row r="4355" spans="12:15" x14ac:dyDescent="0.25">
      <c r="L4355" s="147">
        <f ca="1"/>
        <v>49594</v>
      </c>
      <c r="M4355" s="92">
        <f t="shared" ca="1" si="145"/>
        <v>6.25</v>
      </c>
      <c r="N4355" s="143">
        <f ca="1">(PRODUCT($O$5:$O4355)-1)*36000/_xlfn.DAYS(L4355, $C$2)</f>
        <v>10.558738456974964</v>
      </c>
      <c r="O4355" s="149">
        <f t="shared" ca="1" si="146"/>
        <v>1.000173611111111</v>
      </c>
    </row>
    <row r="4356" spans="12:15" x14ac:dyDescent="0.25">
      <c r="L4356" s="147">
        <f ca="1"/>
        <v>49595</v>
      </c>
      <c r="M4356" s="92">
        <f t="shared" ca="1" si="145"/>
        <v>6.25</v>
      </c>
      <c r="N4356" s="143">
        <f ca="1">(PRODUCT($O$5:$O4356)-1)*36000/_xlfn.DAYS(L4356, $C$2)</f>
        <v>10.559581090690388</v>
      </c>
      <c r="O4356" s="149">
        <f t="shared" ca="1" si="146"/>
        <v>1.000173611111111</v>
      </c>
    </row>
    <row r="4357" spans="12:15" x14ac:dyDescent="0.25">
      <c r="L4357" s="147">
        <f ca="1"/>
        <v>49596</v>
      </c>
      <c r="M4357" s="92">
        <f t="shared" ref="M4357:M4420" ca="1" si="147">IFERROR(INDEX($E$27:$H$47, MATCH(L4357, $F$27:$F$47, 0), 4), IF(ISNUMBER(M4356), M4356, $C$5))</f>
        <v>6.25</v>
      </c>
      <c r="N4357" s="143">
        <f ca="1">(PRODUCT($O$5:$O4357)-1)*36000/_xlfn.DAYS(L4357, $C$2)</f>
        <v>10.560423904627148</v>
      </c>
      <c r="O4357" s="149">
        <f t="shared" ca="1" si="146"/>
        <v>1.000173611111111</v>
      </c>
    </row>
    <row r="4358" spans="12:15" x14ac:dyDescent="0.25">
      <c r="L4358" s="147">
        <f ca="1"/>
        <v>49597</v>
      </c>
      <c r="M4358" s="92">
        <f t="shared" ca="1" si="147"/>
        <v>6.25</v>
      </c>
      <c r="N4358" s="143">
        <f ca="1">(PRODUCT($O$5:$O4358)-1)*36000/_xlfn.DAYS(L4358, $C$2)</f>
        <v>10.561266898759543</v>
      </c>
      <c r="O4358" s="149">
        <f t="shared" ref="O4358:O4421" ca="1" si="148">1+M4358*IFERROR(_xlfn.DAYS(L4358, L4357), _xlfn.DAYS(L4358, $C$2))/36000</f>
        <v>1.000173611111111</v>
      </c>
    </row>
    <row r="4359" spans="12:15" x14ac:dyDescent="0.25">
      <c r="L4359" s="147">
        <f ca="1"/>
        <v>49598</v>
      </c>
      <c r="M4359" s="92">
        <f t="shared" ca="1" si="147"/>
        <v>6.25</v>
      </c>
      <c r="N4359" s="143">
        <f ca="1">(PRODUCT($O$5:$O4359)-1)*36000/_xlfn.DAYS(L4359, $C$2)</f>
        <v>10.562110073061922</v>
      </c>
      <c r="O4359" s="149">
        <f t="shared" ca="1" si="148"/>
        <v>1.000173611111111</v>
      </c>
    </row>
    <row r="4360" spans="12:15" x14ac:dyDescent="0.25">
      <c r="L4360" s="147">
        <f ca="1"/>
        <v>49599</v>
      </c>
      <c r="M4360" s="92">
        <f t="shared" ca="1" si="147"/>
        <v>6.25</v>
      </c>
      <c r="N4360" s="143">
        <f ca="1">(PRODUCT($O$5:$O4360)-1)*36000/_xlfn.DAYS(L4360, $C$2)</f>
        <v>10.562953427508667</v>
      </c>
      <c r="O4360" s="149">
        <f t="shared" ca="1" si="148"/>
        <v>1.000173611111111</v>
      </c>
    </row>
    <row r="4361" spans="12:15" x14ac:dyDescent="0.25">
      <c r="L4361" s="147">
        <f ca="1"/>
        <v>49600</v>
      </c>
      <c r="M4361" s="92">
        <f t="shared" ca="1" si="147"/>
        <v>6.25</v>
      </c>
      <c r="N4361" s="143">
        <f ca="1">(PRODUCT($O$5:$O4361)-1)*36000/_xlfn.DAYS(L4361, $C$2)</f>
        <v>10.5637969620742</v>
      </c>
      <c r="O4361" s="149">
        <f t="shared" ca="1" si="148"/>
        <v>1.000173611111111</v>
      </c>
    </row>
    <row r="4362" spans="12:15" x14ac:dyDescent="0.25">
      <c r="L4362" s="147">
        <f ca="1"/>
        <v>49601</v>
      </c>
      <c r="M4362" s="92">
        <f t="shared" ca="1" si="147"/>
        <v>6.25</v>
      </c>
      <c r="N4362" s="143">
        <f ca="1">(PRODUCT($O$5:$O4362)-1)*36000/_xlfn.DAYS(L4362, $C$2)</f>
        <v>10.564640676732992</v>
      </c>
      <c r="O4362" s="149">
        <f t="shared" ca="1" si="148"/>
        <v>1.000173611111111</v>
      </c>
    </row>
    <row r="4363" spans="12:15" x14ac:dyDescent="0.25">
      <c r="L4363" s="147">
        <f ca="1"/>
        <v>49602</v>
      </c>
      <c r="M4363" s="92">
        <f t="shared" ca="1" si="147"/>
        <v>6.25</v>
      </c>
      <c r="N4363" s="143">
        <f ca="1">(PRODUCT($O$5:$O4363)-1)*36000/_xlfn.DAYS(L4363, $C$2)</f>
        <v>10.565484571459548</v>
      </c>
      <c r="O4363" s="149">
        <f t="shared" ca="1" si="148"/>
        <v>1.000173611111111</v>
      </c>
    </row>
    <row r="4364" spans="12:15" x14ac:dyDescent="0.25">
      <c r="L4364" s="147">
        <f ca="1"/>
        <v>49603</v>
      </c>
      <c r="M4364" s="92">
        <f t="shared" ca="1" si="147"/>
        <v>6.25</v>
      </c>
      <c r="N4364" s="143">
        <f ca="1">(PRODUCT($O$5:$O4364)-1)*36000/_xlfn.DAYS(L4364, $C$2)</f>
        <v>10.566328646228413</v>
      </c>
      <c r="O4364" s="149">
        <f t="shared" ca="1" si="148"/>
        <v>1.000173611111111</v>
      </c>
    </row>
    <row r="4365" spans="12:15" x14ac:dyDescent="0.25">
      <c r="L4365" s="147">
        <f ca="1"/>
        <v>49604</v>
      </c>
      <c r="M4365" s="92">
        <f t="shared" ca="1" si="147"/>
        <v>6.25</v>
      </c>
      <c r="N4365" s="143">
        <f ca="1">(PRODUCT($O$5:$O4365)-1)*36000/_xlfn.DAYS(L4365, $C$2)</f>
        <v>10.567172901014175</v>
      </c>
      <c r="O4365" s="149">
        <f t="shared" ca="1" si="148"/>
        <v>1.000173611111111</v>
      </c>
    </row>
    <row r="4366" spans="12:15" x14ac:dyDescent="0.25">
      <c r="L4366" s="147">
        <f ca="1"/>
        <v>49605</v>
      </c>
      <c r="M4366" s="92">
        <f t="shared" ca="1" si="147"/>
        <v>6.25</v>
      </c>
      <c r="N4366" s="143">
        <f ca="1">(PRODUCT($O$5:$O4366)-1)*36000/_xlfn.DAYS(L4366, $C$2)</f>
        <v>10.56801733579146</v>
      </c>
      <c r="O4366" s="149">
        <f t="shared" ca="1" si="148"/>
        <v>1.000173611111111</v>
      </c>
    </row>
    <row r="4367" spans="12:15" x14ac:dyDescent="0.25">
      <c r="L4367" s="147">
        <f ca="1"/>
        <v>49606</v>
      </c>
      <c r="M4367" s="92">
        <f t="shared" ca="1" si="147"/>
        <v>6.25</v>
      </c>
      <c r="N4367" s="143">
        <f ca="1">(PRODUCT($O$5:$O4367)-1)*36000/_xlfn.DAYS(L4367, $C$2)</f>
        <v>10.568861950534936</v>
      </c>
      <c r="O4367" s="149">
        <f t="shared" ca="1" si="148"/>
        <v>1.000173611111111</v>
      </c>
    </row>
    <row r="4368" spans="12:15" x14ac:dyDescent="0.25">
      <c r="L4368" s="147">
        <f ca="1"/>
        <v>49607</v>
      </c>
      <c r="M4368" s="92">
        <f t="shared" ca="1" si="147"/>
        <v>6.25</v>
      </c>
      <c r="N4368" s="143">
        <f ca="1">(PRODUCT($O$5:$O4368)-1)*36000/_xlfn.DAYS(L4368, $C$2)</f>
        <v>10.56970674521931</v>
      </c>
      <c r="O4368" s="149">
        <f t="shared" ca="1" si="148"/>
        <v>1.000173611111111</v>
      </c>
    </row>
    <row r="4369" spans="12:15" x14ac:dyDescent="0.25">
      <c r="L4369" s="147">
        <f ca="1"/>
        <v>49608</v>
      </c>
      <c r="M4369" s="92">
        <f t="shared" ca="1" si="147"/>
        <v>6.25</v>
      </c>
      <c r="N4369" s="143">
        <f ca="1">(PRODUCT($O$5:$O4369)-1)*36000/_xlfn.DAYS(L4369, $C$2)</f>
        <v>10.570551719819333</v>
      </c>
      <c r="O4369" s="149">
        <f t="shared" ca="1" si="148"/>
        <v>1.000173611111111</v>
      </c>
    </row>
    <row r="4370" spans="12:15" x14ac:dyDescent="0.25">
      <c r="L4370" s="147">
        <f ca="1"/>
        <v>49609</v>
      </c>
      <c r="M4370" s="92">
        <f t="shared" ca="1" si="147"/>
        <v>6.25</v>
      </c>
      <c r="N4370" s="143">
        <f ca="1">(PRODUCT($O$5:$O4370)-1)*36000/_xlfn.DAYS(L4370, $C$2)</f>
        <v>10.571396874309793</v>
      </c>
      <c r="O4370" s="149">
        <f t="shared" ca="1" si="148"/>
        <v>1.000173611111111</v>
      </c>
    </row>
    <row r="4371" spans="12:15" x14ac:dyDescent="0.25">
      <c r="L4371" s="147">
        <f ca="1"/>
        <v>49610</v>
      </c>
      <c r="M4371" s="92">
        <f t="shared" ca="1" si="147"/>
        <v>6.25</v>
      </c>
      <c r="N4371" s="143">
        <f ca="1">(PRODUCT($O$5:$O4371)-1)*36000/_xlfn.DAYS(L4371, $C$2)</f>
        <v>10.57224220866552</v>
      </c>
      <c r="O4371" s="149">
        <f t="shared" ca="1" si="148"/>
        <v>1.000173611111111</v>
      </c>
    </row>
    <row r="4372" spans="12:15" x14ac:dyDescent="0.25">
      <c r="L4372" s="147">
        <f ca="1"/>
        <v>49611</v>
      </c>
      <c r="M4372" s="92">
        <f t="shared" ca="1" si="147"/>
        <v>6.25</v>
      </c>
      <c r="N4372" s="143">
        <f ca="1">(PRODUCT($O$5:$O4372)-1)*36000/_xlfn.DAYS(L4372, $C$2)</f>
        <v>10.573087722861381</v>
      </c>
      <c r="O4372" s="149">
        <f t="shared" ca="1" si="148"/>
        <v>1.000173611111111</v>
      </c>
    </row>
    <row r="4373" spans="12:15" x14ac:dyDescent="0.25">
      <c r="L4373" s="147">
        <f ca="1"/>
        <v>49612</v>
      </c>
      <c r="M4373" s="92">
        <f t="shared" ca="1" si="147"/>
        <v>6.25</v>
      </c>
      <c r="N4373" s="143">
        <f ca="1">(PRODUCT($O$5:$O4373)-1)*36000/_xlfn.DAYS(L4373, $C$2)</f>
        <v>10.573933416872283</v>
      </c>
      <c r="O4373" s="149">
        <f t="shared" ca="1" si="148"/>
        <v>1.000173611111111</v>
      </c>
    </row>
    <row r="4374" spans="12:15" x14ac:dyDescent="0.25">
      <c r="L4374" s="147">
        <f ca="1"/>
        <v>49613</v>
      </c>
      <c r="M4374" s="92">
        <f t="shared" ca="1" si="147"/>
        <v>6.25</v>
      </c>
      <c r="N4374" s="143">
        <f ca="1">(PRODUCT($O$5:$O4374)-1)*36000/_xlfn.DAYS(L4374, $C$2)</f>
        <v>10.574779290673177</v>
      </c>
      <c r="O4374" s="149">
        <f t="shared" ca="1" si="148"/>
        <v>1.000173611111111</v>
      </c>
    </row>
    <row r="4375" spans="12:15" x14ac:dyDescent="0.25">
      <c r="L4375" s="147">
        <f ca="1"/>
        <v>49614</v>
      </c>
      <c r="M4375" s="92">
        <f t="shared" ca="1" si="147"/>
        <v>6.25</v>
      </c>
      <c r="N4375" s="143">
        <f ca="1">(PRODUCT($O$5:$O4375)-1)*36000/_xlfn.DAYS(L4375, $C$2)</f>
        <v>10.575625344239052</v>
      </c>
      <c r="O4375" s="149">
        <f t="shared" ca="1" si="148"/>
        <v>1.000173611111111</v>
      </c>
    </row>
    <row r="4376" spans="12:15" x14ac:dyDescent="0.25">
      <c r="L4376" s="147">
        <f ca="1"/>
        <v>49615</v>
      </c>
      <c r="M4376" s="92">
        <f t="shared" ca="1" si="147"/>
        <v>6.25</v>
      </c>
      <c r="N4376" s="143">
        <f ca="1">(PRODUCT($O$5:$O4376)-1)*36000/_xlfn.DAYS(L4376, $C$2)</f>
        <v>10.576471577544936</v>
      </c>
      <c r="O4376" s="149">
        <f t="shared" ca="1" si="148"/>
        <v>1.000173611111111</v>
      </c>
    </row>
    <row r="4377" spans="12:15" x14ac:dyDescent="0.25">
      <c r="L4377" s="147">
        <f ca="1"/>
        <v>49616</v>
      </c>
      <c r="M4377" s="92">
        <f t="shared" ca="1" si="147"/>
        <v>6.25</v>
      </c>
      <c r="N4377" s="143">
        <f ca="1">(PRODUCT($O$5:$O4377)-1)*36000/_xlfn.DAYS(L4377, $C$2)</f>
        <v>10.5773179905659</v>
      </c>
      <c r="O4377" s="149">
        <f t="shared" ca="1" si="148"/>
        <v>1.000173611111111</v>
      </c>
    </row>
    <row r="4378" spans="12:15" x14ac:dyDescent="0.25">
      <c r="L4378" s="147">
        <f ca="1"/>
        <v>49617</v>
      </c>
      <c r="M4378" s="92">
        <f t="shared" ca="1" si="147"/>
        <v>6.25</v>
      </c>
      <c r="N4378" s="143">
        <f ca="1">(PRODUCT($O$5:$O4378)-1)*36000/_xlfn.DAYS(L4378, $C$2)</f>
        <v>10.578164583277054</v>
      </c>
      <c r="O4378" s="149">
        <f t="shared" ca="1" si="148"/>
        <v>1.000173611111111</v>
      </c>
    </row>
    <row r="4379" spans="12:15" x14ac:dyDescent="0.25">
      <c r="L4379" s="147">
        <f ca="1"/>
        <v>49618</v>
      </c>
      <c r="M4379" s="92">
        <f t="shared" ca="1" si="147"/>
        <v>6.25</v>
      </c>
      <c r="N4379" s="143">
        <f ca="1">(PRODUCT($O$5:$O4379)-1)*36000/_xlfn.DAYS(L4379, $C$2)</f>
        <v>10.579011355653543</v>
      </c>
      <c r="O4379" s="149">
        <f t="shared" ca="1" si="148"/>
        <v>1.000173611111111</v>
      </c>
    </row>
    <row r="4380" spans="12:15" x14ac:dyDescent="0.25">
      <c r="L4380" s="147">
        <f ca="1"/>
        <v>49619</v>
      </c>
      <c r="M4380" s="92">
        <f t="shared" ca="1" si="147"/>
        <v>6.25</v>
      </c>
      <c r="N4380" s="143">
        <f ca="1">(PRODUCT($O$5:$O4380)-1)*36000/_xlfn.DAYS(L4380, $C$2)</f>
        <v>10.579858307670559</v>
      </c>
      <c r="O4380" s="149">
        <f t="shared" ca="1" si="148"/>
        <v>1.000173611111111</v>
      </c>
    </row>
    <row r="4381" spans="12:15" x14ac:dyDescent="0.25">
      <c r="L4381" s="147">
        <f ca="1"/>
        <v>49620</v>
      </c>
      <c r="M4381" s="92">
        <f t="shared" ca="1" si="147"/>
        <v>6.25</v>
      </c>
      <c r="N4381" s="143">
        <f ca="1">(PRODUCT($O$5:$O4381)-1)*36000/_xlfn.DAYS(L4381, $C$2)</f>
        <v>10.580705439303326</v>
      </c>
      <c r="O4381" s="149">
        <f t="shared" ca="1" si="148"/>
        <v>1.000173611111111</v>
      </c>
    </row>
    <row r="4382" spans="12:15" x14ac:dyDescent="0.25">
      <c r="L4382" s="147">
        <f ca="1"/>
        <v>49621</v>
      </c>
      <c r="M4382" s="92">
        <f t="shared" ca="1" si="147"/>
        <v>6.25</v>
      </c>
      <c r="N4382" s="143">
        <f ca="1">(PRODUCT($O$5:$O4382)-1)*36000/_xlfn.DAYS(L4382, $C$2)</f>
        <v>10.581552750527113</v>
      </c>
      <c r="O4382" s="149">
        <f t="shared" ca="1" si="148"/>
        <v>1.000173611111111</v>
      </c>
    </row>
    <row r="4383" spans="12:15" x14ac:dyDescent="0.25">
      <c r="L4383" s="147">
        <f ca="1"/>
        <v>49622</v>
      </c>
      <c r="M4383" s="92">
        <f t="shared" ca="1" si="147"/>
        <v>6.25</v>
      </c>
      <c r="N4383" s="143">
        <f ca="1">(PRODUCT($O$5:$O4383)-1)*36000/_xlfn.DAYS(L4383, $C$2)</f>
        <v>10.582400241317229</v>
      </c>
      <c r="O4383" s="149">
        <f t="shared" ca="1" si="148"/>
        <v>1.000173611111111</v>
      </c>
    </row>
    <row r="4384" spans="12:15" x14ac:dyDescent="0.25">
      <c r="L4384" s="147">
        <f ca="1"/>
        <v>49623</v>
      </c>
      <c r="M4384" s="92">
        <f t="shared" ca="1" si="147"/>
        <v>6.25</v>
      </c>
      <c r="N4384" s="143">
        <f ca="1">(PRODUCT($O$5:$O4384)-1)*36000/_xlfn.DAYS(L4384, $C$2)</f>
        <v>10.583247911649018</v>
      </c>
      <c r="O4384" s="149">
        <f t="shared" ca="1" si="148"/>
        <v>1.000173611111111</v>
      </c>
    </row>
    <row r="4385" spans="12:15" x14ac:dyDescent="0.25">
      <c r="L4385" s="147">
        <f ca="1"/>
        <v>49624</v>
      </c>
      <c r="M4385" s="92">
        <f t="shared" ca="1" si="147"/>
        <v>6.25</v>
      </c>
      <c r="N4385" s="143">
        <f ca="1">(PRODUCT($O$5:$O4385)-1)*36000/_xlfn.DAYS(L4385, $C$2)</f>
        <v>10.584095761497872</v>
      </c>
      <c r="O4385" s="149">
        <f t="shared" ca="1" si="148"/>
        <v>1.000173611111111</v>
      </c>
    </row>
    <row r="4386" spans="12:15" x14ac:dyDescent="0.25">
      <c r="L4386" s="147">
        <f ca="1"/>
        <v>49625</v>
      </c>
      <c r="M4386" s="92">
        <f t="shared" ca="1" si="147"/>
        <v>6.25</v>
      </c>
      <c r="N4386" s="143">
        <f ca="1">(PRODUCT($O$5:$O4386)-1)*36000/_xlfn.DAYS(L4386, $C$2)</f>
        <v>10.584943790839214</v>
      </c>
      <c r="O4386" s="149">
        <f t="shared" ca="1" si="148"/>
        <v>1.000173611111111</v>
      </c>
    </row>
    <row r="4387" spans="12:15" x14ac:dyDescent="0.25">
      <c r="L4387" s="147">
        <f ca="1"/>
        <v>49626</v>
      </c>
      <c r="M4387" s="92">
        <f t="shared" ca="1" si="147"/>
        <v>6.25</v>
      </c>
      <c r="N4387" s="143">
        <f ca="1">(PRODUCT($O$5:$O4387)-1)*36000/_xlfn.DAYS(L4387, $C$2)</f>
        <v>10.585791999648508</v>
      </c>
      <c r="O4387" s="149">
        <f t="shared" ca="1" si="148"/>
        <v>1.000173611111111</v>
      </c>
    </row>
    <row r="4388" spans="12:15" x14ac:dyDescent="0.25">
      <c r="L4388" s="147">
        <f ca="1"/>
        <v>49627</v>
      </c>
      <c r="M4388" s="92">
        <f t="shared" ca="1" si="147"/>
        <v>6.25</v>
      </c>
      <c r="N4388" s="143">
        <f ca="1">(PRODUCT($O$5:$O4388)-1)*36000/_xlfn.DAYS(L4388, $C$2)</f>
        <v>10.586640387901264</v>
      </c>
      <c r="O4388" s="149">
        <f t="shared" ca="1" si="148"/>
        <v>1.000173611111111</v>
      </c>
    </row>
    <row r="4389" spans="12:15" x14ac:dyDescent="0.25">
      <c r="L4389" s="147">
        <f ca="1"/>
        <v>49628</v>
      </c>
      <c r="M4389" s="92">
        <f t="shared" ca="1" si="147"/>
        <v>6.25</v>
      </c>
      <c r="N4389" s="143">
        <f ca="1">(PRODUCT($O$5:$O4389)-1)*36000/_xlfn.DAYS(L4389, $C$2)</f>
        <v>10.587488955573024</v>
      </c>
      <c r="O4389" s="149">
        <f t="shared" ca="1" si="148"/>
        <v>1.000173611111111</v>
      </c>
    </row>
    <row r="4390" spans="12:15" x14ac:dyDescent="0.25">
      <c r="L4390" s="147">
        <f ca="1"/>
        <v>49629</v>
      </c>
      <c r="M4390" s="92">
        <f t="shared" ca="1" si="147"/>
        <v>6.25</v>
      </c>
      <c r="N4390" s="143">
        <f ca="1">(PRODUCT($O$5:$O4390)-1)*36000/_xlfn.DAYS(L4390, $C$2)</f>
        <v>10.588337702639368</v>
      </c>
      <c r="O4390" s="149">
        <f t="shared" ca="1" si="148"/>
        <v>1.000173611111111</v>
      </c>
    </row>
    <row r="4391" spans="12:15" x14ac:dyDescent="0.25">
      <c r="L4391" s="147">
        <f ca="1"/>
        <v>49630</v>
      </c>
      <c r="M4391" s="92">
        <f t="shared" ca="1" si="147"/>
        <v>6.25</v>
      </c>
      <c r="N4391" s="143">
        <f ca="1">(PRODUCT($O$5:$O4391)-1)*36000/_xlfn.DAYS(L4391, $C$2)</f>
        <v>10.589186629075925</v>
      </c>
      <c r="O4391" s="149">
        <f t="shared" ca="1" si="148"/>
        <v>1.000173611111111</v>
      </c>
    </row>
    <row r="4392" spans="12:15" x14ac:dyDescent="0.25">
      <c r="L4392" s="147">
        <f ca="1"/>
        <v>49631</v>
      </c>
      <c r="M4392" s="92">
        <f t="shared" ca="1" si="147"/>
        <v>6.25</v>
      </c>
      <c r="N4392" s="143">
        <f ca="1">(PRODUCT($O$5:$O4392)-1)*36000/_xlfn.DAYS(L4392, $C$2)</f>
        <v>10.590035734858358</v>
      </c>
      <c r="O4392" s="149">
        <f t="shared" ca="1" si="148"/>
        <v>1.000173611111111</v>
      </c>
    </row>
    <row r="4393" spans="12:15" x14ac:dyDescent="0.25">
      <c r="L4393" s="147">
        <f ca="1"/>
        <v>49632</v>
      </c>
      <c r="M4393" s="92">
        <f t="shared" ca="1" si="147"/>
        <v>6.25</v>
      </c>
      <c r="N4393" s="143">
        <f ca="1">(PRODUCT($O$5:$O4393)-1)*36000/_xlfn.DAYS(L4393, $C$2)</f>
        <v>10.590885019962364</v>
      </c>
      <c r="O4393" s="149">
        <f t="shared" ca="1" si="148"/>
        <v>1.000173611111111</v>
      </c>
    </row>
    <row r="4394" spans="12:15" x14ac:dyDescent="0.25">
      <c r="L4394" s="147">
        <f ca="1"/>
        <v>49633</v>
      </c>
      <c r="M4394" s="92">
        <f t="shared" ca="1" si="147"/>
        <v>6.25</v>
      </c>
      <c r="N4394" s="143">
        <f ca="1">(PRODUCT($O$5:$O4394)-1)*36000/_xlfn.DAYS(L4394, $C$2)</f>
        <v>10.591734484363684</v>
      </c>
      <c r="O4394" s="149">
        <f t="shared" ca="1" si="148"/>
        <v>1.000173611111111</v>
      </c>
    </row>
    <row r="4395" spans="12:15" x14ac:dyDescent="0.25">
      <c r="L4395" s="147">
        <f ca="1"/>
        <v>49634</v>
      </c>
      <c r="M4395" s="92">
        <f t="shared" ca="1" si="147"/>
        <v>6.25</v>
      </c>
      <c r="N4395" s="143">
        <f ca="1">(PRODUCT($O$5:$O4395)-1)*36000/_xlfn.DAYS(L4395, $C$2)</f>
        <v>10.592584128038103</v>
      </c>
      <c r="O4395" s="149">
        <f t="shared" ca="1" si="148"/>
        <v>1.000173611111111</v>
      </c>
    </row>
    <row r="4396" spans="12:15" x14ac:dyDescent="0.25">
      <c r="L4396" s="147">
        <f ca="1"/>
        <v>49635</v>
      </c>
      <c r="M4396" s="92">
        <f t="shared" ca="1" si="147"/>
        <v>6.25</v>
      </c>
      <c r="N4396" s="143">
        <f ca="1">(PRODUCT($O$5:$O4396)-1)*36000/_xlfn.DAYS(L4396, $C$2)</f>
        <v>10.593433950961435</v>
      </c>
      <c r="O4396" s="149">
        <f t="shared" ca="1" si="148"/>
        <v>1.000173611111111</v>
      </c>
    </row>
    <row r="4397" spans="12:15" x14ac:dyDescent="0.25">
      <c r="L4397" s="147">
        <f ca="1"/>
        <v>49636</v>
      </c>
      <c r="M4397" s="92">
        <f t="shared" ca="1" si="147"/>
        <v>6.25</v>
      </c>
      <c r="N4397" s="143">
        <f ca="1">(PRODUCT($O$5:$O4397)-1)*36000/_xlfn.DAYS(L4397, $C$2)</f>
        <v>10.594283953109546</v>
      </c>
      <c r="O4397" s="149">
        <f t="shared" ca="1" si="148"/>
        <v>1.000173611111111</v>
      </c>
    </row>
    <row r="4398" spans="12:15" x14ac:dyDescent="0.25">
      <c r="L4398" s="147">
        <f ca="1"/>
        <v>49637</v>
      </c>
      <c r="M4398" s="92">
        <f t="shared" ca="1" si="147"/>
        <v>6.25</v>
      </c>
      <c r="N4398" s="143">
        <f ca="1">(PRODUCT($O$5:$O4398)-1)*36000/_xlfn.DAYS(L4398, $C$2)</f>
        <v>10.595134134458323</v>
      </c>
      <c r="O4398" s="149">
        <f t="shared" ca="1" si="148"/>
        <v>1.000173611111111</v>
      </c>
    </row>
    <row r="4399" spans="12:15" x14ac:dyDescent="0.25">
      <c r="L4399" s="147">
        <f ca="1"/>
        <v>49638</v>
      </c>
      <c r="M4399" s="92">
        <f t="shared" ca="1" si="147"/>
        <v>6.25</v>
      </c>
      <c r="N4399" s="143">
        <f ca="1">(PRODUCT($O$5:$O4399)-1)*36000/_xlfn.DAYS(L4399, $C$2)</f>
        <v>10.595984494983711</v>
      </c>
      <c r="O4399" s="149">
        <f t="shared" ca="1" si="148"/>
        <v>1.000173611111111</v>
      </c>
    </row>
    <row r="4400" spans="12:15" x14ac:dyDescent="0.25">
      <c r="L4400" s="147">
        <f ca="1"/>
        <v>49639</v>
      </c>
      <c r="M4400" s="92">
        <f t="shared" ca="1" si="147"/>
        <v>6.25</v>
      </c>
      <c r="N4400" s="143">
        <f ca="1">(PRODUCT($O$5:$O4400)-1)*36000/_xlfn.DAYS(L4400, $C$2)</f>
        <v>10.596835034661684</v>
      </c>
      <c r="O4400" s="149">
        <f t="shared" ca="1" si="148"/>
        <v>1.000173611111111</v>
      </c>
    </row>
    <row r="4401" spans="12:15" x14ac:dyDescent="0.25">
      <c r="L4401" s="147">
        <f ca="1"/>
        <v>49640</v>
      </c>
      <c r="M4401" s="92">
        <f t="shared" ca="1" si="147"/>
        <v>6.25</v>
      </c>
      <c r="N4401" s="143">
        <f ca="1">(PRODUCT($O$5:$O4401)-1)*36000/_xlfn.DAYS(L4401, $C$2)</f>
        <v>10.597685753468253</v>
      </c>
      <c r="O4401" s="149">
        <f t="shared" ca="1" si="148"/>
        <v>1.000173611111111</v>
      </c>
    </row>
    <row r="4402" spans="12:15" x14ac:dyDescent="0.25">
      <c r="L4402" s="147">
        <f ca="1"/>
        <v>49641</v>
      </c>
      <c r="M4402" s="92">
        <f t="shared" ca="1" si="147"/>
        <v>6.25</v>
      </c>
      <c r="N4402" s="143">
        <f ca="1">(PRODUCT($O$5:$O4402)-1)*36000/_xlfn.DAYS(L4402, $C$2)</f>
        <v>10.598536651379472</v>
      </c>
      <c r="O4402" s="149">
        <f t="shared" ca="1" si="148"/>
        <v>1.000173611111111</v>
      </c>
    </row>
    <row r="4403" spans="12:15" x14ac:dyDescent="0.25">
      <c r="L4403" s="147">
        <f ca="1"/>
        <v>49642</v>
      </c>
      <c r="M4403" s="92">
        <f t="shared" ca="1" si="147"/>
        <v>6.25</v>
      </c>
      <c r="N4403" s="143">
        <f ca="1">(PRODUCT($O$5:$O4403)-1)*36000/_xlfn.DAYS(L4403, $C$2)</f>
        <v>10.599387728371429</v>
      </c>
      <c r="O4403" s="149">
        <f t="shared" ca="1" si="148"/>
        <v>1.000173611111111</v>
      </c>
    </row>
    <row r="4404" spans="12:15" x14ac:dyDescent="0.25">
      <c r="L4404" s="147">
        <f ca="1"/>
        <v>49643</v>
      </c>
      <c r="M4404" s="92">
        <f t="shared" ca="1" si="147"/>
        <v>6.25</v>
      </c>
      <c r="N4404" s="143">
        <f ca="1">(PRODUCT($O$5:$O4404)-1)*36000/_xlfn.DAYS(L4404, $C$2)</f>
        <v>10.600238984420265</v>
      </c>
      <c r="O4404" s="149">
        <f t="shared" ca="1" si="148"/>
        <v>1.000173611111111</v>
      </c>
    </row>
    <row r="4405" spans="12:15" x14ac:dyDescent="0.25">
      <c r="L4405" s="147">
        <f ca="1"/>
        <v>49644</v>
      </c>
      <c r="M4405" s="92">
        <f t="shared" ca="1" si="147"/>
        <v>6.25</v>
      </c>
      <c r="N4405" s="143">
        <f ca="1">(PRODUCT($O$5:$O4405)-1)*36000/_xlfn.DAYS(L4405, $C$2)</f>
        <v>10.601090419502141</v>
      </c>
      <c r="O4405" s="149">
        <f t="shared" ca="1" si="148"/>
        <v>1.000173611111111</v>
      </c>
    </row>
    <row r="4406" spans="12:15" x14ac:dyDescent="0.25">
      <c r="L4406" s="147">
        <f ca="1"/>
        <v>49645</v>
      </c>
      <c r="M4406" s="92">
        <f t="shared" ca="1" si="147"/>
        <v>6.25</v>
      </c>
      <c r="N4406" s="143">
        <f ca="1">(PRODUCT($O$5:$O4406)-1)*36000/_xlfn.DAYS(L4406, $C$2)</f>
        <v>10.601942033593266</v>
      </c>
      <c r="O4406" s="149">
        <f t="shared" ca="1" si="148"/>
        <v>1.000173611111111</v>
      </c>
    </row>
    <row r="4407" spans="12:15" x14ac:dyDescent="0.25">
      <c r="L4407" s="147">
        <f ca="1"/>
        <v>49646</v>
      </c>
      <c r="M4407" s="92">
        <f t="shared" ca="1" si="147"/>
        <v>6.25</v>
      </c>
      <c r="N4407" s="143">
        <f ca="1">(PRODUCT($O$5:$O4407)-1)*36000/_xlfn.DAYS(L4407, $C$2)</f>
        <v>10.60279382666989</v>
      </c>
      <c r="O4407" s="149">
        <f t="shared" ca="1" si="148"/>
        <v>1.000173611111111</v>
      </c>
    </row>
    <row r="4408" spans="12:15" x14ac:dyDescent="0.25">
      <c r="L4408" s="147">
        <f ca="1"/>
        <v>49647</v>
      </c>
      <c r="M4408" s="92">
        <f t="shared" ca="1" si="147"/>
        <v>6.25</v>
      </c>
      <c r="N4408" s="143">
        <f ca="1">(PRODUCT($O$5:$O4408)-1)*36000/_xlfn.DAYS(L4408, $C$2)</f>
        <v>10.603645798708298</v>
      </c>
      <c r="O4408" s="149">
        <f t="shared" ca="1" si="148"/>
        <v>1.000173611111111</v>
      </c>
    </row>
    <row r="4409" spans="12:15" x14ac:dyDescent="0.25">
      <c r="L4409" s="147">
        <f ca="1"/>
        <v>49648</v>
      </c>
      <c r="M4409" s="92">
        <f t="shared" ca="1" si="147"/>
        <v>6.25</v>
      </c>
      <c r="N4409" s="143">
        <f ca="1">(PRODUCT($O$5:$O4409)-1)*36000/_xlfn.DAYS(L4409, $C$2)</f>
        <v>10.604497949684811</v>
      </c>
      <c r="O4409" s="149">
        <f t="shared" ca="1" si="148"/>
        <v>1.000173611111111</v>
      </c>
    </row>
    <row r="4410" spans="12:15" x14ac:dyDescent="0.25">
      <c r="L4410" s="147">
        <f ca="1"/>
        <v>49649</v>
      </c>
      <c r="M4410" s="92">
        <f t="shared" ca="1" si="147"/>
        <v>6.25</v>
      </c>
      <c r="N4410" s="143">
        <f ca="1">(PRODUCT($O$5:$O4410)-1)*36000/_xlfn.DAYS(L4410, $C$2)</f>
        <v>10.605350279575793</v>
      </c>
      <c r="O4410" s="149">
        <f t="shared" ca="1" si="148"/>
        <v>1.000173611111111</v>
      </c>
    </row>
    <row r="4411" spans="12:15" x14ac:dyDescent="0.25">
      <c r="L4411" s="147">
        <f ca="1"/>
        <v>49650</v>
      </c>
      <c r="M4411" s="92">
        <f t="shared" ca="1" si="147"/>
        <v>6.25</v>
      </c>
      <c r="N4411" s="143">
        <f ca="1">(PRODUCT($O$5:$O4411)-1)*36000/_xlfn.DAYS(L4411, $C$2)</f>
        <v>10.606202788357649</v>
      </c>
      <c r="O4411" s="149">
        <f t="shared" ca="1" si="148"/>
        <v>1.000173611111111</v>
      </c>
    </row>
    <row r="4412" spans="12:15" x14ac:dyDescent="0.25">
      <c r="L4412" s="147">
        <f ca="1"/>
        <v>49651</v>
      </c>
      <c r="M4412" s="92">
        <f t="shared" ca="1" si="147"/>
        <v>6.25</v>
      </c>
      <c r="N4412" s="143">
        <f ca="1">(PRODUCT($O$5:$O4412)-1)*36000/_xlfn.DAYS(L4412, $C$2)</f>
        <v>10.607055476006817</v>
      </c>
      <c r="O4412" s="149">
        <f t="shared" ca="1" si="148"/>
        <v>1.000173611111111</v>
      </c>
    </row>
    <row r="4413" spans="12:15" x14ac:dyDescent="0.25">
      <c r="L4413" s="147">
        <f ca="1"/>
        <v>49652</v>
      </c>
      <c r="M4413" s="92">
        <f t="shared" ca="1" si="147"/>
        <v>6.25</v>
      </c>
      <c r="N4413" s="143">
        <f ca="1">(PRODUCT($O$5:$O4413)-1)*36000/_xlfn.DAYS(L4413, $C$2)</f>
        <v>10.607908342499769</v>
      </c>
      <c r="O4413" s="149">
        <f t="shared" ca="1" si="148"/>
        <v>1.000173611111111</v>
      </c>
    </row>
    <row r="4414" spans="12:15" x14ac:dyDescent="0.25">
      <c r="L4414" s="147">
        <f ca="1"/>
        <v>49653</v>
      </c>
      <c r="M4414" s="92">
        <f t="shared" ca="1" si="147"/>
        <v>6.25</v>
      </c>
      <c r="N4414" s="143">
        <f ca="1">(PRODUCT($O$5:$O4414)-1)*36000/_xlfn.DAYS(L4414, $C$2)</f>
        <v>10.608761387813027</v>
      </c>
      <c r="O4414" s="149">
        <f t="shared" ca="1" si="148"/>
        <v>1.000173611111111</v>
      </c>
    </row>
    <row r="4415" spans="12:15" x14ac:dyDescent="0.25">
      <c r="L4415" s="147">
        <f ca="1"/>
        <v>49654</v>
      </c>
      <c r="M4415" s="92">
        <f t="shared" ca="1" si="147"/>
        <v>6.25</v>
      </c>
      <c r="N4415" s="143">
        <f ca="1">(PRODUCT($O$5:$O4415)-1)*36000/_xlfn.DAYS(L4415, $C$2)</f>
        <v>10.609614611923144</v>
      </c>
      <c r="O4415" s="149">
        <f t="shared" ca="1" si="148"/>
        <v>1.000173611111111</v>
      </c>
    </row>
    <row r="4416" spans="12:15" x14ac:dyDescent="0.25">
      <c r="L4416" s="147">
        <f ca="1"/>
        <v>49655</v>
      </c>
      <c r="M4416" s="92">
        <f t="shared" ca="1" si="147"/>
        <v>6.25</v>
      </c>
      <c r="N4416" s="143">
        <f ca="1">(PRODUCT($O$5:$O4416)-1)*36000/_xlfn.DAYS(L4416, $C$2)</f>
        <v>10.61046801480671</v>
      </c>
      <c r="O4416" s="149">
        <f t="shared" ca="1" si="148"/>
        <v>1.000173611111111</v>
      </c>
    </row>
    <row r="4417" spans="12:15" x14ac:dyDescent="0.25">
      <c r="L4417" s="147">
        <f ca="1"/>
        <v>49656</v>
      </c>
      <c r="M4417" s="92">
        <f t="shared" ca="1" si="147"/>
        <v>6.25</v>
      </c>
      <c r="N4417" s="143">
        <f ca="1">(PRODUCT($O$5:$O4417)-1)*36000/_xlfn.DAYS(L4417, $C$2)</f>
        <v>10.611321596440364</v>
      </c>
      <c r="O4417" s="149">
        <f t="shared" ca="1" si="148"/>
        <v>1.000173611111111</v>
      </c>
    </row>
    <row r="4418" spans="12:15" x14ac:dyDescent="0.25">
      <c r="L4418" s="147">
        <f ca="1"/>
        <v>49657</v>
      </c>
      <c r="M4418" s="92">
        <f t="shared" ca="1" si="147"/>
        <v>6.25</v>
      </c>
      <c r="N4418" s="143">
        <f ca="1">(PRODUCT($O$5:$O4418)-1)*36000/_xlfn.DAYS(L4418, $C$2)</f>
        <v>10.612175356800767</v>
      </c>
      <c r="O4418" s="149">
        <f t="shared" ca="1" si="148"/>
        <v>1.000173611111111</v>
      </c>
    </row>
    <row r="4419" spans="12:15" x14ac:dyDescent="0.25">
      <c r="L4419" s="147">
        <f ca="1"/>
        <v>49658</v>
      </c>
      <c r="M4419" s="92">
        <f t="shared" ca="1" si="147"/>
        <v>6.25</v>
      </c>
      <c r="N4419" s="143">
        <f ca="1">(PRODUCT($O$5:$O4419)-1)*36000/_xlfn.DAYS(L4419, $C$2)</f>
        <v>10.613029295864632</v>
      </c>
      <c r="O4419" s="149">
        <f t="shared" ca="1" si="148"/>
        <v>1.000173611111111</v>
      </c>
    </row>
    <row r="4420" spans="12:15" x14ac:dyDescent="0.25">
      <c r="L4420" s="147">
        <f ca="1"/>
        <v>49659</v>
      </c>
      <c r="M4420" s="92">
        <f t="shared" ca="1" si="147"/>
        <v>6.25</v>
      </c>
      <c r="N4420" s="143">
        <f ca="1">(PRODUCT($O$5:$O4420)-1)*36000/_xlfn.DAYS(L4420, $C$2)</f>
        <v>10.613883413608701</v>
      </c>
      <c r="O4420" s="149">
        <f t="shared" ca="1" si="148"/>
        <v>1.000173611111111</v>
      </c>
    </row>
    <row r="4421" spans="12:15" x14ac:dyDescent="0.25">
      <c r="L4421" s="147">
        <f ca="1"/>
        <v>49660</v>
      </c>
      <c r="M4421" s="92">
        <f t="shared" ref="M4421:M4484" ca="1" si="149">IFERROR(INDEX($E$27:$H$47, MATCH(L4421, $F$27:$F$47, 0), 4), IF(ISNUMBER(M4420), M4420, $C$5))</f>
        <v>6.25</v>
      </c>
      <c r="N4421" s="143">
        <f ca="1">(PRODUCT($O$5:$O4421)-1)*36000/_xlfn.DAYS(L4421, $C$2)</f>
        <v>10.614737710009763</v>
      </c>
      <c r="O4421" s="149">
        <f t="shared" ca="1" si="148"/>
        <v>1.000173611111111</v>
      </c>
    </row>
    <row r="4422" spans="12:15" x14ac:dyDescent="0.25">
      <c r="L4422" s="147">
        <f ca="1"/>
        <v>49661</v>
      </c>
      <c r="M4422" s="92">
        <f t="shared" ca="1" si="149"/>
        <v>6.25</v>
      </c>
      <c r="N4422" s="143">
        <f ca="1">(PRODUCT($O$5:$O4422)-1)*36000/_xlfn.DAYS(L4422, $C$2)</f>
        <v>10.615592185044633</v>
      </c>
      <c r="O4422" s="149">
        <f t="shared" ref="O4422:O4485" ca="1" si="150">1+M4422*IFERROR(_xlfn.DAYS(L4422, L4421), _xlfn.DAYS(L4422, $C$2))/36000</f>
        <v>1.000173611111111</v>
      </c>
    </row>
    <row r="4423" spans="12:15" x14ac:dyDescent="0.25">
      <c r="L4423" s="147">
        <f ca="1"/>
        <v>49662</v>
      </c>
      <c r="M4423" s="92">
        <f t="shared" ca="1" si="149"/>
        <v>6.25</v>
      </c>
      <c r="N4423" s="143">
        <f ca="1">(PRODUCT($O$5:$O4423)-1)*36000/_xlfn.DAYS(L4423, $C$2)</f>
        <v>10.616446838690178</v>
      </c>
      <c r="O4423" s="149">
        <f t="shared" ca="1" si="150"/>
        <v>1.000173611111111</v>
      </c>
    </row>
    <row r="4424" spans="12:15" x14ac:dyDescent="0.25">
      <c r="L4424" s="147">
        <f ca="1"/>
        <v>49663</v>
      </c>
      <c r="M4424" s="92">
        <f t="shared" ca="1" si="149"/>
        <v>6.25</v>
      </c>
      <c r="N4424" s="143">
        <f ca="1">(PRODUCT($O$5:$O4424)-1)*36000/_xlfn.DAYS(L4424, $C$2)</f>
        <v>10.617301670923291</v>
      </c>
      <c r="O4424" s="149">
        <f t="shared" ca="1" si="150"/>
        <v>1.000173611111111</v>
      </c>
    </row>
    <row r="4425" spans="12:15" x14ac:dyDescent="0.25">
      <c r="L4425" s="147">
        <f ca="1"/>
        <v>49664</v>
      </c>
      <c r="M4425" s="92">
        <f t="shared" ca="1" si="149"/>
        <v>6.25</v>
      </c>
      <c r="N4425" s="143">
        <f ca="1">(PRODUCT($O$5:$O4425)-1)*36000/_xlfn.DAYS(L4425, $C$2)</f>
        <v>10.618156681720908</v>
      </c>
      <c r="O4425" s="149">
        <f t="shared" ca="1" si="150"/>
        <v>1.000173611111111</v>
      </c>
    </row>
    <row r="4426" spans="12:15" x14ac:dyDescent="0.25">
      <c r="L4426" s="147">
        <f ca="1"/>
        <v>49665</v>
      </c>
      <c r="M4426" s="92">
        <f t="shared" ca="1" si="149"/>
        <v>6.25</v>
      </c>
      <c r="N4426" s="143">
        <f ca="1">(PRODUCT($O$5:$O4426)-1)*36000/_xlfn.DAYS(L4426, $C$2)</f>
        <v>10.619011871060007</v>
      </c>
      <c r="O4426" s="149">
        <f t="shared" ca="1" si="150"/>
        <v>1.000173611111111</v>
      </c>
    </row>
    <row r="4427" spans="12:15" x14ac:dyDescent="0.25">
      <c r="L4427" s="147">
        <f ca="1"/>
        <v>49666</v>
      </c>
      <c r="M4427" s="92">
        <f t="shared" ca="1" si="149"/>
        <v>6.25</v>
      </c>
      <c r="N4427" s="143">
        <f ca="1">(PRODUCT($O$5:$O4427)-1)*36000/_xlfn.DAYS(L4427, $C$2)</f>
        <v>10.619867238917596</v>
      </c>
      <c r="O4427" s="149">
        <f t="shared" ca="1" si="150"/>
        <v>1.000173611111111</v>
      </c>
    </row>
    <row r="4428" spans="12:15" x14ac:dyDescent="0.25">
      <c r="L4428" s="147">
        <f ca="1"/>
        <v>49667</v>
      </c>
      <c r="M4428" s="92">
        <f t="shared" ca="1" si="149"/>
        <v>6.25</v>
      </c>
      <c r="N4428" s="143">
        <f ca="1">(PRODUCT($O$5:$O4428)-1)*36000/_xlfn.DAYS(L4428, $C$2)</f>
        <v>10.620722785270726</v>
      </c>
      <c r="O4428" s="149">
        <f t="shared" ca="1" si="150"/>
        <v>1.000173611111111</v>
      </c>
    </row>
    <row r="4429" spans="12:15" x14ac:dyDescent="0.25">
      <c r="L4429" s="147">
        <f ca="1"/>
        <v>49668</v>
      </c>
      <c r="M4429" s="92">
        <f t="shared" ca="1" si="149"/>
        <v>6.25</v>
      </c>
      <c r="N4429" s="143">
        <f ca="1">(PRODUCT($O$5:$O4429)-1)*36000/_xlfn.DAYS(L4429, $C$2)</f>
        <v>10.621578510096478</v>
      </c>
      <c r="O4429" s="149">
        <f t="shared" ca="1" si="150"/>
        <v>1.000173611111111</v>
      </c>
    </row>
    <row r="4430" spans="12:15" x14ac:dyDescent="0.25">
      <c r="L4430" s="147">
        <f ca="1"/>
        <v>49669</v>
      </c>
      <c r="M4430" s="92">
        <f t="shared" ca="1" si="149"/>
        <v>6.25</v>
      </c>
      <c r="N4430" s="143">
        <f ca="1">(PRODUCT($O$5:$O4430)-1)*36000/_xlfn.DAYS(L4430, $C$2)</f>
        <v>10.622434413371986</v>
      </c>
      <c r="O4430" s="149">
        <f t="shared" ca="1" si="150"/>
        <v>1.000173611111111</v>
      </c>
    </row>
    <row r="4431" spans="12:15" x14ac:dyDescent="0.25">
      <c r="L4431" s="147">
        <f ca="1"/>
        <v>49670</v>
      </c>
      <c r="M4431" s="92">
        <f t="shared" ca="1" si="149"/>
        <v>6.25</v>
      </c>
      <c r="N4431" s="143">
        <f ca="1">(PRODUCT($O$5:$O4431)-1)*36000/_xlfn.DAYS(L4431, $C$2)</f>
        <v>10.623290495074405</v>
      </c>
      <c r="O4431" s="149">
        <f t="shared" ca="1" si="150"/>
        <v>1.000173611111111</v>
      </c>
    </row>
    <row r="4432" spans="12:15" x14ac:dyDescent="0.25">
      <c r="L4432" s="147">
        <f ca="1"/>
        <v>49671</v>
      </c>
      <c r="M4432" s="92">
        <f t="shared" ca="1" si="149"/>
        <v>6.25</v>
      </c>
      <c r="N4432" s="143">
        <f ca="1">(PRODUCT($O$5:$O4432)-1)*36000/_xlfn.DAYS(L4432, $C$2)</f>
        <v>10.624146755180943</v>
      </c>
      <c r="O4432" s="149">
        <f t="shared" ca="1" si="150"/>
        <v>1.000173611111111</v>
      </c>
    </row>
    <row r="4433" spans="12:15" x14ac:dyDescent="0.25">
      <c r="L4433" s="147">
        <f ca="1"/>
        <v>49672</v>
      </c>
      <c r="M4433" s="92">
        <f t="shared" ca="1" si="149"/>
        <v>6.25</v>
      </c>
      <c r="N4433" s="143">
        <f ca="1">(PRODUCT($O$5:$O4433)-1)*36000/_xlfn.DAYS(L4433, $C$2)</f>
        <v>10.625003193668832</v>
      </c>
      <c r="O4433" s="149">
        <f t="shared" ca="1" si="150"/>
        <v>1.000173611111111</v>
      </c>
    </row>
    <row r="4434" spans="12:15" x14ac:dyDescent="0.25">
      <c r="L4434" s="147">
        <f ca="1"/>
        <v>49673</v>
      </c>
      <c r="M4434" s="92">
        <f t="shared" ca="1" si="149"/>
        <v>6.25</v>
      </c>
      <c r="N4434" s="143">
        <f ca="1">(PRODUCT($O$5:$O4434)-1)*36000/_xlfn.DAYS(L4434, $C$2)</f>
        <v>10.625859810515347</v>
      </c>
      <c r="O4434" s="149">
        <f t="shared" ca="1" si="150"/>
        <v>1.000173611111111</v>
      </c>
    </row>
    <row r="4435" spans="12:15" x14ac:dyDescent="0.25">
      <c r="L4435" s="147">
        <f ca="1"/>
        <v>49674</v>
      </c>
      <c r="M4435" s="92">
        <f t="shared" ca="1" si="149"/>
        <v>6.25</v>
      </c>
      <c r="N4435" s="143">
        <f ca="1">(PRODUCT($O$5:$O4435)-1)*36000/_xlfn.DAYS(L4435, $C$2)</f>
        <v>10.626716605697805</v>
      </c>
      <c r="O4435" s="149">
        <f t="shared" ca="1" si="150"/>
        <v>1.000173611111111</v>
      </c>
    </row>
    <row r="4436" spans="12:15" x14ac:dyDescent="0.25">
      <c r="L4436" s="147">
        <f ca="1"/>
        <v>49675</v>
      </c>
      <c r="M4436" s="92">
        <f t="shared" ca="1" si="149"/>
        <v>6.25</v>
      </c>
      <c r="N4436" s="143">
        <f ca="1">(PRODUCT($O$5:$O4436)-1)*36000/_xlfn.DAYS(L4436, $C$2)</f>
        <v>10.627573579193553</v>
      </c>
      <c r="O4436" s="149">
        <f t="shared" ca="1" si="150"/>
        <v>1.000173611111111</v>
      </c>
    </row>
    <row r="4437" spans="12:15" x14ac:dyDescent="0.25">
      <c r="L4437" s="147">
        <f ca="1"/>
        <v>49676</v>
      </c>
      <c r="M4437" s="92">
        <f t="shared" ca="1" si="149"/>
        <v>6.25</v>
      </c>
      <c r="N4437" s="143">
        <f ca="1">(PRODUCT($O$5:$O4437)-1)*36000/_xlfn.DAYS(L4437, $C$2)</f>
        <v>10.628430730979982</v>
      </c>
      <c r="O4437" s="149">
        <f t="shared" ca="1" si="150"/>
        <v>1.000173611111111</v>
      </c>
    </row>
    <row r="4438" spans="12:15" x14ac:dyDescent="0.25">
      <c r="L4438" s="147">
        <f ca="1"/>
        <v>49677</v>
      </c>
      <c r="M4438" s="92">
        <f t="shared" ca="1" si="149"/>
        <v>6.25</v>
      </c>
      <c r="N4438" s="143">
        <f ca="1">(PRODUCT($O$5:$O4438)-1)*36000/_xlfn.DAYS(L4438, $C$2)</f>
        <v>10.629288061034515</v>
      </c>
      <c r="O4438" s="149">
        <f t="shared" ca="1" si="150"/>
        <v>1.000173611111111</v>
      </c>
    </row>
    <row r="4439" spans="12:15" x14ac:dyDescent="0.25">
      <c r="L4439" s="147">
        <f ca="1"/>
        <v>49678</v>
      </c>
      <c r="M4439" s="92">
        <f t="shared" ca="1" si="149"/>
        <v>6.25</v>
      </c>
      <c r="N4439" s="143">
        <f ca="1">(PRODUCT($O$5:$O4439)-1)*36000/_xlfn.DAYS(L4439, $C$2)</f>
        <v>10.630145569334616</v>
      </c>
      <c r="O4439" s="149">
        <f t="shared" ca="1" si="150"/>
        <v>1.000173611111111</v>
      </c>
    </row>
    <row r="4440" spans="12:15" x14ac:dyDescent="0.25">
      <c r="L4440" s="147">
        <f ca="1"/>
        <v>49679</v>
      </c>
      <c r="M4440" s="92">
        <f t="shared" ca="1" si="149"/>
        <v>6.25</v>
      </c>
      <c r="N4440" s="143">
        <f ca="1">(PRODUCT($O$5:$O4440)-1)*36000/_xlfn.DAYS(L4440, $C$2)</f>
        <v>10.631003255857784</v>
      </c>
      <c r="O4440" s="149">
        <f t="shared" ca="1" si="150"/>
        <v>1.000173611111111</v>
      </c>
    </row>
    <row r="4441" spans="12:15" x14ac:dyDescent="0.25">
      <c r="L4441" s="147">
        <f ca="1"/>
        <v>49680</v>
      </c>
      <c r="M4441" s="92">
        <f t="shared" ca="1" si="149"/>
        <v>6.25</v>
      </c>
      <c r="N4441" s="143">
        <f ca="1">(PRODUCT($O$5:$O4441)-1)*36000/_xlfn.DAYS(L4441, $C$2)</f>
        <v>10.631861120581556</v>
      </c>
      <c r="O4441" s="149">
        <f t="shared" ca="1" si="150"/>
        <v>1.000173611111111</v>
      </c>
    </row>
    <row r="4442" spans="12:15" x14ac:dyDescent="0.25">
      <c r="L4442" s="147">
        <f ca="1"/>
        <v>49681</v>
      </c>
      <c r="M4442" s="92">
        <f t="shared" ca="1" si="149"/>
        <v>6.25</v>
      </c>
      <c r="N4442" s="143">
        <f ca="1">(PRODUCT($O$5:$O4442)-1)*36000/_xlfn.DAYS(L4442, $C$2)</f>
        <v>10.632719163483507</v>
      </c>
      <c r="O4442" s="149">
        <f t="shared" ca="1" si="150"/>
        <v>1.000173611111111</v>
      </c>
    </row>
    <row r="4443" spans="12:15" x14ac:dyDescent="0.25">
      <c r="L4443" s="147">
        <f ca="1"/>
        <v>49682</v>
      </c>
      <c r="M4443" s="92">
        <f t="shared" ca="1" si="149"/>
        <v>6.25</v>
      </c>
      <c r="N4443" s="143">
        <f ca="1">(PRODUCT($O$5:$O4443)-1)*36000/_xlfn.DAYS(L4443, $C$2)</f>
        <v>10.633577384541251</v>
      </c>
      <c r="O4443" s="149">
        <f t="shared" ca="1" si="150"/>
        <v>1.000173611111111</v>
      </c>
    </row>
    <row r="4444" spans="12:15" x14ac:dyDescent="0.25">
      <c r="L4444" s="147">
        <f ca="1"/>
        <v>49683</v>
      </c>
      <c r="M4444" s="92">
        <f t="shared" ca="1" si="149"/>
        <v>6.25</v>
      </c>
      <c r="N4444" s="143">
        <f ca="1">(PRODUCT($O$5:$O4444)-1)*36000/_xlfn.DAYS(L4444, $C$2)</f>
        <v>10.634435783732435</v>
      </c>
      <c r="O4444" s="149">
        <f t="shared" ca="1" si="150"/>
        <v>1.000173611111111</v>
      </c>
    </row>
    <row r="4445" spans="12:15" x14ac:dyDescent="0.25">
      <c r="L4445" s="147">
        <f ca="1"/>
        <v>49684</v>
      </c>
      <c r="M4445" s="92">
        <f t="shared" ca="1" si="149"/>
        <v>6.25</v>
      </c>
      <c r="N4445" s="143">
        <f ca="1">(PRODUCT($O$5:$O4445)-1)*36000/_xlfn.DAYS(L4445, $C$2)</f>
        <v>10.635294361034742</v>
      </c>
      <c r="O4445" s="149">
        <f t="shared" ca="1" si="150"/>
        <v>1.000173611111111</v>
      </c>
    </row>
    <row r="4446" spans="12:15" x14ac:dyDescent="0.25">
      <c r="L4446" s="147">
        <f ca="1"/>
        <v>49685</v>
      </c>
      <c r="M4446" s="92">
        <f t="shared" ca="1" si="149"/>
        <v>6.25</v>
      </c>
      <c r="N4446" s="143">
        <f ca="1">(PRODUCT($O$5:$O4446)-1)*36000/_xlfn.DAYS(L4446, $C$2)</f>
        <v>10.6361531164259</v>
      </c>
      <c r="O4446" s="149">
        <f t="shared" ca="1" si="150"/>
        <v>1.000173611111111</v>
      </c>
    </row>
    <row r="4447" spans="12:15" x14ac:dyDescent="0.25">
      <c r="L4447" s="147">
        <f ca="1"/>
        <v>49686</v>
      </c>
      <c r="M4447" s="92">
        <f t="shared" ca="1" si="149"/>
        <v>6.25</v>
      </c>
      <c r="N4447" s="143">
        <f ca="1">(PRODUCT($O$5:$O4447)-1)*36000/_xlfn.DAYS(L4447, $C$2)</f>
        <v>10.637012049883669</v>
      </c>
      <c r="O4447" s="149">
        <f t="shared" ca="1" si="150"/>
        <v>1.000173611111111</v>
      </c>
    </row>
    <row r="4448" spans="12:15" x14ac:dyDescent="0.25">
      <c r="L4448" s="147">
        <f ca="1"/>
        <v>49687</v>
      </c>
      <c r="M4448" s="92">
        <f t="shared" ca="1" si="149"/>
        <v>6.25</v>
      </c>
      <c r="N4448" s="143">
        <f ca="1">(PRODUCT($O$5:$O4448)-1)*36000/_xlfn.DAYS(L4448, $C$2)</f>
        <v>10.637871161385842</v>
      </c>
      <c r="O4448" s="149">
        <f t="shared" ca="1" si="150"/>
        <v>1.000173611111111</v>
      </c>
    </row>
    <row r="4449" spans="12:15" x14ac:dyDescent="0.25">
      <c r="L4449" s="147">
        <f ca="1"/>
        <v>49688</v>
      </c>
      <c r="M4449" s="92">
        <f t="shared" ca="1" si="149"/>
        <v>6.25</v>
      </c>
      <c r="N4449" s="143">
        <f ca="1">(PRODUCT($O$5:$O4449)-1)*36000/_xlfn.DAYS(L4449, $C$2)</f>
        <v>10.638730450910261</v>
      </c>
      <c r="O4449" s="149">
        <f t="shared" ca="1" si="150"/>
        <v>1.000173611111111</v>
      </c>
    </row>
    <row r="4450" spans="12:15" x14ac:dyDescent="0.25">
      <c r="L4450" s="147">
        <f ca="1"/>
        <v>49689</v>
      </c>
      <c r="M4450" s="92">
        <f t="shared" ca="1" si="149"/>
        <v>6.25</v>
      </c>
      <c r="N4450" s="143">
        <f ca="1">(PRODUCT($O$5:$O4450)-1)*36000/_xlfn.DAYS(L4450, $C$2)</f>
        <v>10.639589918434792</v>
      </c>
      <c r="O4450" s="149">
        <f t="shared" ca="1" si="150"/>
        <v>1.000173611111111</v>
      </c>
    </row>
    <row r="4451" spans="12:15" x14ac:dyDescent="0.25">
      <c r="L4451" s="147">
        <f ca="1"/>
        <v>49690</v>
      </c>
      <c r="M4451" s="92">
        <f t="shared" ca="1" si="149"/>
        <v>6.25</v>
      </c>
      <c r="N4451" s="143">
        <f ca="1">(PRODUCT($O$5:$O4451)-1)*36000/_xlfn.DAYS(L4451, $C$2)</f>
        <v>10.640449563937343</v>
      </c>
      <c r="O4451" s="149">
        <f t="shared" ca="1" si="150"/>
        <v>1.000173611111111</v>
      </c>
    </row>
    <row r="4452" spans="12:15" x14ac:dyDescent="0.25">
      <c r="L4452" s="147">
        <f ca="1"/>
        <v>49691</v>
      </c>
      <c r="M4452" s="92">
        <f t="shared" ca="1" si="149"/>
        <v>6.25</v>
      </c>
      <c r="N4452" s="143">
        <f ca="1">(PRODUCT($O$5:$O4452)-1)*36000/_xlfn.DAYS(L4452, $C$2)</f>
        <v>10.641309387395863</v>
      </c>
      <c r="O4452" s="149">
        <f t="shared" ca="1" si="150"/>
        <v>1.000173611111111</v>
      </c>
    </row>
    <row r="4453" spans="12:15" x14ac:dyDescent="0.25">
      <c r="L4453" s="147">
        <f ca="1"/>
        <v>49692</v>
      </c>
      <c r="M4453" s="92">
        <f t="shared" ca="1" si="149"/>
        <v>6.25</v>
      </c>
      <c r="N4453" s="143">
        <f ca="1">(PRODUCT($O$5:$O4453)-1)*36000/_xlfn.DAYS(L4453, $C$2)</f>
        <v>10.64216938878833</v>
      </c>
      <c r="O4453" s="149">
        <f t="shared" ca="1" si="150"/>
        <v>1.000173611111111</v>
      </c>
    </row>
    <row r="4454" spans="12:15" x14ac:dyDescent="0.25">
      <c r="L4454" s="147">
        <f ca="1"/>
        <v>49693</v>
      </c>
      <c r="M4454" s="92">
        <f t="shared" ca="1" si="149"/>
        <v>6.25</v>
      </c>
      <c r="N4454" s="143">
        <f ca="1">(PRODUCT($O$5:$O4454)-1)*36000/_xlfn.DAYS(L4454, $C$2)</f>
        <v>10.643029568092764</v>
      </c>
      <c r="O4454" s="149">
        <f t="shared" ca="1" si="150"/>
        <v>1.000173611111111</v>
      </c>
    </row>
    <row r="4455" spans="12:15" x14ac:dyDescent="0.25">
      <c r="L4455" s="147">
        <f ca="1"/>
        <v>49694</v>
      </c>
      <c r="M4455" s="92">
        <f t="shared" ca="1" si="149"/>
        <v>6.25</v>
      </c>
      <c r="N4455" s="143">
        <f ca="1">(PRODUCT($O$5:$O4455)-1)*36000/_xlfn.DAYS(L4455, $C$2)</f>
        <v>10.643889925287223</v>
      </c>
      <c r="O4455" s="149">
        <f t="shared" ca="1" si="150"/>
        <v>1.000173611111111</v>
      </c>
    </row>
    <row r="4456" spans="12:15" x14ac:dyDescent="0.25">
      <c r="L4456" s="147">
        <f ca="1"/>
        <v>49695</v>
      </c>
      <c r="M4456" s="92">
        <f t="shared" ca="1" si="149"/>
        <v>6.25</v>
      </c>
      <c r="N4456" s="143">
        <f ca="1">(PRODUCT($O$5:$O4456)-1)*36000/_xlfn.DAYS(L4456, $C$2)</f>
        <v>10.644750460349794</v>
      </c>
      <c r="O4456" s="149">
        <f t="shared" ca="1" si="150"/>
        <v>1.000173611111111</v>
      </c>
    </row>
    <row r="4457" spans="12:15" x14ac:dyDescent="0.25">
      <c r="L4457" s="147">
        <f ca="1"/>
        <v>49696</v>
      </c>
      <c r="M4457" s="92">
        <f t="shared" ca="1" si="149"/>
        <v>6.25</v>
      </c>
      <c r="N4457" s="143">
        <f ca="1">(PRODUCT($O$5:$O4457)-1)*36000/_xlfn.DAYS(L4457, $C$2)</f>
        <v>10.64561117325861</v>
      </c>
      <c r="O4457" s="149">
        <f t="shared" ca="1" si="150"/>
        <v>1.000173611111111</v>
      </c>
    </row>
    <row r="4458" spans="12:15" x14ac:dyDescent="0.25">
      <c r="L4458" s="147">
        <f ca="1"/>
        <v>49697</v>
      </c>
      <c r="M4458" s="92">
        <f t="shared" ca="1" si="149"/>
        <v>6.25</v>
      </c>
      <c r="N4458" s="143">
        <f ca="1">(PRODUCT($O$5:$O4458)-1)*36000/_xlfn.DAYS(L4458, $C$2)</f>
        <v>10.646472063991835</v>
      </c>
      <c r="O4458" s="149">
        <f t="shared" ca="1" si="150"/>
        <v>1.000173611111111</v>
      </c>
    </row>
    <row r="4459" spans="12:15" x14ac:dyDescent="0.25">
      <c r="L4459" s="147">
        <f ca="1"/>
        <v>49698</v>
      </c>
      <c r="M4459" s="92">
        <f t="shared" ca="1" si="149"/>
        <v>6.25</v>
      </c>
      <c r="N4459" s="143">
        <f ca="1">(PRODUCT($O$5:$O4459)-1)*36000/_xlfn.DAYS(L4459, $C$2)</f>
        <v>10.647333132527672</v>
      </c>
      <c r="O4459" s="149">
        <f t="shared" ca="1" si="150"/>
        <v>1.000173611111111</v>
      </c>
    </row>
    <row r="4460" spans="12:15" x14ac:dyDescent="0.25">
      <c r="L4460" s="147">
        <f ca="1"/>
        <v>49699</v>
      </c>
      <c r="M4460" s="92">
        <f t="shared" ca="1" si="149"/>
        <v>6.25</v>
      </c>
      <c r="N4460" s="143">
        <f ca="1">(PRODUCT($O$5:$O4460)-1)*36000/_xlfn.DAYS(L4460, $C$2)</f>
        <v>10.648194378844357</v>
      </c>
      <c r="O4460" s="149">
        <f t="shared" ca="1" si="150"/>
        <v>1.000173611111111</v>
      </c>
    </row>
    <row r="4461" spans="12:15" x14ac:dyDescent="0.25">
      <c r="L4461" s="147">
        <f ca="1"/>
        <v>49700</v>
      </c>
      <c r="M4461" s="92">
        <f t="shared" ca="1" si="149"/>
        <v>6.25</v>
      </c>
      <c r="N4461" s="143">
        <f ca="1">(PRODUCT($O$5:$O4461)-1)*36000/_xlfn.DAYS(L4461, $C$2)</f>
        <v>10.649055802920168</v>
      </c>
      <c r="O4461" s="149">
        <f t="shared" ca="1" si="150"/>
        <v>1.000173611111111</v>
      </c>
    </row>
    <row r="4462" spans="12:15" x14ac:dyDescent="0.25">
      <c r="L4462" s="147">
        <f ca="1"/>
        <v>49701</v>
      </c>
      <c r="M4462" s="92">
        <f t="shared" ca="1" si="149"/>
        <v>6.25</v>
      </c>
      <c r="N4462" s="143">
        <f ca="1">(PRODUCT($O$5:$O4462)-1)*36000/_xlfn.DAYS(L4462, $C$2)</f>
        <v>10.649917404733417</v>
      </c>
      <c r="O4462" s="149">
        <f t="shared" ca="1" si="150"/>
        <v>1.000173611111111</v>
      </c>
    </row>
    <row r="4463" spans="12:15" x14ac:dyDescent="0.25">
      <c r="L4463" s="147">
        <f ca="1"/>
        <v>49702</v>
      </c>
      <c r="M4463" s="92">
        <f t="shared" ca="1" si="149"/>
        <v>6.25</v>
      </c>
      <c r="N4463" s="143">
        <f ca="1">(PRODUCT($O$5:$O4463)-1)*36000/_xlfn.DAYS(L4463, $C$2)</f>
        <v>10.650779184262451</v>
      </c>
      <c r="O4463" s="149">
        <f t="shared" ca="1" si="150"/>
        <v>1.000173611111111</v>
      </c>
    </row>
    <row r="4464" spans="12:15" x14ac:dyDescent="0.25">
      <c r="L4464" s="147">
        <f ca="1"/>
        <v>49703</v>
      </c>
      <c r="M4464" s="92">
        <f t="shared" ca="1" si="149"/>
        <v>6.25</v>
      </c>
      <c r="N4464" s="143">
        <f ca="1">(PRODUCT($O$5:$O4464)-1)*36000/_xlfn.DAYS(L4464, $C$2)</f>
        <v>10.651641141485658</v>
      </c>
      <c r="O4464" s="149">
        <f t="shared" ca="1" si="150"/>
        <v>1.000173611111111</v>
      </c>
    </row>
    <row r="4465" spans="12:15" x14ac:dyDescent="0.25">
      <c r="L4465" s="147">
        <f ca="1"/>
        <v>49704</v>
      </c>
      <c r="M4465" s="92">
        <f t="shared" ca="1" si="149"/>
        <v>6.25</v>
      </c>
      <c r="N4465" s="143">
        <f ca="1">(PRODUCT($O$5:$O4465)-1)*36000/_xlfn.DAYS(L4465, $C$2)</f>
        <v>10.652503276381452</v>
      </c>
      <c r="O4465" s="149">
        <f t="shared" ca="1" si="150"/>
        <v>1.000173611111111</v>
      </c>
    </row>
    <row r="4466" spans="12:15" x14ac:dyDescent="0.25">
      <c r="L4466" s="147">
        <f ca="1"/>
        <v>49705</v>
      </c>
      <c r="M4466" s="92">
        <f t="shared" ca="1" si="149"/>
        <v>6.25</v>
      </c>
      <c r="N4466" s="143">
        <f ca="1">(PRODUCT($O$5:$O4466)-1)*36000/_xlfn.DAYS(L4466, $C$2)</f>
        <v>10.653365588928297</v>
      </c>
      <c r="O4466" s="149">
        <f t="shared" ca="1" si="150"/>
        <v>1.000173611111111</v>
      </c>
    </row>
    <row r="4467" spans="12:15" x14ac:dyDescent="0.25">
      <c r="L4467" s="147">
        <f ca="1"/>
        <v>49706</v>
      </c>
      <c r="M4467" s="92">
        <f t="shared" ca="1" si="149"/>
        <v>6.25</v>
      </c>
      <c r="N4467" s="143">
        <f ca="1">(PRODUCT($O$5:$O4467)-1)*36000/_xlfn.DAYS(L4467, $C$2)</f>
        <v>10.654228079104684</v>
      </c>
      <c r="O4467" s="149">
        <f t="shared" ca="1" si="150"/>
        <v>1.000173611111111</v>
      </c>
    </row>
    <row r="4468" spans="12:15" x14ac:dyDescent="0.25">
      <c r="L4468" s="147">
        <f ca="1"/>
        <v>49707</v>
      </c>
      <c r="M4468" s="92">
        <f t="shared" ca="1" si="149"/>
        <v>6.25</v>
      </c>
      <c r="N4468" s="143">
        <f ca="1">(PRODUCT($O$5:$O4468)-1)*36000/_xlfn.DAYS(L4468, $C$2)</f>
        <v>10.655090746889142</v>
      </c>
      <c r="O4468" s="149">
        <f t="shared" ca="1" si="150"/>
        <v>1.000173611111111</v>
      </c>
    </row>
    <row r="4469" spans="12:15" x14ac:dyDescent="0.25">
      <c r="L4469" s="147">
        <f ca="1"/>
        <v>49708</v>
      </c>
      <c r="M4469" s="92">
        <f t="shared" ca="1" si="149"/>
        <v>6.25</v>
      </c>
      <c r="N4469" s="143">
        <f ca="1">(PRODUCT($O$5:$O4469)-1)*36000/_xlfn.DAYS(L4469, $C$2)</f>
        <v>10.655953592260236</v>
      </c>
      <c r="O4469" s="149">
        <f t="shared" ca="1" si="150"/>
        <v>1.000173611111111</v>
      </c>
    </row>
    <row r="4470" spans="12:15" x14ac:dyDescent="0.25">
      <c r="L4470" s="147">
        <f ca="1"/>
        <v>49709</v>
      </c>
      <c r="M4470" s="92">
        <f t="shared" ca="1" si="149"/>
        <v>6.25</v>
      </c>
      <c r="N4470" s="143">
        <f ca="1">(PRODUCT($O$5:$O4470)-1)*36000/_xlfn.DAYS(L4470, $C$2)</f>
        <v>10.656816615196574</v>
      </c>
      <c r="O4470" s="149">
        <f t="shared" ca="1" si="150"/>
        <v>1.000173611111111</v>
      </c>
    </row>
    <row r="4471" spans="12:15" x14ac:dyDescent="0.25">
      <c r="L4471" s="147">
        <f ca="1"/>
        <v>49710</v>
      </c>
      <c r="M4471" s="92">
        <f t="shared" ca="1" si="149"/>
        <v>6.25</v>
      </c>
      <c r="N4471" s="143">
        <f ca="1">(PRODUCT($O$5:$O4471)-1)*36000/_xlfn.DAYS(L4471, $C$2)</f>
        <v>10.65767981567679</v>
      </c>
      <c r="O4471" s="149">
        <f t="shared" ca="1" si="150"/>
        <v>1.000173611111111</v>
      </c>
    </row>
    <row r="4472" spans="12:15" x14ac:dyDescent="0.25">
      <c r="L4472" s="147">
        <f ca="1"/>
        <v>49711</v>
      </c>
      <c r="M4472" s="92">
        <f t="shared" ca="1" si="149"/>
        <v>6.25</v>
      </c>
      <c r="N4472" s="143">
        <f ca="1">(PRODUCT($O$5:$O4472)-1)*36000/_xlfn.DAYS(L4472, $C$2)</f>
        <v>10.658543193679558</v>
      </c>
      <c r="O4472" s="149">
        <f t="shared" ca="1" si="150"/>
        <v>1.000173611111111</v>
      </c>
    </row>
    <row r="4473" spans="12:15" x14ac:dyDescent="0.25">
      <c r="L4473" s="147">
        <f ca="1"/>
        <v>49712</v>
      </c>
      <c r="M4473" s="92">
        <f t="shared" ca="1" si="149"/>
        <v>6.25</v>
      </c>
      <c r="N4473" s="143">
        <f ca="1">(PRODUCT($O$5:$O4473)-1)*36000/_xlfn.DAYS(L4473, $C$2)</f>
        <v>10.65940674918359</v>
      </c>
      <c r="O4473" s="149">
        <f t="shared" ca="1" si="150"/>
        <v>1.000173611111111</v>
      </c>
    </row>
    <row r="4474" spans="12:15" x14ac:dyDescent="0.25">
      <c r="L4474" s="147">
        <f ca="1"/>
        <v>49713</v>
      </c>
      <c r="M4474" s="92">
        <f t="shared" ca="1" si="149"/>
        <v>6.25</v>
      </c>
      <c r="N4474" s="143">
        <f ca="1">(PRODUCT($O$5:$O4474)-1)*36000/_xlfn.DAYS(L4474, $C$2)</f>
        <v>10.660270482167634</v>
      </c>
      <c r="O4474" s="149">
        <f t="shared" ca="1" si="150"/>
        <v>1.000173611111111</v>
      </c>
    </row>
    <row r="4475" spans="12:15" x14ac:dyDescent="0.25">
      <c r="L4475" s="147">
        <f ca="1"/>
        <v>49714</v>
      </c>
      <c r="M4475" s="92">
        <f t="shared" ca="1" si="149"/>
        <v>6.25</v>
      </c>
      <c r="N4475" s="143">
        <f ca="1">(PRODUCT($O$5:$O4475)-1)*36000/_xlfn.DAYS(L4475, $C$2)</f>
        <v>10.661134392610471</v>
      </c>
      <c r="O4475" s="149">
        <f t="shared" ca="1" si="150"/>
        <v>1.000173611111111</v>
      </c>
    </row>
    <row r="4476" spans="12:15" x14ac:dyDescent="0.25">
      <c r="L4476" s="147">
        <f ca="1"/>
        <v>49715</v>
      </c>
      <c r="M4476" s="92">
        <f t="shared" ca="1" si="149"/>
        <v>6.25</v>
      </c>
      <c r="N4476" s="143">
        <f ca="1">(PRODUCT($O$5:$O4476)-1)*36000/_xlfn.DAYS(L4476, $C$2)</f>
        <v>10.661998480490922</v>
      </c>
      <c r="O4476" s="149">
        <f t="shared" ca="1" si="150"/>
        <v>1.000173611111111</v>
      </c>
    </row>
    <row r="4477" spans="12:15" x14ac:dyDescent="0.25">
      <c r="L4477" s="147">
        <f ca="1"/>
        <v>49716</v>
      </c>
      <c r="M4477" s="92">
        <f t="shared" ca="1" si="149"/>
        <v>6.25</v>
      </c>
      <c r="N4477" s="143">
        <f ca="1">(PRODUCT($O$5:$O4477)-1)*36000/_xlfn.DAYS(L4477, $C$2)</f>
        <v>10.662862745787837</v>
      </c>
      <c r="O4477" s="149">
        <f t="shared" ca="1" si="150"/>
        <v>1.000173611111111</v>
      </c>
    </row>
    <row r="4478" spans="12:15" x14ac:dyDescent="0.25">
      <c r="L4478" s="147">
        <f ca="1"/>
        <v>49717</v>
      </c>
      <c r="M4478" s="92">
        <f t="shared" ca="1" si="149"/>
        <v>6.25</v>
      </c>
      <c r="N4478" s="143">
        <f ca="1">(PRODUCT($O$5:$O4478)-1)*36000/_xlfn.DAYS(L4478, $C$2)</f>
        <v>10.663727188480113</v>
      </c>
      <c r="O4478" s="149">
        <f t="shared" ca="1" si="150"/>
        <v>1.000173611111111</v>
      </c>
    </row>
    <row r="4479" spans="12:15" x14ac:dyDescent="0.25">
      <c r="L4479" s="147">
        <f ca="1"/>
        <v>49718</v>
      </c>
      <c r="M4479" s="92">
        <f t="shared" ca="1" si="149"/>
        <v>6.25</v>
      </c>
      <c r="N4479" s="143">
        <f ca="1">(PRODUCT($O$5:$O4479)-1)*36000/_xlfn.DAYS(L4479, $C$2)</f>
        <v>10.664591808546671</v>
      </c>
      <c r="O4479" s="149">
        <f t="shared" ca="1" si="150"/>
        <v>1.000173611111111</v>
      </c>
    </row>
    <row r="4480" spans="12:15" x14ac:dyDescent="0.25">
      <c r="L4480" s="147">
        <f ca="1"/>
        <v>49719</v>
      </c>
      <c r="M4480" s="92">
        <f t="shared" ca="1" si="149"/>
        <v>6.25</v>
      </c>
      <c r="N4480" s="143">
        <f ca="1">(PRODUCT($O$5:$O4480)-1)*36000/_xlfn.DAYS(L4480, $C$2)</f>
        <v>10.665456605966474</v>
      </c>
      <c r="O4480" s="149">
        <f t="shared" ca="1" si="150"/>
        <v>1.000173611111111</v>
      </c>
    </row>
    <row r="4481" spans="12:15" x14ac:dyDescent="0.25">
      <c r="L4481" s="147">
        <f ca="1"/>
        <v>49720</v>
      </c>
      <c r="M4481" s="92">
        <f t="shared" ca="1" si="149"/>
        <v>6.25</v>
      </c>
      <c r="N4481" s="143">
        <f ca="1">(PRODUCT($O$5:$O4481)-1)*36000/_xlfn.DAYS(L4481, $C$2)</f>
        <v>10.666321580718522</v>
      </c>
      <c r="O4481" s="149">
        <f t="shared" ca="1" si="150"/>
        <v>1.000173611111111</v>
      </c>
    </row>
    <row r="4482" spans="12:15" x14ac:dyDescent="0.25">
      <c r="L4482" s="147">
        <f ca="1"/>
        <v>49721</v>
      </c>
      <c r="M4482" s="92">
        <f t="shared" ca="1" si="149"/>
        <v>6.25</v>
      </c>
      <c r="N4482" s="143">
        <f ca="1">(PRODUCT($O$5:$O4482)-1)*36000/_xlfn.DAYS(L4482, $C$2)</f>
        <v>10.667186732781845</v>
      </c>
      <c r="O4482" s="149">
        <f t="shared" ca="1" si="150"/>
        <v>1.000173611111111</v>
      </c>
    </row>
    <row r="4483" spans="12:15" x14ac:dyDescent="0.25">
      <c r="L4483" s="147">
        <f ca="1"/>
        <v>49722</v>
      </c>
      <c r="M4483" s="92">
        <f t="shared" ca="1" si="149"/>
        <v>6.25</v>
      </c>
      <c r="N4483" s="143">
        <f ca="1">(PRODUCT($O$5:$O4483)-1)*36000/_xlfn.DAYS(L4483, $C$2)</f>
        <v>10.668052062135517</v>
      </c>
      <c r="O4483" s="149">
        <f t="shared" ca="1" si="150"/>
        <v>1.000173611111111</v>
      </c>
    </row>
    <row r="4484" spans="12:15" x14ac:dyDescent="0.25">
      <c r="L4484" s="147">
        <f ca="1"/>
        <v>49723</v>
      </c>
      <c r="M4484" s="92">
        <f t="shared" ca="1" si="149"/>
        <v>6.25</v>
      </c>
      <c r="N4484" s="143">
        <f ca="1">(PRODUCT($O$5:$O4484)-1)*36000/_xlfn.DAYS(L4484, $C$2)</f>
        <v>10.668917568758644</v>
      </c>
      <c r="O4484" s="149">
        <f t="shared" ca="1" si="150"/>
        <v>1.000173611111111</v>
      </c>
    </row>
    <row r="4485" spans="12:15" x14ac:dyDescent="0.25">
      <c r="L4485" s="147">
        <f ca="1"/>
        <v>49724</v>
      </c>
      <c r="M4485" s="92">
        <f t="shared" ref="M4485:M4548" ca="1" si="151">IFERROR(INDEX($E$27:$H$47, MATCH(L4485, $F$27:$F$47, 0), 4), IF(ISNUMBER(M4484), M4484, $C$5))</f>
        <v>6.25</v>
      </c>
      <c r="N4485" s="143">
        <f ca="1">(PRODUCT($O$5:$O4485)-1)*36000/_xlfn.DAYS(L4485, $C$2)</f>
        <v>10.66978325263036</v>
      </c>
      <c r="O4485" s="149">
        <f t="shared" ca="1" si="150"/>
        <v>1.000173611111111</v>
      </c>
    </row>
    <row r="4486" spans="12:15" x14ac:dyDescent="0.25">
      <c r="L4486" s="147">
        <f ca="1"/>
        <v>49725</v>
      </c>
      <c r="M4486" s="92">
        <f t="shared" ca="1" si="151"/>
        <v>6.25</v>
      </c>
      <c r="N4486" s="143">
        <f ca="1">(PRODUCT($O$5:$O4486)-1)*36000/_xlfn.DAYS(L4486, $C$2)</f>
        <v>10.670649113729844</v>
      </c>
      <c r="O4486" s="149">
        <f t="shared" ref="O4486:O4549" ca="1" si="152">1+M4486*IFERROR(_xlfn.DAYS(L4486, L4485), _xlfn.DAYS(L4486, $C$2))/36000</f>
        <v>1.000173611111111</v>
      </c>
    </row>
    <row r="4487" spans="12:15" x14ac:dyDescent="0.25">
      <c r="L4487" s="147">
        <f ca="1"/>
        <v>49726</v>
      </c>
      <c r="M4487" s="92">
        <f t="shared" ca="1" si="151"/>
        <v>6.25</v>
      </c>
      <c r="N4487" s="143">
        <f ca="1">(PRODUCT($O$5:$O4487)-1)*36000/_xlfn.DAYS(L4487, $C$2)</f>
        <v>10.671515152036308</v>
      </c>
      <c r="O4487" s="149">
        <f t="shared" ca="1" si="152"/>
        <v>1.000173611111111</v>
      </c>
    </row>
    <row r="4488" spans="12:15" x14ac:dyDescent="0.25">
      <c r="L4488" s="147">
        <f ca="1"/>
        <v>49727</v>
      </c>
      <c r="M4488" s="92">
        <f t="shared" ca="1" si="151"/>
        <v>6.25</v>
      </c>
      <c r="N4488" s="143">
        <f ca="1">(PRODUCT($O$5:$O4488)-1)*36000/_xlfn.DAYS(L4488, $C$2)</f>
        <v>10.672381367529002</v>
      </c>
      <c r="O4488" s="149">
        <f t="shared" ca="1" si="152"/>
        <v>1.000173611111111</v>
      </c>
    </row>
    <row r="4489" spans="12:15" x14ac:dyDescent="0.25">
      <c r="L4489" s="147">
        <f ca="1"/>
        <v>49728</v>
      </c>
      <c r="M4489" s="92">
        <f t="shared" ca="1" si="151"/>
        <v>6.25</v>
      </c>
      <c r="N4489" s="143">
        <f ca="1">(PRODUCT($O$5:$O4489)-1)*36000/_xlfn.DAYS(L4489, $C$2)</f>
        <v>10.673247760187206</v>
      </c>
      <c r="O4489" s="149">
        <f t="shared" ca="1" si="152"/>
        <v>1.000173611111111</v>
      </c>
    </row>
    <row r="4490" spans="12:15" x14ac:dyDescent="0.25">
      <c r="L4490" s="147">
        <f ca="1"/>
        <v>49729</v>
      </c>
      <c r="M4490" s="92">
        <f t="shared" ca="1" si="151"/>
        <v>6.25</v>
      </c>
      <c r="N4490" s="143">
        <f ca="1">(PRODUCT($O$5:$O4490)-1)*36000/_xlfn.DAYS(L4490, $C$2)</f>
        <v>10.674114329990241</v>
      </c>
      <c r="O4490" s="149">
        <f t="shared" ca="1" si="152"/>
        <v>1.000173611111111</v>
      </c>
    </row>
    <row r="4491" spans="12:15" x14ac:dyDescent="0.25">
      <c r="L4491" s="147">
        <f ca="1"/>
        <v>49730</v>
      </c>
      <c r="M4491" s="92">
        <f t="shared" ca="1" si="151"/>
        <v>6.25</v>
      </c>
      <c r="N4491" s="143">
        <f ca="1">(PRODUCT($O$5:$O4491)-1)*36000/_xlfn.DAYS(L4491, $C$2)</f>
        <v>10.67498107691746</v>
      </c>
      <c r="O4491" s="149">
        <f t="shared" ca="1" si="152"/>
        <v>1.000173611111111</v>
      </c>
    </row>
    <row r="4492" spans="12:15" x14ac:dyDescent="0.25">
      <c r="L4492" s="147">
        <f ca="1"/>
        <v>49731</v>
      </c>
      <c r="M4492" s="92">
        <f t="shared" ca="1" si="151"/>
        <v>6.25</v>
      </c>
      <c r="N4492" s="143">
        <f ca="1">(PRODUCT($O$5:$O4492)-1)*36000/_xlfn.DAYS(L4492, $C$2)</f>
        <v>10.675848000948248</v>
      </c>
      <c r="O4492" s="149">
        <f t="shared" ca="1" si="152"/>
        <v>1.000173611111111</v>
      </c>
    </row>
    <row r="4493" spans="12:15" x14ac:dyDescent="0.25">
      <c r="L4493" s="147">
        <f ca="1"/>
        <v>49732</v>
      </c>
      <c r="M4493" s="92">
        <f t="shared" ca="1" si="151"/>
        <v>6.25</v>
      </c>
      <c r="N4493" s="143">
        <f ca="1">(PRODUCT($O$5:$O4493)-1)*36000/_xlfn.DAYS(L4493, $C$2)</f>
        <v>10.676715102062031</v>
      </c>
      <c r="O4493" s="149">
        <f t="shared" ca="1" si="152"/>
        <v>1.000173611111111</v>
      </c>
    </row>
    <row r="4494" spans="12:15" x14ac:dyDescent="0.25">
      <c r="L4494" s="147">
        <f ca="1"/>
        <v>49733</v>
      </c>
      <c r="M4494" s="92">
        <f t="shared" ca="1" si="151"/>
        <v>6.25</v>
      </c>
      <c r="N4494" s="143">
        <f ca="1">(PRODUCT($O$5:$O4494)-1)*36000/_xlfn.DAYS(L4494, $C$2)</f>
        <v>10.677582380238276</v>
      </c>
      <c r="O4494" s="149">
        <f t="shared" ca="1" si="152"/>
        <v>1.000173611111111</v>
      </c>
    </row>
    <row r="4495" spans="12:15" x14ac:dyDescent="0.25">
      <c r="L4495" s="147">
        <f ca="1"/>
        <v>49734</v>
      </c>
      <c r="M4495" s="92">
        <f t="shared" ca="1" si="151"/>
        <v>6.25</v>
      </c>
      <c r="N4495" s="143">
        <f ca="1">(PRODUCT($O$5:$O4495)-1)*36000/_xlfn.DAYS(L4495, $C$2)</f>
        <v>10.678449835456469</v>
      </c>
      <c r="O4495" s="149">
        <f t="shared" ca="1" si="152"/>
        <v>1.000173611111111</v>
      </c>
    </row>
    <row r="4496" spans="12:15" x14ac:dyDescent="0.25">
      <c r="L4496" s="147">
        <f ca="1"/>
        <v>49735</v>
      </c>
      <c r="M4496" s="92">
        <f t="shared" ca="1" si="151"/>
        <v>6.25</v>
      </c>
      <c r="N4496" s="143">
        <f ca="1">(PRODUCT($O$5:$O4496)-1)*36000/_xlfn.DAYS(L4496, $C$2)</f>
        <v>10.679317467696146</v>
      </c>
      <c r="O4496" s="149">
        <f t="shared" ca="1" si="152"/>
        <v>1.000173611111111</v>
      </c>
    </row>
    <row r="4497" spans="12:15" x14ac:dyDescent="0.25">
      <c r="L4497" s="147">
        <f ca="1"/>
        <v>49736</v>
      </c>
      <c r="M4497" s="92">
        <f t="shared" ca="1" si="151"/>
        <v>6.25</v>
      </c>
      <c r="N4497" s="143">
        <f ca="1">(PRODUCT($O$5:$O4497)-1)*36000/_xlfn.DAYS(L4497, $C$2)</f>
        <v>10.680185276936866</v>
      </c>
      <c r="O4497" s="149">
        <f t="shared" ca="1" si="152"/>
        <v>1.000173611111111</v>
      </c>
    </row>
    <row r="4498" spans="12:15" x14ac:dyDescent="0.25">
      <c r="L4498" s="147">
        <f ca="1"/>
        <v>49737</v>
      </c>
      <c r="M4498" s="92">
        <f t="shared" ca="1" si="151"/>
        <v>6.25</v>
      </c>
      <c r="N4498" s="143">
        <f ca="1">(PRODUCT($O$5:$O4498)-1)*36000/_xlfn.DAYS(L4498, $C$2)</f>
        <v>10.681053263158235</v>
      </c>
      <c r="O4498" s="149">
        <f t="shared" ca="1" si="152"/>
        <v>1.000173611111111</v>
      </c>
    </row>
    <row r="4499" spans="12:15" x14ac:dyDescent="0.25">
      <c r="L4499" s="147">
        <f ca="1"/>
        <v>49738</v>
      </c>
      <c r="M4499" s="92">
        <f t="shared" ca="1" si="151"/>
        <v>6.25</v>
      </c>
      <c r="N4499" s="143">
        <f ca="1">(PRODUCT($O$5:$O4499)-1)*36000/_xlfn.DAYS(L4499, $C$2)</f>
        <v>10.681921426339887</v>
      </c>
      <c r="O4499" s="149">
        <f t="shared" ca="1" si="152"/>
        <v>1.000173611111111</v>
      </c>
    </row>
    <row r="4500" spans="12:15" x14ac:dyDescent="0.25">
      <c r="L4500" s="147">
        <f ca="1"/>
        <v>49739</v>
      </c>
      <c r="M4500" s="92">
        <f t="shared" ca="1" si="151"/>
        <v>6.25</v>
      </c>
      <c r="N4500" s="143">
        <f ca="1">(PRODUCT($O$5:$O4500)-1)*36000/_xlfn.DAYS(L4500, $C$2)</f>
        <v>10.682789766461493</v>
      </c>
      <c r="O4500" s="149">
        <f t="shared" ca="1" si="152"/>
        <v>1.000173611111111</v>
      </c>
    </row>
    <row r="4501" spans="12:15" x14ac:dyDescent="0.25">
      <c r="L4501" s="147">
        <f ca="1"/>
        <v>49740</v>
      </c>
      <c r="M4501" s="92">
        <f t="shared" ca="1" si="151"/>
        <v>6.25</v>
      </c>
      <c r="N4501" s="143">
        <f ca="1">(PRODUCT($O$5:$O4501)-1)*36000/_xlfn.DAYS(L4501, $C$2)</f>
        <v>10.68365828350276</v>
      </c>
      <c r="O4501" s="149">
        <f t="shared" ca="1" si="152"/>
        <v>1.000173611111111</v>
      </c>
    </row>
    <row r="4502" spans="12:15" x14ac:dyDescent="0.25">
      <c r="L4502" s="147">
        <f ca="1"/>
        <v>49741</v>
      </c>
      <c r="M4502" s="92">
        <f t="shared" ca="1" si="151"/>
        <v>6.25</v>
      </c>
      <c r="N4502" s="143">
        <f ca="1">(PRODUCT($O$5:$O4502)-1)*36000/_xlfn.DAYS(L4502, $C$2)</f>
        <v>10.684526977443427</v>
      </c>
      <c r="O4502" s="149">
        <f t="shared" ca="1" si="152"/>
        <v>1.000173611111111</v>
      </c>
    </row>
    <row r="4503" spans="12:15" x14ac:dyDescent="0.25">
      <c r="L4503" s="147">
        <f ca="1"/>
        <v>49742</v>
      </c>
      <c r="M4503" s="92">
        <f t="shared" ca="1" si="151"/>
        <v>6.25</v>
      </c>
      <c r="N4503" s="143">
        <f ca="1">(PRODUCT($O$5:$O4503)-1)*36000/_xlfn.DAYS(L4503, $C$2)</f>
        <v>10.685395848263271</v>
      </c>
      <c r="O4503" s="149">
        <f t="shared" ca="1" si="152"/>
        <v>1.000173611111111</v>
      </c>
    </row>
    <row r="4504" spans="12:15" x14ac:dyDescent="0.25">
      <c r="L4504" s="147">
        <f ca="1"/>
        <v>49743</v>
      </c>
      <c r="M4504" s="92">
        <f t="shared" ca="1" si="151"/>
        <v>6.25</v>
      </c>
      <c r="N4504" s="143">
        <f ca="1">(PRODUCT($O$5:$O4504)-1)*36000/_xlfn.DAYS(L4504, $C$2)</f>
        <v>10.686264895942102</v>
      </c>
      <c r="O4504" s="149">
        <f t="shared" ca="1" si="152"/>
        <v>1.000173611111111</v>
      </c>
    </row>
    <row r="4505" spans="12:15" x14ac:dyDescent="0.25">
      <c r="L4505" s="147">
        <f ca="1"/>
        <v>49744</v>
      </c>
      <c r="M4505" s="92">
        <f t="shared" ca="1" si="151"/>
        <v>6.25</v>
      </c>
      <c r="N4505" s="143">
        <f ca="1">(PRODUCT($O$5:$O4505)-1)*36000/_xlfn.DAYS(L4505, $C$2)</f>
        <v>10.687134120459765</v>
      </c>
      <c r="O4505" s="149">
        <f t="shared" ca="1" si="152"/>
        <v>1.000173611111111</v>
      </c>
    </row>
    <row r="4506" spans="12:15" x14ac:dyDescent="0.25">
      <c r="L4506" s="147">
        <f ca="1"/>
        <v>49745</v>
      </c>
      <c r="M4506" s="92">
        <f t="shared" ca="1" si="151"/>
        <v>6.25</v>
      </c>
      <c r="N4506" s="143">
        <f ca="1">(PRODUCT($O$5:$O4506)-1)*36000/_xlfn.DAYS(L4506, $C$2)</f>
        <v>10.688003521796144</v>
      </c>
      <c r="O4506" s="149">
        <f t="shared" ca="1" si="152"/>
        <v>1.000173611111111</v>
      </c>
    </row>
    <row r="4507" spans="12:15" x14ac:dyDescent="0.25">
      <c r="L4507" s="147">
        <f ca="1"/>
        <v>49746</v>
      </c>
      <c r="M4507" s="92">
        <f t="shared" ca="1" si="151"/>
        <v>6.25</v>
      </c>
      <c r="N4507" s="143">
        <f ca="1">(PRODUCT($O$5:$O4507)-1)*36000/_xlfn.DAYS(L4507, $C$2)</f>
        <v>10.688873099931149</v>
      </c>
      <c r="O4507" s="149">
        <f t="shared" ca="1" si="152"/>
        <v>1.000173611111111</v>
      </c>
    </row>
    <row r="4508" spans="12:15" x14ac:dyDescent="0.25">
      <c r="L4508" s="147">
        <f ca="1"/>
        <v>49747</v>
      </c>
      <c r="M4508" s="92">
        <f t="shared" ca="1" si="151"/>
        <v>6.25</v>
      </c>
      <c r="N4508" s="143">
        <f ca="1">(PRODUCT($O$5:$O4508)-1)*36000/_xlfn.DAYS(L4508, $C$2)</f>
        <v>10.689742854844734</v>
      </c>
      <c r="O4508" s="149">
        <f t="shared" ca="1" si="152"/>
        <v>1.000173611111111</v>
      </c>
    </row>
    <row r="4509" spans="12:15" x14ac:dyDescent="0.25">
      <c r="L4509" s="147">
        <f ca="1"/>
        <v>49748</v>
      </c>
      <c r="M4509" s="92">
        <f t="shared" ca="1" si="151"/>
        <v>6.25</v>
      </c>
      <c r="N4509" s="143">
        <f ca="1">(PRODUCT($O$5:$O4509)-1)*36000/_xlfn.DAYS(L4509, $C$2)</f>
        <v>10.690612786516885</v>
      </c>
      <c r="O4509" s="149">
        <f t="shared" ca="1" si="152"/>
        <v>1.000173611111111</v>
      </c>
    </row>
    <row r="4510" spans="12:15" x14ac:dyDescent="0.25">
      <c r="L4510" s="147">
        <f ca="1"/>
        <v>49749</v>
      </c>
      <c r="M4510" s="92">
        <f t="shared" ca="1" si="151"/>
        <v>6.25</v>
      </c>
      <c r="N4510" s="143">
        <f ca="1">(PRODUCT($O$5:$O4510)-1)*36000/_xlfn.DAYS(L4510, $C$2)</f>
        <v>10.691482894927619</v>
      </c>
      <c r="O4510" s="149">
        <f t="shared" ca="1" si="152"/>
        <v>1.000173611111111</v>
      </c>
    </row>
    <row r="4511" spans="12:15" x14ac:dyDescent="0.25">
      <c r="L4511" s="147">
        <f ca="1"/>
        <v>49750</v>
      </c>
      <c r="M4511" s="92">
        <f t="shared" ca="1" si="151"/>
        <v>6.25</v>
      </c>
      <c r="N4511" s="143">
        <f ca="1">(PRODUCT($O$5:$O4511)-1)*36000/_xlfn.DAYS(L4511, $C$2)</f>
        <v>10.692353180056992</v>
      </c>
      <c r="O4511" s="149">
        <f t="shared" ca="1" si="152"/>
        <v>1.000173611111111</v>
      </c>
    </row>
    <row r="4512" spans="12:15" x14ac:dyDescent="0.25">
      <c r="L4512" s="147">
        <f ca="1"/>
        <v>49751</v>
      </c>
      <c r="M4512" s="92">
        <f t="shared" ca="1" si="151"/>
        <v>6.25</v>
      </c>
      <c r="N4512" s="143">
        <f ca="1">(PRODUCT($O$5:$O4512)-1)*36000/_xlfn.DAYS(L4512, $C$2)</f>
        <v>10.693223641885087</v>
      </c>
      <c r="O4512" s="149">
        <f t="shared" ca="1" si="152"/>
        <v>1.000173611111111</v>
      </c>
    </row>
    <row r="4513" spans="12:15" x14ac:dyDescent="0.25">
      <c r="L4513" s="147">
        <f ca="1"/>
        <v>49752</v>
      </c>
      <c r="M4513" s="92">
        <f t="shared" ca="1" si="151"/>
        <v>6.25</v>
      </c>
      <c r="N4513" s="143">
        <f ca="1">(PRODUCT($O$5:$O4513)-1)*36000/_xlfn.DAYS(L4513, $C$2)</f>
        <v>10.694094280392036</v>
      </c>
      <c r="O4513" s="149">
        <f t="shared" ca="1" si="152"/>
        <v>1.000173611111111</v>
      </c>
    </row>
    <row r="4514" spans="12:15" x14ac:dyDescent="0.25">
      <c r="L4514" s="147">
        <f ca="1"/>
        <v>49753</v>
      </c>
      <c r="M4514" s="92">
        <f t="shared" ca="1" si="151"/>
        <v>6.25</v>
      </c>
      <c r="N4514" s="143">
        <f ca="1">(PRODUCT($O$5:$O4514)-1)*36000/_xlfn.DAYS(L4514, $C$2)</f>
        <v>10.694965095557995</v>
      </c>
      <c r="O4514" s="149">
        <f t="shared" ca="1" si="152"/>
        <v>1.000173611111111</v>
      </c>
    </row>
    <row r="4515" spans="12:15" x14ac:dyDescent="0.25">
      <c r="L4515" s="147">
        <f ca="1"/>
        <v>49754</v>
      </c>
      <c r="M4515" s="92">
        <f t="shared" ca="1" si="151"/>
        <v>6.25</v>
      </c>
      <c r="N4515" s="143">
        <f ca="1">(PRODUCT($O$5:$O4515)-1)*36000/_xlfn.DAYS(L4515, $C$2)</f>
        <v>10.695836087363157</v>
      </c>
      <c r="O4515" s="149">
        <f t="shared" ca="1" si="152"/>
        <v>1.000173611111111</v>
      </c>
    </row>
    <row r="4516" spans="12:15" x14ac:dyDescent="0.25">
      <c r="L4516" s="147">
        <f ca="1"/>
        <v>49755</v>
      </c>
      <c r="M4516" s="92">
        <f t="shared" ca="1" si="151"/>
        <v>6.25</v>
      </c>
      <c r="N4516" s="143">
        <f ca="1">(PRODUCT($O$5:$O4516)-1)*36000/_xlfn.DAYS(L4516, $C$2)</f>
        <v>10.696707255787745</v>
      </c>
      <c r="O4516" s="149">
        <f t="shared" ca="1" si="152"/>
        <v>1.000173611111111</v>
      </c>
    </row>
    <row r="4517" spans="12:15" x14ac:dyDescent="0.25">
      <c r="L4517" s="147">
        <f ca="1"/>
        <v>49756</v>
      </c>
      <c r="M4517" s="92">
        <f t="shared" ca="1" si="151"/>
        <v>6.25</v>
      </c>
      <c r="N4517" s="143">
        <f ca="1">(PRODUCT($O$5:$O4517)-1)*36000/_xlfn.DAYS(L4517, $C$2)</f>
        <v>10.697578600812022</v>
      </c>
      <c r="O4517" s="149">
        <f t="shared" ca="1" si="152"/>
        <v>1.000173611111111</v>
      </c>
    </row>
    <row r="4518" spans="12:15" x14ac:dyDescent="0.25">
      <c r="L4518" s="147">
        <f ca="1"/>
        <v>49757</v>
      </c>
      <c r="M4518" s="92">
        <f t="shared" ca="1" si="151"/>
        <v>6.25</v>
      </c>
      <c r="N4518" s="143">
        <f ca="1">(PRODUCT($O$5:$O4518)-1)*36000/_xlfn.DAYS(L4518, $C$2)</f>
        <v>10.698450122416292</v>
      </c>
      <c r="O4518" s="149">
        <f t="shared" ca="1" si="152"/>
        <v>1.000173611111111</v>
      </c>
    </row>
    <row r="4519" spans="12:15" x14ac:dyDescent="0.25">
      <c r="L4519" s="147">
        <f ca="1"/>
        <v>49758</v>
      </c>
      <c r="M4519" s="92">
        <f t="shared" ca="1" si="151"/>
        <v>6.25</v>
      </c>
      <c r="N4519" s="143">
        <f ca="1">(PRODUCT($O$5:$O4519)-1)*36000/_xlfn.DAYS(L4519, $C$2)</f>
        <v>10.699321820580872</v>
      </c>
      <c r="O4519" s="149">
        <f t="shared" ca="1" si="152"/>
        <v>1.000173611111111</v>
      </c>
    </row>
    <row r="4520" spans="12:15" x14ac:dyDescent="0.25">
      <c r="L4520" s="147">
        <f ca="1"/>
        <v>49759</v>
      </c>
      <c r="M4520" s="92">
        <f t="shared" ca="1" si="151"/>
        <v>6.25</v>
      </c>
      <c r="N4520" s="143">
        <f ca="1">(PRODUCT($O$5:$O4520)-1)*36000/_xlfn.DAYS(L4520, $C$2)</f>
        <v>10.700193695286139</v>
      </c>
      <c r="O4520" s="149">
        <f t="shared" ca="1" si="152"/>
        <v>1.000173611111111</v>
      </c>
    </row>
    <row r="4521" spans="12:15" x14ac:dyDescent="0.25">
      <c r="L4521" s="147">
        <f ca="1"/>
        <v>49760</v>
      </c>
      <c r="M4521" s="92">
        <f t="shared" ca="1" si="151"/>
        <v>6.25</v>
      </c>
      <c r="N4521" s="143">
        <f ca="1">(PRODUCT($O$5:$O4521)-1)*36000/_xlfn.DAYS(L4521, $C$2)</f>
        <v>10.701065746512485</v>
      </c>
      <c r="O4521" s="149">
        <f t="shared" ca="1" si="152"/>
        <v>1.000173611111111</v>
      </c>
    </row>
    <row r="4522" spans="12:15" x14ac:dyDescent="0.25">
      <c r="L4522" s="147">
        <f ca="1"/>
        <v>49761</v>
      </c>
      <c r="M4522" s="92">
        <f t="shared" ca="1" si="151"/>
        <v>6.25</v>
      </c>
      <c r="N4522" s="143">
        <f ca="1">(PRODUCT($O$5:$O4522)-1)*36000/_xlfn.DAYS(L4522, $C$2)</f>
        <v>10.70193797424035</v>
      </c>
      <c r="O4522" s="149">
        <f t="shared" ca="1" si="152"/>
        <v>1.000173611111111</v>
      </c>
    </row>
    <row r="4523" spans="12:15" x14ac:dyDescent="0.25">
      <c r="L4523" s="147">
        <f ca="1"/>
        <v>49762</v>
      </c>
      <c r="M4523" s="92">
        <f t="shared" ca="1" si="151"/>
        <v>6.25</v>
      </c>
      <c r="N4523" s="143">
        <f ca="1">(PRODUCT($O$5:$O4523)-1)*36000/_xlfn.DAYS(L4523, $C$2)</f>
        <v>10.702810378450195</v>
      </c>
      <c r="O4523" s="149">
        <f t="shared" ca="1" si="152"/>
        <v>1.000173611111111</v>
      </c>
    </row>
    <row r="4524" spans="12:15" x14ac:dyDescent="0.25">
      <c r="L4524" s="147">
        <f ca="1"/>
        <v>49763</v>
      </c>
      <c r="M4524" s="92">
        <f t="shared" ca="1" si="151"/>
        <v>6.25</v>
      </c>
      <c r="N4524" s="143">
        <f ca="1">(PRODUCT($O$5:$O4524)-1)*36000/_xlfn.DAYS(L4524, $C$2)</f>
        <v>10.703682959122526</v>
      </c>
      <c r="O4524" s="149">
        <f t="shared" ca="1" si="152"/>
        <v>1.000173611111111</v>
      </c>
    </row>
    <row r="4525" spans="12:15" x14ac:dyDescent="0.25">
      <c r="L4525" s="147">
        <f ca="1"/>
        <v>49764</v>
      </c>
      <c r="M4525" s="92">
        <f t="shared" ca="1" si="151"/>
        <v>6.25</v>
      </c>
      <c r="N4525" s="143">
        <f ca="1">(PRODUCT($O$5:$O4525)-1)*36000/_xlfn.DAYS(L4525, $C$2)</f>
        <v>10.704555716237879</v>
      </c>
      <c r="O4525" s="149">
        <f t="shared" ca="1" si="152"/>
        <v>1.000173611111111</v>
      </c>
    </row>
    <row r="4526" spans="12:15" x14ac:dyDescent="0.25">
      <c r="L4526" s="147">
        <f ca="1"/>
        <v>49765</v>
      </c>
      <c r="M4526" s="92">
        <f t="shared" ca="1" si="151"/>
        <v>6.25</v>
      </c>
      <c r="N4526" s="143">
        <f ca="1">(PRODUCT($O$5:$O4526)-1)*36000/_xlfn.DAYS(L4526, $C$2)</f>
        <v>10.705428649776826</v>
      </c>
      <c r="O4526" s="149">
        <f t="shared" ca="1" si="152"/>
        <v>1.000173611111111</v>
      </c>
    </row>
    <row r="4527" spans="12:15" x14ac:dyDescent="0.25">
      <c r="L4527" s="147">
        <f ca="1"/>
        <v>49766</v>
      </c>
      <c r="M4527" s="92">
        <f t="shared" ca="1" si="151"/>
        <v>6.25</v>
      </c>
      <c r="N4527" s="143">
        <f ca="1">(PRODUCT($O$5:$O4527)-1)*36000/_xlfn.DAYS(L4527, $C$2)</f>
        <v>10.706301759719969</v>
      </c>
      <c r="O4527" s="149">
        <f t="shared" ca="1" si="152"/>
        <v>1.000173611111111</v>
      </c>
    </row>
    <row r="4528" spans="12:15" x14ac:dyDescent="0.25">
      <c r="L4528" s="147">
        <f ca="1"/>
        <v>49767</v>
      </c>
      <c r="M4528" s="92">
        <f t="shared" ca="1" si="151"/>
        <v>6.25</v>
      </c>
      <c r="N4528" s="143">
        <f ca="1">(PRODUCT($O$5:$O4528)-1)*36000/_xlfn.DAYS(L4528, $C$2)</f>
        <v>10.707175046047947</v>
      </c>
      <c r="O4528" s="149">
        <f t="shared" ca="1" si="152"/>
        <v>1.000173611111111</v>
      </c>
    </row>
    <row r="4529" spans="12:15" x14ac:dyDescent="0.25">
      <c r="L4529" s="147">
        <f ca="1"/>
        <v>49768</v>
      </c>
      <c r="M4529" s="92">
        <f t="shared" ca="1" si="151"/>
        <v>6.25</v>
      </c>
      <c r="N4529" s="143">
        <f ca="1">(PRODUCT($O$5:$O4529)-1)*36000/_xlfn.DAYS(L4529, $C$2)</f>
        <v>10.708048508741435</v>
      </c>
      <c r="O4529" s="149">
        <f t="shared" ca="1" si="152"/>
        <v>1.000173611111111</v>
      </c>
    </row>
    <row r="4530" spans="12:15" x14ac:dyDescent="0.25">
      <c r="L4530" s="147">
        <f ca="1"/>
        <v>49769</v>
      </c>
      <c r="M4530" s="92">
        <f t="shared" ca="1" si="151"/>
        <v>6.25</v>
      </c>
      <c r="N4530" s="143">
        <f ca="1">(PRODUCT($O$5:$O4530)-1)*36000/_xlfn.DAYS(L4530, $C$2)</f>
        <v>10.708922147781138</v>
      </c>
      <c r="O4530" s="149">
        <f t="shared" ca="1" si="152"/>
        <v>1.000173611111111</v>
      </c>
    </row>
    <row r="4531" spans="12:15" x14ac:dyDescent="0.25">
      <c r="L4531" s="147">
        <f ca="1"/>
        <v>49770</v>
      </c>
      <c r="M4531" s="92">
        <f t="shared" ca="1" si="151"/>
        <v>6.25</v>
      </c>
      <c r="N4531" s="143">
        <f ca="1">(PRODUCT($O$5:$O4531)-1)*36000/_xlfn.DAYS(L4531, $C$2)</f>
        <v>10.709795963147796</v>
      </c>
      <c r="O4531" s="149">
        <f t="shared" ca="1" si="152"/>
        <v>1.000173611111111</v>
      </c>
    </row>
    <row r="4532" spans="12:15" x14ac:dyDescent="0.25">
      <c r="L4532" s="147">
        <f ca="1"/>
        <v>49771</v>
      </c>
      <c r="M4532" s="92">
        <f t="shared" ca="1" si="151"/>
        <v>6.25</v>
      </c>
      <c r="N4532" s="143">
        <f ca="1">(PRODUCT($O$5:$O4532)-1)*36000/_xlfn.DAYS(L4532, $C$2)</f>
        <v>10.710669954822185</v>
      </c>
      <c r="O4532" s="149">
        <f t="shared" ca="1" si="152"/>
        <v>1.000173611111111</v>
      </c>
    </row>
    <row r="4533" spans="12:15" x14ac:dyDescent="0.25">
      <c r="L4533" s="147">
        <f ca="1"/>
        <v>49772</v>
      </c>
      <c r="M4533" s="92">
        <f t="shared" ca="1" si="151"/>
        <v>6.25</v>
      </c>
      <c r="N4533" s="143">
        <f ca="1">(PRODUCT($O$5:$O4533)-1)*36000/_xlfn.DAYS(L4533, $C$2)</f>
        <v>10.711544122785114</v>
      </c>
      <c r="O4533" s="149">
        <f t="shared" ca="1" si="152"/>
        <v>1.000173611111111</v>
      </c>
    </row>
    <row r="4534" spans="12:15" x14ac:dyDescent="0.25">
      <c r="L4534" s="147">
        <f ca="1"/>
        <v>49773</v>
      </c>
      <c r="M4534" s="92">
        <f t="shared" ca="1" si="151"/>
        <v>6.25</v>
      </c>
      <c r="N4534" s="143">
        <f ca="1">(PRODUCT($O$5:$O4534)-1)*36000/_xlfn.DAYS(L4534, $C$2)</f>
        <v>10.712418467017423</v>
      </c>
      <c r="O4534" s="149">
        <f t="shared" ca="1" si="152"/>
        <v>1.000173611111111</v>
      </c>
    </row>
    <row r="4535" spans="12:15" x14ac:dyDescent="0.25">
      <c r="L4535" s="147">
        <f ca="1"/>
        <v>49774</v>
      </c>
      <c r="M4535" s="92">
        <f t="shared" ca="1" si="151"/>
        <v>6.25</v>
      </c>
      <c r="N4535" s="143">
        <f ca="1">(PRODUCT($O$5:$O4535)-1)*36000/_xlfn.DAYS(L4535, $C$2)</f>
        <v>10.713292987499992</v>
      </c>
      <c r="O4535" s="149">
        <f t="shared" ca="1" si="152"/>
        <v>1.000173611111111</v>
      </c>
    </row>
    <row r="4536" spans="12:15" x14ac:dyDescent="0.25">
      <c r="L4536" s="147">
        <f ca="1"/>
        <v>49775</v>
      </c>
      <c r="M4536" s="92">
        <f t="shared" ca="1" si="151"/>
        <v>6.25</v>
      </c>
      <c r="N4536" s="143">
        <f ca="1">(PRODUCT($O$5:$O4536)-1)*36000/_xlfn.DAYS(L4536, $C$2)</f>
        <v>10.714167684213729</v>
      </c>
      <c r="O4536" s="149">
        <f t="shared" ca="1" si="152"/>
        <v>1.000173611111111</v>
      </c>
    </row>
    <row r="4537" spans="12:15" x14ac:dyDescent="0.25">
      <c r="L4537" s="147">
        <f ca="1"/>
        <v>49776</v>
      </c>
      <c r="M4537" s="92">
        <f t="shared" ca="1" si="151"/>
        <v>6.25</v>
      </c>
      <c r="N4537" s="143">
        <f ca="1">(PRODUCT($O$5:$O4537)-1)*36000/_xlfn.DAYS(L4537, $C$2)</f>
        <v>10.715042557139578</v>
      </c>
      <c r="O4537" s="149">
        <f t="shared" ca="1" si="152"/>
        <v>1.000173611111111</v>
      </c>
    </row>
    <row r="4538" spans="12:15" x14ac:dyDescent="0.25">
      <c r="L4538" s="147">
        <f ca="1"/>
        <v>49777</v>
      </c>
      <c r="M4538" s="92">
        <f t="shared" ca="1" si="151"/>
        <v>6.25</v>
      </c>
      <c r="N4538" s="143">
        <f ca="1">(PRODUCT($O$5:$O4538)-1)*36000/_xlfn.DAYS(L4538, $C$2)</f>
        <v>10.715917606258518</v>
      </c>
      <c r="O4538" s="149">
        <f t="shared" ca="1" si="152"/>
        <v>1.000173611111111</v>
      </c>
    </row>
    <row r="4539" spans="12:15" x14ac:dyDescent="0.25">
      <c r="L4539" s="147">
        <f ca="1"/>
        <v>49778</v>
      </c>
      <c r="M4539" s="92">
        <f t="shared" ca="1" si="151"/>
        <v>6.25</v>
      </c>
      <c r="N4539" s="143">
        <f ca="1">(PRODUCT($O$5:$O4539)-1)*36000/_xlfn.DAYS(L4539, $C$2)</f>
        <v>10.71679283155156</v>
      </c>
      <c r="O4539" s="149">
        <f t="shared" ca="1" si="152"/>
        <v>1.000173611111111</v>
      </c>
    </row>
    <row r="4540" spans="12:15" x14ac:dyDescent="0.25">
      <c r="L4540" s="147">
        <f ca="1"/>
        <v>49779</v>
      </c>
      <c r="M4540" s="92">
        <f t="shared" ca="1" si="151"/>
        <v>6.25</v>
      </c>
      <c r="N4540" s="143">
        <f ca="1">(PRODUCT($O$5:$O4540)-1)*36000/_xlfn.DAYS(L4540, $C$2)</f>
        <v>10.717668232999749</v>
      </c>
      <c r="O4540" s="149">
        <f t="shared" ca="1" si="152"/>
        <v>1.000173611111111</v>
      </c>
    </row>
    <row r="4541" spans="12:15" x14ac:dyDescent="0.25">
      <c r="L4541" s="147">
        <f ca="1"/>
        <v>49780</v>
      </c>
      <c r="M4541" s="92">
        <f t="shared" ca="1" si="151"/>
        <v>6.25</v>
      </c>
      <c r="N4541" s="143">
        <f ca="1">(PRODUCT($O$5:$O4541)-1)*36000/_xlfn.DAYS(L4541, $C$2)</f>
        <v>10.718543810584164</v>
      </c>
      <c r="O4541" s="149">
        <f t="shared" ca="1" si="152"/>
        <v>1.000173611111111</v>
      </c>
    </row>
    <row r="4542" spans="12:15" x14ac:dyDescent="0.25">
      <c r="L4542" s="147">
        <f ca="1"/>
        <v>49781</v>
      </c>
      <c r="M4542" s="92">
        <f t="shared" ca="1" si="151"/>
        <v>6.25</v>
      </c>
      <c r="N4542" s="143">
        <f ca="1">(PRODUCT($O$5:$O4542)-1)*36000/_xlfn.DAYS(L4542, $C$2)</f>
        <v>10.719419564285912</v>
      </c>
      <c r="O4542" s="149">
        <f t="shared" ca="1" si="152"/>
        <v>1.000173611111111</v>
      </c>
    </row>
    <row r="4543" spans="12:15" x14ac:dyDescent="0.25">
      <c r="L4543" s="147">
        <f ca="1"/>
        <v>49782</v>
      </c>
      <c r="M4543" s="92">
        <f t="shared" ca="1" si="151"/>
        <v>6.25</v>
      </c>
      <c r="N4543" s="143">
        <f ca="1">(PRODUCT($O$5:$O4543)-1)*36000/_xlfn.DAYS(L4543, $C$2)</f>
        <v>10.720295494086146</v>
      </c>
      <c r="O4543" s="149">
        <f t="shared" ca="1" si="152"/>
        <v>1.000173611111111</v>
      </c>
    </row>
    <row r="4544" spans="12:15" x14ac:dyDescent="0.25">
      <c r="L4544" s="147">
        <f ca="1"/>
        <v>49783</v>
      </c>
      <c r="M4544" s="92">
        <f t="shared" ca="1" si="151"/>
        <v>6.25</v>
      </c>
      <c r="N4544" s="143">
        <f ca="1">(PRODUCT($O$5:$O4544)-1)*36000/_xlfn.DAYS(L4544, $C$2)</f>
        <v>10.721171599966047</v>
      </c>
      <c r="O4544" s="149">
        <f t="shared" ca="1" si="152"/>
        <v>1.000173611111111</v>
      </c>
    </row>
    <row r="4545" spans="12:15" x14ac:dyDescent="0.25">
      <c r="L4545" s="147">
        <f ca="1"/>
        <v>49784</v>
      </c>
      <c r="M4545" s="92">
        <f t="shared" ca="1" si="151"/>
        <v>6.25</v>
      </c>
      <c r="N4545" s="143">
        <f ca="1">(PRODUCT($O$5:$O4545)-1)*36000/_xlfn.DAYS(L4545, $C$2)</f>
        <v>10.722047881906819</v>
      </c>
      <c r="O4545" s="149">
        <f t="shared" ca="1" si="152"/>
        <v>1.000173611111111</v>
      </c>
    </row>
    <row r="4546" spans="12:15" x14ac:dyDescent="0.25">
      <c r="L4546" s="147">
        <f ca="1"/>
        <v>49785</v>
      </c>
      <c r="M4546" s="92">
        <f t="shared" ca="1" si="151"/>
        <v>6.25</v>
      </c>
      <c r="N4546" s="143">
        <f ca="1">(PRODUCT($O$5:$O4546)-1)*36000/_xlfn.DAYS(L4546, $C$2)</f>
        <v>10.722924339889715</v>
      </c>
      <c r="O4546" s="149">
        <f t="shared" ca="1" si="152"/>
        <v>1.000173611111111</v>
      </c>
    </row>
    <row r="4547" spans="12:15" x14ac:dyDescent="0.25">
      <c r="L4547" s="147">
        <f ca="1"/>
        <v>49786</v>
      </c>
      <c r="M4547" s="92">
        <f t="shared" ca="1" si="151"/>
        <v>6.25</v>
      </c>
      <c r="N4547" s="143">
        <f ca="1">(PRODUCT($O$5:$O4547)-1)*36000/_xlfn.DAYS(L4547, $C$2)</f>
        <v>10.723800973896017</v>
      </c>
      <c r="O4547" s="149">
        <f t="shared" ca="1" si="152"/>
        <v>1.000173611111111</v>
      </c>
    </row>
    <row r="4548" spans="12:15" x14ac:dyDescent="0.25">
      <c r="L4548" s="147">
        <f ca="1"/>
        <v>49787</v>
      </c>
      <c r="M4548" s="92">
        <f t="shared" ca="1" si="151"/>
        <v>6.25</v>
      </c>
      <c r="N4548" s="143">
        <f ca="1">(PRODUCT($O$5:$O4548)-1)*36000/_xlfn.DAYS(L4548, $C$2)</f>
        <v>10.724677783907032</v>
      </c>
      <c r="O4548" s="149">
        <f t="shared" ca="1" si="152"/>
        <v>1.000173611111111</v>
      </c>
    </row>
    <row r="4549" spans="12:15" x14ac:dyDescent="0.25">
      <c r="L4549" s="147">
        <f ca="1"/>
        <v>49788</v>
      </c>
      <c r="M4549" s="92">
        <f t="shared" ref="M4549:M4612" ca="1" si="153">IFERROR(INDEX($E$27:$H$47, MATCH(L4549, $F$27:$F$47, 0), 4), IF(ISNUMBER(M4548), M4548, $C$5))</f>
        <v>6.25</v>
      </c>
      <c r="N4549" s="143">
        <f ca="1">(PRODUCT($O$5:$O4549)-1)*36000/_xlfn.DAYS(L4549, $C$2)</f>
        <v>10.725554769904111</v>
      </c>
      <c r="O4549" s="149">
        <f t="shared" ca="1" si="152"/>
        <v>1.000173611111111</v>
      </c>
    </row>
    <row r="4550" spans="12:15" x14ac:dyDescent="0.25">
      <c r="L4550" s="147">
        <f ca="1"/>
        <v>49789</v>
      </c>
      <c r="M4550" s="92">
        <f t="shared" ca="1" si="153"/>
        <v>6.25</v>
      </c>
      <c r="N4550" s="143">
        <f ca="1">(PRODUCT($O$5:$O4550)-1)*36000/_xlfn.DAYS(L4550, $C$2)</f>
        <v>10.72643193186863</v>
      </c>
      <c r="O4550" s="149">
        <f t="shared" ref="O4550:O4613" ca="1" si="154">1+M4550*IFERROR(_xlfn.DAYS(L4550, L4549), _xlfn.DAYS(L4550, $C$2))/36000</f>
        <v>1.000173611111111</v>
      </c>
    </row>
    <row r="4551" spans="12:15" x14ac:dyDescent="0.25">
      <c r="L4551" s="147">
        <f ca="1"/>
        <v>49790</v>
      </c>
      <c r="M4551" s="92">
        <f t="shared" ca="1" si="153"/>
        <v>6.25</v>
      </c>
      <c r="N4551" s="143">
        <f ca="1">(PRODUCT($O$5:$O4551)-1)*36000/_xlfn.DAYS(L4551, $C$2)</f>
        <v>10.727309269782006</v>
      </c>
      <c r="O4551" s="149">
        <f t="shared" ca="1" si="154"/>
        <v>1.000173611111111</v>
      </c>
    </row>
    <row r="4552" spans="12:15" x14ac:dyDescent="0.25">
      <c r="L4552" s="147">
        <f ca="1"/>
        <v>49791</v>
      </c>
      <c r="M4552" s="92">
        <f t="shared" ca="1" si="153"/>
        <v>6.25</v>
      </c>
      <c r="N4552" s="143">
        <f ca="1">(PRODUCT($O$5:$O4552)-1)*36000/_xlfn.DAYS(L4552, $C$2)</f>
        <v>10.728186783625686</v>
      </c>
      <c r="O4552" s="149">
        <f t="shared" ca="1" si="154"/>
        <v>1.000173611111111</v>
      </c>
    </row>
    <row r="4553" spans="12:15" x14ac:dyDescent="0.25">
      <c r="L4553" s="147">
        <f ca="1"/>
        <v>49792</v>
      </c>
      <c r="M4553" s="92">
        <f t="shared" ca="1" si="153"/>
        <v>6.25</v>
      </c>
      <c r="N4553" s="143">
        <f ca="1">(PRODUCT($O$5:$O4553)-1)*36000/_xlfn.DAYS(L4553, $C$2)</f>
        <v>10.729064473381152</v>
      </c>
      <c r="O4553" s="149">
        <f t="shared" ca="1" si="154"/>
        <v>1.000173611111111</v>
      </c>
    </row>
    <row r="4554" spans="12:15" x14ac:dyDescent="0.25">
      <c r="L4554" s="147">
        <f ca="1"/>
        <v>49793</v>
      </c>
      <c r="M4554" s="92">
        <f t="shared" ca="1" si="153"/>
        <v>6.25</v>
      </c>
      <c r="N4554" s="143">
        <f ca="1">(PRODUCT($O$5:$O4554)-1)*36000/_xlfn.DAYS(L4554, $C$2)</f>
        <v>10.729942339029913</v>
      </c>
      <c r="O4554" s="149">
        <f t="shared" ca="1" si="154"/>
        <v>1.000173611111111</v>
      </c>
    </row>
    <row r="4555" spans="12:15" x14ac:dyDescent="0.25">
      <c r="L4555" s="147">
        <f ca="1"/>
        <v>49794</v>
      </c>
      <c r="M4555" s="92">
        <f t="shared" ca="1" si="153"/>
        <v>6.25</v>
      </c>
      <c r="N4555" s="143">
        <f ca="1">(PRODUCT($O$5:$O4555)-1)*36000/_xlfn.DAYS(L4555, $C$2)</f>
        <v>10.730820380553515</v>
      </c>
      <c r="O4555" s="149">
        <f t="shared" ca="1" si="154"/>
        <v>1.000173611111111</v>
      </c>
    </row>
    <row r="4556" spans="12:15" x14ac:dyDescent="0.25">
      <c r="L4556" s="147">
        <f ca="1"/>
        <v>49795</v>
      </c>
      <c r="M4556" s="92">
        <f t="shared" ca="1" si="153"/>
        <v>6.25</v>
      </c>
      <c r="N4556" s="143">
        <f ca="1">(PRODUCT($O$5:$O4556)-1)*36000/_xlfn.DAYS(L4556, $C$2)</f>
        <v>10.731698597933539</v>
      </c>
      <c r="O4556" s="149">
        <f t="shared" ca="1" si="154"/>
        <v>1.000173611111111</v>
      </c>
    </row>
    <row r="4557" spans="12:15" x14ac:dyDescent="0.25">
      <c r="L4557" s="147">
        <f ca="1"/>
        <v>49796</v>
      </c>
      <c r="M4557" s="92">
        <f t="shared" ca="1" si="153"/>
        <v>6.25</v>
      </c>
      <c r="N4557" s="143">
        <f ca="1">(PRODUCT($O$5:$O4557)-1)*36000/_xlfn.DAYS(L4557, $C$2)</f>
        <v>10.732576991151593</v>
      </c>
      <c r="O4557" s="149">
        <f t="shared" ca="1" si="154"/>
        <v>1.000173611111111</v>
      </c>
    </row>
    <row r="4558" spans="12:15" x14ac:dyDescent="0.25">
      <c r="L4558" s="147">
        <f ca="1"/>
        <v>49797</v>
      </c>
      <c r="M4558" s="92">
        <f t="shared" ca="1" si="153"/>
        <v>6.25</v>
      </c>
      <c r="N4558" s="143">
        <f ca="1">(PRODUCT($O$5:$O4558)-1)*36000/_xlfn.DAYS(L4558, $C$2)</f>
        <v>10.733455560189331</v>
      </c>
      <c r="O4558" s="149">
        <f t="shared" ca="1" si="154"/>
        <v>1.000173611111111</v>
      </c>
    </row>
    <row r="4559" spans="12:15" x14ac:dyDescent="0.25">
      <c r="L4559" s="147">
        <f ca="1"/>
        <v>49798</v>
      </c>
      <c r="M4559" s="92">
        <f t="shared" ca="1" si="153"/>
        <v>6.25</v>
      </c>
      <c r="N4559" s="143">
        <f ca="1">(PRODUCT($O$5:$O4559)-1)*36000/_xlfn.DAYS(L4559, $C$2)</f>
        <v>10.734334305028426</v>
      </c>
      <c r="O4559" s="149">
        <f t="shared" ca="1" si="154"/>
        <v>1.000173611111111</v>
      </c>
    </row>
    <row r="4560" spans="12:15" x14ac:dyDescent="0.25">
      <c r="L4560" s="147">
        <f ca="1"/>
        <v>49799</v>
      </c>
      <c r="M4560" s="92">
        <f t="shared" ca="1" si="153"/>
        <v>6.25</v>
      </c>
      <c r="N4560" s="143">
        <f ca="1">(PRODUCT($O$5:$O4560)-1)*36000/_xlfn.DAYS(L4560, $C$2)</f>
        <v>10.73521322565059</v>
      </c>
      <c r="O4560" s="149">
        <f t="shared" ca="1" si="154"/>
        <v>1.000173611111111</v>
      </c>
    </row>
    <row r="4561" spans="12:15" x14ac:dyDescent="0.25">
      <c r="L4561" s="147">
        <f ca="1"/>
        <v>49800</v>
      </c>
      <c r="M4561" s="92">
        <f t="shared" ca="1" si="153"/>
        <v>6.25</v>
      </c>
      <c r="N4561" s="143">
        <f ca="1">(PRODUCT($O$5:$O4561)-1)*36000/_xlfn.DAYS(L4561, $C$2)</f>
        <v>10.736092322037571</v>
      </c>
      <c r="O4561" s="149">
        <f t="shared" ca="1" si="154"/>
        <v>1.000173611111111</v>
      </c>
    </row>
    <row r="4562" spans="12:15" x14ac:dyDescent="0.25">
      <c r="L4562" s="147">
        <f ca="1"/>
        <v>49801</v>
      </c>
      <c r="M4562" s="92">
        <f t="shared" ca="1" si="153"/>
        <v>6.25</v>
      </c>
      <c r="N4562" s="143">
        <f ca="1">(PRODUCT($O$5:$O4562)-1)*36000/_xlfn.DAYS(L4562, $C$2)</f>
        <v>10.736971594171139</v>
      </c>
      <c r="O4562" s="149">
        <f t="shared" ca="1" si="154"/>
        <v>1.000173611111111</v>
      </c>
    </row>
    <row r="4563" spans="12:15" x14ac:dyDescent="0.25">
      <c r="L4563" s="147">
        <f ca="1"/>
        <v>49802</v>
      </c>
      <c r="M4563" s="92">
        <f t="shared" ca="1" si="153"/>
        <v>6.25</v>
      </c>
      <c r="N4563" s="143">
        <f ca="1">(PRODUCT($O$5:$O4563)-1)*36000/_xlfn.DAYS(L4563, $C$2)</f>
        <v>10.737851042033114</v>
      </c>
      <c r="O4563" s="149">
        <f t="shared" ca="1" si="154"/>
        <v>1.000173611111111</v>
      </c>
    </row>
    <row r="4564" spans="12:15" x14ac:dyDescent="0.25">
      <c r="L4564" s="147">
        <f ca="1"/>
        <v>49803</v>
      </c>
      <c r="M4564" s="92">
        <f t="shared" ca="1" si="153"/>
        <v>6.25</v>
      </c>
      <c r="N4564" s="143">
        <f ca="1">(PRODUCT($O$5:$O4564)-1)*36000/_xlfn.DAYS(L4564, $C$2)</f>
        <v>10.738730665605333</v>
      </c>
      <c r="O4564" s="149">
        <f t="shared" ca="1" si="154"/>
        <v>1.000173611111111</v>
      </c>
    </row>
    <row r="4565" spans="12:15" x14ac:dyDescent="0.25">
      <c r="L4565" s="147">
        <f ca="1"/>
        <v>49804</v>
      </c>
      <c r="M4565" s="92">
        <f t="shared" ca="1" si="153"/>
        <v>6.25</v>
      </c>
      <c r="N4565" s="143">
        <f ca="1">(PRODUCT($O$5:$O4565)-1)*36000/_xlfn.DAYS(L4565, $C$2)</f>
        <v>10.739610464869672</v>
      </c>
      <c r="O4565" s="149">
        <f t="shared" ca="1" si="154"/>
        <v>1.000173611111111</v>
      </c>
    </row>
    <row r="4566" spans="12:15" x14ac:dyDescent="0.25">
      <c r="L4566" s="147">
        <f ca="1"/>
        <v>49805</v>
      </c>
      <c r="M4566" s="92">
        <f t="shared" ca="1" si="153"/>
        <v>6.25</v>
      </c>
      <c r="N4566" s="143">
        <f ca="1">(PRODUCT($O$5:$O4566)-1)*36000/_xlfn.DAYS(L4566, $C$2)</f>
        <v>10.740490439808045</v>
      </c>
      <c r="O4566" s="149">
        <f t="shared" ca="1" si="154"/>
        <v>1.000173611111111</v>
      </c>
    </row>
    <row r="4567" spans="12:15" x14ac:dyDescent="0.25">
      <c r="L4567" s="147">
        <f ca="1"/>
        <v>49806</v>
      </c>
      <c r="M4567" s="92">
        <f t="shared" ca="1" si="153"/>
        <v>6.25</v>
      </c>
      <c r="N4567" s="143">
        <f ca="1">(PRODUCT($O$5:$O4567)-1)*36000/_xlfn.DAYS(L4567, $C$2)</f>
        <v>10.741370590402388</v>
      </c>
      <c r="O4567" s="149">
        <f t="shared" ca="1" si="154"/>
        <v>1.000173611111111</v>
      </c>
    </row>
    <row r="4568" spans="12:15" x14ac:dyDescent="0.25">
      <c r="L4568" s="147">
        <f ca="1"/>
        <v>49807</v>
      </c>
      <c r="M4568" s="92">
        <f t="shared" ca="1" si="153"/>
        <v>6.25</v>
      </c>
      <c r="N4568" s="143">
        <f ca="1">(PRODUCT($O$5:$O4568)-1)*36000/_xlfn.DAYS(L4568, $C$2)</f>
        <v>10.742250916634678</v>
      </c>
      <c r="O4568" s="149">
        <f t="shared" ca="1" si="154"/>
        <v>1.000173611111111</v>
      </c>
    </row>
    <row r="4569" spans="12:15" x14ac:dyDescent="0.25">
      <c r="L4569" s="147">
        <f ca="1"/>
        <v>49808</v>
      </c>
      <c r="M4569" s="92">
        <f t="shared" ca="1" si="153"/>
        <v>6.25</v>
      </c>
      <c r="N4569" s="143">
        <f ca="1">(PRODUCT($O$5:$O4569)-1)*36000/_xlfn.DAYS(L4569, $C$2)</f>
        <v>10.743131418486923</v>
      </c>
      <c r="O4569" s="149">
        <f t="shared" ca="1" si="154"/>
        <v>1.000173611111111</v>
      </c>
    </row>
    <row r="4570" spans="12:15" x14ac:dyDescent="0.25">
      <c r="L4570" s="147">
        <f ca="1"/>
        <v>49809</v>
      </c>
      <c r="M4570" s="92">
        <f t="shared" ca="1" si="153"/>
        <v>6.25</v>
      </c>
      <c r="N4570" s="143">
        <f ca="1">(PRODUCT($O$5:$O4570)-1)*36000/_xlfn.DAYS(L4570, $C$2)</f>
        <v>10.744012095941162</v>
      </c>
      <c r="O4570" s="149">
        <f t="shared" ca="1" si="154"/>
        <v>1.000173611111111</v>
      </c>
    </row>
    <row r="4571" spans="12:15" x14ac:dyDescent="0.25">
      <c r="L4571" s="147">
        <f ca="1"/>
        <v>49810</v>
      </c>
      <c r="M4571" s="92">
        <f t="shared" ca="1" si="153"/>
        <v>6.25</v>
      </c>
      <c r="N4571" s="143">
        <f ca="1">(PRODUCT($O$5:$O4571)-1)*36000/_xlfn.DAYS(L4571, $C$2)</f>
        <v>10.744892948979468</v>
      </c>
      <c r="O4571" s="149">
        <f t="shared" ca="1" si="154"/>
        <v>1.000173611111111</v>
      </c>
    </row>
    <row r="4572" spans="12:15" x14ac:dyDescent="0.25">
      <c r="L4572" s="147">
        <f ca="1"/>
        <v>49811</v>
      </c>
      <c r="M4572" s="92">
        <f t="shared" ca="1" si="153"/>
        <v>6.25</v>
      </c>
      <c r="N4572" s="143">
        <f ca="1">(PRODUCT($O$5:$O4572)-1)*36000/_xlfn.DAYS(L4572, $C$2)</f>
        <v>10.745773977583942</v>
      </c>
      <c r="O4572" s="149">
        <f t="shared" ca="1" si="154"/>
        <v>1.000173611111111</v>
      </c>
    </row>
    <row r="4573" spans="12:15" x14ac:dyDescent="0.25">
      <c r="L4573" s="147">
        <f ca="1"/>
        <v>49812</v>
      </c>
      <c r="M4573" s="92">
        <f t="shared" ca="1" si="153"/>
        <v>6.25</v>
      </c>
      <c r="N4573" s="143">
        <f ca="1">(PRODUCT($O$5:$O4573)-1)*36000/_xlfn.DAYS(L4573, $C$2)</f>
        <v>10.746655181736728</v>
      </c>
      <c r="O4573" s="149">
        <f t="shared" ca="1" si="154"/>
        <v>1.000173611111111</v>
      </c>
    </row>
    <row r="4574" spans="12:15" x14ac:dyDescent="0.25">
      <c r="L4574" s="147">
        <f ca="1"/>
        <v>49813</v>
      </c>
      <c r="M4574" s="92">
        <f t="shared" ca="1" si="153"/>
        <v>6.25</v>
      </c>
      <c r="N4574" s="143">
        <f ca="1">(PRODUCT($O$5:$O4574)-1)*36000/_xlfn.DAYS(L4574, $C$2)</f>
        <v>10.747536561419992</v>
      </c>
      <c r="O4574" s="149">
        <f t="shared" ca="1" si="154"/>
        <v>1.000173611111111</v>
      </c>
    </row>
    <row r="4575" spans="12:15" x14ac:dyDescent="0.25">
      <c r="L4575" s="147">
        <f ca="1"/>
        <v>49814</v>
      </c>
      <c r="M4575" s="92">
        <f t="shared" ca="1" si="153"/>
        <v>6.25</v>
      </c>
      <c r="N4575" s="143">
        <f ca="1">(PRODUCT($O$5:$O4575)-1)*36000/_xlfn.DAYS(L4575, $C$2)</f>
        <v>10.748418116615937</v>
      </c>
      <c r="O4575" s="149">
        <f t="shared" ca="1" si="154"/>
        <v>1.000173611111111</v>
      </c>
    </row>
    <row r="4576" spans="12:15" x14ac:dyDescent="0.25">
      <c r="L4576" s="147">
        <f ca="1"/>
        <v>49815</v>
      </c>
      <c r="M4576" s="92">
        <f t="shared" ca="1" si="153"/>
        <v>6.25</v>
      </c>
      <c r="N4576" s="143">
        <f ca="1">(PRODUCT($O$5:$O4576)-1)*36000/_xlfn.DAYS(L4576, $C$2)</f>
        <v>10.749299847306803</v>
      </c>
      <c r="O4576" s="149">
        <f t="shared" ca="1" si="154"/>
        <v>1.000173611111111</v>
      </c>
    </row>
    <row r="4577" spans="12:15" x14ac:dyDescent="0.25">
      <c r="L4577" s="147">
        <f ca="1"/>
        <v>49816</v>
      </c>
      <c r="M4577" s="92">
        <f t="shared" ca="1" si="153"/>
        <v>6.25</v>
      </c>
      <c r="N4577" s="143">
        <f ca="1">(PRODUCT($O$5:$O4577)-1)*36000/_xlfn.DAYS(L4577, $C$2)</f>
        <v>10.75018175347485</v>
      </c>
      <c r="O4577" s="149">
        <f t="shared" ca="1" si="154"/>
        <v>1.000173611111111</v>
      </c>
    </row>
    <row r="4578" spans="12:15" x14ac:dyDescent="0.25">
      <c r="L4578" s="147">
        <f ca="1"/>
        <v>49817</v>
      </c>
      <c r="M4578" s="92">
        <f t="shared" ca="1" si="153"/>
        <v>6.25</v>
      </c>
      <c r="N4578" s="143">
        <f ca="1">(PRODUCT($O$5:$O4578)-1)*36000/_xlfn.DAYS(L4578, $C$2)</f>
        <v>10.751063835102384</v>
      </c>
      <c r="O4578" s="149">
        <f t="shared" ca="1" si="154"/>
        <v>1.000173611111111</v>
      </c>
    </row>
    <row r="4579" spans="12:15" x14ac:dyDescent="0.25">
      <c r="L4579" s="147">
        <f ca="1"/>
        <v>49818</v>
      </c>
      <c r="M4579" s="92">
        <f t="shared" ca="1" si="153"/>
        <v>6.25</v>
      </c>
      <c r="N4579" s="143">
        <f ca="1">(PRODUCT($O$5:$O4579)-1)*36000/_xlfn.DAYS(L4579, $C$2)</f>
        <v>10.751946092171735</v>
      </c>
      <c r="O4579" s="149">
        <f t="shared" ca="1" si="154"/>
        <v>1.000173611111111</v>
      </c>
    </row>
    <row r="4580" spans="12:15" x14ac:dyDescent="0.25">
      <c r="L4580" s="147">
        <f ca="1"/>
        <v>49819</v>
      </c>
      <c r="M4580" s="92">
        <f t="shared" ca="1" si="153"/>
        <v>6.25</v>
      </c>
      <c r="N4580" s="143">
        <f ca="1">(PRODUCT($O$5:$O4580)-1)*36000/_xlfn.DAYS(L4580, $C$2)</f>
        <v>10.752828524665267</v>
      </c>
      <c r="O4580" s="149">
        <f t="shared" ca="1" si="154"/>
        <v>1.000173611111111</v>
      </c>
    </row>
    <row r="4581" spans="12:15" x14ac:dyDescent="0.25">
      <c r="L4581" s="147">
        <f ca="1"/>
        <v>49820</v>
      </c>
      <c r="M4581" s="92">
        <f t="shared" ca="1" si="153"/>
        <v>6.25</v>
      </c>
      <c r="N4581" s="143">
        <f ca="1">(PRODUCT($O$5:$O4581)-1)*36000/_xlfn.DAYS(L4581, $C$2)</f>
        <v>10.753711132565378</v>
      </c>
      <c r="O4581" s="149">
        <f t="shared" ca="1" si="154"/>
        <v>1.000173611111111</v>
      </c>
    </row>
    <row r="4582" spans="12:15" x14ac:dyDescent="0.25">
      <c r="L4582" s="147">
        <f ca="1"/>
        <v>49821</v>
      </c>
      <c r="M4582" s="92">
        <f t="shared" ca="1" si="153"/>
        <v>6.25</v>
      </c>
      <c r="N4582" s="143">
        <f ca="1">(PRODUCT($O$5:$O4582)-1)*36000/_xlfn.DAYS(L4582, $C$2)</f>
        <v>10.7545939158545</v>
      </c>
      <c r="O4582" s="149">
        <f t="shared" ca="1" si="154"/>
        <v>1.000173611111111</v>
      </c>
    </row>
    <row r="4583" spans="12:15" x14ac:dyDescent="0.25">
      <c r="L4583" s="147">
        <f ca="1"/>
        <v>49822</v>
      </c>
      <c r="M4583" s="92">
        <f t="shared" ca="1" si="153"/>
        <v>6.25</v>
      </c>
      <c r="N4583" s="143">
        <f ca="1">(PRODUCT($O$5:$O4583)-1)*36000/_xlfn.DAYS(L4583, $C$2)</f>
        <v>10.755476874515091</v>
      </c>
      <c r="O4583" s="149">
        <f t="shared" ca="1" si="154"/>
        <v>1.000173611111111</v>
      </c>
    </row>
    <row r="4584" spans="12:15" x14ac:dyDescent="0.25">
      <c r="L4584" s="147">
        <f ca="1"/>
        <v>49823</v>
      </c>
      <c r="M4584" s="92">
        <f t="shared" ca="1" si="153"/>
        <v>6.25</v>
      </c>
      <c r="N4584" s="143">
        <f ca="1">(PRODUCT($O$5:$O4584)-1)*36000/_xlfn.DAYS(L4584, $C$2)</f>
        <v>10.756360008529645</v>
      </c>
      <c r="O4584" s="149">
        <f t="shared" ca="1" si="154"/>
        <v>1.000173611111111</v>
      </c>
    </row>
    <row r="4585" spans="12:15" x14ac:dyDescent="0.25">
      <c r="L4585" s="147">
        <f ca="1"/>
        <v>49824</v>
      </c>
      <c r="M4585" s="92">
        <f t="shared" ca="1" si="153"/>
        <v>6.25</v>
      </c>
      <c r="N4585" s="143">
        <f ca="1">(PRODUCT($O$5:$O4585)-1)*36000/_xlfn.DAYS(L4585, $C$2)</f>
        <v>10.75724331788069</v>
      </c>
      <c r="O4585" s="149">
        <f t="shared" ca="1" si="154"/>
        <v>1.000173611111111</v>
      </c>
    </row>
    <row r="4586" spans="12:15" x14ac:dyDescent="0.25">
      <c r="L4586" s="147">
        <f ca="1"/>
        <v>49825</v>
      </c>
      <c r="M4586" s="92">
        <f t="shared" ca="1" si="153"/>
        <v>6.25</v>
      </c>
      <c r="N4586" s="143">
        <f ca="1">(PRODUCT($O$5:$O4586)-1)*36000/_xlfn.DAYS(L4586, $C$2)</f>
        <v>10.758126802550782</v>
      </c>
      <c r="O4586" s="149">
        <f t="shared" ca="1" si="154"/>
        <v>1.000173611111111</v>
      </c>
    </row>
    <row r="4587" spans="12:15" x14ac:dyDescent="0.25">
      <c r="L4587" s="147">
        <f ca="1"/>
        <v>49826</v>
      </c>
      <c r="M4587" s="92">
        <f t="shared" ca="1" si="153"/>
        <v>6.25</v>
      </c>
      <c r="N4587" s="143">
        <f ca="1">(PRODUCT($O$5:$O4587)-1)*36000/_xlfn.DAYS(L4587, $C$2)</f>
        <v>10.759010462522514</v>
      </c>
      <c r="O4587" s="149">
        <f t="shared" ca="1" si="154"/>
        <v>1.000173611111111</v>
      </c>
    </row>
    <row r="4588" spans="12:15" x14ac:dyDescent="0.25">
      <c r="L4588" s="147">
        <f ca="1"/>
        <v>49827</v>
      </c>
      <c r="M4588" s="92">
        <f t="shared" ca="1" si="153"/>
        <v>6.25</v>
      </c>
      <c r="N4588" s="143">
        <f ca="1">(PRODUCT($O$5:$O4588)-1)*36000/_xlfn.DAYS(L4588, $C$2)</f>
        <v>10.759894297778507</v>
      </c>
      <c r="O4588" s="149">
        <f t="shared" ca="1" si="154"/>
        <v>1.000173611111111</v>
      </c>
    </row>
    <row r="4589" spans="12:15" x14ac:dyDescent="0.25">
      <c r="L4589" s="147">
        <f ca="1"/>
        <v>49828</v>
      </c>
      <c r="M4589" s="92">
        <f t="shared" ca="1" si="153"/>
        <v>6.25</v>
      </c>
      <c r="N4589" s="143">
        <f ca="1">(PRODUCT($O$5:$O4589)-1)*36000/_xlfn.DAYS(L4589, $C$2)</f>
        <v>10.760778308301413</v>
      </c>
      <c r="O4589" s="149">
        <f t="shared" ca="1" si="154"/>
        <v>1.000173611111111</v>
      </c>
    </row>
    <row r="4590" spans="12:15" x14ac:dyDescent="0.25">
      <c r="L4590" s="147">
        <f ca="1"/>
        <v>49829</v>
      </c>
      <c r="M4590" s="92">
        <f t="shared" ca="1" si="153"/>
        <v>6.25</v>
      </c>
      <c r="N4590" s="143">
        <f ca="1">(PRODUCT($O$5:$O4590)-1)*36000/_xlfn.DAYS(L4590, $C$2)</f>
        <v>10.761662494073921</v>
      </c>
      <c r="O4590" s="149">
        <f t="shared" ca="1" si="154"/>
        <v>1.000173611111111</v>
      </c>
    </row>
    <row r="4591" spans="12:15" x14ac:dyDescent="0.25">
      <c r="L4591" s="147">
        <f ca="1"/>
        <v>49830</v>
      </c>
      <c r="M4591" s="92">
        <f t="shared" ca="1" si="153"/>
        <v>6.25</v>
      </c>
      <c r="N4591" s="143">
        <f ca="1">(PRODUCT($O$5:$O4591)-1)*36000/_xlfn.DAYS(L4591, $C$2)</f>
        <v>10.76254685507875</v>
      </c>
      <c r="O4591" s="149">
        <f t="shared" ca="1" si="154"/>
        <v>1.000173611111111</v>
      </c>
    </row>
    <row r="4592" spans="12:15" x14ac:dyDescent="0.25">
      <c r="L4592" s="147">
        <f ca="1"/>
        <v>49831</v>
      </c>
      <c r="M4592" s="92">
        <f t="shared" ca="1" si="153"/>
        <v>6.25</v>
      </c>
      <c r="N4592" s="143">
        <f ca="1">(PRODUCT($O$5:$O4592)-1)*36000/_xlfn.DAYS(L4592, $C$2)</f>
        <v>10.763431391298651</v>
      </c>
      <c r="O4592" s="149">
        <f t="shared" ca="1" si="154"/>
        <v>1.000173611111111</v>
      </c>
    </row>
    <row r="4593" spans="12:15" x14ac:dyDescent="0.25">
      <c r="L4593" s="147">
        <f ca="1"/>
        <v>49832</v>
      </c>
      <c r="M4593" s="92">
        <f t="shared" ca="1" si="153"/>
        <v>6.25</v>
      </c>
      <c r="N4593" s="143">
        <f ca="1">(PRODUCT($O$5:$O4593)-1)*36000/_xlfn.DAYS(L4593, $C$2)</f>
        <v>10.764316102716405</v>
      </c>
      <c r="O4593" s="149">
        <f t="shared" ca="1" si="154"/>
        <v>1.000173611111111</v>
      </c>
    </row>
    <row r="4594" spans="12:15" x14ac:dyDescent="0.25">
      <c r="L4594" s="147">
        <f ca="1"/>
        <v>49833</v>
      </c>
      <c r="M4594" s="92">
        <f t="shared" ca="1" si="153"/>
        <v>6.25</v>
      </c>
      <c r="N4594" s="143">
        <f ca="1">(PRODUCT($O$5:$O4594)-1)*36000/_xlfn.DAYS(L4594, $C$2)</f>
        <v>10.765200989314826</v>
      </c>
      <c r="O4594" s="149">
        <f t="shared" ca="1" si="154"/>
        <v>1.000173611111111</v>
      </c>
    </row>
    <row r="4595" spans="12:15" x14ac:dyDescent="0.25">
      <c r="L4595" s="147">
        <f ca="1"/>
        <v>49834</v>
      </c>
      <c r="M4595" s="92">
        <f t="shared" ca="1" si="153"/>
        <v>6.25</v>
      </c>
      <c r="N4595" s="143">
        <f ca="1">(PRODUCT($O$5:$O4595)-1)*36000/_xlfn.DAYS(L4595, $C$2)</f>
        <v>10.766086051076758</v>
      </c>
      <c r="O4595" s="149">
        <f t="shared" ca="1" si="154"/>
        <v>1.000173611111111</v>
      </c>
    </row>
    <row r="4596" spans="12:15" x14ac:dyDescent="0.25">
      <c r="L4596" s="147">
        <f ca="1"/>
        <v>49835</v>
      </c>
      <c r="M4596" s="92">
        <f t="shared" ca="1" si="153"/>
        <v>6.25</v>
      </c>
      <c r="N4596" s="143">
        <f ca="1">(PRODUCT($O$5:$O4596)-1)*36000/_xlfn.DAYS(L4596, $C$2)</f>
        <v>10.766971287985083</v>
      </c>
      <c r="O4596" s="149">
        <f t="shared" ca="1" si="154"/>
        <v>1.000173611111111</v>
      </c>
    </row>
    <row r="4597" spans="12:15" x14ac:dyDescent="0.25">
      <c r="L4597" s="147">
        <f ca="1"/>
        <v>49836</v>
      </c>
      <c r="M4597" s="92">
        <f t="shared" ca="1" si="153"/>
        <v>6.25</v>
      </c>
      <c r="N4597" s="143">
        <f ca="1">(PRODUCT($O$5:$O4597)-1)*36000/_xlfn.DAYS(L4597, $C$2)</f>
        <v>10.76785670002271</v>
      </c>
      <c r="O4597" s="149">
        <f t="shared" ca="1" si="154"/>
        <v>1.000173611111111</v>
      </c>
    </row>
    <row r="4598" spans="12:15" x14ac:dyDescent="0.25">
      <c r="L4598" s="147">
        <f ca="1"/>
        <v>49837</v>
      </c>
      <c r="M4598" s="92">
        <f t="shared" ca="1" si="153"/>
        <v>6.25</v>
      </c>
      <c r="N4598" s="143">
        <f ca="1">(PRODUCT($O$5:$O4598)-1)*36000/_xlfn.DAYS(L4598, $C$2)</f>
        <v>10.768742287172579</v>
      </c>
      <c r="O4598" s="149">
        <f t="shared" ca="1" si="154"/>
        <v>1.000173611111111</v>
      </c>
    </row>
    <row r="4599" spans="12:15" x14ac:dyDescent="0.25">
      <c r="L4599" s="147">
        <f ca="1"/>
        <v>49838</v>
      </c>
      <c r="M4599" s="92">
        <f t="shared" ca="1" si="153"/>
        <v>6.25</v>
      </c>
      <c r="N4599" s="143">
        <f ca="1">(PRODUCT($O$5:$O4599)-1)*36000/_xlfn.DAYS(L4599, $C$2)</f>
        <v>10.769628049417664</v>
      </c>
      <c r="O4599" s="149">
        <f t="shared" ca="1" si="154"/>
        <v>1.000173611111111</v>
      </c>
    </row>
    <row r="4600" spans="12:15" x14ac:dyDescent="0.25">
      <c r="L4600" s="147">
        <f ca="1"/>
        <v>49839</v>
      </c>
      <c r="M4600" s="92">
        <f t="shared" ca="1" si="153"/>
        <v>6.25</v>
      </c>
      <c r="N4600" s="143">
        <f ca="1">(PRODUCT($O$5:$O4600)-1)*36000/_xlfn.DAYS(L4600, $C$2)</f>
        <v>10.770513986740967</v>
      </c>
      <c r="O4600" s="149">
        <f t="shared" ca="1" si="154"/>
        <v>1.000173611111111</v>
      </c>
    </row>
    <row r="4601" spans="12:15" x14ac:dyDescent="0.25">
      <c r="L4601" s="147">
        <f ca="1"/>
        <v>49840</v>
      </c>
      <c r="M4601" s="92">
        <f t="shared" ca="1" si="153"/>
        <v>6.25</v>
      </c>
      <c r="N4601" s="143">
        <f ca="1">(PRODUCT($O$5:$O4601)-1)*36000/_xlfn.DAYS(L4601, $C$2)</f>
        <v>10.771400099125534</v>
      </c>
      <c r="O4601" s="149">
        <f t="shared" ca="1" si="154"/>
        <v>1.000173611111111</v>
      </c>
    </row>
    <row r="4602" spans="12:15" x14ac:dyDescent="0.25">
      <c r="L4602" s="147">
        <f ca="1"/>
        <v>49841</v>
      </c>
      <c r="M4602" s="92">
        <f t="shared" ca="1" si="153"/>
        <v>6.25</v>
      </c>
      <c r="N4602" s="143">
        <f ca="1">(PRODUCT($O$5:$O4602)-1)*36000/_xlfn.DAYS(L4602, $C$2)</f>
        <v>10.772286386554422</v>
      </c>
      <c r="O4602" s="149">
        <f t="shared" ca="1" si="154"/>
        <v>1.000173611111111</v>
      </c>
    </row>
    <row r="4603" spans="12:15" x14ac:dyDescent="0.25">
      <c r="L4603" s="147">
        <f ca="1"/>
        <v>49842</v>
      </c>
      <c r="M4603" s="92">
        <f t="shared" ca="1" si="153"/>
        <v>6.25</v>
      </c>
      <c r="N4603" s="143">
        <f ca="1">(PRODUCT($O$5:$O4603)-1)*36000/_xlfn.DAYS(L4603, $C$2)</f>
        <v>10.77317284901074</v>
      </c>
      <c r="O4603" s="149">
        <f t="shared" ca="1" si="154"/>
        <v>1.000173611111111</v>
      </c>
    </row>
    <row r="4604" spans="12:15" x14ac:dyDescent="0.25">
      <c r="L4604" s="147">
        <f ca="1"/>
        <v>49843</v>
      </c>
      <c r="M4604" s="92">
        <f t="shared" ca="1" si="153"/>
        <v>6.25</v>
      </c>
      <c r="N4604" s="143">
        <f ca="1">(PRODUCT($O$5:$O4604)-1)*36000/_xlfn.DAYS(L4604, $C$2)</f>
        <v>10.774059486477611</v>
      </c>
      <c r="O4604" s="149">
        <f t="shared" ca="1" si="154"/>
        <v>1.000173611111111</v>
      </c>
    </row>
    <row r="4605" spans="12:15" x14ac:dyDescent="0.25">
      <c r="L4605" s="147">
        <f ca="1"/>
        <v>49844</v>
      </c>
      <c r="M4605" s="92">
        <f t="shared" ca="1" si="153"/>
        <v>6.25</v>
      </c>
      <c r="N4605" s="143">
        <f ca="1">(PRODUCT($O$5:$O4605)-1)*36000/_xlfn.DAYS(L4605, $C$2)</f>
        <v>10.774946298938204</v>
      </c>
      <c r="O4605" s="149">
        <f t="shared" ca="1" si="154"/>
        <v>1.000173611111111</v>
      </c>
    </row>
    <row r="4606" spans="12:15" x14ac:dyDescent="0.25">
      <c r="L4606" s="147">
        <f ca="1"/>
        <v>49845</v>
      </c>
      <c r="M4606" s="92">
        <f t="shared" ca="1" si="153"/>
        <v>6.25</v>
      </c>
      <c r="N4606" s="143">
        <f ca="1">(PRODUCT($O$5:$O4606)-1)*36000/_xlfn.DAYS(L4606, $C$2)</f>
        <v>10.775833286375713</v>
      </c>
      <c r="O4606" s="149">
        <f t="shared" ca="1" si="154"/>
        <v>1.000173611111111</v>
      </c>
    </row>
    <row r="4607" spans="12:15" x14ac:dyDescent="0.25">
      <c r="L4607" s="147">
        <f ca="1"/>
        <v>49846</v>
      </c>
      <c r="M4607" s="92">
        <f t="shared" ca="1" si="153"/>
        <v>6.25</v>
      </c>
      <c r="N4607" s="143">
        <f ca="1">(PRODUCT($O$5:$O4607)-1)*36000/_xlfn.DAYS(L4607, $C$2)</f>
        <v>10.776720448773363</v>
      </c>
      <c r="O4607" s="149">
        <f t="shared" ca="1" si="154"/>
        <v>1.000173611111111</v>
      </c>
    </row>
    <row r="4608" spans="12:15" x14ac:dyDescent="0.25">
      <c r="L4608" s="147">
        <f ca="1"/>
        <v>49847</v>
      </c>
      <c r="M4608" s="92">
        <f t="shared" ca="1" si="153"/>
        <v>6.25</v>
      </c>
      <c r="N4608" s="143">
        <f ca="1">(PRODUCT($O$5:$O4608)-1)*36000/_xlfn.DAYS(L4608, $C$2)</f>
        <v>10.777607786114409</v>
      </c>
      <c r="O4608" s="149">
        <f t="shared" ca="1" si="154"/>
        <v>1.000173611111111</v>
      </c>
    </row>
    <row r="4609" spans="12:15" x14ac:dyDescent="0.25">
      <c r="L4609" s="147">
        <f ca="1"/>
        <v>49848</v>
      </c>
      <c r="M4609" s="92">
        <f t="shared" ca="1" si="153"/>
        <v>6.25</v>
      </c>
      <c r="N4609" s="143">
        <f ca="1">(PRODUCT($O$5:$O4609)-1)*36000/_xlfn.DAYS(L4609, $C$2)</f>
        <v>10.778495298382143</v>
      </c>
      <c r="O4609" s="149">
        <f t="shared" ca="1" si="154"/>
        <v>1.000173611111111</v>
      </c>
    </row>
    <row r="4610" spans="12:15" x14ac:dyDescent="0.25">
      <c r="L4610" s="147">
        <f ca="1"/>
        <v>49849</v>
      </c>
      <c r="M4610" s="92">
        <f t="shared" ca="1" si="153"/>
        <v>6.25</v>
      </c>
      <c r="N4610" s="143">
        <f ca="1">(PRODUCT($O$5:$O4610)-1)*36000/_xlfn.DAYS(L4610, $C$2)</f>
        <v>10.779382985559888</v>
      </c>
      <c r="O4610" s="149">
        <f t="shared" ca="1" si="154"/>
        <v>1.000173611111111</v>
      </c>
    </row>
    <row r="4611" spans="12:15" x14ac:dyDescent="0.25">
      <c r="L4611" s="147">
        <f ca="1"/>
        <v>49850</v>
      </c>
      <c r="M4611" s="92">
        <f t="shared" ca="1" si="153"/>
        <v>6.25</v>
      </c>
      <c r="N4611" s="143">
        <f ca="1">(PRODUCT($O$5:$O4611)-1)*36000/_xlfn.DAYS(L4611, $C$2)</f>
        <v>10.780270847630991</v>
      </c>
      <c r="O4611" s="149">
        <f t="shared" ca="1" si="154"/>
        <v>1.000173611111111</v>
      </c>
    </row>
    <row r="4612" spans="12:15" x14ac:dyDescent="0.25">
      <c r="L4612" s="147">
        <f ca="1"/>
        <v>49851</v>
      </c>
      <c r="M4612" s="92">
        <f t="shared" ca="1" si="153"/>
        <v>6.25</v>
      </c>
      <c r="N4612" s="143">
        <f ca="1">(PRODUCT($O$5:$O4612)-1)*36000/_xlfn.DAYS(L4612, $C$2)</f>
        <v>10.781158884578836</v>
      </c>
      <c r="O4612" s="149">
        <f t="shared" ca="1" si="154"/>
        <v>1.000173611111111</v>
      </c>
    </row>
    <row r="4613" spans="12:15" x14ac:dyDescent="0.25">
      <c r="L4613" s="147">
        <f ca="1"/>
        <v>49852</v>
      </c>
      <c r="M4613" s="92">
        <f t="shared" ref="M4613:M4676" ca="1" si="155">IFERROR(INDEX($E$27:$H$47, MATCH(L4613, $F$27:$F$47, 0), 4), IF(ISNUMBER(M4612), M4612, $C$5))</f>
        <v>6.25</v>
      </c>
      <c r="N4613" s="143">
        <f ca="1">(PRODUCT($O$5:$O4613)-1)*36000/_xlfn.DAYS(L4613, $C$2)</f>
        <v>10.782047096386837</v>
      </c>
      <c r="O4613" s="149">
        <f t="shared" ca="1" si="154"/>
        <v>1.000173611111111</v>
      </c>
    </row>
    <row r="4614" spans="12:15" x14ac:dyDescent="0.25">
      <c r="L4614" s="147">
        <f ca="1"/>
        <v>49853</v>
      </c>
      <c r="M4614" s="92">
        <f t="shared" ca="1" si="155"/>
        <v>6.25</v>
      </c>
      <c r="N4614" s="143">
        <f ca="1">(PRODUCT($O$5:$O4614)-1)*36000/_xlfn.DAYS(L4614, $C$2)</f>
        <v>10.78293548303844</v>
      </c>
      <c r="O4614" s="149">
        <f t="shared" ref="O4614:O4677" ca="1" si="156">1+M4614*IFERROR(_xlfn.DAYS(L4614, L4613), _xlfn.DAYS(L4614, $C$2))/36000</f>
        <v>1.000173611111111</v>
      </c>
    </row>
    <row r="4615" spans="12:15" x14ac:dyDescent="0.25">
      <c r="L4615" s="147">
        <f ca="1"/>
        <v>49854</v>
      </c>
      <c r="M4615" s="92">
        <f t="shared" ca="1" si="155"/>
        <v>6.25</v>
      </c>
      <c r="N4615" s="143">
        <f ca="1">(PRODUCT($O$5:$O4615)-1)*36000/_xlfn.DAYS(L4615, $C$2)</f>
        <v>10.783824044517122</v>
      </c>
      <c r="O4615" s="149">
        <f t="shared" ca="1" si="156"/>
        <v>1.000173611111111</v>
      </c>
    </row>
    <row r="4616" spans="12:15" x14ac:dyDescent="0.25">
      <c r="L4616" s="147">
        <f ca="1"/>
        <v>49855</v>
      </c>
      <c r="M4616" s="92">
        <f t="shared" ca="1" si="155"/>
        <v>6.25</v>
      </c>
      <c r="N4616" s="143">
        <f ca="1">(PRODUCT($O$5:$O4616)-1)*36000/_xlfn.DAYS(L4616, $C$2)</f>
        <v>10.784712780806391</v>
      </c>
      <c r="O4616" s="149">
        <f t="shared" ca="1" si="156"/>
        <v>1.000173611111111</v>
      </c>
    </row>
    <row r="4617" spans="12:15" x14ac:dyDescent="0.25">
      <c r="L4617" s="147">
        <f ca="1"/>
        <v>49856</v>
      </c>
      <c r="M4617" s="92">
        <f t="shared" ca="1" si="155"/>
        <v>6.25</v>
      </c>
      <c r="N4617" s="143">
        <f ca="1">(PRODUCT($O$5:$O4617)-1)*36000/_xlfn.DAYS(L4617, $C$2)</f>
        <v>10.785601691889788</v>
      </c>
      <c r="O4617" s="149">
        <f t="shared" ca="1" si="156"/>
        <v>1.000173611111111</v>
      </c>
    </row>
    <row r="4618" spans="12:15" x14ac:dyDescent="0.25">
      <c r="L4618" s="147">
        <f ca="1"/>
        <v>49857</v>
      </c>
      <c r="M4618" s="92">
        <f t="shared" ca="1" si="155"/>
        <v>6.25</v>
      </c>
      <c r="N4618" s="143">
        <f ca="1">(PRODUCT($O$5:$O4618)-1)*36000/_xlfn.DAYS(L4618, $C$2)</f>
        <v>10.786490777750881</v>
      </c>
      <c r="O4618" s="149">
        <f t="shared" ca="1" si="156"/>
        <v>1.000173611111111</v>
      </c>
    </row>
    <row r="4619" spans="12:15" x14ac:dyDescent="0.25">
      <c r="L4619" s="147">
        <f ca="1"/>
        <v>49858</v>
      </c>
      <c r="M4619" s="92">
        <f t="shared" ca="1" si="155"/>
        <v>6.25</v>
      </c>
      <c r="N4619" s="143">
        <f ca="1">(PRODUCT($O$5:$O4619)-1)*36000/_xlfn.DAYS(L4619, $C$2)</f>
        <v>10.787380038373273</v>
      </c>
      <c r="O4619" s="149">
        <f t="shared" ca="1" si="156"/>
        <v>1.000173611111111</v>
      </c>
    </row>
    <row r="4620" spans="12:15" x14ac:dyDescent="0.25">
      <c r="L4620" s="147">
        <f ca="1"/>
        <v>49859</v>
      </c>
      <c r="M4620" s="92">
        <f t="shared" ca="1" si="155"/>
        <v>6.25</v>
      </c>
      <c r="N4620" s="143">
        <f ca="1">(PRODUCT($O$5:$O4620)-1)*36000/_xlfn.DAYS(L4620, $C$2)</f>
        <v>10.788269473740595</v>
      </c>
      <c r="O4620" s="149">
        <f t="shared" ca="1" si="156"/>
        <v>1.000173611111111</v>
      </c>
    </row>
    <row r="4621" spans="12:15" x14ac:dyDescent="0.25">
      <c r="L4621" s="147">
        <f ca="1"/>
        <v>49860</v>
      </c>
      <c r="M4621" s="92">
        <f t="shared" ca="1" si="155"/>
        <v>6.25</v>
      </c>
      <c r="N4621" s="143">
        <f ca="1">(PRODUCT($O$5:$O4621)-1)*36000/_xlfn.DAYS(L4621, $C$2)</f>
        <v>10.789159083836511</v>
      </c>
      <c r="O4621" s="149">
        <f t="shared" ca="1" si="156"/>
        <v>1.000173611111111</v>
      </c>
    </row>
    <row r="4622" spans="12:15" x14ac:dyDescent="0.25">
      <c r="L4622" s="147">
        <f ca="1"/>
        <v>49861</v>
      </c>
      <c r="M4622" s="92">
        <f t="shared" ca="1" si="155"/>
        <v>6.25</v>
      </c>
      <c r="N4622" s="143">
        <f ca="1">(PRODUCT($O$5:$O4622)-1)*36000/_xlfn.DAYS(L4622, $C$2)</f>
        <v>10.790048868644716</v>
      </c>
      <c r="O4622" s="149">
        <f t="shared" ca="1" si="156"/>
        <v>1.000173611111111</v>
      </c>
    </row>
    <row r="4623" spans="12:15" x14ac:dyDescent="0.25">
      <c r="L4623" s="147">
        <f ca="1"/>
        <v>49862</v>
      </c>
      <c r="M4623" s="92">
        <f t="shared" ca="1" si="155"/>
        <v>6.25</v>
      </c>
      <c r="N4623" s="143">
        <f ca="1">(PRODUCT($O$5:$O4623)-1)*36000/_xlfn.DAYS(L4623, $C$2)</f>
        <v>10.790938828148935</v>
      </c>
      <c r="O4623" s="149">
        <f t="shared" ca="1" si="156"/>
        <v>1.000173611111111</v>
      </c>
    </row>
    <row r="4624" spans="12:15" x14ac:dyDescent="0.25">
      <c r="L4624" s="147">
        <f ca="1"/>
        <v>49863</v>
      </c>
      <c r="M4624" s="92">
        <f t="shared" ca="1" si="155"/>
        <v>6.25</v>
      </c>
      <c r="N4624" s="143">
        <f ca="1">(PRODUCT($O$5:$O4624)-1)*36000/_xlfn.DAYS(L4624, $C$2)</f>
        <v>10.791828962332927</v>
      </c>
      <c r="O4624" s="149">
        <f t="shared" ca="1" si="156"/>
        <v>1.000173611111111</v>
      </c>
    </row>
    <row r="4625" spans="12:15" x14ac:dyDescent="0.25">
      <c r="L4625" s="147">
        <f ca="1"/>
        <v>49864</v>
      </c>
      <c r="M4625" s="92">
        <f t="shared" ca="1" si="155"/>
        <v>6.25</v>
      </c>
      <c r="N4625" s="143">
        <f ca="1">(PRODUCT($O$5:$O4625)-1)*36000/_xlfn.DAYS(L4625, $C$2)</f>
        <v>10.792719271180477</v>
      </c>
      <c r="O4625" s="149">
        <f t="shared" ca="1" si="156"/>
        <v>1.000173611111111</v>
      </c>
    </row>
    <row r="4626" spans="12:15" x14ac:dyDescent="0.25">
      <c r="L4626" s="147">
        <f ca="1"/>
        <v>49865</v>
      </c>
      <c r="M4626" s="92">
        <f t="shared" ca="1" si="155"/>
        <v>6.25</v>
      </c>
      <c r="N4626" s="143">
        <f ca="1">(PRODUCT($O$5:$O4626)-1)*36000/_xlfn.DAYS(L4626, $C$2)</f>
        <v>10.793609754675407</v>
      </c>
      <c r="O4626" s="149">
        <f t="shared" ca="1" si="156"/>
        <v>1.000173611111111</v>
      </c>
    </row>
    <row r="4627" spans="12:15" x14ac:dyDescent="0.25">
      <c r="L4627" s="147">
        <f ca="1"/>
        <v>49866</v>
      </c>
      <c r="M4627" s="92">
        <f t="shared" ca="1" si="155"/>
        <v>6.25</v>
      </c>
      <c r="N4627" s="143">
        <f ca="1">(PRODUCT($O$5:$O4627)-1)*36000/_xlfn.DAYS(L4627, $C$2)</f>
        <v>10.794500412801561</v>
      </c>
      <c r="O4627" s="149">
        <f t="shared" ca="1" si="156"/>
        <v>1.000173611111111</v>
      </c>
    </row>
    <row r="4628" spans="12:15" x14ac:dyDescent="0.25">
      <c r="L4628" s="147">
        <f ca="1"/>
        <v>49867</v>
      </c>
      <c r="M4628" s="92">
        <f t="shared" ca="1" si="155"/>
        <v>6.25</v>
      </c>
      <c r="N4628" s="143">
        <f ca="1">(PRODUCT($O$5:$O4628)-1)*36000/_xlfn.DAYS(L4628, $C$2)</f>
        <v>10.79539124554282</v>
      </c>
      <c r="O4628" s="149">
        <f t="shared" ca="1" si="156"/>
        <v>1.000173611111111</v>
      </c>
    </row>
    <row r="4629" spans="12:15" x14ac:dyDescent="0.25">
      <c r="L4629" s="147">
        <f ca="1"/>
        <v>49868</v>
      </c>
      <c r="M4629" s="92">
        <f t="shared" ca="1" si="155"/>
        <v>6.25</v>
      </c>
      <c r="N4629" s="143">
        <f ca="1">(PRODUCT($O$5:$O4629)-1)*36000/_xlfn.DAYS(L4629, $C$2)</f>
        <v>10.796282252883097</v>
      </c>
      <c r="O4629" s="149">
        <f t="shared" ca="1" si="156"/>
        <v>1.000173611111111</v>
      </c>
    </row>
    <row r="4630" spans="12:15" x14ac:dyDescent="0.25">
      <c r="L4630" s="147">
        <f ca="1"/>
        <v>49869</v>
      </c>
      <c r="M4630" s="92">
        <f t="shared" ca="1" si="155"/>
        <v>6.25</v>
      </c>
      <c r="N4630" s="143">
        <f ca="1">(PRODUCT($O$5:$O4630)-1)*36000/_xlfn.DAYS(L4630, $C$2)</f>
        <v>10.797173434806332</v>
      </c>
      <c r="O4630" s="149">
        <f t="shared" ca="1" si="156"/>
        <v>1.000173611111111</v>
      </c>
    </row>
    <row r="4631" spans="12:15" x14ac:dyDescent="0.25">
      <c r="L4631" s="147">
        <f ca="1"/>
        <v>49870</v>
      </c>
      <c r="M4631" s="92">
        <f t="shared" ca="1" si="155"/>
        <v>6.25</v>
      </c>
      <c r="N4631" s="143">
        <f ca="1">(PRODUCT($O$5:$O4631)-1)*36000/_xlfn.DAYS(L4631, $C$2)</f>
        <v>10.798064791296502</v>
      </c>
      <c r="O4631" s="149">
        <f t="shared" ca="1" si="156"/>
        <v>1.000173611111111</v>
      </c>
    </row>
    <row r="4632" spans="12:15" x14ac:dyDescent="0.25">
      <c r="L4632" s="147">
        <f ca="1"/>
        <v>49871</v>
      </c>
      <c r="M4632" s="92">
        <f t="shared" ca="1" si="155"/>
        <v>6.25</v>
      </c>
      <c r="N4632" s="143">
        <f ca="1">(PRODUCT($O$5:$O4632)-1)*36000/_xlfn.DAYS(L4632, $C$2)</f>
        <v>10.798956322337606</v>
      </c>
      <c r="O4632" s="149">
        <f t="shared" ca="1" si="156"/>
        <v>1.000173611111111</v>
      </c>
    </row>
    <row r="4633" spans="12:15" x14ac:dyDescent="0.25">
      <c r="L4633" s="147">
        <f ca="1"/>
        <v>49872</v>
      </c>
      <c r="M4633" s="92">
        <f t="shared" ca="1" si="155"/>
        <v>6.25</v>
      </c>
      <c r="N4633" s="143">
        <f ca="1">(PRODUCT($O$5:$O4633)-1)*36000/_xlfn.DAYS(L4633, $C$2)</f>
        <v>10.799848027913681</v>
      </c>
      <c r="O4633" s="149">
        <f t="shared" ca="1" si="156"/>
        <v>1.000173611111111</v>
      </c>
    </row>
    <row r="4634" spans="12:15" x14ac:dyDescent="0.25">
      <c r="L4634" s="147">
        <f ca="1"/>
        <v>49873</v>
      </c>
      <c r="M4634" s="92">
        <f t="shared" ca="1" si="155"/>
        <v>6.25</v>
      </c>
      <c r="N4634" s="143">
        <f ca="1">(PRODUCT($O$5:$O4634)-1)*36000/_xlfn.DAYS(L4634, $C$2)</f>
        <v>10.800739908008788</v>
      </c>
      <c r="O4634" s="149">
        <f t="shared" ca="1" si="156"/>
        <v>1.000173611111111</v>
      </c>
    </row>
    <row r="4635" spans="12:15" x14ac:dyDescent="0.25">
      <c r="L4635" s="147">
        <f ca="1"/>
        <v>49874</v>
      </c>
      <c r="M4635" s="92">
        <f t="shared" ca="1" si="155"/>
        <v>6.25</v>
      </c>
      <c r="N4635" s="143">
        <f ca="1">(PRODUCT($O$5:$O4635)-1)*36000/_xlfn.DAYS(L4635, $C$2)</f>
        <v>10.801631962607026</v>
      </c>
      <c r="O4635" s="149">
        <f t="shared" ca="1" si="156"/>
        <v>1.000173611111111</v>
      </c>
    </row>
    <row r="4636" spans="12:15" x14ac:dyDescent="0.25">
      <c r="L4636" s="147">
        <f ca="1"/>
        <v>49875</v>
      </c>
      <c r="M4636" s="92">
        <f t="shared" ca="1" si="155"/>
        <v>6.25</v>
      </c>
      <c r="N4636" s="143">
        <f ca="1">(PRODUCT($O$5:$O4636)-1)*36000/_xlfn.DAYS(L4636, $C$2)</f>
        <v>10.802524191692516</v>
      </c>
      <c r="O4636" s="149">
        <f t="shared" ca="1" si="156"/>
        <v>1.000173611111111</v>
      </c>
    </row>
    <row r="4637" spans="12:15" x14ac:dyDescent="0.25">
      <c r="L4637" s="147">
        <f ca="1"/>
        <v>49876</v>
      </c>
      <c r="M4637" s="92">
        <f t="shared" ca="1" si="155"/>
        <v>6.25</v>
      </c>
      <c r="N4637" s="143">
        <f ca="1">(PRODUCT($O$5:$O4637)-1)*36000/_xlfn.DAYS(L4637, $C$2)</f>
        <v>10.803416595249416</v>
      </c>
      <c r="O4637" s="149">
        <f t="shared" ca="1" si="156"/>
        <v>1.000173611111111</v>
      </c>
    </row>
    <row r="4638" spans="12:15" x14ac:dyDescent="0.25">
      <c r="L4638" s="147">
        <f ca="1"/>
        <v>49877</v>
      </c>
      <c r="M4638" s="92">
        <f t="shared" ca="1" si="155"/>
        <v>6.25</v>
      </c>
      <c r="N4638" s="143">
        <f ca="1">(PRODUCT($O$5:$O4638)-1)*36000/_xlfn.DAYS(L4638, $C$2)</f>
        <v>10.804309173261913</v>
      </c>
      <c r="O4638" s="149">
        <f t="shared" ca="1" si="156"/>
        <v>1.000173611111111</v>
      </c>
    </row>
    <row r="4639" spans="12:15" x14ac:dyDescent="0.25">
      <c r="L4639" s="147">
        <f ca="1"/>
        <v>49878</v>
      </c>
      <c r="M4639" s="92">
        <f t="shared" ca="1" si="155"/>
        <v>6.25</v>
      </c>
      <c r="N4639" s="143">
        <f ca="1">(PRODUCT($O$5:$O4639)-1)*36000/_xlfn.DAYS(L4639, $C$2)</f>
        <v>10.805201925714227</v>
      </c>
      <c r="O4639" s="149">
        <f t="shared" ca="1" si="156"/>
        <v>1.000173611111111</v>
      </c>
    </row>
    <row r="4640" spans="12:15" x14ac:dyDescent="0.25">
      <c r="L4640" s="147">
        <f ca="1"/>
        <v>49879</v>
      </c>
      <c r="M4640" s="92">
        <f t="shared" ca="1" si="155"/>
        <v>6.25</v>
      </c>
      <c r="N4640" s="143">
        <f ca="1">(PRODUCT($O$5:$O4640)-1)*36000/_xlfn.DAYS(L4640, $C$2)</f>
        <v>10.806094852590604</v>
      </c>
      <c r="O4640" s="149">
        <f t="shared" ca="1" si="156"/>
        <v>1.000173611111111</v>
      </c>
    </row>
    <row r="4641" spans="12:15" x14ac:dyDescent="0.25">
      <c r="L4641" s="147">
        <f ca="1"/>
        <v>49880</v>
      </c>
      <c r="M4641" s="92">
        <f t="shared" ca="1" si="155"/>
        <v>6.25</v>
      </c>
      <c r="N4641" s="143">
        <f ca="1">(PRODUCT($O$5:$O4641)-1)*36000/_xlfn.DAYS(L4641, $C$2)</f>
        <v>10.80698795387532</v>
      </c>
      <c r="O4641" s="149">
        <f t="shared" ca="1" si="156"/>
        <v>1.000173611111111</v>
      </c>
    </row>
    <row r="4642" spans="12:15" x14ac:dyDescent="0.25">
      <c r="L4642" s="147">
        <f ca="1"/>
        <v>49881</v>
      </c>
      <c r="M4642" s="92">
        <f t="shared" ca="1" si="155"/>
        <v>6.25</v>
      </c>
      <c r="N4642" s="143">
        <f ca="1">(PRODUCT($O$5:$O4642)-1)*36000/_xlfn.DAYS(L4642, $C$2)</f>
        <v>10.807881229552686</v>
      </c>
      <c r="O4642" s="149">
        <f t="shared" ca="1" si="156"/>
        <v>1.000173611111111</v>
      </c>
    </row>
    <row r="4643" spans="12:15" x14ac:dyDescent="0.25">
      <c r="L4643" s="147">
        <f ca="1"/>
        <v>49882</v>
      </c>
      <c r="M4643" s="92">
        <f t="shared" ca="1" si="155"/>
        <v>6.25</v>
      </c>
      <c r="N4643" s="143">
        <f ca="1">(PRODUCT($O$5:$O4643)-1)*36000/_xlfn.DAYS(L4643, $C$2)</f>
        <v>10.808774679607041</v>
      </c>
      <c r="O4643" s="149">
        <f t="shared" ca="1" si="156"/>
        <v>1.000173611111111</v>
      </c>
    </row>
    <row r="4644" spans="12:15" x14ac:dyDescent="0.25">
      <c r="L4644" s="147">
        <f ca="1"/>
        <v>49883</v>
      </c>
      <c r="M4644" s="92">
        <f t="shared" ca="1" si="155"/>
        <v>6.25</v>
      </c>
      <c r="N4644" s="143">
        <f ca="1">(PRODUCT($O$5:$O4644)-1)*36000/_xlfn.DAYS(L4644, $C$2)</f>
        <v>10.809668304022752</v>
      </c>
      <c r="O4644" s="149">
        <f t="shared" ca="1" si="156"/>
        <v>1.000173611111111</v>
      </c>
    </row>
    <row r="4645" spans="12:15" x14ac:dyDescent="0.25">
      <c r="L4645" s="147">
        <f ca="1"/>
        <v>49884</v>
      </c>
      <c r="M4645" s="92">
        <f t="shared" ca="1" si="155"/>
        <v>6.25</v>
      </c>
      <c r="N4645" s="143">
        <f ca="1">(PRODUCT($O$5:$O4645)-1)*36000/_xlfn.DAYS(L4645, $C$2)</f>
        <v>10.810562102784225</v>
      </c>
      <c r="O4645" s="149">
        <f t="shared" ca="1" si="156"/>
        <v>1.000173611111111</v>
      </c>
    </row>
    <row r="4646" spans="12:15" x14ac:dyDescent="0.25">
      <c r="L4646" s="147">
        <f ca="1"/>
        <v>49885</v>
      </c>
      <c r="M4646" s="92">
        <f t="shared" ca="1" si="155"/>
        <v>6.25</v>
      </c>
      <c r="N4646" s="143">
        <f ca="1">(PRODUCT($O$5:$O4646)-1)*36000/_xlfn.DAYS(L4646, $C$2)</f>
        <v>10.811456075875883</v>
      </c>
      <c r="O4646" s="149">
        <f t="shared" ca="1" si="156"/>
        <v>1.000173611111111</v>
      </c>
    </row>
    <row r="4647" spans="12:15" x14ac:dyDescent="0.25">
      <c r="L4647" s="147">
        <f ca="1"/>
        <v>49886</v>
      </c>
      <c r="M4647" s="92">
        <f t="shared" ca="1" si="155"/>
        <v>6.25</v>
      </c>
      <c r="N4647" s="143">
        <f ca="1">(PRODUCT($O$5:$O4647)-1)*36000/_xlfn.DAYS(L4647, $C$2)</f>
        <v>10.812350223282191</v>
      </c>
      <c r="O4647" s="149">
        <f t="shared" ca="1" si="156"/>
        <v>1.000173611111111</v>
      </c>
    </row>
    <row r="4648" spans="12:15" x14ac:dyDescent="0.25">
      <c r="L4648" s="147">
        <f ca="1"/>
        <v>49887</v>
      </c>
      <c r="M4648" s="92">
        <f t="shared" ca="1" si="155"/>
        <v>6.25</v>
      </c>
      <c r="N4648" s="143">
        <f ca="1">(PRODUCT($O$5:$O4648)-1)*36000/_xlfn.DAYS(L4648, $C$2)</f>
        <v>10.813244544987636</v>
      </c>
      <c r="O4648" s="149">
        <f t="shared" ca="1" si="156"/>
        <v>1.000173611111111</v>
      </c>
    </row>
    <row r="4649" spans="12:15" x14ac:dyDescent="0.25">
      <c r="L4649" s="147">
        <f ca="1"/>
        <v>49888</v>
      </c>
      <c r="M4649" s="92">
        <f t="shared" ca="1" si="155"/>
        <v>6.25</v>
      </c>
      <c r="N4649" s="143">
        <f ca="1">(PRODUCT($O$5:$O4649)-1)*36000/_xlfn.DAYS(L4649, $C$2)</f>
        <v>10.814139040976746</v>
      </c>
      <c r="O4649" s="149">
        <f t="shared" ca="1" si="156"/>
        <v>1.000173611111111</v>
      </c>
    </row>
    <row r="4650" spans="12:15" x14ac:dyDescent="0.25">
      <c r="L4650" s="147">
        <f ca="1"/>
        <v>49889</v>
      </c>
      <c r="M4650" s="92">
        <f t="shared" ca="1" si="155"/>
        <v>6.25</v>
      </c>
      <c r="N4650" s="143">
        <f ca="1">(PRODUCT($O$5:$O4650)-1)*36000/_xlfn.DAYS(L4650, $C$2)</f>
        <v>10.815033711234063</v>
      </c>
      <c r="O4650" s="149">
        <f t="shared" ca="1" si="156"/>
        <v>1.000173611111111</v>
      </c>
    </row>
    <row r="4651" spans="12:15" x14ac:dyDescent="0.25">
      <c r="L4651" s="147">
        <f ca="1"/>
        <v>49890</v>
      </c>
      <c r="M4651" s="92">
        <f t="shared" ca="1" si="155"/>
        <v>6.25</v>
      </c>
      <c r="N4651" s="143">
        <f ca="1">(PRODUCT($O$5:$O4651)-1)*36000/_xlfn.DAYS(L4651, $C$2)</f>
        <v>10.815928555744174</v>
      </c>
      <c r="O4651" s="149">
        <f t="shared" ca="1" si="156"/>
        <v>1.000173611111111</v>
      </c>
    </row>
    <row r="4652" spans="12:15" x14ac:dyDescent="0.25">
      <c r="L4652" s="147">
        <f ca="1"/>
        <v>49891</v>
      </c>
      <c r="M4652" s="92">
        <f t="shared" ca="1" si="155"/>
        <v>6.25</v>
      </c>
      <c r="N4652" s="143">
        <f ca="1">(PRODUCT($O$5:$O4652)-1)*36000/_xlfn.DAYS(L4652, $C$2)</f>
        <v>10.816823574491686</v>
      </c>
      <c r="O4652" s="149">
        <f t="shared" ca="1" si="156"/>
        <v>1.000173611111111</v>
      </c>
    </row>
    <row r="4653" spans="12:15" x14ac:dyDescent="0.25">
      <c r="L4653" s="147">
        <f ca="1"/>
        <v>49892</v>
      </c>
      <c r="M4653" s="92">
        <f t="shared" ca="1" si="155"/>
        <v>6.25</v>
      </c>
      <c r="N4653" s="143">
        <f ca="1">(PRODUCT($O$5:$O4653)-1)*36000/_xlfn.DAYS(L4653, $C$2)</f>
        <v>10.817718767461242</v>
      </c>
      <c r="O4653" s="149">
        <f t="shared" ca="1" si="156"/>
        <v>1.000173611111111</v>
      </c>
    </row>
    <row r="4654" spans="12:15" x14ac:dyDescent="0.25">
      <c r="L4654" s="147">
        <f ca="1"/>
        <v>49893</v>
      </c>
      <c r="M4654" s="92">
        <f t="shared" ca="1" si="155"/>
        <v>6.25</v>
      </c>
      <c r="N4654" s="143">
        <f ca="1">(PRODUCT($O$5:$O4654)-1)*36000/_xlfn.DAYS(L4654, $C$2)</f>
        <v>10.818614134637516</v>
      </c>
      <c r="O4654" s="149">
        <f t="shared" ca="1" si="156"/>
        <v>1.000173611111111</v>
      </c>
    </row>
    <row r="4655" spans="12:15" x14ac:dyDescent="0.25">
      <c r="L4655" s="147">
        <f ca="1"/>
        <v>49894</v>
      </c>
      <c r="M4655" s="92">
        <f t="shared" ca="1" si="155"/>
        <v>6.25</v>
      </c>
      <c r="N4655" s="143">
        <f ca="1">(PRODUCT($O$5:$O4655)-1)*36000/_xlfn.DAYS(L4655, $C$2)</f>
        <v>10.819509676005207</v>
      </c>
      <c r="O4655" s="149">
        <f t="shared" ca="1" si="156"/>
        <v>1.000173611111111</v>
      </c>
    </row>
    <row r="4656" spans="12:15" x14ac:dyDescent="0.25">
      <c r="L4656" s="147">
        <f ca="1"/>
        <v>49895</v>
      </c>
      <c r="M4656" s="92">
        <f t="shared" ca="1" si="155"/>
        <v>6.25</v>
      </c>
      <c r="N4656" s="143">
        <f ca="1">(PRODUCT($O$5:$O4656)-1)*36000/_xlfn.DAYS(L4656, $C$2)</f>
        <v>10.820405391549045</v>
      </c>
      <c r="O4656" s="149">
        <f t="shared" ca="1" si="156"/>
        <v>1.000173611111111</v>
      </c>
    </row>
    <row r="4657" spans="12:15" x14ac:dyDescent="0.25">
      <c r="L4657" s="147">
        <f ca="1"/>
        <v>49896</v>
      </c>
      <c r="M4657" s="92">
        <f t="shared" ca="1" si="155"/>
        <v>6.25</v>
      </c>
      <c r="N4657" s="143">
        <f ca="1">(PRODUCT($O$5:$O4657)-1)*36000/_xlfn.DAYS(L4657, $C$2)</f>
        <v>10.821301281253797</v>
      </c>
      <c r="O4657" s="149">
        <f t="shared" ca="1" si="156"/>
        <v>1.000173611111111</v>
      </c>
    </row>
    <row r="4658" spans="12:15" x14ac:dyDescent="0.25">
      <c r="L4658" s="147">
        <f ca="1"/>
        <v>49897</v>
      </c>
      <c r="M4658" s="92">
        <f t="shared" ca="1" si="155"/>
        <v>6.25</v>
      </c>
      <c r="N4658" s="143">
        <f ca="1">(PRODUCT($O$5:$O4658)-1)*36000/_xlfn.DAYS(L4658, $C$2)</f>
        <v>10.822197345104248</v>
      </c>
      <c r="O4658" s="149">
        <f t="shared" ca="1" si="156"/>
        <v>1.000173611111111</v>
      </c>
    </row>
    <row r="4659" spans="12:15" x14ac:dyDescent="0.25">
      <c r="L4659" s="147">
        <f ca="1"/>
        <v>49898</v>
      </c>
      <c r="M4659" s="92">
        <f t="shared" ca="1" si="155"/>
        <v>6.25</v>
      </c>
      <c r="N4659" s="143">
        <f ca="1">(PRODUCT($O$5:$O4659)-1)*36000/_xlfn.DAYS(L4659, $C$2)</f>
        <v>10.823093583085223</v>
      </c>
      <c r="O4659" s="149">
        <f t="shared" ca="1" si="156"/>
        <v>1.000173611111111</v>
      </c>
    </row>
    <row r="4660" spans="12:15" x14ac:dyDescent="0.25">
      <c r="L4660" s="147">
        <f ca="1"/>
        <v>49899</v>
      </c>
      <c r="M4660" s="92">
        <f t="shared" ca="1" si="155"/>
        <v>6.25</v>
      </c>
      <c r="N4660" s="143">
        <f ca="1">(PRODUCT($O$5:$O4660)-1)*36000/_xlfn.DAYS(L4660, $C$2)</f>
        <v>10.823989995181572</v>
      </c>
      <c r="O4660" s="149">
        <f t="shared" ca="1" si="156"/>
        <v>1.000173611111111</v>
      </c>
    </row>
    <row r="4661" spans="12:15" x14ac:dyDescent="0.25">
      <c r="L4661" s="147">
        <f ca="1"/>
        <v>49900</v>
      </c>
      <c r="M4661" s="92">
        <f t="shared" ca="1" si="155"/>
        <v>6.25</v>
      </c>
      <c r="N4661" s="143">
        <f ca="1">(PRODUCT($O$5:$O4661)-1)*36000/_xlfn.DAYS(L4661, $C$2)</f>
        <v>10.824886581378173</v>
      </c>
      <c r="O4661" s="149">
        <f t="shared" ca="1" si="156"/>
        <v>1.000173611111111</v>
      </c>
    </row>
    <row r="4662" spans="12:15" x14ac:dyDescent="0.25">
      <c r="L4662" s="147">
        <f ca="1"/>
        <v>49901</v>
      </c>
      <c r="M4662" s="92">
        <f t="shared" ca="1" si="155"/>
        <v>6.25</v>
      </c>
      <c r="N4662" s="143">
        <f ca="1">(PRODUCT($O$5:$O4662)-1)*36000/_xlfn.DAYS(L4662, $C$2)</f>
        <v>10.825783341659941</v>
      </c>
      <c r="O4662" s="149">
        <f t="shared" ca="1" si="156"/>
        <v>1.000173611111111</v>
      </c>
    </row>
    <row r="4663" spans="12:15" x14ac:dyDescent="0.25">
      <c r="L4663" s="147">
        <f ca="1"/>
        <v>49902</v>
      </c>
      <c r="M4663" s="92">
        <f t="shared" ca="1" si="155"/>
        <v>6.25</v>
      </c>
      <c r="N4663" s="143">
        <f ca="1">(PRODUCT($O$5:$O4663)-1)*36000/_xlfn.DAYS(L4663, $C$2)</f>
        <v>10.826680276011816</v>
      </c>
      <c r="O4663" s="149">
        <f t="shared" ca="1" si="156"/>
        <v>1.000173611111111</v>
      </c>
    </row>
    <row r="4664" spans="12:15" x14ac:dyDescent="0.25">
      <c r="L4664" s="147">
        <f ca="1"/>
        <v>49903</v>
      </c>
      <c r="M4664" s="92">
        <f t="shared" ca="1" si="155"/>
        <v>6.25</v>
      </c>
      <c r="N4664" s="143">
        <f ca="1">(PRODUCT($O$5:$O4664)-1)*36000/_xlfn.DAYS(L4664, $C$2)</f>
        <v>10.82757738441877</v>
      </c>
      <c r="O4664" s="149">
        <f t="shared" ca="1" si="156"/>
        <v>1.000173611111111</v>
      </c>
    </row>
    <row r="4665" spans="12:15" x14ac:dyDescent="0.25">
      <c r="L4665" s="147">
        <f ca="1"/>
        <v>49904</v>
      </c>
      <c r="M4665" s="92">
        <f t="shared" ca="1" si="155"/>
        <v>6.25</v>
      </c>
      <c r="N4665" s="143">
        <f ca="1">(PRODUCT($O$5:$O4665)-1)*36000/_xlfn.DAYS(L4665, $C$2)</f>
        <v>10.8284746668658</v>
      </c>
      <c r="O4665" s="149">
        <f t="shared" ca="1" si="156"/>
        <v>1.000173611111111</v>
      </c>
    </row>
    <row r="4666" spans="12:15" x14ac:dyDescent="0.25">
      <c r="L4666" s="147">
        <f ca="1"/>
        <v>49905</v>
      </c>
      <c r="M4666" s="92">
        <f t="shared" ca="1" si="155"/>
        <v>6.25</v>
      </c>
      <c r="N4666" s="143">
        <f ca="1">(PRODUCT($O$5:$O4666)-1)*36000/_xlfn.DAYS(L4666, $C$2)</f>
        <v>10.829372123337938</v>
      </c>
      <c r="O4666" s="149">
        <f t="shared" ca="1" si="156"/>
        <v>1.000173611111111</v>
      </c>
    </row>
    <row r="4667" spans="12:15" x14ac:dyDescent="0.25">
      <c r="L4667" s="147">
        <f ca="1"/>
        <v>49906</v>
      </c>
      <c r="M4667" s="92">
        <f t="shared" ca="1" si="155"/>
        <v>6.25</v>
      </c>
      <c r="N4667" s="143">
        <f ca="1">(PRODUCT($O$5:$O4667)-1)*36000/_xlfn.DAYS(L4667, $C$2)</f>
        <v>10.830269753820239</v>
      </c>
      <c r="O4667" s="149">
        <f t="shared" ca="1" si="156"/>
        <v>1.000173611111111</v>
      </c>
    </row>
    <row r="4668" spans="12:15" x14ac:dyDescent="0.25">
      <c r="L4668" s="147">
        <f ca="1"/>
        <v>49907</v>
      </c>
      <c r="M4668" s="92">
        <f t="shared" ca="1" si="155"/>
        <v>6.25</v>
      </c>
      <c r="N4668" s="143">
        <f ca="1">(PRODUCT($O$5:$O4668)-1)*36000/_xlfn.DAYS(L4668, $C$2)</f>
        <v>10.831167558297802</v>
      </c>
      <c r="O4668" s="149">
        <f t="shared" ca="1" si="156"/>
        <v>1.000173611111111</v>
      </c>
    </row>
    <row r="4669" spans="12:15" x14ac:dyDescent="0.25">
      <c r="L4669" s="147">
        <f ca="1"/>
        <v>49908</v>
      </c>
      <c r="M4669" s="92">
        <f t="shared" ca="1" si="155"/>
        <v>6.25</v>
      </c>
      <c r="N4669" s="143">
        <f ca="1">(PRODUCT($O$5:$O4669)-1)*36000/_xlfn.DAYS(L4669, $C$2)</f>
        <v>10.832065536755733</v>
      </c>
      <c r="O4669" s="149">
        <f t="shared" ca="1" si="156"/>
        <v>1.000173611111111</v>
      </c>
    </row>
    <row r="4670" spans="12:15" x14ac:dyDescent="0.25">
      <c r="L4670" s="147">
        <f ca="1"/>
        <v>49909</v>
      </c>
      <c r="M4670" s="92">
        <f t="shared" ca="1" si="155"/>
        <v>6.25</v>
      </c>
      <c r="N4670" s="143">
        <f ca="1">(PRODUCT($O$5:$O4670)-1)*36000/_xlfn.DAYS(L4670, $C$2)</f>
        <v>10.832963689179191</v>
      </c>
      <c r="O4670" s="149">
        <f t="shared" ca="1" si="156"/>
        <v>1.000173611111111</v>
      </c>
    </row>
    <row r="4671" spans="12:15" x14ac:dyDescent="0.25">
      <c r="L4671" s="147">
        <f ca="1"/>
        <v>49910</v>
      </c>
      <c r="M4671" s="92">
        <f t="shared" ca="1" si="155"/>
        <v>6.25</v>
      </c>
      <c r="N4671" s="143">
        <f ca="1">(PRODUCT($O$5:$O4671)-1)*36000/_xlfn.DAYS(L4671, $C$2)</f>
        <v>10.833862015553349</v>
      </c>
      <c r="O4671" s="149">
        <f t="shared" ca="1" si="156"/>
        <v>1.000173611111111</v>
      </c>
    </row>
    <row r="4672" spans="12:15" x14ac:dyDescent="0.25">
      <c r="L4672" s="147">
        <f ca="1"/>
        <v>49911</v>
      </c>
      <c r="M4672" s="92">
        <f t="shared" ca="1" si="155"/>
        <v>6.25</v>
      </c>
      <c r="N4672" s="143">
        <f ca="1">(PRODUCT($O$5:$O4672)-1)*36000/_xlfn.DAYS(L4672, $C$2)</f>
        <v>10.834760515863417</v>
      </c>
      <c r="O4672" s="149">
        <f t="shared" ca="1" si="156"/>
        <v>1.000173611111111</v>
      </c>
    </row>
    <row r="4673" spans="12:15" x14ac:dyDescent="0.25">
      <c r="L4673" s="147">
        <f ca="1"/>
        <v>49912</v>
      </c>
      <c r="M4673" s="92">
        <f t="shared" ca="1" si="155"/>
        <v>6.25</v>
      </c>
      <c r="N4673" s="143">
        <f ca="1">(PRODUCT($O$5:$O4673)-1)*36000/_xlfn.DAYS(L4673, $C$2)</f>
        <v>10.835659190094628</v>
      </c>
      <c r="O4673" s="149">
        <f t="shared" ca="1" si="156"/>
        <v>1.000173611111111</v>
      </c>
    </row>
    <row r="4674" spans="12:15" x14ac:dyDescent="0.25">
      <c r="L4674" s="147">
        <f ca="1"/>
        <v>49913</v>
      </c>
      <c r="M4674" s="92">
        <f t="shared" ca="1" si="155"/>
        <v>6.25</v>
      </c>
      <c r="N4674" s="143">
        <f ca="1">(PRODUCT($O$5:$O4674)-1)*36000/_xlfn.DAYS(L4674, $C$2)</f>
        <v>10.836558038232251</v>
      </c>
      <c r="O4674" s="149">
        <f t="shared" ca="1" si="156"/>
        <v>1.000173611111111</v>
      </c>
    </row>
    <row r="4675" spans="12:15" x14ac:dyDescent="0.25">
      <c r="L4675" s="147">
        <f ca="1"/>
        <v>49914</v>
      </c>
      <c r="M4675" s="92">
        <f t="shared" ca="1" si="155"/>
        <v>6.25</v>
      </c>
      <c r="N4675" s="143">
        <f ca="1">(PRODUCT($O$5:$O4675)-1)*36000/_xlfn.DAYS(L4675, $C$2)</f>
        <v>10.837457060261583</v>
      </c>
      <c r="O4675" s="149">
        <f t="shared" ca="1" si="156"/>
        <v>1.000173611111111</v>
      </c>
    </row>
    <row r="4676" spans="12:15" x14ac:dyDescent="0.25">
      <c r="L4676" s="147">
        <f ca="1"/>
        <v>49915</v>
      </c>
      <c r="M4676" s="92">
        <f t="shared" ca="1" si="155"/>
        <v>6.25</v>
      </c>
      <c r="N4676" s="143">
        <f ca="1">(PRODUCT($O$5:$O4676)-1)*36000/_xlfn.DAYS(L4676, $C$2)</f>
        <v>10.838356256167945</v>
      </c>
      <c r="O4676" s="149">
        <f t="shared" ca="1" si="156"/>
        <v>1.000173611111111</v>
      </c>
    </row>
    <row r="4677" spans="12:15" x14ac:dyDescent="0.25">
      <c r="L4677" s="147">
        <f ca="1"/>
        <v>49916</v>
      </c>
      <c r="M4677" s="92">
        <f t="shared" ref="M4677:M4740" ca="1" si="157">IFERROR(INDEX($E$27:$H$47, MATCH(L4677, $F$27:$F$47, 0), 4), IF(ISNUMBER(M4676), M4676, $C$5))</f>
        <v>6.25</v>
      </c>
      <c r="N4677" s="143">
        <f ca="1">(PRODUCT($O$5:$O4677)-1)*36000/_xlfn.DAYS(L4677, $C$2)</f>
        <v>10.839255625936698</v>
      </c>
      <c r="O4677" s="149">
        <f t="shared" ca="1" si="156"/>
        <v>1.000173611111111</v>
      </c>
    </row>
    <row r="4678" spans="12:15" x14ac:dyDescent="0.25">
      <c r="L4678" s="147">
        <f ca="1"/>
        <v>49917</v>
      </c>
      <c r="M4678" s="92">
        <f t="shared" ca="1" si="157"/>
        <v>6.25</v>
      </c>
      <c r="N4678" s="143">
        <f ca="1">(PRODUCT($O$5:$O4678)-1)*36000/_xlfn.DAYS(L4678, $C$2)</f>
        <v>10.840155169553224</v>
      </c>
      <c r="O4678" s="149">
        <f t="shared" ref="O4678:O4741" ca="1" si="158">1+M4678*IFERROR(_xlfn.DAYS(L4678, L4677), _xlfn.DAYS(L4678, $C$2))/36000</f>
        <v>1.000173611111111</v>
      </c>
    </row>
    <row r="4679" spans="12:15" x14ac:dyDescent="0.25">
      <c r="L4679" s="147">
        <f ca="1"/>
        <v>49918</v>
      </c>
      <c r="M4679" s="92">
        <f t="shared" ca="1" si="157"/>
        <v>6.25</v>
      </c>
      <c r="N4679" s="143">
        <f ca="1">(PRODUCT($O$5:$O4679)-1)*36000/_xlfn.DAYS(L4679, $C$2)</f>
        <v>10.841054887002935</v>
      </c>
      <c r="O4679" s="149">
        <f t="shared" ca="1" si="158"/>
        <v>1.000173611111111</v>
      </c>
    </row>
    <row r="4680" spans="12:15" x14ac:dyDescent="0.25">
      <c r="L4680" s="147">
        <f ca="1"/>
        <v>49919</v>
      </c>
      <c r="M4680" s="92">
        <f t="shared" ca="1" si="157"/>
        <v>6.25</v>
      </c>
      <c r="N4680" s="143">
        <f ca="1">(PRODUCT($O$5:$O4680)-1)*36000/_xlfn.DAYS(L4680, $C$2)</f>
        <v>10.841954778271274</v>
      </c>
      <c r="O4680" s="149">
        <f t="shared" ca="1" si="158"/>
        <v>1.000173611111111</v>
      </c>
    </row>
    <row r="4681" spans="12:15" x14ac:dyDescent="0.25">
      <c r="L4681" s="147">
        <f ca="1"/>
        <v>49920</v>
      </c>
      <c r="M4681" s="92">
        <f t="shared" ca="1" si="157"/>
        <v>6.25</v>
      </c>
      <c r="N4681" s="143">
        <f ca="1">(PRODUCT($O$5:$O4681)-1)*36000/_xlfn.DAYS(L4681, $C$2)</f>
        <v>10.842854843343716</v>
      </c>
      <c r="O4681" s="149">
        <f t="shared" ca="1" si="158"/>
        <v>1.000173611111111</v>
      </c>
    </row>
    <row r="4682" spans="12:15" x14ac:dyDescent="0.25">
      <c r="L4682" s="147">
        <f ca="1"/>
        <v>49921</v>
      </c>
      <c r="M4682" s="92">
        <f t="shared" ca="1" si="157"/>
        <v>6.25</v>
      </c>
      <c r="N4682" s="143">
        <f ca="1">(PRODUCT($O$5:$O4682)-1)*36000/_xlfn.DAYS(L4682, $C$2)</f>
        <v>10.843755082205757</v>
      </c>
      <c r="O4682" s="149">
        <f t="shared" ca="1" si="158"/>
        <v>1.000173611111111</v>
      </c>
    </row>
    <row r="4683" spans="12:15" x14ac:dyDescent="0.25">
      <c r="L4683" s="147">
        <f ca="1"/>
        <v>49922</v>
      </c>
      <c r="M4683" s="92">
        <f t="shared" ca="1" si="157"/>
        <v>6.25</v>
      </c>
      <c r="N4683" s="143">
        <f ca="1">(PRODUCT($O$5:$O4683)-1)*36000/_xlfn.DAYS(L4683, $C$2)</f>
        <v>10.844655494842932</v>
      </c>
      <c r="O4683" s="149">
        <f t="shared" ca="1" si="158"/>
        <v>1.000173611111111</v>
      </c>
    </row>
    <row r="4684" spans="12:15" x14ac:dyDescent="0.25">
      <c r="L4684" s="147">
        <f ca="1"/>
        <v>49923</v>
      </c>
      <c r="M4684" s="92">
        <f t="shared" ca="1" si="157"/>
        <v>6.25</v>
      </c>
      <c r="N4684" s="143">
        <f ca="1">(PRODUCT($O$5:$O4684)-1)*36000/_xlfn.DAYS(L4684, $C$2)</f>
        <v>10.845556081240797</v>
      </c>
      <c r="O4684" s="149">
        <f t="shared" ca="1" si="158"/>
        <v>1.000173611111111</v>
      </c>
    </row>
    <row r="4685" spans="12:15" x14ac:dyDescent="0.25">
      <c r="L4685" s="147">
        <f ca="1"/>
        <v>49924</v>
      </c>
      <c r="M4685" s="92">
        <f t="shared" ca="1" si="157"/>
        <v>6.25</v>
      </c>
      <c r="N4685" s="143">
        <f ca="1">(PRODUCT($O$5:$O4685)-1)*36000/_xlfn.DAYS(L4685, $C$2)</f>
        <v>10.846456841384947</v>
      </c>
      <c r="O4685" s="149">
        <f t="shared" ca="1" si="158"/>
        <v>1.000173611111111</v>
      </c>
    </row>
    <row r="4686" spans="12:15" x14ac:dyDescent="0.25">
      <c r="L4686" s="147">
        <f ca="1"/>
        <v>49925</v>
      </c>
      <c r="M4686" s="92">
        <f t="shared" ca="1" si="157"/>
        <v>6.25</v>
      </c>
      <c r="N4686" s="143">
        <f ca="1">(PRODUCT($O$5:$O4686)-1)*36000/_xlfn.DAYS(L4686, $C$2)</f>
        <v>10.847357775260996</v>
      </c>
      <c r="O4686" s="149">
        <f t="shared" ca="1" si="158"/>
        <v>1.000173611111111</v>
      </c>
    </row>
    <row r="4687" spans="12:15" x14ac:dyDescent="0.25">
      <c r="L4687" s="147">
        <f ca="1"/>
        <v>49926</v>
      </c>
      <c r="M4687" s="92">
        <f t="shared" ca="1" si="157"/>
        <v>6.25</v>
      </c>
      <c r="N4687" s="143">
        <f ca="1">(PRODUCT($O$5:$O4687)-1)*36000/_xlfn.DAYS(L4687, $C$2)</f>
        <v>10.848258882854591</v>
      </c>
      <c r="O4687" s="149">
        <f t="shared" ca="1" si="158"/>
        <v>1.000173611111111</v>
      </c>
    </row>
    <row r="4688" spans="12:15" x14ac:dyDescent="0.25">
      <c r="L4688" s="147">
        <f ca="1"/>
        <v>49927</v>
      </c>
      <c r="M4688" s="92">
        <f t="shared" ca="1" si="157"/>
        <v>6.25</v>
      </c>
      <c r="N4688" s="143">
        <f ca="1">(PRODUCT($O$5:$O4688)-1)*36000/_xlfn.DAYS(L4688, $C$2)</f>
        <v>10.84916016415141</v>
      </c>
      <c r="O4688" s="149">
        <f t="shared" ca="1" si="158"/>
        <v>1.000173611111111</v>
      </c>
    </row>
    <row r="4689" spans="12:15" x14ac:dyDescent="0.25">
      <c r="L4689" s="147">
        <f ca="1"/>
        <v>49928</v>
      </c>
      <c r="M4689" s="92">
        <f t="shared" ca="1" si="157"/>
        <v>6.25</v>
      </c>
      <c r="N4689" s="143">
        <f ca="1">(PRODUCT($O$5:$O4689)-1)*36000/_xlfn.DAYS(L4689, $C$2)</f>
        <v>10.850061619137154</v>
      </c>
      <c r="O4689" s="149">
        <f t="shared" ca="1" si="158"/>
        <v>1.000173611111111</v>
      </c>
    </row>
    <row r="4690" spans="12:15" x14ac:dyDescent="0.25">
      <c r="L4690" s="147">
        <f ca="1"/>
        <v>49929</v>
      </c>
      <c r="M4690" s="92">
        <f t="shared" ca="1" si="157"/>
        <v>6.25</v>
      </c>
      <c r="N4690" s="143">
        <f ca="1">(PRODUCT($O$5:$O4690)-1)*36000/_xlfn.DAYS(L4690, $C$2)</f>
        <v>10.85096324779756</v>
      </c>
      <c r="O4690" s="149">
        <f t="shared" ca="1" si="158"/>
        <v>1.000173611111111</v>
      </c>
    </row>
    <row r="4691" spans="12:15" x14ac:dyDescent="0.25">
      <c r="L4691" s="147">
        <f ca="1"/>
        <v>49930</v>
      </c>
      <c r="M4691" s="92">
        <f t="shared" ca="1" si="157"/>
        <v>6.25</v>
      </c>
      <c r="N4691" s="143">
        <f ca="1">(PRODUCT($O$5:$O4691)-1)*36000/_xlfn.DAYS(L4691, $C$2)</f>
        <v>10.851865050118393</v>
      </c>
      <c r="O4691" s="149">
        <f t="shared" ca="1" si="158"/>
        <v>1.000173611111111</v>
      </c>
    </row>
    <row r="4692" spans="12:15" x14ac:dyDescent="0.25">
      <c r="L4692" s="147">
        <f ca="1"/>
        <v>49931</v>
      </c>
      <c r="M4692" s="92">
        <f t="shared" ca="1" si="157"/>
        <v>6.25</v>
      </c>
      <c r="N4692" s="143">
        <f ca="1">(PRODUCT($O$5:$O4692)-1)*36000/_xlfn.DAYS(L4692, $C$2)</f>
        <v>10.852767026085445</v>
      </c>
      <c r="O4692" s="149">
        <f t="shared" ca="1" si="158"/>
        <v>1.000173611111111</v>
      </c>
    </row>
    <row r="4693" spans="12:15" x14ac:dyDescent="0.25">
      <c r="L4693" s="147">
        <f ca="1"/>
        <v>49932</v>
      </c>
      <c r="M4693" s="92">
        <f t="shared" ca="1" si="157"/>
        <v>6.25</v>
      </c>
      <c r="N4693" s="143">
        <f ca="1">(PRODUCT($O$5:$O4693)-1)*36000/_xlfn.DAYS(L4693, $C$2)</f>
        <v>10.853669175684534</v>
      </c>
      <c r="O4693" s="149">
        <f t="shared" ca="1" si="158"/>
        <v>1.000173611111111</v>
      </c>
    </row>
    <row r="4694" spans="12:15" x14ac:dyDescent="0.25">
      <c r="L4694" s="147">
        <f ca="1"/>
        <v>49933</v>
      </c>
      <c r="M4694" s="92">
        <f t="shared" ca="1" si="157"/>
        <v>6.25</v>
      </c>
      <c r="N4694" s="143">
        <f ca="1">(PRODUCT($O$5:$O4694)-1)*36000/_xlfn.DAYS(L4694, $C$2)</f>
        <v>10.854571498901516</v>
      </c>
      <c r="O4694" s="149">
        <f t="shared" ca="1" si="158"/>
        <v>1.000173611111111</v>
      </c>
    </row>
    <row r="4695" spans="12:15" x14ac:dyDescent="0.25">
      <c r="L4695" s="147">
        <f ca="1"/>
        <v>49934</v>
      </c>
      <c r="M4695" s="92">
        <f t="shared" ca="1" si="157"/>
        <v>6.25</v>
      </c>
      <c r="N4695" s="143">
        <f ca="1">(PRODUCT($O$5:$O4695)-1)*36000/_xlfn.DAYS(L4695, $C$2)</f>
        <v>10.855473995722264</v>
      </c>
      <c r="O4695" s="149">
        <f t="shared" ca="1" si="158"/>
        <v>1.000173611111111</v>
      </c>
    </row>
    <row r="4696" spans="12:15" x14ac:dyDescent="0.25">
      <c r="L4696" s="147">
        <f ca="1"/>
        <v>49935</v>
      </c>
      <c r="M4696" s="92">
        <f t="shared" ca="1" si="157"/>
        <v>6.25</v>
      </c>
      <c r="N4696" s="143">
        <f ca="1">(PRODUCT($O$5:$O4696)-1)*36000/_xlfn.DAYS(L4696, $C$2)</f>
        <v>10.856376666132689</v>
      </c>
      <c r="O4696" s="149">
        <f t="shared" ca="1" si="158"/>
        <v>1.000173611111111</v>
      </c>
    </row>
    <row r="4697" spans="12:15" x14ac:dyDescent="0.25">
      <c r="L4697" s="147">
        <f ca="1"/>
        <v>49936</v>
      </c>
      <c r="M4697" s="92">
        <f t="shared" ca="1" si="157"/>
        <v>6.25</v>
      </c>
      <c r="N4697" s="143">
        <f ca="1">(PRODUCT($O$5:$O4697)-1)*36000/_xlfn.DAYS(L4697, $C$2)</f>
        <v>10.857279510118726</v>
      </c>
      <c r="O4697" s="149">
        <f t="shared" ca="1" si="158"/>
        <v>1.000173611111111</v>
      </c>
    </row>
    <row r="4698" spans="12:15" x14ac:dyDescent="0.25">
      <c r="L4698" s="147">
        <f ca="1"/>
        <v>49937</v>
      </c>
      <c r="M4698" s="92">
        <f t="shared" ca="1" si="157"/>
        <v>6.25</v>
      </c>
      <c r="N4698" s="143">
        <f ca="1">(PRODUCT($O$5:$O4698)-1)*36000/_xlfn.DAYS(L4698, $C$2)</f>
        <v>10.858182527666342</v>
      </c>
      <c r="O4698" s="149">
        <f t="shared" ca="1" si="158"/>
        <v>1.000173611111111</v>
      </c>
    </row>
    <row r="4699" spans="12:15" x14ac:dyDescent="0.25">
      <c r="L4699" s="147">
        <f ca="1"/>
        <v>49938</v>
      </c>
      <c r="M4699" s="92">
        <f t="shared" ca="1" si="157"/>
        <v>6.25</v>
      </c>
      <c r="N4699" s="143">
        <f ca="1">(PRODUCT($O$5:$O4699)-1)*36000/_xlfn.DAYS(L4699, $C$2)</f>
        <v>10.859085718761532</v>
      </c>
      <c r="O4699" s="149">
        <f t="shared" ca="1" si="158"/>
        <v>1.000173611111111</v>
      </c>
    </row>
    <row r="4700" spans="12:15" x14ac:dyDescent="0.25">
      <c r="L4700" s="147">
        <f ca="1"/>
        <v>49939</v>
      </c>
      <c r="M4700" s="92">
        <f t="shared" ca="1" si="157"/>
        <v>6.25</v>
      </c>
      <c r="N4700" s="143">
        <f ca="1">(PRODUCT($O$5:$O4700)-1)*36000/_xlfn.DAYS(L4700, $C$2)</f>
        <v>10.859989083390319</v>
      </c>
      <c r="O4700" s="149">
        <f t="shared" ca="1" si="158"/>
        <v>1.000173611111111</v>
      </c>
    </row>
    <row r="4701" spans="12:15" x14ac:dyDescent="0.25">
      <c r="L4701" s="147">
        <f ca="1"/>
        <v>49940</v>
      </c>
      <c r="M4701" s="92">
        <f t="shared" ca="1" si="157"/>
        <v>6.25</v>
      </c>
      <c r="N4701" s="143">
        <f ca="1">(PRODUCT($O$5:$O4701)-1)*36000/_xlfn.DAYS(L4701, $C$2)</f>
        <v>10.860892621538753</v>
      </c>
      <c r="O4701" s="149">
        <f t="shared" ca="1" si="158"/>
        <v>1.000173611111111</v>
      </c>
    </row>
    <row r="4702" spans="12:15" x14ac:dyDescent="0.25">
      <c r="L4702" s="147">
        <f ca="1"/>
        <v>49941</v>
      </c>
      <c r="M4702" s="92">
        <f t="shared" ca="1" si="157"/>
        <v>6.25</v>
      </c>
      <c r="N4702" s="143">
        <f ca="1">(PRODUCT($O$5:$O4702)-1)*36000/_xlfn.DAYS(L4702, $C$2)</f>
        <v>10.861796333192917</v>
      </c>
      <c r="O4702" s="149">
        <f t="shared" ca="1" si="158"/>
        <v>1.000173611111111</v>
      </c>
    </row>
    <row r="4703" spans="12:15" x14ac:dyDescent="0.25">
      <c r="L4703" s="147">
        <f ca="1"/>
        <v>49942</v>
      </c>
      <c r="M4703" s="92">
        <f t="shared" ca="1" si="157"/>
        <v>6.25</v>
      </c>
      <c r="N4703" s="143">
        <f ca="1">(PRODUCT($O$5:$O4703)-1)*36000/_xlfn.DAYS(L4703, $C$2)</f>
        <v>10.862700218338915</v>
      </c>
      <c r="O4703" s="149">
        <f t="shared" ca="1" si="158"/>
        <v>1.000173611111111</v>
      </c>
    </row>
    <row r="4704" spans="12:15" x14ac:dyDescent="0.25">
      <c r="L4704" s="147">
        <f ca="1"/>
        <v>49943</v>
      </c>
      <c r="M4704" s="92">
        <f t="shared" ca="1" si="157"/>
        <v>6.25</v>
      </c>
      <c r="N4704" s="143">
        <f ca="1">(PRODUCT($O$5:$O4704)-1)*36000/_xlfn.DAYS(L4704, $C$2)</f>
        <v>10.863604276962892</v>
      </c>
      <c r="O4704" s="149">
        <f t="shared" ca="1" si="158"/>
        <v>1.000173611111111</v>
      </c>
    </row>
    <row r="4705" spans="12:15" x14ac:dyDescent="0.25">
      <c r="L4705" s="147">
        <f ca="1"/>
        <v>49944</v>
      </c>
      <c r="M4705" s="92">
        <f t="shared" ca="1" si="157"/>
        <v>6.25</v>
      </c>
      <c r="N4705" s="143">
        <f ca="1">(PRODUCT($O$5:$O4705)-1)*36000/_xlfn.DAYS(L4705, $C$2)</f>
        <v>10.864508509051014</v>
      </c>
      <c r="O4705" s="149">
        <f t="shared" ca="1" si="158"/>
        <v>1.000173611111111</v>
      </c>
    </row>
    <row r="4706" spans="12:15" x14ac:dyDescent="0.25">
      <c r="L4706" s="147">
        <f ca="1"/>
        <v>49945</v>
      </c>
      <c r="M4706" s="92">
        <f t="shared" ca="1" si="157"/>
        <v>6.25</v>
      </c>
      <c r="N4706" s="143">
        <f ca="1">(PRODUCT($O$5:$O4706)-1)*36000/_xlfn.DAYS(L4706, $C$2)</f>
        <v>10.865412914589468</v>
      </c>
      <c r="O4706" s="149">
        <f t="shared" ca="1" si="158"/>
        <v>1.000173611111111</v>
      </c>
    </row>
    <row r="4707" spans="12:15" x14ac:dyDescent="0.25">
      <c r="L4707" s="147">
        <f ca="1"/>
        <v>49946</v>
      </c>
      <c r="M4707" s="92">
        <f t="shared" ca="1" si="157"/>
        <v>6.25</v>
      </c>
      <c r="N4707" s="143">
        <f ca="1">(PRODUCT($O$5:$O4707)-1)*36000/_xlfn.DAYS(L4707, $C$2)</f>
        <v>10.866317493564484</v>
      </c>
      <c r="O4707" s="149">
        <f t="shared" ca="1" si="158"/>
        <v>1.000173611111111</v>
      </c>
    </row>
    <row r="4708" spans="12:15" x14ac:dyDescent="0.25">
      <c r="L4708" s="147">
        <f ca="1"/>
        <v>49947</v>
      </c>
      <c r="M4708" s="92">
        <f t="shared" ca="1" si="157"/>
        <v>6.25</v>
      </c>
      <c r="N4708" s="143">
        <f ca="1">(PRODUCT($O$5:$O4708)-1)*36000/_xlfn.DAYS(L4708, $C$2)</f>
        <v>10.867222245962312</v>
      </c>
      <c r="O4708" s="149">
        <f t="shared" ca="1" si="158"/>
        <v>1.000173611111111</v>
      </c>
    </row>
    <row r="4709" spans="12:15" x14ac:dyDescent="0.25">
      <c r="L4709" s="147">
        <f ca="1"/>
        <v>49948</v>
      </c>
      <c r="M4709" s="92">
        <f t="shared" ca="1" si="157"/>
        <v>6.25</v>
      </c>
      <c r="N4709" s="143">
        <f ca="1">(PRODUCT($O$5:$O4709)-1)*36000/_xlfn.DAYS(L4709, $C$2)</f>
        <v>10.868127171769233</v>
      </c>
      <c r="O4709" s="149">
        <f t="shared" ca="1" si="158"/>
        <v>1.000173611111111</v>
      </c>
    </row>
    <row r="4710" spans="12:15" x14ac:dyDescent="0.25">
      <c r="L4710" s="147">
        <f ca="1"/>
        <v>49949</v>
      </c>
      <c r="M4710" s="92">
        <f t="shared" ca="1" si="157"/>
        <v>6.25</v>
      </c>
      <c r="N4710" s="143">
        <f ca="1">(PRODUCT($O$5:$O4710)-1)*36000/_xlfn.DAYS(L4710, $C$2)</f>
        <v>10.869032270971557</v>
      </c>
      <c r="O4710" s="149">
        <f t="shared" ca="1" si="158"/>
        <v>1.000173611111111</v>
      </c>
    </row>
    <row r="4711" spans="12:15" x14ac:dyDescent="0.25">
      <c r="L4711" s="147">
        <f ca="1"/>
        <v>49950</v>
      </c>
      <c r="M4711" s="92">
        <f t="shared" ca="1" si="157"/>
        <v>6.25</v>
      </c>
      <c r="N4711" s="143">
        <f ca="1">(PRODUCT($O$5:$O4711)-1)*36000/_xlfn.DAYS(L4711, $C$2)</f>
        <v>10.86993754355562</v>
      </c>
      <c r="O4711" s="149">
        <f t="shared" ca="1" si="158"/>
        <v>1.000173611111111</v>
      </c>
    </row>
    <row r="4712" spans="12:15" x14ac:dyDescent="0.25">
      <c r="L4712" s="147">
        <f ca="1"/>
        <v>49951</v>
      </c>
      <c r="M4712" s="92">
        <f t="shared" ca="1" si="157"/>
        <v>6.25</v>
      </c>
      <c r="N4712" s="143">
        <f ca="1">(PRODUCT($O$5:$O4712)-1)*36000/_xlfn.DAYS(L4712, $C$2)</f>
        <v>10.870842989507787</v>
      </c>
      <c r="O4712" s="149">
        <f t="shared" ca="1" si="158"/>
        <v>1.000173611111111</v>
      </c>
    </row>
    <row r="4713" spans="12:15" x14ac:dyDescent="0.25">
      <c r="L4713" s="147">
        <f ca="1"/>
        <v>49952</v>
      </c>
      <c r="M4713" s="92">
        <f t="shared" ca="1" si="157"/>
        <v>6.25</v>
      </c>
      <c r="N4713" s="143">
        <f ca="1">(PRODUCT($O$5:$O4713)-1)*36000/_xlfn.DAYS(L4713, $C$2)</f>
        <v>10.87174860881446</v>
      </c>
      <c r="O4713" s="149">
        <f t="shared" ca="1" si="158"/>
        <v>1.000173611111111</v>
      </c>
    </row>
    <row r="4714" spans="12:15" x14ac:dyDescent="0.25">
      <c r="L4714" s="147">
        <f ca="1"/>
        <v>49953</v>
      </c>
      <c r="M4714" s="92">
        <f t="shared" ca="1" si="157"/>
        <v>6.25</v>
      </c>
      <c r="N4714" s="143">
        <f ca="1">(PRODUCT($O$5:$O4714)-1)*36000/_xlfn.DAYS(L4714, $C$2)</f>
        <v>10.87265440146205</v>
      </c>
      <c r="O4714" s="149">
        <f t="shared" ca="1" si="158"/>
        <v>1.000173611111111</v>
      </c>
    </row>
    <row r="4715" spans="12:15" x14ac:dyDescent="0.25">
      <c r="L4715" s="147">
        <f ca="1"/>
        <v>49954</v>
      </c>
      <c r="M4715" s="92">
        <f t="shared" ca="1" si="157"/>
        <v>6.25</v>
      </c>
      <c r="N4715" s="143">
        <f ca="1">(PRODUCT($O$5:$O4715)-1)*36000/_xlfn.DAYS(L4715, $C$2)</f>
        <v>10.873560367437014</v>
      </c>
      <c r="O4715" s="149">
        <f t="shared" ca="1" si="158"/>
        <v>1.000173611111111</v>
      </c>
    </row>
    <row r="4716" spans="12:15" x14ac:dyDescent="0.25">
      <c r="L4716" s="147">
        <f ca="1"/>
        <v>49955</v>
      </c>
      <c r="M4716" s="92">
        <f t="shared" ca="1" si="157"/>
        <v>6.25</v>
      </c>
      <c r="N4716" s="143">
        <f ca="1">(PRODUCT($O$5:$O4716)-1)*36000/_xlfn.DAYS(L4716, $C$2)</f>
        <v>10.874466506725833</v>
      </c>
      <c r="O4716" s="149">
        <f t="shared" ca="1" si="158"/>
        <v>1.000173611111111</v>
      </c>
    </row>
    <row r="4717" spans="12:15" x14ac:dyDescent="0.25">
      <c r="L4717" s="147">
        <f ca="1"/>
        <v>49956</v>
      </c>
      <c r="M4717" s="92">
        <f t="shared" ca="1" si="157"/>
        <v>6.25</v>
      </c>
      <c r="N4717" s="143">
        <f ca="1">(PRODUCT($O$5:$O4717)-1)*36000/_xlfn.DAYS(L4717, $C$2)</f>
        <v>10.875372819315011</v>
      </c>
      <c r="O4717" s="149">
        <f t="shared" ca="1" si="158"/>
        <v>1.000173611111111</v>
      </c>
    </row>
    <row r="4718" spans="12:15" x14ac:dyDescent="0.25">
      <c r="L4718" s="147">
        <f ca="1"/>
        <v>49957</v>
      </c>
      <c r="M4718" s="92">
        <f t="shared" ca="1" si="157"/>
        <v>6.25</v>
      </c>
      <c r="N4718" s="143">
        <f ca="1">(PRODUCT($O$5:$O4718)-1)*36000/_xlfn.DAYS(L4718, $C$2)</f>
        <v>10.876279305191087</v>
      </c>
      <c r="O4718" s="149">
        <f t="shared" ca="1" si="158"/>
        <v>1.000173611111111</v>
      </c>
    </row>
    <row r="4719" spans="12:15" x14ac:dyDescent="0.25">
      <c r="L4719" s="147">
        <f ca="1"/>
        <v>49958</v>
      </c>
      <c r="M4719" s="92">
        <f t="shared" ca="1" si="157"/>
        <v>6.25</v>
      </c>
      <c r="N4719" s="143">
        <f ca="1">(PRODUCT($O$5:$O4719)-1)*36000/_xlfn.DAYS(L4719, $C$2)</f>
        <v>10.877185964340621</v>
      </c>
      <c r="O4719" s="149">
        <f t="shared" ca="1" si="158"/>
        <v>1.000173611111111</v>
      </c>
    </row>
    <row r="4720" spans="12:15" x14ac:dyDescent="0.25">
      <c r="L4720" s="147">
        <f ca="1"/>
        <v>49959</v>
      </c>
      <c r="M4720" s="92">
        <f t="shared" ca="1" si="157"/>
        <v>6.25</v>
      </c>
      <c r="N4720" s="143">
        <f ca="1">(PRODUCT($O$5:$O4720)-1)*36000/_xlfn.DAYS(L4720, $C$2)</f>
        <v>10.878092796750208</v>
      </c>
      <c r="O4720" s="149">
        <f t="shared" ca="1" si="158"/>
        <v>1.000173611111111</v>
      </c>
    </row>
    <row r="4721" spans="12:15" x14ac:dyDescent="0.25">
      <c r="L4721" s="147">
        <f ca="1"/>
        <v>49960</v>
      </c>
      <c r="M4721" s="92">
        <f t="shared" ca="1" si="157"/>
        <v>6.25</v>
      </c>
      <c r="N4721" s="143">
        <f ca="1">(PRODUCT($O$5:$O4721)-1)*36000/_xlfn.DAYS(L4721, $C$2)</f>
        <v>10.878999802406467</v>
      </c>
      <c r="O4721" s="149">
        <f t="shared" ca="1" si="158"/>
        <v>1.000173611111111</v>
      </c>
    </row>
    <row r="4722" spans="12:15" x14ac:dyDescent="0.25">
      <c r="L4722" s="147">
        <f ca="1"/>
        <v>49961</v>
      </c>
      <c r="M4722" s="92">
        <f t="shared" ca="1" si="157"/>
        <v>6.25</v>
      </c>
      <c r="N4722" s="143">
        <f ca="1">(PRODUCT($O$5:$O4722)-1)*36000/_xlfn.DAYS(L4722, $C$2)</f>
        <v>10.879906981296051</v>
      </c>
      <c r="O4722" s="149">
        <f t="shared" ca="1" si="158"/>
        <v>1.000173611111111</v>
      </c>
    </row>
    <row r="4723" spans="12:15" x14ac:dyDescent="0.25">
      <c r="L4723" s="147">
        <f ca="1"/>
        <v>49962</v>
      </c>
      <c r="M4723" s="92">
        <f t="shared" ca="1" si="157"/>
        <v>6.25</v>
      </c>
      <c r="N4723" s="143">
        <f ca="1">(PRODUCT($O$5:$O4723)-1)*36000/_xlfn.DAYS(L4723, $C$2)</f>
        <v>10.880814333405631</v>
      </c>
      <c r="O4723" s="149">
        <f t="shared" ca="1" si="158"/>
        <v>1.000173611111111</v>
      </c>
    </row>
    <row r="4724" spans="12:15" x14ac:dyDescent="0.25">
      <c r="L4724" s="147">
        <f ca="1"/>
        <v>49963</v>
      </c>
      <c r="M4724" s="92">
        <f t="shared" ca="1" si="157"/>
        <v>6.25</v>
      </c>
      <c r="N4724" s="143">
        <f ca="1">(PRODUCT($O$5:$O4724)-1)*36000/_xlfn.DAYS(L4724, $C$2)</f>
        <v>10.881721858721914</v>
      </c>
      <c r="O4724" s="149">
        <f t="shared" ca="1" si="158"/>
        <v>1.000173611111111</v>
      </c>
    </row>
    <row r="4725" spans="12:15" x14ac:dyDescent="0.25">
      <c r="L4725" s="147">
        <f ca="1"/>
        <v>49964</v>
      </c>
      <c r="M4725" s="92">
        <f t="shared" ca="1" si="157"/>
        <v>6.25</v>
      </c>
      <c r="N4725" s="143">
        <f ca="1">(PRODUCT($O$5:$O4725)-1)*36000/_xlfn.DAYS(L4725, $C$2)</f>
        <v>10.882629557231633</v>
      </c>
      <c r="O4725" s="149">
        <f t="shared" ca="1" si="158"/>
        <v>1.000173611111111</v>
      </c>
    </row>
    <row r="4726" spans="12:15" x14ac:dyDescent="0.25">
      <c r="L4726" s="147">
        <f ca="1"/>
        <v>49965</v>
      </c>
      <c r="M4726" s="92">
        <f t="shared" ca="1" si="157"/>
        <v>6.25</v>
      </c>
      <c r="N4726" s="143">
        <f ca="1">(PRODUCT($O$5:$O4726)-1)*36000/_xlfn.DAYS(L4726, $C$2)</f>
        <v>10.883537428921551</v>
      </c>
      <c r="O4726" s="149">
        <f t="shared" ca="1" si="158"/>
        <v>1.000173611111111</v>
      </c>
    </row>
    <row r="4727" spans="12:15" x14ac:dyDescent="0.25">
      <c r="L4727" s="147">
        <f ca="1"/>
        <v>49966</v>
      </c>
      <c r="M4727" s="92">
        <f t="shared" ca="1" si="157"/>
        <v>6.25</v>
      </c>
      <c r="N4727" s="143">
        <f ca="1">(PRODUCT($O$5:$O4727)-1)*36000/_xlfn.DAYS(L4727, $C$2)</f>
        <v>10.884445473778456</v>
      </c>
      <c r="O4727" s="149">
        <f t="shared" ca="1" si="158"/>
        <v>1.000173611111111</v>
      </c>
    </row>
    <row r="4728" spans="12:15" x14ac:dyDescent="0.25">
      <c r="L4728" s="147">
        <f ca="1"/>
        <v>49967</v>
      </c>
      <c r="M4728" s="92">
        <f t="shared" ca="1" si="157"/>
        <v>6.25</v>
      </c>
      <c r="N4728" s="143">
        <f ca="1">(PRODUCT($O$5:$O4728)-1)*36000/_xlfn.DAYS(L4728, $C$2)</f>
        <v>10.885353691789161</v>
      </c>
      <c r="O4728" s="149">
        <f t="shared" ca="1" si="158"/>
        <v>1.000173611111111</v>
      </c>
    </row>
    <row r="4729" spans="12:15" x14ac:dyDescent="0.25">
      <c r="L4729" s="147">
        <f ca="1"/>
        <v>49968</v>
      </c>
      <c r="M4729" s="92">
        <f t="shared" ca="1" si="157"/>
        <v>6.25</v>
      </c>
      <c r="N4729" s="143">
        <f ca="1">(PRODUCT($O$5:$O4729)-1)*36000/_xlfn.DAYS(L4729, $C$2)</f>
        <v>10.886262082940519</v>
      </c>
      <c r="O4729" s="149">
        <f t="shared" ca="1" si="158"/>
        <v>1.000173611111111</v>
      </c>
    </row>
    <row r="4730" spans="12:15" x14ac:dyDescent="0.25">
      <c r="L4730" s="147">
        <f ca="1"/>
        <v>49969</v>
      </c>
      <c r="M4730" s="92">
        <f t="shared" ca="1" si="157"/>
        <v>6.25</v>
      </c>
      <c r="N4730" s="143">
        <f ca="1">(PRODUCT($O$5:$O4730)-1)*36000/_xlfn.DAYS(L4730, $C$2)</f>
        <v>10.887170647219394</v>
      </c>
      <c r="O4730" s="149">
        <f t="shared" ca="1" si="158"/>
        <v>1.000173611111111</v>
      </c>
    </row>
    <row r="4731" spans="12:15" x14ac:dyDescent="0.25">
      <c r="L4731" s="147">
        <f ca="1"/>
        <v>49970</v>
      </c>
      <c r="M4731" s="92">
        <f t="shared" ca="1" si="157"/>
        <v>6.25</v>
      </c>
      <c r="N4731" s="143">
        <f ca="1">(PRODUCT($O$5:$O4731)-1)*36000/_xlfn.DAYS(L4731, $C$2)</f>
        <v>10.888079384612688</v>
      </c>
      <c r="O4731" s="149">
        <f t="shared" ca="1" si="158"/>
        <v>1.000173611111111</v>
      </c>
    </row>
    <row r="4732" spans="12:15" x14ac:dyDescent="0.25">
      <c r="L4732" s="147">
        <f ca="1"/>
        <v>49971</v>
      </c>
      <c r="M4732" s="92">
        <f t="shared" ca="1" si="157"/>
        <v>6.25</v>
      </c>
      <c r="N4732" s="143">
        <f ca="1">(PRODUCT($O$5:$O4732)-1)*36000/_xlfn.DAYS(L4732, $C$2)</f>
        <v>10.888988295107335</v>
      </c>
      <c r="O4732" s="149">
        <f t="shared" ca="1" si="158"/>
        <v>1.000173611111111</v>
      </c>
    </row>
    <row r="4733" spans="12:15" x14ac:dyDescent="0.25">
      <c r="L4733" s="147">
        <f ca="1"/>
        <v>49972</v>
      </c>
      <c r="M4733" s="92">
        <f t="shared" ca="1" si="157"/>
        <v>6.25</v>
      </c>
      <c r="N4733" s="143">
        <f ca="1">(PRODUCT($O$5:$O4733)-1)*36000/_xlfn.DAYS(L4733, $C$2)</f>
        <v>10.889897378690286</v>
      </c>
      <c r="O4733" s="149">
        <f t="shared" ca="1" si="158"/>
        <v>1.000173611111111</v>
      </c>
    </row>
    <row r="4734" spans="12:15" x14ac:dyDescent="0.25">
      <c r="L4734" s="147">
        <f ca="1"/>
        <v>49973</v>
      </c>
      <c r="M4734" s="92">
        <f t="shared" ca="1" si="157"/>
        <v>6.25</v>
      </c>
      <c r="N4734" s="143">
        <f ca="1">(PRODUCT($O$5:$O4734)-1)*36000/_xlfn.DAYS(L4734, $C$2)</f>
        <v>10.890806635348529</v>
      </c>
      <c r="O4734" s="149">
        <f t="shared" ca="1" si="158"/>
        <v>1.000173611111111</v>
      </c>
    </row>
    <row r="4735" spans="12:15" x14ac:dyDescent="0.25">
      <c r="L4735" s="147">
        <f ca="1"/>
        <v>49974</v>
      </c>
      <c r="M4735" s="92">
        <f t="shared" ca="1" si="157"/>
        <v>6.25</v>
      </c>
      <c r="N4735" s="143">
        <f ca="1">(PRODUCT($O$5:$O4735)-1)*36000/_xlfn.DAYS(L4735, $C$2)</f>
        <v>10.891716065069076</v>
      </c>
      <c r="O4735" s="149">
        <f t="shared" ca="1" si="158"/>
        <v>1.000173611111111</v>
      </c>
    </row>
    <row r="4736" spans="12:15" x14ac:dyDescent="0.25">
      <c r="L4736" s="147">
        <f ca="1"/>
        <v>49975</v>
      </c>
      <c r="M4736" s="92">
        <f t="shared" ca="1" si="157"/>
        <v>6.25</v>
      </c>
      <c r="N4736" s="143">
        <f ca="1">(PRODUCT($O$5:$O4736)-1)*36000/_xlfn.DAYS(L4736, $C$2)</f>
        <v>10.892625667838967</v>
      </c>
      <c r="O4736" s="149">
        <f t="shared" ca="1" si="158"/>
        <v>1.000173611111111</v>
      </c>
    </row>
    <row r="4737" spans="12:15" x14ac:dyDescent="0.25">
      <c r="L4737" s="147">
        <f ca="1"/>
        <v>49976</v>
      </c>
      <c r="M4737" s="92">
        <f t="shared" ca="1" si="157"/>
        <v>6.25</v>
      </c>
      <c r="N4737" s="143">
        <f ca="1">(PRODUCT($O$5:$O4737)-1)*36000/_xlfn.DAYS(L4737, $C$2)</f>
        <v>10.893535443645268</v>
      </c>
      <c r="O4737" s="149">
        <f t="shared" ca="1" si="158"/>
        <v>1.000173611111111</v>
      </c>
    </row>
    <row r="4738" spans="12:15" x14ac:dyDescent="0.25">
      <c r="L4738" s="147">
        <f ca="1"/>
        <v>49977</v>
      </c>
      <c r="M4738" s="92">
        <f t="shared" ca="1" si="157"/>
        <v>6.25</v>
      </c>
      <c r="N4738" s="143">
        <f ca="1">(PRODUCT($O$5:$O4738)-1)*36000/_xlfn.DAYS(L4738, $C$2)</f>
        <v>10.894445392475072</v>
      </c>
      <c r="O4738" s="149">
        <f t="shared" ca="1" si="158"/>
        <v>1.000173611111111</v>
      </c>
    </row>
    <row r="4739" spans="12:15" x14ac:dyDescent="0.25">
      <c r="L4739" s="147">
        <f ca="1"/>
        <v>49978</v>
      </c>
      <c r="M4739" s="92">
        <f t="shared" ca="1" si="157"/>
        <v>6.25</v>
      </c>
      <c r="N4739" s="143">
        <f ca="1">(PRODUCT($O$5:$O4739)-1)*36000/_xlfn.DAYS(L4739, $C$2)</f>
        <v>10.895355514315504</v>
      </c>
      <c r="O4739" s="149">
        <f t="shared" ca="1" si="158"/>
        <v>1.000173611111111</v>
      </c>
    </row>
    <row r="4740" spans="12:15" x14ac:dyDescent="0.25">
      <c r="L4740" s="147">
        <f ca="1"/>
        <v>49979</v>
      </c>
      <c r="M4740" s="92">
        <f t="shared" ca="1" si="157"/>
        <v>6.25</v>
      </c>
      <c r="N4740" s="143">
        <f ca="1">(PRODUCT($O$5:$O4740)-1)*36000/_xlfn.DAYS(L4740, $C$2)</f>
        <v>10.896265809153721</v>
      </c>
      <c r="O4740" s="149">
        <f t="shared" ca="1" si="158"/>
        <v>1.000173611111111</v>
      </c>
    </row>
    <row r="4741" spans="12:15" x14ac:dyDescent="0.25">
      <c r="L4741" s="147">
        <f ca="1"/>
        <v>49980</v>
      </c>
      <c r="M4741" s="92">
        <f t="shared" ref="M4741:M4804" ca="1" si="159">IFERROR(INDEX($E$27:$H$47, MATCH(L4741, $F$27:$F$47, 0), 4), IF(ISNUMBER(M4740), M4740, $C$5))</f>
        <v>6.25</v>
      </c>
      <c r="N4741" s="143">
        <f ca="1">(PRODUCT($O$5:$O4741)-1)*36000/_xlfn.DAYS(L4741, $C$2)</f>
        <v>10.897176276976893</v>
      </c>
      <c r="O4741" s="149">
        <f t="shared" ca="1" si="158"/>
        <v>1.000173611111111</v>
      </c>
    </row>
    <row r="4742" spans="12:15" x14ac:dyDescent="0.25">
      <c r="L4742" s="147">
        <f ca="1"/>
        <v>49981</v>
      </c>
      <c r="M4742" s="92">
        <f t="shared" ca="1" si="159"/>
        <v>6.25</v>
      </c>
      <c r="N4742" s="143">
        <f ca="1">(PRODUCT($O$5:$O4742)-1)*36000/_xlfn.DAYS(L4742, $C$2)</f>
        <v>10.898086917772229</v>
      </c>
      <c r="O4742" s="149">
        <f t="shared" ref="O4742:O4805" ca="1" si="160">1+M4742*IFERROR(_xlfn.DAYS(L4742, L4741), _xlfn.DAYS(L4742, $C$2))/36000</f>
        <v>1.000173611111111</v>
      </c>
    </row>
    <row r="4743" spans="12:15" x14ac:dyDescent="0.25">
      <c r="L4743" s="147">
        <f ca="1"/>
        <v>49982</v>
      </c>
      <c r="M4743" s="92">
        <f t="shared" ca="1" si="159"/>
        <v>6.25</v>
      </c>
      <c r="N4743" s="143">
        <f ca="1">(PRODUCT($O$5:$O4743)-1)*36000/_xlfn.DAYS(L4743, $C$2)</f>
        <v>10.898997731526963</v>
      </c>
      <c r="O4743" s="149">
        <f t="shared" ca="1" si="160"/>
        <v>1.000173611111111</v>
      </c>
    </row>
    <row r="4744" spans="12:15" x14ac:dyDescent="0.25">
      <c r="L4744" s="147">
        <f ca="1"/>
        <v>49983</v>
      </c>
      <c r="M4744" s="92">
        <f t="shared" ca="1" si="159"/>
        <v>6.25</v>
      </c>
      <c r="N4744" s="143">
        <f ca="1">(PRODUCT($O$5:$O4744)-1)*36000/_xlfn.DAYS(L4744, $C$2)</f>
        <v>10.899908718228355</v>
      </c>
      <c r="O4744" s="149">
        <f t="shared" ca="1" si="160"/>
        <v>1.000173611111111</v>
      </c>
    </row>
    <row r="4745" spans="12:15" x14ac:dyDescent="0.25">
      <c r="L4745" s="147">
        <f ca="1"/>
        <v>49984</v>
      </c>
      <c r="M4745" s="92">
        <f t="shared" ca="1" si="159"/>
        <v>6.25</v>
      </c>
      <c r="N4745" s="143">
        <f ca="1">(PRODUCT($O$5:$O4745)-1)*36000/_xlfn.DAYS(L4745, $C$2)</f>
        <v>10.900819877863695</v>
      </c>
      <c r="O4745" s="149">
        <f t="shared" ca="1" si="160"/>
        <v>1.000173611111111</v>
      </c>
    </row>
    <row r="4746" spans="12:15" x14ac:dyDescent="0.25">
      <c r="L4746" s="147">
        <f ca="1"/>
        <v>49985</v>
      </c>
      <c r="M4746" s="92">
        <f t="shared" ca="1" si="159"/>
        <v>6.25</v>
      </c>
      <c r="N4746" s="143">
        <f ca="1">(PRODUCT($O$5:$O4746)-1)*36000/_xlfn.DAYS(L4746, $C$2)</f>
        <v>10.901731210420294</v>
      </c>
      <c r="O4746" s="149">
        <f t="shared" ca="1" si="160"/>
        <v>1.000173611111111</v>
      </c>
    </row>
    <row r="4747" spans="12:15" x14ac:dyDescent="0.25">
      <c r="L4747" s="147">
        <f ca="1"/>
        <v>49986</v>
      </c>
      <c r="M4747" s="92">
        <f t="shared" ca="1" si="159"/>
        <v>6.25</v>
      </c>
      <c r="N4747" s="143">
        <f ca="1">(PRODUCT($O$5:$O4747)-1)*36000/_xlfn.DAYS(L4747, $C$2)</f>
        <v>10.902642715885502</v>
      </c>
      <c r="O4747" s="149">
        <f t="shared" ca="1" si="160"/>
        <v>1.000173611111111</v>
      </c>
    </row>
    <row r="4748" spans="12:15" x14ac:dyDescent="0.25">
      <c r="L4748" s="147">
        <f ca="1"/>
        <v>49987</v>
      </c>
      <c r="M4748" s="92">
        <f t="shared" ca="1" si="159"/>
        <v>6.25</v>
      </c>
      <c r="N4748" s="143">
        <f ca="1">(PRODUCT($O$5:$O4748)-1)*36000/_xlfn.DAYS(L4748, $C$2)</f>
        <v>10.903554394246688</v>
      </c>
      <c r="O4748" s="149">
        <f t="shared" ca="1" si="160"/>
        <v>1.000173611111111</v>
      </c>
    </row>
    <row r="4749" spans="12:15" x14ac:dyDescent="0.25">
      <c r="L4749" s="147">
        <f ca="1"/>
        <v>49988</v>
      </c>
      <c r="M4749" s="92">
        <f t="shared" ca="1" si="159"/>
        <v>6.25</v>
      </c>
      <c r="N4749" s="143">
        <f ca="1">(PRODUCT($O$5:$O4749)-1)*36000/_xlfn.DAYS(L4749, $C$2)</f>
        <v>10.904466245491253</v>
      </c>
      <c r="O4749" s="149">
        <f t="shared" ca="1" si="160"/>
        <v>1.000173611111111</v>
      </c>
    </row>
    <row r="4750" spans="12:15" x14ac:dyDescent="0.25">
      <c r="L4750" s="147">
        <f ca="1"/>
        <v>49989</v>
      </c>
      <c r="M4750" s="92">
        <f t="shared" ca="1" si="159"/>
        <v>6.25</v>
      </c>
      <c r="N4750" s="143">
        <f ca="1">(PRODUCT($O$5:$O4750)-1)*36000/_xlfn.DAYS(L4750, $C$2)</f>
        <v>10.905378269606619</v>
      </c>
      <c r="O4750" s="149">
        <f t="shared" ca="1" si="160"/>
        <v>1.000173611111111</v>
      </c>
    </row>
    <row r="4751" spans="12:15" x14ac:dyDescent="0.25">
      <c r="L4751" s="147">
        <f ca="1"/>
        <v>49990</v>
      </c>
      <c r="M4751" s="92">
        <f t="shared" ca="1" si="159"/>
        <v>6.25</v>
      </c>
      <c r="N4751" s="143">
        <f ca="1">(PRODUCT($O$5:$O4751)-1)*36000/_xlfn.DAYS(L4751, $C$2)</f>
        <v>10.906290466580241</v>
      </c>
      <c r="O4751" s="149">
        <f t="shared" ca="1" si="160"/>
        <v>1.000173611111111</v>
      </c>
    </row>
    <row r="4752" spans="12:15" x14ac:dyDescent="0.25">
      <c r="L4752" s="147">
        <f ca="1"/>
        <v>49991</v>
      </c>
      <c r="M4752" s="92">
        <f t="shared" ca="1" si="159"/>
        <v>6.25</v>
      </c>
      <c r="N4752" s="143">
        <f ca="1">(PRODUCT($O$5:$O4752)-1)*36000/_xlfn.DAYS(L4752, $C$2)</f>
        <v>10.9072028363996</v>
      </c>
      <c r="O4752" s="149">
        <f t="shared" ca="1" si="160"/>
        <v>1.000173611111111</v>
      </c>
    </row>
    <row r="4753" spans="12:15" x14ac:dyDescent="0.25">
      <c r="L4753" s="147">
        <f ca="1"/>
        <v>49992</v>
      </c>
      <c r="M4753" s="92">
        <f t="shared" ca="1" si="159"/>
        <v>6.25</v>
      </c>
      <c r="N4753" s="143">
        <f ca="1">(PRODUCT($O$5:$O4753)-1)*36000/_xlfn.DAYS(L4753, $C$2)</f>
        <v>10.908115379052202</v>
      </c>
      <c r="O4753" s="149">
        <f t="shared" ca="1" si="160"/>
        <v>1.000173611111111</v>
      </c>
    </row>
    <row r="4754" spans="12:15" x14ac:dyDescent="0.25">
      <c r="L4754" s="147">
        <f ca="1"/>
        <v>49993</v>
      </c>
      <c r="M4754" s="92">
        <f t="shared" ca="1" si="159"/>
        <v>6.25</v>
      </c>
      <c r="N4754" s="143">
        <f ca="1">(PRODUCT($O$5:$O4754)-1)*36000/_xlfn.DAYS(L4754, $C$2)</f>
        <v>10.909028094525583</v>
      </c>
      <c r="O4754" s="149">
        <f t="shared" ca="1" si="160"/>
        <v>1.000173611111111</v>
      </c>
    </row>
    <row r="4755" spans="12:15" x14ac:dyDescent="0.25">
      <c r="L4755" s="147">
        <f ca="1"/>
        <v>49994</v>
      </c>
      <c r="M4755" s="92">
        <f t="shared" ca="1" si="159"/>
        <v>6.25</v>
      </c>
      <c r="N4755" s="143">
        <f ca="1">(PRODUCT($O$5:$O4755)-1)*36000/_xlfn.DAYS(L4755, $C$2)</f>
        <v>10.909940982807308</v>
      </c>
      <c r="O4755" s="149">
        <f t="shared" ca="1" si="160"/>
        <v>1.000173611111111</v>
      </c>
    </row>
    <row r="4756" spans="12:15" x14ac:dyDescent="0.25">
      <c r="L4756" s="147">
        <f ca="1"/>
        <v>49995</v>
      </c>
      <c r="M4756" s="92">
        <f t="shared" ca="1" si="159"/>
        <v>6.25</v>
      </c>
      <c r="N4756" s="143">
        <f ca="1">(PRODUCT($O$5:$O4756)-1)*36000/_xlfn.DAYS(L4756, $C$2)</f>
        <v>10.910854043884965</v>
      </c>
      <c r="O4756" s="149">
        <f t="shared" ca="1" si="160"/>
        <v>1.000173611111111</v>
      </c>
    </row>
    <row r="4757" spans="12:15" x14ac:dyDescent="0.25">
      <c r="L4757" s="147">
        <f ca="1"/>
        <v>49996</v>
      </c>
      <c r="M4757" s="92">
        <f t="shared" ca="1" si="159"/>
        <v>6.25</v>
      </c>
      <c r="N4757" s="143">
        <f ca="1">(PRODUCT($O$5:$O4757)-1)*36000/_xlfn.DAYS(L4757, $C$2)</f>
        <v>10.91176727774617</v>
      </c>
      <c r="O4757" s="149">
        <f t="shared" ca="1" si="160"/>
        <v>1.000173611111111</v>
      </c>
    </row>
    <row r="4758" spans="12:15" x14ac:dyDescent="0.25">
      <c r="L4758" s="147">
        <f ca="1"/>
        <v>49997</v>
      </c>
      <c r="M4758" s="92">
        <f t="shared" ca="1" si="159"/>
        <v>6.25</v>
      </c>
      <c r="N4758" s="143">
        <f ca="1">(PRODUCT($O$5:$O4758)-1)*36000/_xlfn.DAYS(L4758, $C$2)</f>
        <v>10.91268068437857</v>
      </c>
      <c r="O4758" s="149">
        <f t="shared" ca="1" si="160"/>
        <v>1.000173611111111</v>
      </c>
    </row>
    <row r="4759" spans="12:15" x14ac:dyDescent="0.25">
      <c r="L4759" s="147">
        <f ca="1"/>
        <v>49998</v>
      </c>
      <c r="M4759" s="92">
        <f t="shared" ca="1" si="159"/>
        <v>6.25</v>
      </c>
      <c r="N4759" s="143">
        <f ca="1">(PRODUCT($O$5:$O4759)-1)*36000/_xlfn.DAYS(L4759, $C$2)</f>
        <v>10.913594263769836</v>
      </c>
      <c r="O4759" s="149">
        <f t="shared" ca="1" si="160"/>
        <v>1.000173611111111</v>
      </c>
    </row>
    <row r="4760" spans="12:15" x14ac:dyDescent="0.25">
      <c r="L4760" s="147">
        <f ca="1"/>
        <v>49999</v>
      </c>
      <c r="M4760" s="92">
        <f t="shared" ca="1" si="159"/>
        <v>6.25</v>
      </c>
      <c r="N4760" s="143">
        <f ca="1">(PRODUCT($O$5:$O4760)-1)*36000/_xlfn.DAYS(L4760, $C$2)</f>
        <v>10.914508015907664</v>
      </c>
      <c r="O4760" s="149">
        <f t="shared" ca="1" si="160"/>
        <v>1.000173611111111</v>
      </c>
    </row>
    <row r="4761" spans="12:15" x14ac:dyDescent="0.25">
      <c r="L4761" s="147">
        <f ca="1"/>
        <v>50000</v>
      </c>
      <c r="M4761" s="92">
        <f t="shared" ca="1" si="159"/>
        <v>6.25</v>
      </c>
      <c r="N4761" s="143">
        <f ca="1">(PRODUCT($O$5:$O4761)-1)*36000/_xlfn.DAYS(L4761, $C$2)</f>
        <v>10.915421940779781</v>
      </c>
      <c r="O4761" s="149">
        <f t="shared" ca="1" si="160"/>
        <v>1.000173611111111</v>
      </c>
    </row>
    <row r="4762" spans="12:15" x14ac:dyDescent="0.25">
      <c r="L4762" s="147">
        <f ca="1"/>
        <v>50001</v>
      </c>
      <c r="M4762" s="92">
        <f t="shared" ca="1" si="159"/>
        <v>6.25</v>
      </c>
      <c r="N4762" s="143">
        <f ca="1">(PRODUCT($O$5:$O4762)-1)*36000/_xlfn.DAYS(L4762, $C$2)</f>
        <v>10.916336038373943</v>
      </c>
      <c r="O4762" s="149">
        <f t="shared" ca="1" si="160"/>
        <v>1.000173611111111</v>
      </c>
    </row>
    <row r="4763" spans="12:15" x14ac:dyDescent="0.25">
      <c r="L4763" s="147">
        <f ca="1"/>
        <v>50002</v>
      </c>
      <c r="M4763" s="92">
        <f t="shared" ca="1" si="159"/>
        <v>6.25</v>
      </c>
      <c r="N4763" s="143">
        <f ca="1">(PRODUCT($O$5:$O4763)-1)*36000/_xlfn.DAYS(L4763, $C$2)</f>
        <v>10.917250308677925</v>
      </c>
      <c r="O4763" s="149">
        <f t="shared" ca="1" si="160"/>
        <v>1.000173611111111</v>
      </c>
    </row>
    <row r="4764" spans="12:15" x14ac:dyDescent="0.25">
      <c r="L4764" s="147">
        <f ca="1"/>
        <v>50003</v>
      </c>
      <c r="M4764" s="92">
        <f t="shared" ca="1" si="159"/>
        <v>6.25</v>
      </c>
      <c r="N4764" s="143">
        <f ca="1">(PRODUCT($O$5:$O4764)-1)*36000/_xlfn.DAYS(L4764, $C$2)</f>
        <v>10.918164751679535</v>
      </c>
      <c r="O4764" s="149">
        <f t="shared" ca="1" si="160"/>
        <v>1.000173611111111</v>
      </c>
    </row>
    <row r="4765" spans="12:15" x14ac:dyDescent="0.25">
      <c r="L4765" s="147">
        <f ca="1"/>
        <v>50004</v>
      </c>
      <c r="M4765" s="92">
        <f t="shared" ca="1" si="159"/>
        <v>6.25</v>
      </c>
      <c r="N4765" s="143">
        <f ca="1">(PRODUCT($O$5:$O4765)-1)*36000/_xlfn.DAYS(L4765, $C$2)</f>
        <v>10.919079367366612</v>
      </c>
      <c r="O4765" s="149">
        <f t="shared" ca="1" si="160"/>
        <v>1.000173611111111</v>
      </c>
    </row>
    <row r="4766" spans="12:15" x14ac:dyDescent="0.25">
      <c r="L4766" s="147">
        <f ca="1"/>
        <v>50005</v>
      </c>
      <c r="M4766" s="92">
        <f t="shared" ca="1" si="159"/>
        <v>6.25</v>
      </c>
      <c r="N4766" s="143">
        <f ca="1">(PRODUCT($O$5:$O4766)-1)*36000/_xlfn.DAYS(L4766, $C$2)</f>
        <v>10.919994155727011</v>
      </c>
      <c r="O4766" s="149">
        <f t="shared" ca="1" si="160"/>
        <v>1.000173611111111</v>
      </c>
    </row>
    <row r="4767" spans="12:15" x14ac:dyDescent="0.25">
      <c r="L4767" s="147">
        <f ca="1"/>
        <v>50006</v>
      </c>
      <c r="M4767" s="92">
        <f t="shared" ca="1" si="159"/>
        <v>6.25</v>
      </c>
      <c r="N4767" s="143">
        <f ca="1">(PRODUCT($O$5:$O4767)-1)*36000/_xlfn.DAYS(L4767, $C$2)</f>
        <v>10.92090911674862</v>
      </c>
      <c r="O4767" s="149">
        <f t="shared" ca="1" si="160"/>
        <v>1.000173611111111</v>
      </c>
    </row>
    <row r="4768" spans="12:15" x14ac:dyDescent="0.25">
      <c r="L4768" s="147">
        <f ca="1"/>
        <v>50007</v>
      </c>
      <c r="M4768" s="92">
        <f t="shared" ca="1" si="159"/>
        <v>6.25</v>
      </c>
      <c r="N4768" s="143">
        <f ca="1">(PRODUCT($O$5:$O4768)-1)*36000/_xlfn.DAYS(L4768, $C$2)</f>
        <v>10.921824250419355</v>
      </c>
      <c r="O4768" s="149">
        <f t="shared" ca="1" si="160"/>
        <v>1.000173611111111</v>
      </c>
    </row>
    <row r="4769" spans="12:15" x14ac:dyDescent="0.25">
      <c r="L4769" s="147">
        <f ca="1"/>
        <v>50008</v>
      </c>
      <c r="M4769" s="92">
        <f t="shared" ca="1" si="159"/>
        <v>6.25</v>
      </c>
      <c r="N4769" s="143">
        <f ca="1">(PRODUCT($O$5:$O4769)-1)*36000/_xlfn.DAYS(L4769, $C$2)</f>
        <v>10.922739556727162</v>
      </c>
      <c r="O4769" s="149">
        <f t="shared" ca="1" si="160"/>
        <v>1.000173611111111</v>
      </c>
    </row>
    <row r="4770" spans="12:15" x14ac:dyDescent="0.25">
      <c r="L4770" s="147">
        <f ca="1"/>
        <v>50009</v>
      </c>
      <c r="M4770" s="92">
        <f t="shared" ca="1" si="159"/>
        <v>6.25</v>
      </c>
      <c r="N4770" s="143">
        <f ca="1">(PRODUCT($O$5:$O4770)-1)*36000/_xlfn.DAYS(L4770, $C$2)</f>
        <v>10.923655035660001</v>
      </c>
      <c r="O4770" s="149">
        <f t="shared" ca="1" si="160"/>
        <v>1.000173611111111</v>
      </c>
    </row>
    <row r="4771" spans="12:15" x14ac:dyDescent="0.25">
      <c r="L4771" s="147">
        <f ca="1"/>
        <v>50010</v>
      </c>
      <c r="M4771" s="92">
        <f t="shared" ca="1" si="159"/>
        <v>6.25</v>
      </c>
      <c r="N4771" s="143">
        <f ca="1">(PRODUCT($O$5:$O4771)-1)*36000/_xlfn.DAYS(L4771, $C$2)</f>
        <v>10.924570687205877</v>
      </c>
      <c r="O4771" s="149">
        <f t="shared" ca="1" si="160"/>
        <v>1.000173611111111</v>
      </c>
    </row>
    <row r="4772" spans="12:15" x14ac:dyDescent="0.25">
      <c r="L4772" s="147">
        <f ca="1"/>
        <v>50011</v>
      </c>
      <c r="M4772" s="92">
        <f t="shared" ca="1" si="159"/>
        <v>6.25</v>
      </c>
      <c r="N4772" s="143">
        <f ca="1">(PRODUCT($O$5:$O4772)-1)*36000/_xlfn.DAYS(L4772, $C$2)</f>
        <v>10.925486511352807</v>
      </c>
      <c r="O4772" s="149">
        <f t="shared" ca="1" si="160"/>
        <v>1.000173611111111</v>
      </c>
    </row>
    <row r="4773" spans="12:15" x14ac:dyDescent="0.25">
      <c r="L4773" s="147">
        <f ca="1"/>
        <v>50012</v>
      </c>
      <c r="M4773" s="92">
        <f t="shared" ca="1" si="159"/>
        <v>6.25</v>
      </c>
      <c r="N4773" s="143">
        <f ca="1">(PRODUCT($O$5:$O4773)-1)*36000/_xlfn.DAYS(L4773, $C$2)</f>
        <v>10.926402508088842</v>
      </c>
      <c r="O4773" s="149">
        <f t="shared" ca="1" si="160"/>
        <v>1.000173611111111</v>
      </c>
    </row>
    <row r="4774" spans="12:15" x14ac:dyDescent="0.25">
      <c r="L4774" s="147">
        <f ca="1"/>
        <v>50013</v>
      </c>
      <c r="M4774" s="92">
        <f t="shared" ca="1" si="159"/>
        <v>6.25</v>
      </c>
      <c r="N4774" s="143">
        <f ca="1">(PRODUCT($O$5:$O4774)-1)*36000/_xlfn.DAYS(L4774, $C$2)</f>
        <v>10.927318677402058</v>
      </c>
      <c r="O4774" s="149">
        <f t="shared" ca="1" si="160"/>
        <v>1.000173611111111</v>
      </c>
    </row>
    <row r="4775" spans="12:15" x14ac:dyDescent="0.25">
      <c r="L4775" s="147">
        <f ca="1"/>
        <v>50014</v>
      </c>
      <c r="M4775" s="92">
        <f t="shared" ca="1" si="159"/>
        <v>6.25</v>
      </c>
      <c r="N4775" s="143">
        <f ca="1">(PRODUCT($O$5:$O4775)-1)*36000/_xlfn.DAYS(L4775, $C$2)</f>
        <v>10.928235019280557</v>
      </c>
      <c r="O4775" s="149">
        <f t="shared" ca="1" si="160"/>
        <v>1.000173611111111</v>
      </c>
    </row>
    <row r="4776" spans="12:15" x14ac:dyDescent="0.25">
      <c r="L4776" s="147">
        <f ca="1"/>
        <v>50015</v>
      </c>
      <c r="M4776" s="92">
        <f t="shared" ca="1" si="159"/>
        <v>6.25</v>
      </c>
      <c r="N4776" s="143">
        <f ca="1">(PRODUCT($O$5:$O4776)-1)*36000/_xlfn.DAYS(L4776, $C$2)</f>
        <v>10.929151533712469</v>
      </c>
      <c r="O4776" s="149">
        <f t="shared" ca="1" si="160"/>
        <v>1.000173611111111</v>
      </c>
    </row>
    <row r="4777" spans="12:15" x14ac:dyDescent="0.25">
      <c r="L4777" s="147">
        <f ca="1"/>
        <v>50016</v>
      </c>
      <c r="M4777" s="92">
        <f t="shared" ca="1" si="159"/>
        <v>6.25</v>
      </c>
      <c r="N4777" s="143">
        <f ca="1">(PRODUCT($O$5:$O4777)-1)*36000/_xlfn.DAYS(L4777, $C$2)</f>
        <v>10.930068220685948</v>
      </c>
      <c r="O4777" s="149">
        <f t="shared" ca="1" si="160"/>
        <v>1.000173611111111</v>
      </c>
    </row>
    <row r="4778" spans="12:15" x14ac:dyDescent="0.25">
      <c r="L4778" s="147">
        <f ca="1"/>
        <v>50017</v>
      </c>
      <c r="M4778" s="92">
        <f t="shared" ca="1" si="159"/>
        <v>6.25</v>
      </c>
      <c r="N4778" s="143">
        <f ca="1">(PRODUCT($O$5:$O4778)-1)*36000/_xlfn.DAYS(L4778, $C$2)</f>
        <v>10.930985080189179</v>
      </c>
      <c r="O4778" s="149">
        <f t="shared" ca="1" si="160"/>
        <v>1.000173611111111</v>
      </c>
    </row>
    <row r="4779" spans="12:15" x14ac:dyDescent="0.25">
      <c r="L4779" s="147">
        <f ca="1"/>
        <v>50018</v>
      </c>
      <c r="M4779" s="92">
        <f t="shared" ca="1" si="159"/>
        <v>6.25</v>
      </c>
      <c r="N4779" s="143">
        <f ca="1">(PRODUCT($O$5:$O4779)-1)*36000/_xlfn.DAYS(L4779, $C$2)</f>
        <v>10.931902112210372</v>
      </c>
      <c r="O4779" s="149">
        <f t="shared" ca="1" si="160"/>
        <v>1.000173611111111</v>
      </c>
    </row>
    <row r="4780" spans="12:15" x14ac:dyDescent="0.25">
      <c r="L4780" s="147">
        <f ca="1"/>
        <v>50019</v>
      </c>
      <c r="M4780" s="92">
        <f t="shared" ca="1" si="159"/>
        <v>6.25</v>
      </c>
      <c r="N4780" s="143">
        <f ca="1">(PRODUCT($O$5:$O4780)-1)*36000/_xlfn.DAYS(L4780, $C$2)</f>
        <v>10.932819316737763</v>
      </c>
      <c r="O4780" s="149">
        <f t="shared" ca="1" si="160"/>
        <v>1.000173611111111</v>
      </c>
    </row>
    <row r="4781" spans="12:15" x14ac:dyDescent="0.25">
      <c r="L4781" s="147">
        <f ca="1"/>
        <v>50020</v>
      </c>
      <c r="M4781" s="92">
        <f t="shared" ca="1" si="159"/>
        <v>6.25</v>
      </c>
      <c r="N4781" s="143">
        <f ca="1">(PRODUCT($O$5:$O4781)-1)*36000/_xlfn.DAYS(L4781, $C$2)</f>
        <v>10.933736693759615</v>
      </c>
      <c r="O4781" s="149">
        <f t="shared" ca="1" si="160"/>
        <v>1.000173611111111</v>
      </c>
    </row>
    <row r="4782" spans="12:15" x14ac:dyDescent="0.25">
      <c r="L4782" s="147">
        <f ca="1"/>
        <v>50021</v>
      </c>
      <c r="M4782" s="92">
        <f t="shared" ca="1" si="159"/>
        <v>6.25</v>
      </c>
      <c r="N4782" s="143">
        <f ca="1">(PRODUCT($O$5:$O4782)-1)*36000/_xlfn.DAYS(L4782, $C$2)</f>
        <v>10.934654243264216</v>
      </c>
      <c r="O4782" s="149">
        <f t="shared" ca="1" si="160"/>
        <v>1.000173611111111</v>
      </c>
    </row>
    <row r="4783" spans="12:15" x14ac:dyDescent="0.25">
      <c r="L4783" s="147">
        <f ca="1"/>
        <v>50022</v>
      </c>
      <c r="M4783" s="92">
        <f t="shared" ca="1" si="159"/>
        <v>6.25</v>
      </c>
      <c r="N4783" s="143">
        <f ca="1">(PRODUCT($O$5:$O4783)-1)*36000/_xlfn.DAYS(L4783, $C$2)</f>
        <v>10.935571965239884</v>
      </c>
      <c r="O4783" s="149">
        <f t="shared" ca="1" si="160"/>
        <v>1.000173611111111</v>
      </c>
    </row>
    <row r="4784" spans="12:15" x14ac:dyDescent="0.25">
      <c r="L4784" s="147">
        <f ca="1"/>
        <v>50023</v>
      </c>
      <c r="M4784" s="92">
        <f t="shared" ca="1" si="159"/>
        <v>6.25</v>
      </c>
      <c r="N4784" s="143">
        <f ca="1">(PRODUCT($O$5:$O4784)-1)*36000/_xlfn.DAYS(L4784, $C$2)</f>
        <v>10.936489859674957</v>
      </c>
      <c r="O4784" s="149">
        <f t="shared" ca="1" si="160"/>
        <v>1.000173611111111</v>
      </c>
    </row>
    <row r="4785" spans="12:15" x14ac:dyDescent="0.25">
      <c r="L4785" s="147">
        <f ca="1"/>
        <v>50024</v>
      </c>
      <c r="M4785" s="92">
        <f t="shared" ca="1" si="159"/>
        <v>6.25</v>
      </c>
      <c r="N4785" s="143">
        <f ca="1">(PRODUCT($O$5:$O4785)-1)*36000/_xlfn.DAYS(L4785, $C$2)</f>
        <v>10.937407926557814</v>
      </c>
      <c r="O4785" s="149">
        <f t="shared" ca="1" si="160"/>
        <v>1.000173611111111</v>
      </c>
    </row>
    <row r="4786" spans="12:15" x14ac:dyDescent="0.25">
      <c r="L4786" s="147">
        <f ca="1"/>
        <v>50025</v>
      </c>
      <c r="M4786" s="92">
        <f t="shared" ca="1" si="159"/>
        <v>6.25</v>
      </c>
      <c r="N4786" s="143">
        <f ca="1">(PRODUCT($O$5:$O4786)-1)*36000/_xlfn.DAYS(L4786, $C$2)</f>
        <v>10.938326165876841</v>
      </c>
      <c r="O4786" s="149">
        <f t="shared" ca="1" si="160"/>
        <v>1.000173611111111</v>
      </c>
    </row>
    <row r="4787" spans="12:15" x14ac:dyDescent="0.25">
      <c r="L4787" s="147">
        <f ca="1"/>
        <v>50026</v>
      </c>
      <c r="M4787" s="92">
        <f t="shared" ca="1" si="159"/>
        <v>6.25</v>
      </c>
      <c r="N4787" s="143">
        <f ca="1">(PRODUCT($O$5:$O4787)-1)*36000/_xlfn.DAYS(L4787, $C$2)</f>
        <v>10.939244577620462</v>
      </c>
      <c r="O4787" s="149">
        <f t="shared" ca="1" si="160"/>
        <v>1.000173611111111</v>
      </c>
    </row>
    <row r="4788" spans="12:15" x14ac:dyDescent="0.25">
      <c r="L4788" s="147">
        <f ca="1"/>
        <v>50027</v>
      </c>
      <c r="M4788" s="92">
        <f t="shared" ca="1" si="159"/>
        <v>6.25</v>
      </c>
      <c r="N4788" s="143">
        <f ca="1">(PRODUCT($O$5:$O4788)-1)*36000/_xlfn.DAYS(L4788, $C$2)</f>
        <v>10.940163161777127</v>
      </c>
      <c r="O4788" s="149">
        <f t="shared" ca="1" si="160"/>
        <v>1.000173611111111</v>
      </c>
    </row>
    <row r="4789" spans="12:15" x14ac:dyDescent="0.25">
      <c r="L4789" s="147">
        <f ca="1"/>
        <v>50028</v>
      </c>
      <c r="M4789" s="92">
        <f t="shared" ca="1" si="159"/>
        <v>6.25</v>
      </c>
      <c r="N4789" s="143">
        <f ca="1">(PRODUCT($O$5:$O4789)-1)*36000/_xlfn.DAYS(L4789, $C$2)</f>
        <v>10.941081918335314</v>
      </c>
      <c r="O4789" s="149">
        <f t="shared" ca="1" si="160"/>
        <v>1.000173611111111</v>
      </c>
    </row>
    <row r="4790" spans="12:15" x14ac:dyDescent="0.25">
      <c r="L4790" s="147">
        <f ca="1"/>
        <v>50029</v>
      </c>
      <c r="M4790" s="92">
        <f t="shared" ca="1" si="159"/>
        <v>6.25</v>
      </c>
      <c r="N4790" s="143">
        <f ca="1">(PRODUCT($O$5:$O4790)-1)*36000/_xlfn.DAYS(L4790, $C$2)</f>
        <v>10.942000847283518</v>
      </c>
      <c r="O4790" s="149">
        <f t="shared" ca="1" si="160"/>
        <v>1.000173611111111</v>
      </c>
    </row>
    <row r="4791" spans="12:15" x14ac:dyDescent="0.25">
      <c r="L4791" s="147">
        <f ca="1"/>
        <v>50030</v>
      </c>
      <c r="M4791" s="92">
        <f t="shared" ca="1" si="159"/>
        <v>6.25</v>
      </c>
      <c r="N4791" s="143">
        <f ca="1">(PRODUCT($O$5:$O4791)-1)*36000/_xlfn.DAYS(L4791, $C$2)</f>
        <v>10.942919948610271</v>
      </c>
      <c r="O4791" s="149">
        <f t="shared" ca="1" si="160"/>
        <v>1.000173611111111</v>
      </c>
    </row>
    <row r="4792" spans="12:15" x14ac:dyDescent="0.25">
      <c r="L4792" s="147">
        <f ca="1"/>
        <v>50031</v>
      </c>
      <c r="M4792" s="92">
        <f t="shared" ca="1" si="159"/>
        <v>6.25</v>
      </c>
      <c r="N4792" s="143">
        <f ca="1">(PRODUCT($O$5:$O4792)-1)*36000/_xlfn.DAYS(L4792, $C$2)</f>
        <v>10.943839222304124</v>
      </c>
      <c r="O4792" s="149">
        <f t="shared" ca="1" si="160"/>
        <v>1.000173611111111</v>
      </c>
    </row>
    <row r="4793" spans="12:15" x14ac:dyDescent="0.25">
      <c r="L4793" s="147">
        <f ca="1"/>
        <v>50032</v>
      </c>
      <c r="M4793" s="92">
        <f t="shared" ca="1" si="159"/>
        <v>6.25</v>
      </c>
      <c r="N4793" s="143">
        <f ca="1">(PRODUCT($O$5:$O4793)-1)*36000/_xlfn.DAYS(L4793, $C$2)</f>
        <v>10.944758668353661</v>
      </c>
      <c r="O4793" s="149">
        <f t="shared" ca="1" si="160"/>
        <v>1.000173611111111</v>
      </c>
    </row>
    <row r="4794" spans="12:15" x14ac:dyDescent="0.25">
      <c r="L4794" s="147">
        <f ca="1"/>
        <v>50033</v>
      </c>
      <c r="M4794" s="92">
        <f t="shared" ca="1" si="159"/>
        <v>6.25</v>
      </c>
      <c r="N4794" s="143">
        <f ca="1">(PRODUCT($O$5:$O4794)-1)*36000/_xlfn.DAYS(L4794, $C$2)</f>
        <v>10.945678286747485</v>
      </c>
      <c r="O4794" s="149">
        <f t="shared" ca="1" si="160"/>
        <v>1.000173611111111</v>
      </c>
    </row>
    <row r="4795" spans="12:15" x14ac:dyDescent="0.25">
      <c r="L4795" s="147">
        <f ca="1"/>
        <v>50034</v>
      </c>
      <c r="M4795" s="92">
        <f t="shared" ca="1" si="159"/>
        <v>6.25</v>
      </c>
      <c r="N4795" s="143">
        <f ca="1">(PRODUCT($O$5:$O4795)-1)*36000/_xlfn.DAYS(L4795, $C$2)</f>
        <v>10.946598077474231</v>
      </c>
      <c r="O4795" s="149">
        <f t="shared" ca="1" si="160"/>
        <v>1.000173611111111</v>
      </c>
    </row>
    <row r="4796" spans="12:15" x14ac:dyDescent="0.25">
      <c r="L4796" s="147">
        <f ca="1"/>
        <v>50035</v>
      </c>
      <c r="M4796" s="92">
        <f t="shared" ca="1" si="159"/>
        <v>6.25</v>
      </c>
      <c r="N4796" s="143">
        <f ca="1">(PRODUCT($O$5:$O4796)-1)*36000/_xlfn.DAYS(L4796, $C$2)</f>
        <v>10.94751804052256</v>
      </c>
      <c r="O4796" s="149">
        <f t="shared" ca="1" si="160"/>
        <v>1.000173611111111</v>
      </c>
    </row>
    <row r="4797" spans="12:15" x14ac:dyDescent="0.25">
      <c r="L4797" s="147">
        <f ca="1"/>
        <v>50036</v>
      </c>
      <c r="M4797" s="92">
        <f t="shared" ca="1" si="159"/>
        <v>6.25</v>
      </c>
      <c r="N4797" s="143">
        <f ca="1">(PRODUCT($O$5:$O4797)-1)*36000/_xlfn.DAYS(L4797, $C$2)</f>
        <v>10.948438175881151</v>
      </c>
      <c r="O4797" s="149">
        <f t="shared" ca="1" si="160"/>
        <v>1.000173611111111</v>
      </c>
    </row>
    <row r="4798" spans="12:15" x14ac:dyDescent="0.25">
      <c r="L4798" s="147">
        <f ca="1"/>
        <v>50037</v>
      </c>
      <c r="M4798" s="92">
        <f t="shared" ca="1" si="159"/>
        <v>6.25</v>
      </c>
      <c r="N4798" s="143">
        <f ca="1">(PRODUCT($O$5:$O4798)-1)*36000/_xlfn.DAYS(L4798, $C$2)</f>
        <v>10.949358483538722</v>
      </c>
      <c r="O4798" s="149">
        <f t="shared" ca="1" si="160"/>
        <v>1.000173611111111</v>
      </c>
    </row>
    <row r="4799" spans="12:15" x14ac:dyDescent="0.25">
      <c r="L4799" s="147">
        <f ca="1"/>
        <v>50038</v>
      </c>
      <c r="M4799" s="92">
        <f t="shared" ca="1" si="159"/>
        <v>6.25</v>
      </c>
      <c r="N4799" s="143">
        <f ca="1">(PRODUCT($O$5:$O4799)-1)*36000/_xlfn.DAYS(L4799, $C$2)</f>
        <v>10.950278963484008</v>
      </c>
      <c r="O4799" s="149">
        <f t="shared" ca="1" si="160"/>
        <v>1.000173611111111</v>
      </c>
    </row>
    <row r="4800" spans="12:15" x14ac:dyDescent="0.25">
      <c r="L4800" s="147">
        <f ca="1"/>
        <v>50039</v>
      </c>
      <c r="M4800" s="92">
        <f t="shared" ca="1" si="159"/>
        <v>6.25</v>
      </c>
      <c r="N4800" s="143">
        <f ca="1">(PRODUCT($O$5:$O4800)-1)*36000/_xlfn.DAYS(L4800, $C$2)</f>
        <v>10.951199615705773</v>
      </c>
      <c r="O4800" s="149">
        <f t="shared" ca="1" si="160"/>
        <v>1.000173611111111</v>
      </c>
    </row>
    <row r="4801" spans="12:15" x14ac:dyDescent="0.25">
      <c r="L4801" s="147">
        <f ca="1"/>
        <v>50040</v>
      </c>
      <c r="M4801" s="92">
        <f t="shared" ca="1" si="159"/>
        <v>6.25</v>
      </c>
      <c r="N4801" s="143">
        <f ca="1">(PRODUCT($O$5:$O4801)-1)*36000/_xlfn.DAYS(L4801, $C$2)</f>
        <v>10.952120440192809</v>
      </c>
      <c r="O4801" s="149">
        <f t="shared" ca="1" si="160"/>
        <v>1.000173611111111</v>
      </c>
    </row>
    <row r="4802" spans="12:15" x14ac:dyDescent="0.25">
      <c r="L4802" s="147">
        <f ca="1"/>
        <v>50041</v>
      </c>
      <c r="M4802" s="92">
        <f t="shared" ca="1" si="159"/>
        <v>6.25</v>
      </c>
      <c r="N4802" s="143">
        <f ca="1">(PRODUCT($O$5:$O4802)-1)*36000/_xlfn.DAYS(L4802, $C$2)</f>
        <v>10.95304143693393</v>
      </c>
      <c r="O4802" s="149">
        <f t="shared" ca="1" si="160"/>
        <v>1.000173611111111</v>
      </c>
    </row>
    <row r="4803" spans="12:15" x14ac:dyDescent="0.25">
      <c r="L4803" s="147">
        <f ca="1"/>
        <v>50042</v>
      </c>
      <c r="M4803" s="92">
        <f t="shared" ca="1" si="159"/>
        <v>6.25</v>
      </c>
      <c r="N4803" s="143">
        <f ca="1">(PRODUCT($O$5:$O4803)-1)*36000/_xlfn.DAYS(L4803, $C$2)</f>
        <v>10.953962605917978</v>
      </c>
      <c r="O4803" s="149">
        <f t="shared" ca="1" si="160"/>
        <v>1.000173611111111</v>
      </c>
    </row>
    <row r="4804" spans="12:15" x14ac:dyDescent="0.25">
      <c r="L4804" s="147">
        <f ca="1"/>
        <v>50043</v>
      </c>
      <c r="M4804" s="92">
        <f t="shared" ca="1" si="159"/>
        <v>6.25</v>
      </c>
      <c r="N4804" s="143">
        <f ca="1">(PRODUCT($O$5:$O4804)-1)*36000/_xlfn.DAYS(L4804, $C$2)</f>
        <v>10.954883947133821</v>
      </c>
      <c r="O4804" s="149">
        <f t="shared" ca="1" si="160"/>
        <v>1.000173611111111</v>
      </c>
    </row>
    <row r="4805" spans="12:15" x14ac:dyDescent="0.25">
      <c r="L4805" s="147">
        <f ca="1"/>
        <v>50044</v>
      </c>
      <c r="M4805" s="92">
        <f t="shared" ref="M4805:M4868" ca="1" si="161">IFERROR(INDEX($E$27:$H$47, MATCH(L4805, $F$27:$F$47, 0), 4), IF(ISNUMBER(M4804), M4804, $C$5))</f>
        <v>6.25</v>
      </c>
      <c r="N4805" s="143">
        <f ca="1">(PRODUCT($O$5:$O4805)-1)*36000/_xlfn.DAYS(L4805, $C$2)</f>
        <v>10.955805460570357</v>
      </c>
      <c r="O4805" s="149">
        <f t="shared" ca="1" si="160"/>
        <v>1.000173611111111</v>
      </c>
    </row>
    <row r="4806" spans="12:15" x14ac:dyDescent="0.25">
      <c r="L4806" s="147">
        <f ca="1"/>
        <v>50045</v>
      </c>
      <c r="M4806" s="92">
        <f t="shared" ca="1" si="161"/>
        <v>6.25</v>
      </c>
      <c r="N4806" s="143">
        <f ca="1">(PRODUCT($O$5:$O4806)-1)*36000/_xlfn.DAYS(L4806, $C$2)</f>
        <v>10.956727146216503</v>
      </c>
      <c r="O4806" s="149">
        <f t="shared" ref="O4806:O4869" ca="1" si="162">1+M4806*IFERROR(_xlfn.DAYS(L4806, L4805), _xlfn.DAYS(L4806, $C$2))/36000</f>
        <v>1.000173611111111</v>
      </c>
    </row>
    <row r="4807" spans="12:15" x14ac:dyDescent="0.25">
      <c r="L4807" s="147">
        <f ca="1"/>
        <v>50046</v>
      </c>
      <c r="M4807" s="92">
        <f t="shared" ca="1" si="161"/>
        <v>6.25</v>
      </c>
      <c r="N4807" s="143">
        <f ca="1">(PRODUCT($O$5:$O4807)-1)*36000/_xlfn.DAYS(L4807, $C$2)</f>
        <v>10.957649004061205</v>
      </c>
      <c r="O4807" s="149">
        <f t="shared" ca="1" si="162"/>
        <v>1.000173611111111</v>
      </c>
    </row>
    <row r="4808" spans="12:15" x14ac:dyDescent="0.25">
      <c r="L4808" s="147">
        <f ca="1"/>
        <v>50047</v>
      </c>
      <c r="M4808" s="92">
        <f t="shared" ca="1" si="161"/>
        <v>6.25</v>
      </c>
      <c r="N4808" s="143">
        <f ca="1">(PRODUCT($O$5:$O4808)-1)*36000/_xlfn.DAYS(L4808, $C$2)</f>
        <v>10.958571034093437</v>
      </c>
      <c r="O4808" s="149">
        <f t="shared" ca="1" si="162"/>
        <v>1.000173611111111</v>
      </c>
    </row>
    <row r="4809" spans="12:15" x14ac:dyDescent="0.25">
      <c r="L4809" s="147">
        <f ca="1"/>
        <v>50048</v>
      </c>
      <c r="M4809" s="92">
        <f t="shared" ca="1" si="161"/>
        <v>6.25</v>
      </c>
      <c r="N4809" s="143">
        <f ca="1">(PRODUCT($O$5:$O4809)-1)*36000/_xlfn.DAYS(L4809, $C$2)</f>
        <v>10.959493236302196</v>
      </c>
      <c r="O4809" s="149">
        <f t="shared" ca="1" si="162"/>
        <v>1.000173611111111</v>
      </c>
    </row>
    <row r="4810" spans="12:15" x14ac:dyDescent="0.25">
      <c r="L4810" s="147">
        <f ca="1"/>
        <v>50049</v>
      </c>
      <c r="M4810" s="92">
        <f t="shared" ca="1" si="161"/>
        <v>6.25</v>
      </c>
      <c r="N4810" s="143">
        <f ca="1">(PRODUCT($O$5:$O4810)-1)*36000/_xlfn.DAYS(L4810, $C$2)</f>
        <v>10.960415610676506</v>
      </c>
      <c r="O4810" s="149">
        <f t="shared" ca="1" si="162"/>
        <v>1.000173611111111</v>
      </c>
    </row>
    <row r="4811" spans="12:15" x14ac:dyDescent="0.25">
      <c r="L4811" s="147">
        <f ca="1"/>
        <v>50050</v>
      </c>
      <c r="M4811" s="92">
        <f t="shared" ca="1" si="161"/>
        <v>6.25</v>
      </c>
      <c r="N4811" s="143">
        <f ca="1">(PRODUCT($O$5:$O4811)-1)*36000/_xlfn.DAYS(L4811, $C$2)</f>
        <v>10.961338157205416</v>
      </c>
      <c r="O4811" s="149">
        <f t="shared" ca="1" si="162"/>
        <v>1.000173611111111</v>
      </c>
    </row>
    <row r="4812" spans="12:15" x14ac:dyDescent="0.25">
      <c r="L4812" s="147">
        <f ca="1"/>
        <v>50051</v>
      </c>
      <c r="M4812" s="92">
        <f t="shared" ca="1" si="161"/>
        <v>6.25</v>
      </c>
      <c r="N4812" s="143">
        <f ca="1">(PRODUCT($O$5:$O4812)-1)*36000/_xlfn.DAYS(L4812, $C$2)</f>
        <v>10.962260875878005</v>
      </c>
      <c r="O4812" s="149">
        <f t="shared" ca="1" si="162"/>
        <v>1.000173611111111</v>
      </c>
    </row>
    <row r="4813" spans="12:15" x14ac:dyDescent="0.25">
      <c r="L4813" s="147">
        <f ca="1"/>
        <v>50052</v>
      </c>
      <c r="M4813" s="92">
        <f t="shared" ca="1" si="161"/>
        <v>6.25</v>
      </c>
      <c r="N4813" s="143">
        <f ca="1">(PRODUCT($O$5:$O4813)-1)*36000/_xlfn.DAYS(L4813, $C$2)</f>
        <v>10.963183766683372</v>
      </c>
      <c r="O4813" s="149">
        <f t="shared" ca="1" si="162"/>
        <v>1.000173611111111</v>
      </c>
    </row>
    <row r="4814" spans="12:15" x14ac:dyDescent="0.25">
      <c r="L4814" s="147">
        <f ca="1"/>
        <v>50053</v>
      </c>
      <c r="M4814" s="92">
        <f t="shared" ca="1" si="161"/>
        <v>6.25</v>
      </c>
      <c r="N4814" s="143">
        <f ca="1">(PRODUCT($O$5:$O4814)-1)*36000/_xlfn.DAYS(L4814, $C$2)</f>
        <v>10.964106829610646</v>
      </c>
      <c r="O4814" s="149">
        <f t="shared" ca="1" si="162"/>
        <v>1.000173611111111</v>
      </c>
    </row>
    <row r="4815" spans="12:15" x14ac:dyDescent="0.25">
      <c r="L4815" s="147">
        <f ca="1"/>
        <v>50054</v>
      </c>
      <c r="M4815" s="92">
        <f t="shared" ca="1" si="161"/>
        <v>6.25</v>
      </c>
      <c r="N4815" s="143">
        <f ca="1">(PRODUCT($O$5:$O4815)-1)*36000/_xlfn.DAYS(L4815, $C$2)</f>
        <v>10.965030064648978</v>
      </c>
      <c r="O4815" s="149">
        <f t="shared" ca="1" si="162"/>
        <v>1.000173611111111</v>
      </c>
    </row>
    <row r="4816" spans="12:15" x14ac:dyDescent="0.25">
      <c r="L4816" s="147">
        <f ca="1"/>
        <v>50055</v>
      </c>
      <c r="M4816" s="92">
        <f t="shared" ca="1" si="161"/>
        <v>6.25</v>
      </c>
      <c r="N4816" s="143">
        <f ca="1">(PRODUCT($O$5:$O4816)-1)*36000/_xlfn.DAYS(L4816, $C$2)</f>
        <v>10.965953471787548</v>
      </c>
      <c r="O4816" s="149">
        <f t="shared" ca="1" si="162"/>
        <v>1.000173611111111</v>
      </c>
    </row>
    <row r="4817" spans="12:15" x14ac:dyDescent="0.25">
      <c r="L4817" s="147">
        <f ca="1"/>
        <v>50056</v>
      </c>
      <c r="M4817" s="92">
        <f t="shared" ca="1" si="161"/>
        <v>6.25</v>
      </c>
      <c r="N4817" s="143">
        <f ca="1">(PRODUCT($O$5:$O4817)-1)*36000/_xlfn.DAYS(L4817, $C$2)</f>
        <v>10.96687705101556</v>
      </c>
      <c r="O4817" s="149">
        <f t="shared" ca="1" si="162"/>
        <v>1.000173611111111</v>
      </c>
    </row>
    <row r="4818" spans="12:15" x14ac:dyDescent="0.25">
      <c r="L4818" s="147">
        <f ca="1"/>
        <v>50057</v>
      </c>
      <c r="M4818" s="92">
        <f t="shared" ca="1" si="161"/>
        <v>6.25</v>
      </c>
      <c r="N4818" s="143">
        <f ca="1">(PRODUCT($O$5:$O4818)-1)*36000/_xlfn.DAYS(L4818, $C$2)</f>
        <v>10.967800802322246</v>
      </c>
      <c r="O4818" s="149">
        <f t="shared" ca="1" si="162"/>
        <v>1.000173611111111</v>
      </c>
    </row>
    <row r="4819" spans="12:15" x14ac:dyDescent="0.25">
      <c r="L4819" s="147">
        <f ca="1"/>
        <v>50058</v>
      </c>
      <c r="M4819" s="92">
        <f t="shared" ca="1" si="161"/>
        <v>6.25</v>
      </c>
      <c r="N4819" s="143">
        <f ca="1">(PRODUCT($O$5:$O4819)-1)*36000/_xlfn.DAYS(L4819, $C$2)</f>
        <v>10.968724725696864</v>
      </c>
      <c r="O4819" s="149">
        <f t="shared" ca="1" si="162"/>
        <v>1.000173611111111</v>
      </c>
    </row>
    <row r="4820" spans="12:15" x14ac:dyDescent="0.25">
      <c r="L4820" s="147">
        <f ca="1"/>
        <v>50059</v>
      </c>
      <c r="M4820" s="92">
        <f t="shared" ca="1" si="161"/>
        <v>6.25</v>
      </c>
      <c r="N4820" s="143">
        <f ca="1">(PRODUCT($O$5:$O4820)-1)*36000/_xlfn.DAYS(L4820, $C$2)</f>
        <v>10.969648821128692</v>
      </c>
      <c r="O4820" s="149">
        <f t="shared" ca="1" si="162"/>
        <v>1.000173611111111</v>
      </c>
    </row>
    <row r="4821" spans="12:15" x14ac:dyDescent="0.25">
      <c r="L4821" s="147">
        <f ca="1"/>
        <v>50060</v>
      </c>
      <c r="M4821" s="92">
        <f t="shared" ca="1" si="161"/>
        <v>6.25</v>
      </c>
      <c r="N4821" s="143">
        <f ca="1">(PRODUCT($O$5:$O4821)-1)*36000/_xlfn.DAYS(L4821, $C$2)</f>
        <v>10.970573088607038</v>
      </c>
      <c r="O4821" s="149">
        <f t="shared" ca="1" si="162"/>
        <v>1.000173611111111</v>
      </c>
    </row>
    <row r="4822" spans="12:15" x14ac:dyDescent="0.25">
      <c r="L4822" s="147">
        <f ca="1"/>
        <v>50061</v>
      </c>
      <c r="M4822" s="92">
        <f t="shared" ca="1" si="161"/>
        <v>6.25</v>
      </c>
      <c r="N4822" s="143">
        <f ca="1">(PRODUCT($O$5:$O4822)-1)*36000/_xlfn.DAYS(L4822, $C$2)</f>
        <v>10.971497528121237</v>
      </c>
      <c r="O4822" s="149">
        <f t="shared" ca="1" si="162"/>
        <v>1.000173611111111</v>
      </c>
    </row>
    <row r="4823" spans="12:15" x14ac:dyDescent="0.25">
      <c r="L4823" s="147">
        <f ca="1"/>
        <v>50062</v>
      </c>
      <c r="M4823" s="92">
        <f t="shared" ca="1" si="161"/>
        <v>6.25</v>
      </c>
      <c r="N4823" s="143">
        <f ca="1">(PRODUCT($O$5:$O4823)-1)*36000/_xlfn.DAYS(L4823, $C$2)</f>
        <v>10.972422139660644</v>
      </c>
      <c r="O4823" s="149">
        <f t="shared" ca="1" si="162"/>
        <v>1.000173611111111</v>
      </c>
    </row>
    <row r="4824" spans="12:15" x14ac:dyDescent="0.25">
      <c r="L4824" s="147">
        <f ca="1"/>
        <v>50063</v>
      </c>
      <c r="M4824" s="92">
        <f t="shared" ca="1" si="161"/>
        <v>6.25</v>
      </c>
      <c r="N4824" s="143">
        <f ca="1">(PRODUCT($O$5:$O4824)-1)*36000/_xlfn.DAYS(L4824, $C$2)</f>
        <v>10.973346923214649</v>
      </c>
      <c r="O4824" s="149">
        <f t="shared" ca="1" si="162"/>
        <v>1.000173611111111</v>
      </c>
    </row>
    <row r="4825" spans="12:15" x14ac:dyDescent="0.25">
      <c r="L4825" s="147">
        <f ca="1"/>
        <v>50064</v>
      </c>
      <c r="M4825" s="92">
        <f t="shared" ca="1" si="161"/>
        <v>6.25</v>
      </c>
      <c r="N4825" s="143">
        <f ca="1">(PRODUCT($O$5:$O4825)-1)*36000/_xlfn.DAYS(L4825, $C$2)</f>
        <v>10.974271878772658</v>
      </c>
      <c r="O4825" s="149">
        <f t="shared" ca="1" si="162"/>
        <v>1.000173611111111</v>
      </c>
    </row>
    <row r="4826" spans="12:15" x14ac:dyDescent="0.25">
      <c r="L4826" s="147">
        <f ca="1"/>
        <v>50065</v>
      </c>
      <c r="M4826" s="92">
        <f t="shared" ca="1" si="161"/>
        <v>6.25</v>
      </c>
      <c r="N4826" s="143">
        <f ca="1">(PRODUCT($O$5:$O4826)-1)*36000/_xlfn.DAYS(L4826, $C$2)</f>
        <v>10.975197006324107</v>
      </c>
      <c r="O4826" s="149">
        <f t="shared" ca="1" si="162"/>
        <v>1.000173611111111</v>
      </c>
    </row>
    <row r="4827" spans="12:15" x14ac:dyDescent="0.25">
      <c r="L4827" s="147">
        <f ca="1"/>
        <v>50066</v>
      </c>
      <c r="M4827" s="92">
        <f t="shared" ca="1" si="161"/>
        <v>6.25</v>
      </c>
      <c r="N4827" s="143">
        <f ca="1">(PRODUCT($O$5:$O4827)-1)*36000/_xlfn.DAYS(L4827, $C$2)</f>
        <v>10.976122305858455</v>
      </c>
      <c r="O4827" s="149">
        <f t="shared" ca="1" si="162"/>
        <v>1.000173611111111</v>
      </c>
    </row>
    <row r="4828" spans="12:15" x14ac:dyDescent="0.25">
      <c r="L4828" s="147">
        <f ca="1"/>
        <v>50067</v>
      </c>
      <c r="M4828" s="92">
        <f t="shared" ca="1" si="161"/>
        <v>6.25</v>
      </c>
      <c r="N4828" s="143">
        <f ca="1">(PRODUCT($O$5:$O4828)-1)*36000/_xlfn.DAYS(L4828, $C$2)</f>
        <v>10.977047777365193</v>
      </c>
      <c r="O4828" s="149">
        <f t="shared" ca="1" si="162"/>
        <v>1.000173611111111</v>
      </c>
    </row>
    <row r="4829" spans="12:15" x14ac:dyDescent="0.25">
      <c r="L4829" s="147">
        <f ca="1"/>
        <v>50068</v>
      </c>
      <c r="M4829" s="92">
        <f t="shared" ca="1" si="161"/>
        <v>6.25</v>
      </c>
      <c r="N4829" s="143">
        <f ca="1">(PRODUCT($O$5:$O4829)-1)*36000/_xlfn.DAYS(L4829, $C$2)</f>
        <v>10.977973420833829</v>
      </c>
      <c r="O4829" s="149">
        <f t="shared" ca="1" si="162"/>
        <v>1.000173611111111</v>
      </c>
    </row>
    <row r="4830" spans="12:15" x14ac:dyDescent="0.25">
      <c r="L4830" s="147">
        <f ca="1"/>
        <v>50069</v>
      </c>
      <c r="M4830" s="92">
        <f t="shared" ca="1" si="161"/>
        <v>6.25</v>
      </c>
      <c r="N4830" s="143">
        <f ca="1">(PRODUCT($O$5:$O4830)-1)*36000/_xlfn.DAYS(L4830, $C$2)</f>
        <v>10.9788992362539</v>
      </c>
      <c r="O4830" s="149">
        <f t="shared" ca="1" si="162"/>
        <v>1.000173611111111</v>
      </c>
    </row>
    <row r="4831" spans="12:15" x14ac:dyDescent="0.25">
      <c r="L4831" s="147">
        <f ca="1"/>
        <v>50070</v>
      </c>
      <c r="M4831" s="92">
        <f t="shared" ca="1" si="161"/>
        <v>6.25</v>
      </c>
      <c r="N4831" s="143">
        <f ca="1">(PRODUCT($O$5:$O4831)-1)*36000/_xlfn.DAYS(L4831, $C$2)</f>
        <v>10.97982522361497</v>
      </c>
      <c r="O4831" s="149">
        <f t="shared" ca="1" si="162"/>
        <v>1.000173611111111</v>
      </c>
    </row>
    <row r="4832" spans="12:15" x14ac:dyDescent="0.25">
      <c r="L4832" s="147">
        <f ca="1"/>
        <v>50071</v>
      </c>
      <c r="M4832" s="92">
        <f t="shared" ca="1" si="161"/>
        <v>6.25</v>
      </c>
      <c r="N4832" s="143">
        <f ca="1">(PRODUCT($O$5:$O4832)-1)*36000/_xlfn.DAYS(L4832, $C$2)</f>
        <v>10.980751382906629</v>
      </c>
      <c r="O4832" s="149">
        <f t="shared" ca="1" si="162"/>
        <v>1.000173611111111</v>
      </c>
    </row>
    <row r="4833" spans="12:15" x14ac:dyDescent="0.25">
      <c r="L4833" s="147">
        <f ca="1"/>
        <v>50072</v>
      </c>
      <c r="M4833" s="92">
        <f t="shared" ca="1" si="161"/>
        <v>6.25</v>
      </c>
      <c r="N4833" s="143">
        <f ca="1">(PRODUCT($O$5:$O4833)-1)*36000/_xlfn.DAYS(L4833, $C$2)</f>
        <v>10.981677714118486</v>
      </c>
      <c r="O4833" s="149">
        <f t="shared" ca="1" si="162"/>
        <v>1.000173611111111</v>
      </c>
    </row>
    <row r="4834" spans="12:15" x14ac:dyDescent="0.25">
      <c r="L4834" s="147">
        <f ca="1"/>
        <v>50073</v>
      </c>
      <c r="M4834" s="92">
        <f t="shared" ca="1" si="161"/>
        <v>6.25</v>
      </c>
      <c r="N4834" s="143">
        <f ca="1">(PRODUCT($O$5:$O4834)-1)*36000/_xlfn.DAYS(L4834, $C$2)</f>
        <v>10.982604217240183</v>
      </c>
      <c r="O4834" s="149">
        <f t="shared" ca="1" si="162"/>
        <v>1.000173611111111</v>
      </c>
    </row>
    <row r="4835" spans="12:15" x14ac:dyDescent="0.25">
      <c r="L4835" s="147">
        <f ca="1"/>
        <v>50074</v>
      </c>
      <c r="M4835" s="92">
        <f t="shared" ca="1" si="161"/>
        <v>6.25</v>
      </c>
      <c r="N4835" s="143">
        <f ca="1">(PRODUCT($O$5:$O4835)-1)*36000/_xlfn.DAYS(L4835, $C$2)</f>
        <v>10.983530892261385</v>
      </c>
      <c r="O4835" s="149">
        <f t="shared" ca="1" si="162"/>
        <v>1.000173611111111</v>
      </c>
    </row>
    <row r="4836" spans="12:15" x14ac:dyDescent="0.25">
      <c r="L4836" s="147">
        <f ca="1"/>
        <v>50075</v>
      </c>
      <c r="M4836" s="92">
        <f t="shared" ca="1" si="161"/>
        <v>6.25</v>
      </c>
      <c r="N4836" s="143">
        <f ca="1">(PRODUCT($O$5:$O4836)-1)*36000/_xlfn.DAYS(L4836, $C$2)</f>
        <v>10.984457739171775</v>
      </c>
      <c r="O4836" s="149">
        <f t="shared" ca="1" si="162"/>
        <v>1.000173611111111</v>
      </c>
    </row>
    <row r="4837" spans="12:15" x14ac:dyDescent="0.25">
      <c r="L4837" s="147">
        <f ca="1"/>
        <v>50076</v>
      </c>
      <c r="M4837" s="92">
        <f t="shared" ca="1" si="161"/>
        <v>6.25</v>
      </c>
      <c r="N4837" s="143">
        <f ca="1">(PRODUCT($O$5:$O4837)-1)*36000/_xlfn.DAYS(L4837, $C$2)</f>
        <v>10.985384757961075</v>
      </c>
      <c r="O4837" s="149">
        <f t="shared" ca="1" si="162"/>
        <v>1.000173611111111</v>
      </c>
    </row>
    <row r="4838" spans="12:15" x14ac:dyDescent="0.25">
      <c r="L4838" s="147">
        <f ca="1"/>
        <v>50077</v>
      </c>
      <c r="M4838" s="92">
        <f t="shared" ca="1" si="161"/>
        <v>6.25</v>
      </c>
      <c r="N4838" s="143">
        <f ca="1">(PRODUCT($O$5:$O4838)-1)*36000/_xlfn.DAYS(L4838, $C$2)</f>
        <v>10.98631194861902</v>
      </c>
      <c r="O4838" s="149">
        <f t="shared" ca="1" si="162"/>
        <v>1.000173611111111</v>
      </c>
    </row>
    <row r="4839" spans="12:15" x14ac:dyDescent="0.25">
      <c r="L4839" s="147">
        <f ca="1"/>
        <v>50078</v>
      </c>
      <c r="M4839" s="92">
        <f t="shared" ca="1" si="161"/>
        <v>6.25</v>
      </c>
      <c r="N4839" s="143">
        <f ca="1">(PRODUCT($O$5:$O4839)-1)*36000/_xlfn.DAYS(L4839, $C$2)</f>
        <v>10.987239311135378</v>
      </c>
      <c r="O4839" s="149">
        <f t="shared" ca="1" si="162"/>
        <v>1.000173611111111</v>
      </c>
    </row>
    <row r="4840" spans="12:15" x14ac:dyDescent="0.25">
      <c r="L4840" s="147">
        <f ca="1"/>
        <v>50079</v>
      </c>
      <c r="M4840" s="92">
        <f t="shared" ca="1" si="161"/>
        <v>6.25</v>
      </c>
      <c r="N4840" s="143">
        <f ca="1">(PRODUCT($O$5:$O4840)-1)*36000/_xlfn.DAYS(L4840, $C$2)</f>
        <v>10.988166845499936</v>
      </c>
      <c r="O4840" s="149">
        <f t="shared" ca="1" si="162"/>
        <v>1.000173611111111</v>
      </c>
    </row>
    <row r="4841" spans="12:15" x14ac:dyDescent="0.25">
      <c r="L4841" s="147">
        <f ca="1"/>
        <v>50080</v>
      </c>
      <c r="M4841" s="92">
        <f t="shared" ca="1" si="161"/>
        <v>6.25</v>
      </c>
      <c r="N4841" s="143">
        <f ca="1">(PRODUCT($O$5:$O4841)-1)*36000/_xlfn.DAYS(L4841, $C$2)</f>
        <v>10.989094551702513</v>
      </c>
      <c r="O4841" s="149">
        <f t="shared" ca="1" si="162"/>
        <v>1.000173611111111</v>
      </c>
    </row>
    <row r="4842" spans="12:15" x14ac:dyDescent="0.25">
      <c r="L4842" s="147">
        <f ca="1"/>
        <v>50081</v>
      </c>
      <c r="M4842" s="92">
        <f t="shared" ca="1" si="161"/>
        <v>6.25</v>
      </c>
      <c r="N4842" s="143">
        <f ca="1">(PRODUCT($O$5:$O4842)-1)*36000/_xlfn.DAYS(L4842, $C$2)</f>
        <v>10.990022429732944</v>
      </c>
      <c r="O4842" s="149">
        <f t="shared" ca="1" si="162"/>
        <v>1.000173611111111</v>
      </c>
    </row>
    <row r="4843" spans="12:15" x14ac:dyDescent="0.25">
      <c r="L4843" s="147">
        <f ca="1"/>
        <v>50082</v>
      </c>
      <c r="M4843" s="92">
        <f t="shared" ca="1" si="161"/>
        <v>6.25</v>
      </c>
      <c r="N4843" s="143">
        <f ca="1">(PRODUCT($O$5:$O4843)-1)*36000/_xlfn.DAYS(L4843, $C$2)</f>
        <v>10.990950479581103</v>
      </c>
      <c r="O4843" s="149">
        <f t="shared" ca="1" si="162"/>
        <v>1.000173611111111</v>
      </c>
    </row>
    <row r="4844" spans="12:15" x14ac:dyDescent="0.25">
      <c r="L4844" s="147">
        <f ca="1"/>
        <v>50083</v>
      </c>
      <c r="M4844" s="92">
        <f t="shared" ca="1" si="161"/>
        <v>6.25</v>
      </c>
      <c r="N4844" s="143">
        <f ca="1">(PRODUCT($O$5:$O4844)-1)*36000/_xlfn.DAYS(L4844, $C$2)</f>
        <v>10.991878701236876</v>
      </c>
      <c r="O4844" s="149">
        <f t="shared" ca="1" si="162"/>
        <v>1.000173611111111</v>
      </c>
    </row>
    <row r="4845" spans="12:15" x14ac:dyDescent="0.25">
      <c r="L4845" s="147">
        <f ca="1"/>
        <v>50084</v>
      </c>
      <c r="M4845" s="92">
        <f t="shared" ca="1" si="161"/>
        <v>6.25</v>
      </c>
      <c r="N4845" s="143">
        <f ca="1">(PRODUCT($O$5:$O4845)-1)*36000/_xlfn.DAYS(L4845, $C$2)</f>
        <v>10.992807094690178</v>
      </c>
      <c r="O4845" s="149">
        <f t="shared" ca="1" si="162"/>
        <v>1.000173611111111</v>
      </c>
    </row>
    <row r="4846" spans="12:15" x14ac:dyDescent="0.25">
      <c r="L4846" s="147">
        <f ca="1"/>
        <v>50085</v>
      </c>
      <c r="M4846" s="92">
        <f t="shared" ca="1" si="161"/>
        <v>6.25</v>
      </c>
      <c r="N4846" s="143">
        <f ca="1">(PRODUCT($O$5:$O4846)-1)*36000/_xlfn.DAYS(L4846, $C$2)</f>
        <v>10.993735659930952</v>
      </c>
      <c r="O4846" s="149">
        <f t="shared" ca="1" si="162"/>
        <v>1.000173611111111</v>
      </c>
    </row>
    <row r="4847" spans="12:15" x14ac:dyDescent="0.25">
      <c r="L4847" s="147">
        <f ca="1"/>
        <v>50086</v>
      </c>
      <c r="M4847" s="92">
        <f t="shared" ca="1" si="161"/>
        <v>6.25</v>
      </c>
      <c r="N4847" s="143">
        <f ca="1">(PRODUCT($O$5:$O4847)-1)*36000/_xlfn.DAYS(L4847, $C$2)</f>
        <v>10.994664396949162</v>
      </c>
      <c r="O4847" s="149">
        <f t="shared" ca="1" si="162"/>
        <v>1.000173611111111</v>
      </c>
    </row>
    <row r="4848" spans="12:15" x14ac:dyDescent="0.25">
      <c r="L4848" s="147">
        <f ca="1"/>
        <v>50087</v>
      </c>
      <c r="M4848" s="92">
        <f t="shared" ca="1" si="161"/>
        <v>6.25</v>
      </c>
      <c r="N4848" s="143">
        <f ca="1">(PRODUCT($O$5:$O4848)-1)*36000/_xlfn.DAYS(L4848, $C$2)</f>
        <v>10.995593305734802</v>
      </c>
      <c r="O4848" s="149">
        <f t="shared" ca="1" si="162"/>
        <v>1.000173611111111</v>
      </c>
    </row>
    <row r="4849" spans="12:15" x14ac:dyDescent="0.25">
      <c r="L4849" s="147">
        <f ca="1"/>
        <v>50088</v>
      </c>
      <c r="M4849" s="92">
        <f t="shared" ca="1" si="161"/>
        <v>6.25</v>
      </c>
      <c r="N4849" s="143">
        <f ca="1">(PRODUCT($O$5:$O4849)-1)*36000/_xlfn.DAYS(L4849, $C$2)</f>
        <v>10.996522386277883</v>
      </c>
      <c r="O4849" s="149">
        <f t="shared" ca="1" si="162"/>
        <v>1.000173611111111</v>
      </c>
    </row>
    <row r="4850" spans="12:15" x14ac:dyDescent="0.25">
      <c r="L4850" s="147">
        <f ca="1"/>
        <v>50089</v>
      </c>
      <c r="M4850" s="92">
        <f t="shared" ca="1" si="161"/>
        <v>6.25</v>
      </c>
      <c r="N4850" s="143">
        <f ca="1">(PRODUCT($O$5:$O4850)-1)*36000/_xlfn.DAYS(L4850, $C$2)</f>
        <v>10.99745163856845</v>
      </c>
      <c r="O4850" s="149">
        <f t="shared" ca="1" si="162"/>
        <v>1.000173611111111</v>
      </c>
    </row>
    <row r="4851" spans="12:15" x14ac:dyDescent="0.25">
      <c r="L4851" s="147">
        <f ca="1"/>
        <v>50090</v>
      </c>
      <c r="M4851" s="92">
        <f t="shared" ca="1" si="161"/>
        <v>6.25</v>
      </c>
      <c r="N4851" s="143">
        <f ca="1">(PRODUCT($O$5:$O4851)-1)*36000/_xlfn.DAYS(L4851, $C$2)</f>
        <v>10.99838106259657</v>
      </c>
      <c r="O4851" s="149">
        <f t="shared" ca="1" si="162"/>
        <v>1.000173611111111</v>
      </c>
    </row>
    <row r="4852" spans="12:15" x14ac:dyDescent="0.25">
      <c r="L4852" s="147">
        <f ca="1"/>
        <v>50091</v>
      </c>
      <c r="M4852" s="92">
        <f t="shared" ca="1" si="161"/>
        <v>6.25</v>
      </c>
      <c r="N4852" s="143">
        <f ca="1">(PRODUCT($O$5:$O4852)-1)*36000/_xlfn.DAYS(L4852, $C$2)</f>
        <v>10.99931065835233</v>
      </c>
      <c r="O4852" s="149">
        <f t="shared" ca="1" si="162"/>
        <v>1.000173611111111</v>
      </c>
    </row>
    <row r="4853" spans="12:15" x14ac:dyDescent="0.25">
      <c r="L4853" s="147">
        <f ca="1"/>
        <v>50092</v>
      </c>
      <c r="M4853" s="92">
        <f t="shared" ca="1" si="161"/>
        <v>6.25</v>
      </c>
      <c r="N4853" s="143">
        <f ca="1">(PRODUCT($O$5:$O4853)-1)*36000/_xlfn.DAYS(L4853, $C$2)</f>
        <v>11.000240425825849</v>
      </c>
      <c r="O4853" s="149">
        <f t="shared" ca="1" si="162"/>
        <v>1.000173611111111</v>
      </c>
    </row>
    <row r="4854" spans="12:15" x14ac:dyDescent="0.25">
      <c r="L4854" s="147">
        <f ca="1"/>
        <v>50093</v>
      </c>
      <c r="M4854" s="92">
        <f t="shared" ca="1" si="161"/>
        <v>6.25</v>
      </c>
      <c r="N4854" s="143">
        <f ca="1">(PRODUCT($O$5:$O4854)-1)*36000/_xlfn.DAYS(L4854, $C$2)</f>
        <v>11.001170365007265</v>
      </c>
      <c r="O4854" s="149">
        <f t="shared" ca="1" si="162"/>
        <v>1.000173611111111</v>
      </c>
    </row>
    <row r="4855" spans="12:15" x14ac:dyDescent="0.25">
      <c r="L4855" s="147">
        <f ca="1"/>
        <v>50094</v>
      </c>
      <c r="M4855" s="92">
        <f t="shared" ca="1" si="161"/>
        <v>6.25</v>
      </c>
      <c r="N4855" s="143">
        <f ca="1">(PRODUCT($O$5:$O4855)-1)*36000/_xlfn.DAYS(L4855, $C$2)</f>
        <v>11.002100475886744</v>
      </c>
      <c r="O4855" s="149">
        <f t="shared" ca="1" si="162"/>
        <v>1.000173611111111</v>
      </c>
    </row>
    <row r="4856" spans="12:15" x14ac:dyDescent="0.25">
      <c r="L4856" s="147">
        <f ca="1"/>
        <v>50095</v>
      </c>
      <c r="M4856" s="92">
        <f t="shared" ca="1" si="161"/>
        <v>6.25</v>
      </c>
      <c r="N4856" s="143">
        <f ca="1">(PRODUCT($O$5:$O4856)-1)*36000/_xlfn.DAYS(L4856, $C$2)</f>
        <v>11.003030758454477</v>
      </c>
      <c r="O4856" s="149">
        <f t="shared" ca="1" si="162"/>
        <v>1.000173611111111</v>
      </c>
    </row>
    <row r="4857" spans="12:15" x14ac:dyDescent="0.25">
      <c r="L4857" s="147">
        <f ca="1"/>
        <v>50096</v>
      </c>
      <c r="M4857" s="92">
        <f t="shared" ca="1" si="161"/>
        <v>6.25</v>
      </c>
      <c r="N4857" s="143">
        <f ca="1">(PRODUCT($O$5:$O4857)-1)*36000/_xlfn.DAYS(L4857, $C$2)</f>
        <v>11.003961212700681</v>
      </c>
      <c r="O4857" s="149">
        <f t="shared" ca="1" si="162"/>
        <v>1.000173611111111</v>
      </c>
    </row>
    <row r="4858" spans="12:15" x14ac:dyDescent="0.25">
      <c r="L4858" s="147">
        <f ca="1"/>
        <v>50097</v>
      </c>
      <c r="M4858" s="92">
        <f t="shared" ca="1" si="161"/>
        <v>6.25</v>
      </c>
      <c r="N4858" s="143">
        <f ca="1">(PRODUCT($O$5:$O4858)-1)*36000/_xlfn.DAYS(L4858, $C$2)</f>
        <v>11.00489183861559</v>
      </c>
      <c r="O4858" s="149">
        <f t="shared" ca="1" si="162"/>
        <v>1.000173611111111</v>
      </c>
    </row>
    <row r="4859" spans="12:15" x14ac:dyDescent="0.25">
      <c r="L4859" s="147">
        <f ca="1"/>
        <v>50098</v>
      </c>
      <c r="M4859" s="92">
        <f t="shared" ca="1" si="161"/>
        <v>6.25</v>
      </c>
      <c r="N4859" s="143">
        <f ca="1">(PRODUCT($O$5:$O4859)-1)*36000/_xlfn.DAYS(L4859, $C$2)</f>
        <v>11.005822636189473</v>
      </c>
      <c r="O4859" s="149">
        <f t="shared" ca="1" si="162"/>
        <v>1.000173611111111</v>
      </c>
    </row>
    <row r="4860" spans="12:15" x14ac:dyDescent="0.25">
      <c r="L4860" s="147">
        <f ca="1"/>
        <v>50099</v>
      </c>
      <c r="M4860" s="92">
        <f t="shared" ca="1" si="161"/>
        <v>6.25</v>
      </c>
      <c r="N4860" s="143">
        <f ca="1">(PRODUCT($O$5:$O4860)-1)*36000/_xlfn.DAYS(L4860, $C$2)</f>
        <v>11.006753605412621</v>
      </c>
      <c r="O4860" s="149">
        <f t="shared" ca="1" si="162"/>
        <v>1.000173611111111</v>
      </c>
    </row>
    <row r="4861" spans="12:15" x14ac:dyDescent="0.25">
      <c r="L4861" s="147">
        <f ca="1"/>
        <v>50100</v>
      </c>
      <c r="M4861" s="92">
        <f t="shared" ca="1" si="161"/>
        <v>6.25</v>
      </c>
      <c r="N4861" s="143">
        <f ca="1">(PRODUCT($O$5:$O4861)-1)*36000/_xlfn.DAYS(L4861, $C$2)</f>
        <v>11.007684746275345</v>
      </c>
      <c r="O4861" s="149">
        <f t="shared" ca="1" si="162"/>
        <v>1.000173611111111</v>
      </c>
    </row>
    <row r="4862" spans="12:15" x14ac:dyDescent="0.25">
      <c r="L4862" s="147">
        <f ca="1"/>
        <v>50101</v>
      </c>
      <c r="M4862" s="92">
        <f t="shared" ca="1" si="161"/>
        <v>6.25</v>
      </c>
      <c r="N4862" s="143">
        <f ca="1">(PRODUCT($O$5:$O4862)-1)*36000/_xlfn.DAYS(L4862, $C$2)</f>
        <v>11.008616058767986</v>
      </c>
      <c r="O4862" s="149">
        <f t="shared" ca="1" si="162"/>
        <v>1.000173611111111</v>
      </c>
    </row>
    <row r="4863" spans="12:15" x14ac:dyDescent="0.25">
      <c r="L4863" s="147">
        <f ca="1"/>
        <v>50102</v>
      </c>
      <c r="M4863" s="92">
        <f t="shared" ca="1" si="161"/>
        <v>6.25</v>
      </c>
      <c r="N4863" s="143">
        <f ca="1">(PRODUCT($O$5:$O4863)-1)*36000/_xlfn.DAYS(L4863, $C$2)</f>
        <v>11.009547542880906</v>
      </c>
      <c r="O4863" s="149">
        <f t="shared" ca="1" si="162"/>
        <v>1.000173611111111</v>
      </c>
    </row>
    <row r="4864" spans="12:15" x14ac:dyDescent="0.25">
      <c r="L4864" s="147">
        <f ca="1"/>
        <v>50103</v>
      </c>
      <c r="M4864" s="92">
        <f t="shared" ca="1" si="161"/>
        <v>6.25</v>
      </c>
      <c r="N4864" s="143">
        <f ca="1">(PRODUCT($O$5:$O4864)-1)*36000/_xlfn.DAYS(L4864, $C$2)</f>
        <v>11.010479198604493</v>
      </c>
      <c r="O4864" s="149">
        <f t="shared" ca="1" si="162"/>
        <v>1.000173611111111</v>
      </c>
    </row>
    <row r="4865" spans="12:15" x14ac:dyDescent="0.25">
      <c r="L4865" s="147">
        <f ca="1"/>
        <v>50104</v>
      </c>
      <c r="M4865" s="92">
        <f t="shared" ca="1" si="161"/>
        <v>6.25</v>
      </c>
      <c r="N4865" s="143">
        <f ca="1">(PRODUCT($O$5:$O4865)-1)*36000/_xlfn.DAYS(L4865, $C$2)</f>
        <v>11.01141102592916</v>
      </c>
      <c r="O4865" s="149">
        <f t="shared" ca="1" si="162"/>
        <v>1.000173611111111</v>
      </c>
    </row>
    <row r="4866" spans="12:15" x14ac:dyDescent="0.25">
      <c r="L4866" s="147">
        <f ca="1"/>
        <v>50105</v>
      </c>
      <c r="M4866" s="92">
        <f t="shared" ca="1" si="161"/>
        <v>6.25</v>
      </c>
      <c r="N4866" s="143">
        <f ca="1">(PRODUCT($O$5:$O4866)-1)*36000/_xlfn.DAYS(L4866, $C$2)</f>
        <v>11.012343024845347</v>
      </c>
      <c r="O4866" s="149">
        <f t="shared" ca="1" si="162"/>
        <v>1.000173611111111</v>
      </c>
    </row>
    <row r="4867" spans="12:15" x14ac:dyDescent="0.25">
      <c r="L4867" s="147">
        <f ca="1"/>
        <v>50106</v>
      </c>
      <c r="M4867" s="92">
        <f t="shared" ca="1" si="161"/>
        <v>6.25</v>
      </c>
      <c r="N4867" s="143">
        <f ca="1">(PRODUCT($O$5:$O4867)-1)*36000/_xlfn.DAYS(L4867, $C$2)</f>
        <v>11.013275195343512</v>
      </c>
      <c r="O4867" s="149">
        <f t="shared" ca="1" si="162"/>
        <v>1.000173611111111</v>
      </c>
    </row>
    <row r="4868" spans="12:15" x14ac:dyDescent="0.25">
      <c r="L4868" s="147">
        <f ca="1"/>
        <v>50107</v>
      </c>
      <c r="M4868" s="92">
        <f t="shared" ca="1" si="161"/>
        <v>6.25</v>
      </c>
      <c r="N4868" s="143">
        <f ca="1">(PRODUCT($O$5:$O4868)-1)*36000/_xlfn.DAYS(L4868, $C$2)</f>
        <v>11.014207537414144</v>
      </c>
      <c r="O4868" s="149">
        <f t="shared" ca="1" si="162"/>
        <v>1.000173611111111</v>
      </c>
    </row>
    <row r="4869" spans="12:15" x14ac:dyDescent="0.25">
      <c r="L4869" s="147">
        <f ca="1"/>
        <v>50108</v>
      </c>
      <c r="M4869" s="92">
        <f t="shared" ref="M4869:M4932" ca="1" si="163">IFERROR(INDEX($E$27:$H$47, MATCH(L4869, $F$27:$F$47, 0), 4), IF(ISNUMBER(M4868), M4868, $C$5))</f>
        <v>6.25</v>
      </c>
      <c r="N4869" s="143">
        <f ca="1">(PRODUCT($O$5:$O4869)-1)*36000/_xlfn.DAYS(L4869, $C$2)</f>
        <v>11.015140051047753</v>
      </c>
      <c r="O4869" s="149">
        <f t="shared" ca="1" si="162"/>
        <v>1.000173611111111</v>
      </c>
    </row>
    <row r="4870" spans="12:15" x14ac:dyDescent="0.25">
      <c r="L4870" s="147">
        <f ca="1"/>
        <v>50109</v>
      </c>
      <c r="M4870" s="92">
        <f t="shared" ca="1" si="163"/>
        <v>6.25</v>
      </c>
      <c r="N4870" s="143">
        <f ca="1">(PRODUCT($O$5:$O4870)-1)*36000/_xlfn.DAYS(L4870, $C$2)</f>
        <v>11.016072736234873</v>
      </c>
      <c r="O4870" s="149">
        <f t="shared" ref="O4870:O4933" ca="1" si="164">1+M4870*IFERROR(_xlfn.DAYS(L4870, L4869), _xlfn.DAYS(L4870, $C$2))/36000</f>
        <v>1.000173611111111</v>
      </c>
    </row>
    <row r="4871" spans="12:15" x14ac:dyDescent="0.25">
      <c r="L4871" s="147">
        <f ca="1"/>
        <v>50110</v>
      </c>
      <c r="M4871" s="92">
        <f t="shared" ca="1" si="163"/>
        <v>6.25</v>
      </c>
      <c r="N4871" s="143">
        <f ca="1">(PRODUCT($O$5:$O4871)-1)*36000/_xlfn.DAYS(L4871, $C$2)</f>
        <v>11.017005592966068</v>
      </c>
      <c r="O4871" s="149">
        <f t="shared" ca="1" si="164"/>
        <v>1.000173611111111</v>
      </c>
    </row>
    <row r="4872" spans="12:15" x14ac:dyDescent="0.25">
      <c r="L4872" s="147">
        <f ca="1"/>
        <v>50111</v>
      </c>
      <c r="M4872" s="92">
        <f t="shared" ca="1" si="163"/>
        <v>6.25</v>
      </c>
      <c r="N4872" s="143">
        <f ca="1">(PRODUCT($O$5:$O4872)-1)*36000/_xlfn.DAYS(L4872, $C$2)</f>
        <v>11.01793862123192</v>
      </c>
      <c r="O4872" s="149">
        <f t="shared" ca="1" si="164"/>
        <v>1.000173611111111</v>
      </c>
    </row>
    <row r="4873" spans="12:15" x14ac:dyDescent="0.25">
      <c r="L4873" s="147">
        <f ca="1"/>
        <v>50112</v>
      </c>
      <c r="M4873" s="92">
        <f t="shared" ca="1" si="163"/>
        <v>6.25</v>
      </c>
      <c r="N4873" s="143">
        <f ca="1">(PRODUCT($O$5:$O4873)-1)*36000/_xlfn.DAYS(L4873, $C$2)</f>
        <v>11.018871821023039</v>
      </c>
      <c r="O4873" s="149">
        <f t="shared" ca="1" si="164"/>
        <v>1.000173611111111</v>
      </c>
    </row>
    <row r="4874" spans="12:15" x14ac:dyDescent="0.25">
      <c r="L4874" s="147">
        <f ca="1"/>
        <v>50113</v>
      </c>
      <c r="M4874" s="92">
        <f t="shared" ca="1" si="163"/>
        <v>6.25</v>
      </c>
      <c r="N4874" s="143">
        <f ca="1">(PRODUCT($O$5:$O4874)-1)*36000/_xlfn.DAYS(L4874, $C$2)</f>
        <v>11.019805192330058</v>
      </c>
      <c r="O4874" s="149">
        <f t="shared" ca="1" si="164"/>
        <v>1.000173611111111</v>
      </c>
    </row>
    <row r="4875" spans="12:15" x14ac:dyDescent="0.25">
      <c r="L4875" s="147">
        <f ca="1"/>
        <v>50114</v>
      </c>
      <c r="M4875" s="92">
        <f t="shared" ca="1" si="163"/>
        <v>6.25</v>
      </c>
      <c r="N4875" s="143">
        <f ca="1">(PRODUCT($O$5:$O4875)-1)*36000/_xlfn.DAYS(L4875, $C$2)</f>
        <v>11.020738735143633</v>
      </c>
      <c r="O4875" s="149">
        <f t="shared" ca="1" si="164"/>
        <v>1.000173611111111</v>
      </c>
    </row>
    <row r="4876" spans="12:15" x14ac:dyDescent="0.25">
      <c r="L4876" s="147">
        <f ca="1"/>
        <v>50115</v>
      </c>
      <c r="M4876" s="92">
        <f t="shared" ca="1" si="163"/>
        <v>6.25</v>
      </c>
      <c r="N4876" s="143">
        <f ca="1">(PRODUCT($O$5:$O4876)-1)*36000/_xlfn.DAYS(L4876, $C$2)</f>
        <v>11.021672449454449</v>
      </c>
      <c r="O4876" s="149">
        <f t="shared" ca="1" si="164"/>
        <v>1.000173611111111</v>
      </c>
    </row>
    <row r="4877" spans="12:15" x14ac:dyDescent="0.25">
      <c r="L4877" s="147">
        <f ca="1"/>
        <v>50116</v>
      </c>
      <c r="M4877" s="92">
        <f t="shared" ca="1" si="163"/>
        <v>6.25</v>
      </c>
      <c r="N4877" s="143">
        <f ca="1">(PRODUCT($O$5:$O4877)-1)*36000/_xlfn.DAYS(L4877, $C$2)</f>
        <v>11.022606335253213</v>
      </c>
      <c r="O4877" s="149">
        <f t="shared" ca="1" si="164"/>
        <v>1.000173611111111</v>
      </c>
    </row>
    <row r="4878" spans="12:15" x14ac:dyDescent="0.25">
      <c r="L4878" s="147">
        <f ca="1"/>
        <v>50117</v>
      </c>
      <c r="M4878" s="92">
        <f t="shared" ca="1" si="163"/>
        <v>6.25</v>
      </c>
      <c r="N4878" s="143">
        <f ca="1">(PRODUCT($O$5:$O4878)-1)*36000/_xlfn.DAYS(L4878, $C$2)</f>
        <v>11.023540392530654</v>
      </c>
      <c r="O4878" s="149">
        <f t="shared" ca="1" si="164"/>
        <v>1.000173611111111</v>
      </c>
    </row>
    <row r="4879" spans="12:15" x14ac:dyDescent="0.25">
      <c r="L4879" s="147">
        <f ca="1"/>
        <v>50118</v>
      </c>
      <c r="M4879" s="92">
        <f t="shared" ca="1" si="163"/>
        <v>6.25</v>
      </c>
      <c r="N4879" s="143">
        <f ca="1">(PRODUCT($O$5:$O4879)-1)*36000/_xlfn.DAYS(L4879, $C$2)</f>
        <v>11.024474621277523</v>
      </c>
      <c r="O4879" s="149">
        <f t="shared" ca="1" si="164"/>
        <v>1.000173611111111</v>
      </c>
    </row>
    <row r="4880" spans="12:15" x14ac:dyDescent="0.25">
      <c r="L4880" s="147">
        <f ca="1"/>
        <v>50119</v>
      </c>
      <c r="M4880" s="92">
        <f t="shared" ca="1" si="163"/>
        <v>6.25</v>
      </c>
      <c r="N4880" s="143">
        <f ca="1">(PRODUCT($O$5:$O4880)-1)*36000/_xlfn.DAYS(L4880, $C$2)</f>
        <v>11.025409021484608</v>
      </c>
      <c r="O4880" s="149">
        <f t="shared" ca="1" si="164"/>
        <v>1.000173611111111</v>
      </c>
    </row>
    <row r="4881" spans="12:15" x14ac:dyDescent="0.25">
      <c r="L4881" s="147">
        <f ca="1"/>
        <v>50120</v>
      </c>
      <c r="M4881" s="92">
        <f t="shared" ca="1" si="163"/>
        <v>6.25</v>
      </c>
      <c r="N4881" s="143">
        <f ca="1">(PRODUCT($O$5:$O4881)-1)*36000/_xlfn.DAYS(L4881, $C$2)</f>
        <v>11.026343593142707</v>
      </c>
      <c r="O4881" s="149">
        <f t="shared" ca="1" si="164"/>
        <v>1.000173611111111</v>
      </c>
    </row>
    <row r="4882" spans="12:15" x14ac:dyDescent="0.25">
      <c r="L4882" s="147">
        <f ca="1"/>
        <v>50121</v>
      </c>
      <c r="M4882" s="92">
        <f t="shared" ca="1" si="163"/>
        <v>6.25</v>
      </c>
      <c r="N4882" s="143">
        <f ca="1">(PRODUCT($O$5:$O4882)-1)*36000/_xlfn.DAYS(L4882, $C$2)</f>
        <v>11.027278336242652</v>
      </c>
      <c r="O4882" s="149">
        <f t="shared" ca="1" si="164"/>
        <v>1.000173611111111</v>
      </c>
    </row>
    <row r="4883" spans="12:15" x14ac:dyDescent="0.25">
      <c r="L4883" s="147">
        <f ca="1"/>
        <v>50122</v>
      </c>
      <c r="M4883" s="92">
        <f t="shared" ca="1" si="163"/>
        <v>6.25</v>
      </c>
      <c r="N4883" s="143">
        <f ca="1">(PRODUCT($O$5:$O4883)-1)*36000/_xlfn.DAYS(L4883, $C$2)</f>
        <v>11.028213250775293</v>
      </c>
      <c r="O4883" s="149">
        <f t="shared" ca="1" si="164"/>
        <v>1.000173611111111</v>
      </c>
    </row>
    <row r="4884" spans="12:15" x14ac:dyDescent="0.25">
      <c r="L4884" s="147">
        <f ca="1"/>
        <v>50123</v>
      </c>
      <c r="M4884" s="92">
        <f t="shared" ca="1" si="163"/>
        <v>6.25</v>
      </c>
      <c r="N4884" s="143">
        <f ca="1">(PRODUCT($O$5:$O4884)-1)*36000/_xlfn.DAYS(L4884, $C$2)</f>
        <v>11.029148336731504</v>
      </c>
      <c r="O4884" s="149">
        <f t="shared" ca="1" si="164"/>
        <v>1.000173611111111</v>
      </c>
    </row>
    <row r="4885" spans="12:15" x14ac:dyDescent="0.25">
      <c r="L4885" s="147">
        <f ca="1"/>
        <v>50124</v>
      </c>
      <c r="M4885" s="92">
        <f t="shared" ca="1" si="163"/>
        <v>6.25</v>
      </c>
      <c r="N4885" s="143">
        <f ca="1">(PRODUCT($O$5:$O4885)-1)*36000/_xlfn.DAYS(L4885, $C$2)</f>
        <v>11.030083594102191</v>
      </c>
      <c r="O4885" s="149">
        <f t="shared" ca="1" si="164"/>
        <v>1.000173611111111</v>
      </c>
    </row>
    <row r="4886" spans="12:15" x14ac:dyDescent="0.25">
      <c r="L4886" s="147">
        <f ca="1"/>
        <v>50125</v>
      </c>
      <c r="M4886" s="92">
        <f t="shared" ca="1" si="163"/>
        <v>6.25</v>
      </c>
      <c r="N4886" s="143">
        <f ca="1">(PRODUCT($O$5:$O4886)-1)*36000/_xlfn.DAYS(L4886, $C$2)</f>
        <v>11.031019022878276</v>
      </c>
      <c r="O4886" s="149">
        <f t="shared" ca="1" si="164"/>
        <v>1.000173611111111</v>
      </c>
    </row>
    <row r="4887" spans="12:15" x14ac:dyDescent="0.25">
      <c r="L4887" s="147">
        <f ca="1"/>
        <v>50126</v>
      </c>
      <c r="M4887" s="92">
        <f t="shared" ca="1" si="163"/>
        <v>6.25</v>
      </c>
      <c r="N4887" s="143">
        <f ca="1">(PRODUCT($O$5:$O4887)-1)*36000/_xlfn.DAYS(L4887, $C$2)</f>
        <v>11.031954623050707</v>
      </c>
      <c r="O4887" s="149">
        <f t="shared" ca="1" si="164"/>
        <v>1.000173611111111</v>
      </c>
    </row>
    <row r="4888" spans="12:15" x14ac:dyDescent="0.25">
      <c r="L4888" s="147">
        <f ca="1"/>
        <v>50127</v>
      </c>
      <c r="M4888" s="92">
        <f t="shared" ca="1" si="163"/>
        <v>6.25</v>
      </c>
      <c r="N4888" s="143">
        <f ca="1">(PRODUCT($O$5:$O4888)-1)*36000/_xlfn.DAYS(L4888, $C$2)</f>
        <v>11.032890394610458</v>
      </c>
      <c r="O4888" s="149">
        <f t="shared" ca="1" si="164"/>
        <v>1.000173611111111</v>
      </c>
    </row>
    <row r="4889" spans="12:15" x14ac:dyDescent="0.25">
      <c r="L4889" s="147">
        <f ca="1"/>
        <v>50128</v>
      </c>
      <c r="M4889" s="92">
        <f t="shared" ca="1" si="163"/>
        <v>6.25</v>
      </c>
      <c r="N4889" s="143">
        <f ca="1">(PRODUCT($O$5:$O4889)-1)*36000/_xlfn.DAYS(L4889, $C$2)</f>
        <v>11.033826337548531</v>
      </c>
      <c r="O4889" s="149">
        <f t="shared" ca="1" si="164"/>
        <v>1.000173611111111</v>
      </c>
    </row>
    <row r="4890" spans="12:15" x14ac:dyDescent="0.25">
      <c r="L4890" s="147">
        <f ca="1"/>
        <v>50129</v>
      </c>
      <c r="M4890" s="92">
        <f t="shared" ca="1" si="163"/>
        <v>6.25</v>
      </c>
      <c r="N4890" s="143">
        <f ca="1">(PRODUCT($O$5:$O4890)-1)*36000/_xlfn.DAYS(L4890, $C$2)</f>
        <v>11.034762451855938</v>
      </c>
      <c r="O4890" s="149">
        <f t="shared" ca="1" si="164"/>
        <v>1.000173611111111</v>
      </c>
    </row>
    <row r="4891" spans="12:15" x14ac:dyDescent="0.25">
      <c r="L4891" s="147">
        <f ca="1"/>
        <v>50130</v>
      </c>
      <c r="M4891" s="92">
        <f t="shared" ca="1" si="163"/>
        <v>6.25</v>
      </c>
      <c r="N4891" s="143">
        <f ca="1">(PRODUCT($O$5:$O4891)-1)*36000/_xlfn.DAYS(L4891, $C$2)</f>
        <v>11.035698737523733</v>
      </c>
      <c r="O4891" s="149">
        <f t="shared" ca="1" si="164"/>
        <v>1.000173611111111</v>
      </c>
    </row>
    <row r="4892" spans="12:15" x14ac:dyDescent="0.25">
      <c r="L4892" s="147">
        <f ca="1"/>
        <v>50131</v>
      </c>
      <c r="M4892" s="92">
        <f t="shared" ca="1" si="163"/>
        <v>6.25</v>
      </c>
      <c r="N4892" s="143">
        <f ca="1">(PRODUCT($O$5:$O4892)-1)*36000/_xlfn.DAYS(L4892, $C$2)</f>
        <v>11.036635194542981</v>
      </c>
      <c r="O4892" s="149">
        <f t="shared" ca="1" si="164"/>
        <v>1.000173611111111</v>
      </c>
    </row>
    <row r="4893" spans="12:15" x14ac:dyDescent="0.25">
      <c r="L4893" s="147">
        <f ca="1"/>
        <v>50132</v>
      </c>
      <c r="M4893" s="92">
        <f t="shared" ca="1" si="163"/>
        <v>6.25</v>
      </c>
      <c r="N4893" s="143">
        <f ca="1">(PRODUCT($O$5:$O4893)-1)*36000/_xlfn.DAYS(L4893, $C$2)</f>
        <v>11.037571822904779</v>
      </c>
      <c r="O4893" s="149">
        <f t="shared" ca="1" si="164"/>
        <v>1.000173611111111</v>
      </c>
    </row>
    <row r="4894" spans="12:15" x14ac:dyDescent="0.25">
      <c r="L4894" s="147">
        <f ca="1"/>
        <v>50133</v>
      </c>
      <c r="M4894" s="92">
        <f t="shared" ca="1" si="163"/>
        <v>6.25</v>
      </c>
      <c r="N4894" s="143">
        <f ca="1">(PRODUCT($O$5:$O4894)-1)*36000/_xlfn.DAYS(L4894, $C$2)</f>
        <v>11.038508622600238</v>
      </c>
      <c r="O4894" s="149">
        <f t="shared" ca="1" si="164"/>
        <v>1.000173611111111</v>
      </c>
    </row>
    <row r="4895" spans="12:15" x14ac:dyDescent="0.25">
      <c r="L4895" s="147">
        <f ca="1"/>
        <v>50134</v>
      </c>
      <c r="M4895" s="92">
        <f t="shared" ca="1" si="163"/>
        <v>6.25</v>
      </c>
      <c r="N4895" s="143">
        <f ca="1">(PRODUCT($O$5:$O4895)-1)*36000/_xlfn.DAYS(L4895, $C$2)</f>
        <v>11.039445593620504</v>
      </c>
      <c r="O4895" s="149">
        <f t="shared" ca="1" si="164"/>
        <v>1.000173611111111</v>
      </c>
    </row>
    <row r="4896" spans="12:15" x14ac:dyDescent="0.25">
      <c r="L4896" s="147">
        <f ca="1"/>
        <v>50135</v>
      </c>
      <c r="M4896" s="92">
        <f t="shared" ca="1" si="163"/>
        <v>6.25</v>
      </c>
      <c r="N4896" s="143">
        <f ca="1">(PRODUCT($O$5:$O4896)-1)*36000/_xlfn.DAYS(L4896, $C$2)</f>
        <v>11.040382735956744</v>
      </c>
      <c r="O4896" s="149">
        <f t="shared" ca="1" si="164"/>
        <v>1.000173611111111</v>
      </c>
    </row>
    <row r="4897" spans="12:15" x14ac:dyDescent="0.25">
      <c r="L4897" s="147">
        <f ca="1"/>
        <v>50136</v>
      </c>
      <c r="M4897" s="92">
        <f t="shared" ca="1" si="163"/>
        <v>6.25</v>
      </c>
      <c r="N4897" s="143">
        <f ca="1">(PRODUCT($O$5:$O4897)-1)*36000/_xlfn.DAYS(L4897, $C$2)</f>
        <v>11.041320049600142</v>
      </c>
      <c r="O4897" s="149">
        <f t="shared" ca="1" si="164"/>
        <v>1.000173611111111</v>
      </c>
    </row>
    <row r="4898" spans="12:15" x14ac:dyDescent="0.25">
      <c r="L4898" s="147">
        <f ca="1"/>
        <v>50137</v>
      </c>
      <c r="M4898" s="92">
        <f t="shared" ca="1" si="163"/>
        <v>6.25</v>
      </c>
      <c r="N4898" s="143">
        <f ca="1">(PRODUCT($O$5:$O4898)-1)*36000/_xlfn.DAYS(L4898, $C$2)</f>
        <v>11.042257534541914</v>
      </c>
      <c r="O4898" s="149">
        <f t="shared" ca="1" si="164"/>
        <v>1.000173611111111</v>
      </c>
    </row>
    <row r="4899" spans="12:15" x14ac:dyDescent="0.25">
      <c r="L4899" s="147">
        <f ca="1"/>
        <v>50138</v>
      </c>
      <c r="M4899" s="92">
        <f t="shared" ca="1" si="163"/>
        <v>6.25</v>
      </c>
      <c r="N4899" s="143">
        <f ca="1">(PRODUCT($O$5:$O4899)-1)*36000/_xlfn.DAYS(L4899, $C$2)</f>
        <v>11.043195190773295</v>
      </c>
      <c r="O4899" s="149">
        <f t="shared" ca="1" si="164"/>
        <v>1.000173611111111</v>
      </c>
    </row>
    <row r="4900" spans="12:15" x14ac:dyDescent="0.25">
      <c r="L4900" s="147">
        <f ca="1"/>
        <v>50139</v>
      </c>
      <c r="M4900" s="92">
        <f t="shared" ca="1" si="163"/>
        <v>6.25</v>
      </c>
      <c r="N4900" s="143">
        <f ca="1">(PRODUCT($O$5:$O4900)-1)*36000/_xlfn.DAYS(L4900, $C$2)</f>
        <v>11.044133018285548</v>
      </c>
      <c r="O4900" s="149">
        <f t="shared" ca="1" si="164"/>
        <v>1.000173611111111</v>
      </c>
    </row>
    <row r="4901" spans="12:15" x14ac:dyDescent="0.25">
      <c r="L4901" s="147">
        <f ca="1"/>
        <v>50140</v>
      </c>
      <c r="M4901" s="92">
        <f t="shared" ca="1" si="163"/>
        <v>6.25</v>
      </c>
      <c r="N4901" s="143">
        <f ca="1">(PRODUCT($O$5:$O4901)-1)*36000/_xlfn.DAYS(L4901, $C$2)</f>
        <v>11.045071017069958</v>
      </c>
      <c r="O4901" s="149">
        <f t="shared" ca="1" si="164"/>
        <v>1.000173611111111</v>
      </c>
    </row>
    <row r="4902" spans="12:15" x14ac:dyDescent="0.25">
      <c r="L4902" s="147">
        <f ca="1"/>
        <v>50141</v>
      </c>
      <c r="M4902" s="92">
        <f t="shared" ca="1" si="163"/>
        <v>6.25</v>
      </c>
      <c r="N4902" s="143">
        <f ca="1">(PRODUCT($O$5:$O4902)-1)*36000/_xlfn.DAYS(L4902, $C$2)</f>
        <v>11.04600918711783</v>
      </c>
      <c r="O4902" s="149">
        <f t="shared" ca="1" si="164"/>
        <v>1.000173611111111</v>
      </c>
    </row>
    <row r="4903" spans="12:15" x14ac:dyDescent="0.25">
      <c r="L4903" s="147">
        <f ca="1"/>
        <v>50142</v>
      </c>
      <c r="M4903" s="92">
        <f t="shared" ca="1" si="163"/>
        <v>6.25</v>
      </c>
      <c r="N4903" s="143">
        <f ca="1">(PRODUCT($O$5:$O4903)-1)*36000/_xlfn.DAYS(L4903, $C$2)</f>
        <v>11.046947528420501</v>
      </c>
      <c r="O4903" s="149">
        <f t="shared" ca="1" si="164"/>
        <v>1.000173611111111</v>
      </c>
    </row>
    <row r="4904" spans="12:15" x14ac:dyDescent="0.25">
      <c r="L4904" s="147">
        <f ca="1"/>
        <v>50143</v>
      </c>
      <c r="M4904" s="92">
        <f t="shared" ca="1" si="163"/>
        <v>6.25</v>
      </c>
      <c r="N4904" s="143">
        <f ca="1">(PRODUCT($O$5:$O4904)-1)*36000/_xlfn.DAYS(L4904, $C$2)</f>
        <v>11.047886040969326</v>
      </c>
      <c r="O4904" s="149">
        <f t="shared" ca="1" si="164"/>
        <v>1.000173611111111</v>
      </c>
    </row>
    <row r="4905" spans="12:15" x14ac:dyDescent="0.25">
      <c r="L4905" s="147">
        <f ca="1"/>
        <v>50144</v>
      </c>
      <c r="M4905" s="92">
        <f t="shared" ca="1" si="163"/>
        <v>6.25</v>
      </c>
      <c r="N4905" s="143">
        <f ca="1">(PRODUCT($O$5:$O4905)-1)*36000/_xlfn.DAYS(L4905, $C$2)</f>
        <v>11.048824724755683</v>
      </c>
      <c r="O4905" s="149">
        <f t="shared" ca="1" si="164"/>
        <v>1.000173611111111</v>
      </c>
    </row>
    <row r="4906" spans="12:15" x14ac:dyDescent="0.25">
      <c r="L4906" s="147">
        <f ca="1"/>
        <v>50145</v>
      </c>
      <c r="M4906" s="92">
        <f t="shared" ca="1" si="163"/>
        <v>6.25</v>
      </c>
      <c r="N4906" s="143">
        <f ca="1">(PRODUCT($O$5:$O4906)-1)*36000/_xlfn.DAYS(L4906, $C$2)</f>
        <v>11.049763579770973</v>
      </c>
      <c r="O4906" s="149">
        <f t="shared" ca="1" si="164"/>
        <v>1.000173611111111</v>
      </c>
    </row>
    <row r="4907" spans="12:15" x14ac:dyDescent="0.25">
      <c r="L4907" s="147">
        <f ca="1"/>
        <v>50146</v>
      </c>
      <c r="M4907" s="92">
        <f t="shared" ca="1" si="163"/>
        <v>6.25</v>
      </c>
      <c r="N4907" s="143">
        <f ca="1">(PRODUCT($O$5:$O4907)-1)*36000/_xlfn.DAYS(L4907, $C$2)</f>
        <v>11.050702606006629</v>
      </c>
      <c r="O4907" s="149">
        <f t="shared" ca="1" si="164"/>
        <v>1.000173611111111</v>
      </c>
    </row>
    <row r="4908" spans="12:15" x14ac:dyDescent="0.25">
      <c r="L4908" s="147">
        <f ca="1"/>
        <v>50147</v>
      </c>
      <c r="M4908" s="92">
        <f t="shared" ca="1" si="163"/>
        <v>6.25</v>
      </c>
      <c r="N4908" s="143">
        <f ca="1">(PRODUCT($O$5:$O4908)-1)*36000/_xlfn.DAYS(L4908, $C$2)</f>
        <v>11.0516418034541</v>
      </c>
      <c r="O4908" s="149">
        <f t="shared" ca="1" si="164"/>
        <v>1.000173611111111</v>
      </c>
    </row>
    <row r="4909" spans="12:15" x14ac:dyDescent="0.25">
      <c r="L4909" s="147">
        <f ca="1"/>
        <v>50148</v>
      </c>
      <c r="M4909" s="92">
        <f t="shared" ca="1" si="163"/>
        <v>6.25</v>
      </c>
      <c r="N4909" s="143">
        <f ca="1">(PRODUCT($O$5:$O4909)-1)*36000/_xlfn.DAYS(L4909, $C$2)</f>
        <v>11.05258117210486</v>
      </c>
      <c r="O4909" s="149">
        <f t="shared" ca="1" si="164"/>
        <v>1.000173611111111</v>
      </c>
    </row>
    <row r="4910" spans="12:15" x14ac:dyDescent="0.25">
      <c r="L4910" s="147">
        <f ca="1"/>
        <v>50149</v>
      </c>
      <c r="M4910" s="92">
        <f t="shared" ca="1" si="163"/>
        <v>6.25</v>
      </c>
      <c r="N4910" s="143">
        <f ca="1">(PRODUCT($O$5:$O4910)-1)*36000/_xlfn.DAYS(L4910, $C$2)</f>
        <v>11.053520711950407</v>
      </c>
      <c r="O4910" s="149">
        <f t="shared" ca="1" si="164"/>
        <v>1.000173611111111</v>
      </c>
    </row>
    <row r="4911" spans="12:15" x14ac:dyDescent="0.25">
      <c r="L4911" s="147">
        <f ca="1"/>
        <v>50150</v>
      </c>
      <c r="M4911" s="92">
        <f t="shared" ca="1" si="163"/>
        <v>6.25</v>
      </c>
      <c r="N4911" s="143">
        <f ca="1">(PRODUCT($O$5:$O4911)-1)*36000/_xlfn.DAYS(L4911, $C$2)</f>
        <v>11.054460422982265</v>
      </c>
      <c r="O4911" s="149">
        <f t="shared" ca="1" si="164"/>
        <v>1.000173611111111</v>
      </c>
    </row>
    <row r="4912" spans="12:15" x14ac:dyDescent="0.25">
      <c r="L4912" s="147">
        <f ca="1"/>
        <v>50151</v>
      </c>
      <c r="M4912" s="92">
        <f t="shared" ca="1" si="163"/>
        <v>6.25</v>
      </c>
      <c r="N4912" s="143">
        <f ca="1">(PRODUCT($O$5:$O4912)-1)*36000/_xlfn.DAYS(L4912, $C$2)</f>
        <v>11.055400305191979</v>
      </c>
      <c r="O4912" s="149">
        <f t="shared" ca="1" si="164"/>
        <v>1.000173611111111</v>
      </c>
    </row>
    <row r="4913" spans="12:15" x14ac:dyDescent="0.25">
      <c r="L4913" s="147">
        <f ca="1"/>
        <v>50152</v>
      </c>
      <c r="M4913" s="92">
        <f t="shared" ca="1" si="163"/>
        <v>6.25</v>
      </c>
      <c r="N4913" s="143">
        <f ca="1">(PRODUCT($O$5:$O4913)-1)*36000/_xlfn.DAYS(L4913, $C$2)</f>
        <v>11.056340358571116</v>
      </c>
      <c r="O4913" s="149">
        <f t="shared" ca="1" si="164"/>
        <v>1.000173611111111</v>
      </c>
    </row>
    <row r="4914" spans="12:15" x14ac:dyDescent="0.25">
      <c r="L4914" s="147">
        <f ca="1"/>
        <v>50153</v>
      </c>
      <c r="M4914" s="92">
        <f t="shared" ca="1" si="163"/>
        <v>6.25</v>
      </c>
      <c r="N4914" s="143">
        <f ca="1">(PRODUCT($O$5:$O4914)-1)*36000/_xlfn.DAYS(L4914, $C$2)</f>
        <v>11.057280583111272</v>
      </c>
      <c r="O4914" s="149">
        <f t="shared" ca="1" si="164"/>
        <v>1.000173611111111</v>
      </c>
    </row>
    <row r="4915" spans="12:15" x14ac:dyDescent="0.25">
      <c r="L4915" s="147">
        <f ca="1"/>
        <v>50154</v>
      </c>
      <c r="M4915" s="92">
        <f t="shared" ca="1" si="163"/>
        <v>6.25</v>
      </c>
      <c r="N4915" s="143">
        <f ca="1">(PRODUCT($O$5:$O4915)-1)*36000/_xlfn.DAYS(L4915, $C$2)</f>
        <v>11.058220978804057</v>
      </c>
      <c r="O4915" s="149">
        <f t="shared" ca="1" si="164"/>
        <v>1.000173611111111</v>
      </c>
    </row>
    <row r="4916" spans="12:15" x14ac:dyDescent="0.25">
      <c r="L4916" s="147">
        <f ca="1"/>
        <v>50155</v>
      </c>
      <c r="M4916" s="92">
        <f t="shared" ca="1" si="163"/>
        <v>6.25</v>
      </c>
      <c r="N4916" s="143">
        <f ca="1">(PRODUCT($O$5:$O4916)-1)*36000/_xlfn.DAYS(L4916, $C$2)</f>
        <v>11.059161545641116</v>
      </c>
      <c r="O4916" s="149">
        <f t="shared" ca="1" si="164"/>
        <v>1.000173611111111</v>
      </c>
    </row>
    <row r="4917" spans="12:15" x14ac:dyDescent="0.25">
      <c r="L4917" s="147">
        <f ca="1"/>
        <v>50156</v>
      </c>
      <c r="M4917" s="92">
        <f t="shared" ca="1" si="163"/>
        <v>6.25</v>
      </c>
      <c r="N4917" s="143">
        <f ca="1">(PRODUCT($O$5:$O4917)-1)*36000/_xlfn.DAYS(L4917, $C$2)</f>
        <v>11.060102283614111</v>
      </c>
      <c r="O4917" s="149">
        <f t="shared" ca="1" si="164"/>
        <v>1.000173611111111</v>
      </c>
    </row>
    <row r="4918" spans="12:15" x14ac:dyDescent="0.25">
      <c r="L4918" s="147">
        <f ca="1"/>
        <v>50157</v>
      </c>
      <c r="M4918" s="92">
        <f t="shared" ca="1" si="163"/>
        <v>6.25</v>
      </c>
      <c r="N4918" s="143">
        <f ca="1">(PRODUCT($O$5:$O4918)-1)*36000/_xlfn.DAYS(L4918, $C$2)</f>
        <v>11.061043192714729</v>
      </c>
      <c r="O4918" s="149">
        <f t="shared" ca="1" si="164"/>
        <v>1.000173611111111</v>
      </c>
    </row>
    <row r="4919" spans="12:15" x14ac:dyDescent="0.25">
      <c r="L4919" s="147">
        <f ca="1"/>
        <v>50158</v>
      </c>
      <c r="M4919" s="92">
        <f t="shared" ca="1" si="163"/>
        <v>6.25</v>
      </c>
      <c r="N4919" s="143">
        <f ca="1">(PRODUCT($O$5:$O4919)-1)*36000/_xlfn.DAYS(L4919, $C$2)</f>
        <v>11.061984272934682</v>
      </c>
      <c r="O4919" s="149">
        <f t="shared" ca="1" si="164"/>
        <v>1.000173611111111</v>
      </c>
    </row>
    <row r="4920" spans="12:15" x14ac:dyDescent="0.25">
      <c r="L4920" s="147">
        <f ca="1"/>
        <v>50159</v>
      </c>
      <c r="M4920" s="92">
        <f t="shared" ca="1" si="163"/>
        <v>6.25</v>
      </c>
      <c r="N4920" s="143">
        <f ca="1">(PRODUCT($O$5:$O4920)-1)*36000/_xlfn.DAYS(L4920, $C$2)</f>
        <v>11.062925524265701</v>
      </c>
      <c r="O4920" s="149">
        <f t="shared" ca="1" si="164"/>
        <v>1.000173611111111</v>
      </c>
    </row>
    <row r="4921" spans="12:15" x14ac:dyDescent="0.25">
      <c r="L4921" s="147">
        <f ca="1"/>
        <v>50160</v>
      </c>
      <c r="M4921" s="92">
        <f t="shared" ca="1" si="163"/>
        <v>6.25</v>
      </c>
      <c r="N4921" s="143">
        <f ca="1">(PRODUCT($O$5:$O4921)-1)*36000/_xlfn.DAYS(L4921, $C$2)</f>
        <v>11.063866946699543</v>
      </c>
      <c r="O4921" s="149">
        <f t="shared" ca="1" si="164"/>
        <v>1.000173611111111</v>
      </c>
    </row>
    <row r="4922" spans="12:15" x14ac:dyDescent="0.25">
      <c r="L4922" s="147">
        <f ca="1"/>
        <v>50161</v>
      </c>
      <c r="M4922" s="92">
        <f t="shared" ca="1" si="163"/>
        <v>6.25</v>
      </c>
      <c r="N4922" s="143">
        <f ca="1">(PRODUCT($O$5:$O4922)-1)*36000/_xlfn.DAYS(L4922, $C$2)</f>
        <v>11.06480854022799</v>
      </c>
      <c r="O4922" s="149">
        <f t="shared" ca="1" si="164"/>
        <v>1.000173611111111</v>
      </c>
    </row>
    <row r="4923" spans="12:15" x14ac:dyDescent="0.25">
      <c r="L4923" s="147">
        <f ca="1"/>
        <v>50162</v>
      </c>
      <c r="M4923" s="92">
        <f t="shared" ca="1" si="163"/>
        <v>6.25</v>
      </c>
      <c r="N4923" s="143">
        <f ca="1">(PRODUCT($O$5:$O4923)-1)*36000/_xlfn.DAYS(L4923, $C$2)</f>
        <v>11.065750304842842</v>
      </c>
      <c r="O4923" s="149">
        <f t="shared" ca="1" si="164"/>
        <v>1.000173611111111</v>
      </c>
    </row>
    <row r="4924" spans="12:15" x14ac:dyDescent="0.25">
      <c r="L4924" s="147">
        <f ca="1"/>
        <v>50163</v>
      </c>
      <c r="M4924" s="92">
        <f t="shared" ca="1" si="163"/>
        <v>6.25</v>
      </c>
      <c r="N4924" s="143">
        <f ca="1">(PRODUCT($O$5:$O4924)-1)*36000/_xlfn.DAYS(L4924, $C$2)</f>
        <v>11.066692240535932</v>
      </c>
      <c r="O4924" s="149">
        <f t="shared" ca="1" si="164"/>
        <v>1.000173611111111</v>
      </c>
    </row>
    <row r="4925" spans="12:15" x14ac:dyDescent="0.25">
      <c r="L4925" s="147">
        <f ca="1"/>
        <v>50164</v>
      </c>
      <c r="M4925" s="92">
        <f t="shared" ca="1" si="163"/>
        <v>6.25</v>
      </c>
      <c r="N4925" s="143">
        <f ca="1">(PRODUCT($O$5:$O4925)-1)*36000/_xlfn.DAYS(L4925, $C$2)</f>
        <v>11.067634347299107</v>
      </c>
      <c r="O4925" s="149">
        <f t="shared" ca="1" si="164"/>
        <v>1.000173611111111</v>
      </c>
    </row>
    <row r="4926" spans="12:15" x14ac:dyDescent="0.25">
      <c r="L4926" s="147">
        <f ca="1"/>
        <v>50165</v>
      </c>
      <c r="M4926" s="92">
        <f t="shared" ca="1" si="163"/>
        <v>6.25</v>
      </c>
      <c r="N4926" s="143">
        <f ca="1">(PRODUCT($O$5:$O4926)-1)*36000/_xlfn.DAYS(L4926, $C$2)</f>
        <v>11.068576625124241</v>
      </c>
      <c r="O4926" s="149">
        <f t="shared" ca="1" si="164"/>
        <v>1.000173611111111</v>
      </c>
    </row>
    <row r="4927" spans="12:15" x14ac:dyDescent="0.25">
      <c r="L4927" s="147">
        <f ca="1"/>
        <v>50166</v>
      </c>
      <c r="M4927" s="92">
        <f t="shared" ca="1" si="163"/>
        <v>6.25</v>
      </c>
      <c r="N4927" s="143">
        <f ca="1">(PRODUCT($O$5:$O4927)-1)*36000/_xlfn.DAYS(L4927, $C$2)</f>
        <v>11.069519074003232</v>
      </c>
      <c r="O4927" s="149">
        <f t="shared" ca="1" si="164"/>
        <v>1.000173611111111</v>
      </c>
    </row>
    <row r="4928" spans="12:15" x14ac:dyDescent="0.25">
      <c r="L4928" s="147">
        <f ca="1"/>
        <v>50167</v>
      </c>
      <c r="M4928" s="92">
        <f t="shared" ca="1" si="163"/>
        <v>6.25</v>
      </c>
      <c r="N4928" s="143">
        <f ca="1">(PRODUCT($O$5:$O4928)-1)*36000/_xlfn.DAYS(L4928, $C$2)</f>
        <v>11.070461693928001</v>
      </c>
      <c r="O4928" s="149">
        <f t="shared" ca="1" si="164"/>
        <v>1.000173611111111</v>
      </c>
    </row>
    <row r="4929" spans="12:15" x14ac:dyDescent="0.25">
      <c r="L4929" s="147">
        <f ca="1"/>
        <v>50168</v>
      </c>
      <c r="M4929" s="92">
        <f t="shared" ca="1" si="163"/>
        <v>6.25</v>
      </c>
      <c r="N4929" s="143">
        <f ca="1">(PRODUCT($O$5:$O4929)-1)*36000/_xlfn.DAYS(L4929, $C$2)</f>
        <v>11.071404484890484</v>
      </c>
      <c r="O4929" s="149">
        <f t="shared" ca="1" si="164"/>
        <v>1.000173611111111</v>
      </c>
    </row>
    <row r="4930" spans="12:15" x14ac:dyDescent="0.25">
      <c r="L4930" s="147">
        <f ca="1"/>
        <v>50169</v>
      </c>
      <c r="M4930" s="92">
        <f t="shared" ca="1" si="163"/>
        <v>6.25</v>
      </c>
      <c r="N4930" s="143">
        <f ca="1">(PRODUCT($O$5:$O4930)-1)*36000/_xlfn.DAYS(L4930, $C$2)</f>
        <v>11.072347446882659</v>
      </c>
      <c r="O4930" s="149">
        <f t="shared" ca="1" si="164"/>
        <v>1.000173611111111</v>
      </c>
    </row>
    <row r="4931" spans="12:15" x14ac:dyDescent="0.25">
      <c r="L4931" s="147">
        <f ca="1"/>
        <v>50170</v>
      </c>
      <c r="M4931" s="92">
        <f t="shared" ca="1" si="163"/>
        <v>6.25</v>
      </c>
      <c r="N4931" s="143">
        <f ca="1">(PRODUCT($O$5:$O4931)-1)*36000/_xlfn.DAYS(L4931, $C$2)</f>
        <v>11.073290579896511</v>
      </c>
      <c r="O4931" s="149">
        <f t="shared" ca="1" si="164"/>
        <v>1.000173611111111</v>
      </c>
    </row>
    <row r="4932" spans="12:15" x14ac:dyDescent="0.25">
      <c r="L4932" s="147">
        <f ca="1"/>
        <v>50171</v>
      </c>
      <c r="M4932" s="92">
        <f t="shared" ca="1" si="163"/>
        <v>6.25</v>
      </c>
      <c r="N4932" s="143">
        <f ca="1">(PRODUCT($O$5:$O4932)-1)*36000/_xlfn.DAYS(L4932, $C$2)</f>
        <v>11.074233883924054</v>
      </c>
      <c r="O4932" s="149">
        <f t="shared" ca="1" si="164"/>
        <v>1.000173611111111</v>
      </c>
    </row>
    <row r="4933" spans="12:15" x14ac:dyDescent="0.25">
      <c r="L4933" s="147">
        <f ca="1"/>
        <v>50172</v>
      </c>
      <c r="M4933" s="92">
        <f t="shared" ref="M4933:M4996" ca="1" si="165">IFERROR(INDEX($E$27:$H$47, MATCH(L4933, $F$27:$F$47, 0), 4), IF(ISNUMBER(M4932), M4932, $C$5))</f>
        <v>6.25</v>
      </c>
      <c r="N4933" s="143">
        <f ca="1">(PRODUCT($O$5:$O4933)-1)*36000/_xlfn.DAYS(L4933, $C$2)</f>
        <v>11.075177358957321</v>
      </c>
      <c r="O4933" s="149">
        <f t="shared" ca="1" si="164"/>
        <v>1.000173611111111</v>
      </c>
    </row>
    <row r="4934" spans="12:15" x14ac:dyDescent="0.25">
      <c r="L4934" s="147">
        <f ca="1"/>
        <v>50173</v>
      </c>
      <c r="M4934" s="92">
        <f t="shared" ca="1" si="165"/>
        <v>6.25</v>
      </c>
      <c r="N4934" s="143">
        <f ca="1">(PRODUCT($O$5:$O4934)-1)*36000/_xlfn.DAYS(L4934, $C$2)</f>
        <v>11.076121004988376</v>
      </c>
      <c r="O4934" s="149">
        <f t="shared" ref="O4934:O4997" ca="1" si="166">1+M4934*IFERROR(_xlfn.DAYS(L4934, L4933), _xlfn.DAYS(L4934, $C$2))/36000</f>
        <v>1.000173611111111</v>
      </c>
    </row>
    <row r="4935" spans="12:15" x14ac:dyDescent="0.25">
      <c r="L4935" s="147">
        <f ca="1"/>
        <v>50174</v>
      </c>
      <c r="M4935" s="92">
        <f t="shared" ca="1" si="165"/>
        <v>6.25</v>
      </c>
      <c r="N4935" s="143">
        <f ca="1">(PRODUCT($O$5:$O4935)-1)*36000/_xlfn.DAYS(L4935, $C$2)</f>
        <v>11.0770648220093</v>
      </c>
      <c r="O4935" s="149">
        <f t="shared" ca="1" si="166"/>
        <v>1.000173611111111</v>
      </c>
    </row>
    <row r="4936" spans="12:15" x14ac:dyDescent="0.25">
      <c r="L4936" s="147">
        <f ca="1"/>
        <v>50175</v>
      </c>
      <c r="M4936" s="92">
        <f t="shared" ca="1" si="165"/>
        <v>6.25</v>
      </c>
      <c r="N4936" s="143">
        <f ca="1">(PRODUCT($O$5:$O4936)-1)*36000/_xlfn.DAYS(L4936, $C$2)</f>
        <v>11.0780088100122</v>
      </c>
      <c r="O4936" s="149">
        <f t="shared" ca="1" si="166"/>
        <v>1.000173611111111</v>
      </c>
    </row>
    <row r="4937" spans="12:15" x14ac:dyDescent="0.25">
      <c r="L4937" s="147">
        <f ca="1"/>
        <v>50176</v>
      </c>
      <c r="M4937" s="92">
        <f t="shared" ca="1" si="165"/>
        <v>6.25</v>
      </c>
      <c r="N4937" s="143">
        <f ca="1">(PRODUCT($O$5:$O4937)-1)*36000/_xlfn.DAYS(L4937, $C$2)</f>
        <v>11.078952968989201</v>
      </c>
      <c r="O4937" s="149">
        <f t="shared" ca="1" si="166"/>
        <v>1.000173611111111</v>
      </c>
    </row>
    <row r="4938" spans="12:15" x14ac:dyDescent="0.25">
      <c r="L4938" s="147">
        <f ca="1"/>
        <v>50177</v>
      </c>
      <c r="M4938" s="92">
        <f t="shared" ca="1" si="165"/>
        <v>6.25</v>
      </c>
      <c r="N4938" s="143">
        <f ca="1">(PRODUCT($O$5:$O4938)-1)*36000/_xlfn.DAYS(L4938, $C$2)</f>
        <v>11.079897298932458</v>
      </c>
      <c r="O4938" s="149">
        <f t="shared" ca="1" si="166"/>
        <v>1.000173611111111</v>
      </c>
    </row>
    <row r="4939" spans="12:15" x14ac:dyDescent="0.25">
      <c r="L4939" s="147">
        <f ca="1"/>
        <v>50178</v>
      </c>
      <c r="M4939" s="92">
        <f t="shared" ca="1" si="165"/>
        <v>6.25</v>
      </c>
      <c r="N4939" s="143">
        <f ca="1">(PRODUCT($O$5:$O4939)-1)*36000/_xlfn.DAYS(L4939, $C$2)</f>
        <v>11.080841799834147</v>
      </c>
      <c r="O4939" s="149">
        <f t="shared" ca="1" si="166"/>
        <v>1.000173611111111</v>
      </c>
    </row>
    <row r="4940" spans="12:15" x14ac:dyDescent="0.25">
      <c r="L4940" s="147">
        <f ca="1"/>
        <v>50179</v>
      </c>
      <c r="M4940" s="92">
        <f t="shared" ca="1" si="165"/>
        <v>6.25</v>
      </c>
      <c r="N4940" s="143">
        <f ca="1">(PRODUCT($O$5:$O4940)-1)*36000/_xlfn.DAYS(L4940, $C$2)</f>
        <v>11.081786471686463</v>
      </c>
      <c r="O4940" s="149">
        <f t="shared" ca="1" si="166"/>
        <v>1.000173611111111</v>
      </c>
    </row>
    <row r="4941" spans="12:15" x14ac:dyDescent="0.25">
      <c r="L4941" s="147">
        <f ca="1"/>
        <v>50180</v>
      </c>
      <c r="M4941" s="92">
        <f t="shared" ca="1" si="165"/>
        <v>6.25</v>
      </c>
      <c r="N4941" s="143">
        <f ca="1">(PRODUCT($O$5:$O4941)-1)*36000/_xlfn.DAYS(L4941, $C$2)</f>
        <v>11.082731314481629</v>
      </c>
      <c r="O4941" s="149">
        <f t="shared" ca="1" si="166"/>
        <v>1.000173611111111</v>
      </c>
    </row>
    <row r="4942" spans="12:15" x14ac:dyDescent="0.25">
      <c r="L4942" s="147">
        <f ca="1"/>
        <v>50181</v>
      </c>
      <c r="M4942" s="92">
        <f t="shared" ca="1" si="165"/>
        <v>6.25</v>
      </c>
      <c r="N4942" s="143">
        <f ca="1">(PRODUCT($O$5:$O4942)-1)*36000/_xlfn.DAYS(L4942, $C$2)</f>
        <v>11.08367632821189</v>
      </c>
      <c r="O4942" s="149">
        <f t="shared" ca="1" si="166"/>
        <v>1.000173611111111</v>
      </c>
    </row>
    <row r="4943" spans="12:15" x14ac:dyDescent="0.25">
      <c r="L4943" s="147">
        <f ca="1"/>
        <v>50182</v>
      </c>
      <c r="M4943" s="92">
        <f t="shared" ca="1" si="165"/>
        <v>6.25</v>
      </c>
      <c r="N4943" s="143">
        <f ca="1">(PRODUCT($O$5:$O4943)-1)*36000/_xlfn.DAYS(L4943, $C$2)</f>
        <v>11.084621512869511</v>
      </c>
      <c r="O4943" s="149">
        <f t="shared" ca="1" si="166"/>
        <v>1.000173611111111</v>
      </c>
    </row>
    <row r="4944" spans="12:15" x14ac:dyDescent="0.25">
      <c r="L4944" s="147">
        <f ca="1"/>
        <v>50183</v>
      </c>
      <c r="M4944" s="92">
        <f t="shared" ca="1" si="165"/>
        <v>6.25</v>
      </c>
      <c r="N4944" s="143">
        <f ca="1">(PRODUCT($O$5:$O4944)-1)*36000/_xlfn.DAYS(L4944, $C$2)</f>
        <v>11.085566868446781</v>
      </c>
      <c r="O4944" s="149">
        <f t="shared" ca="1" si="166"/>
        <v>1.000173611111111</v>
      </c>
    </row>
    <row r="4945" spans="12:15" x14ac:dyDescent="0.25">
      <c r="L4945" s="147">
        <f ca="1"/>
        <v>50184</v>
      </c>
      <c r="M4945" s="92">
        <f t="shared" ca="1" si="165"/>
        <v>6.25</v>
      </c>
      <c r="N4945" s="143">
        <f ca="1">(PRODUCT($O$5:$O4945)-1)*36000/_xlfn.DAYS(L4945, $C$2)</f>
        <v>11.086512394936014</v>
      </c>
      <c r="O4945" s="149">
        <f t="shared" ca="1" si="166"/>
        <v>1.000173611111111</v>
      </c>
    </row>
    <row r="4946" spans="12:15" x14ac:dyDescent="0.25">
      <c r="L4946" s="147">
        <f ca="1"/>
        <v>50185</v>
      </c>
      <c r="M4946" s="92">
        <f t="shared" ca="1" si="165"/>
        <v>6.25</v>
      </c>
      <c r="N4946" s="143">
        <f ca="1">(PRODUCT($O$5:$O4946)-1)*36000/_xlfn.DAYS(L4946, $C$2)</f>
        <v>11.087458092329546</v>
      </c>
      <c r="O4946" s="149">
        <f t="shared" ca="1" si="166"/>
        <v>1.000173611111111</v>
      </c>
    </row>
    <row r="4947" spans="12:15" x14ac:dyDescent="0.25">
      <c r="L4947" s="147">
        <f ca="1"/>
        <v>50186</v>
      </c>
      <c r="M4947" s="92">
        <f t="shared" ca="1" si="165"/>
        <v>6.25</v>
      </c>
      <c r="N4947" s="143">
        <f ca="1">(PRODUCT($O$5:$O4947)-1)*36000/_xlfn.DAYS(L4947, $C$2)</f>
        <v>11.088403960619734</v>
      </c>
      <c r="O4947" s="149">
        <f t="shared" ca="1" si="166"/>
        <v>1.000173611111111</v>
      </c>
    </row>
    <row r="4948" spans="12:15" x14ac:dyDescent="0.25">
      <c r="L4948" s="147">
        <f ca="1"/>
        <v>50187</v>
      </c>
      <c r="M4948" s="92">
        <f t="shared" ca="1" si="165"/>
        <v>6.25</v>
      </c>
      <c r="N4948" s="143">
        <f ca="1">(PRODUCT($O$5:$O4948)-1)*36000/_xlfn.DAYS(L4948, $C$2)</f>
        <v>11.089349999798962</v>
      </c>
      <c r="O4948" s="149">
        <f t="shared" ca="1" si="166"/>
        <v>1.000173611111111</v>
      </c>
    </row>
    <row r="4949" spans="12:15" x14ac:dyDescent="0.25">
      <c r="L4949" s="147">
        <f ca="1"/>
        <v>50188</v>
      </c>
      <c r="M4949" s="92">
        <f t="shared" ca="1" si="165"/>
        <v>6.25</v>
      </c>
      <c r="N4949" s="143">
        <f ca="1">(PRODUCT($O$5:$O4949)-1)*36000/_xlfn.DAYS(L4949, $C$2)</f>
        <v>11.090296209859638</v>
      </c>
      <c r="O4949" s="149">
        <f t="shared" ca="1" si="166"/>
        <v>1.000173611111111</v>
      </c>
    </row>
    <row r="4950" spans="12:15" x14ac:dyDescent="0.25">
      <c r="L4950" s="147">
        <f ca="1"/>
        <v>50189</v>
      </c>
      <c r="M4950" s="92">
        <f t="shared" ca="1" si="165"/>
        <v>6.25</v>
      </c>
      <c r="N4950" s="143">
        <f ca="1">(PRODUCT($O$5:$O4950)-1)*36000/_xlfn.DAYS(L4950, $C$2)</f>
        <v>11.091242590794177</v>
      </c>
      <c r="O4950" s="149">
        <f t="shared" ca="1" si="166"/>
        <v>1.000173611111111</v>
      </c>
    </row>
    <row r="4951" spans="12:15" x14ac:dyDescent="0.25">
      <c r="L4951" s="147">
        <f ca="1"/>
        <v>50190</v>
      </c>
      <c r="M4951" s="92">
        <f t="shared" ca="1" si="165"/>
        <v>6.25</v>
      </c>
      <c r="N4951" s="143">
        <f ca="1">(PRODUCT($O$5:$O4951)-1)*36000/_xlfn.DAYS(L4951, $C$2)</f>
        <v>11.092189142595039</v>
      </c>
      <c r="O4951" s="149">
        <f t="shared" ca="1" si="166"/>
        <v>1.000173611111111</v>
      </c>
    </row>
    <row r="4952" spans="12:15" x14ac:dyDescent="0.25">
      <c r="L4952" s="147">
        <f ca="1"/>
        <v>50191</v>
      </c>
      <c r="M4952" s="92">
        <f t="shared" ca="1" si="165"/>
        <v>6.25</v>
      </c>
      <c r="N4952" s="143">
        <f ca="1">(PRODUCT($O$5:$O4952)-1)*36000/_xlfn.DAYS(L4952, $C$2)</f>
        <v>11.093135865254693</v>
      </c>
      <c r="O4952" s="149">
        <f t="shared" ca="1" si="166"/>
        <v>1.000173611111111</v>
      </c>
    </row>
    <row r="4953" spans="12:15" x14ac:dyDescent="0.25">
      <c r="L4953" s="147">
        <f ca="1"/>
        <v>50192</v>
      </c>
      <c r="M4953" s="92">
        <f t="shared" ca="1" si="165"/>
        <v>6.25</v>
      </c>
      <c r="N4953" s="143">
        <f ca="1">(PRODUCT($O$5:$O4953)-1)*36000/_xlfn.DAYS(L4953, $C$2)</f>
        <v>11.094082758765635</v>
      </c>
      <c r="O4953" s="149">
        <f t="shared" ca="1" si="166"/>
        <v>1.000173611111111</v>
      </c>
    </row>
    <row r="4954" spans="12:15" x14ac:dyDescent="0.25">
      <c r="L4954" s="147">
        <f ca="1"/>
        <v>50193</v>
      </c>
      <c r="M4954" s="92">
        <f t="shared" ca="1" si="165"/>
        <v>6.25</v>
      </c>
      <c r="N4954" s="143">
        <f ca="1">(PRODUCT($O$5:$O4954)-1)*36000/_xlfn.DAYS(L4954, $C$2)</f>
        <v>11.095029823120383</v>
      </c>
      <c r="O4954" s="149">
        <f t="shared" ca="1" si="166"/>
        <v>1.000173611111111</v>
      </c>
    </row>
    <row r="4955" spans="12:15" x14ac:dyDescent="0.25">
      <c r="L4955" s="147">
        <f ca="1"/>
        <v>50194</v>
      </c>
      <c r="M4955" s="92">
        <f t="shared" ca="1" si="165"/>
        <v>6.25</v>
      </c>
      <c r="N4955" s="143">
        <f ca="1">(PRODUCT($O$5:$O4955)-1)*36000/_xlfn.DAYS(L4955, $C$2)</f>
        <v>11.09597705831148</v>
      </c>
      <c r="O4955" s="149">
        <f t="shared" ca="1" si="166"/>
        <v>1.000173611111111</v>
      </c>
    </row>
    <row r="4956" spans="12:15" x14ac:dyDescent="0.25">
      <c r="L4956" s="147">
        <f ca="1"/>
        <v>50195</v>
      </c>
      <c r="M4956" s="92">
        <f t="shared" ca="1" si="165"/>
        <v>6.25</v>
      </c>
      <c r="N4956" s="143">
        <f ca="1">(PRODUCT($O$5:$O4956)-1)*36000/_xlfn.DAYS(L4956, $C$2)</f>
        <v>11.096924464331487</v>
      </c>
      <c r="O4956" s="149">
        <f t="shared" ca="1" si="166"/>
        <v>1.000173611111111</v>
      </c>
    </row>
    <row r="4957" spans="12:15" x14ac:dyDescent="0.25">
      <c r="L4957" s="147">
        <f ca="1"/>
        <v>50196</v>
      </c>
      <c r="M4957" s="92">
        <f t="shared" ca="1" si="165"/>
        <v>6.25</v>
      </c>
      <c r="N4957" s="143">
        <f ca="1">(PRODUCT($O$5:$O4957)-1)*36000/_xlfn.DAYS(L4957, $C$2)</f>
        <v>11.097872041172991</v>
      </c>
      <c r="O4957" s="149">
        <f t="shared" ca="1" si="166"/>
        <v>1.000173611111111</v>
      </c>
    </row>
    <row r="4958" spans="12:15" x14ac:dyDescent="0.25">
      <c r="L4958" s="147">
        <f ca="1"/>
        <v>50197</v>
      </c>
      <c r="M4958" s="92">
        <f t="shared" ca="1" si="165"/>
        <v>6.25</v>
      </c>
      <c r="N4958" s="143">
        <f ca="1">(PRODUCT($O$5:$O4958)-1)*36000/_xlfn.DAYS(L4958, $C$2)</f>
        <v>11.098819788828603</v>
      </c>
      <c r="O4958" s="149">
        <f t="shared" ca="1" si="166"/>
        <v>1.000173611111111</v>
      </c>
    </row>
    <row r="4959" spans="12:15" x14ac:dyDescent="0.25">
      <c r="L4959" s="147">
        <f ca="1"/>
        <v>50198</v>
      </c>
      <c r="M4959" s="92">
        <f t="shared" ca="1" si="165"/>
        <v>6.25</v>
      </c>
      <c r="N4959" s="143">
        <f ca="1">(PRODUCT($O$5:$O4959)-1)*36000/_xlfn.DAYS(L4959, $C$2)</f>
        <v>11.099767707290951</v>
      </c>
      <c r="O4959" s="149">
        <f t="shared" ca="1" si="166"/>
        <v>1.000173611111111</v>
      </c>
    </row>
    <row r="4960" spans="12:15" x14ac:dyDescent="0.25">
      <c r="L4960" s="147">
        <f ca="1"/>
        <v>50199</v>
      </c>
      <c r="M4960" s="92">
        <f t="shared" ca="1" si="165"/>
        <v>6.25</v>
      </c>
      <c r="N4960" s="143">
        <f ca="1">(PRODUCT($O$5:$O4960)-1)*36000/_xlfn.DAYS(L4960, $C$2)</f>
        <v>11.10071579655269</v>
      </c>
      <c r="O4960" s="149">
        <f t="shared" ca="1" si="166"/>
        <v>1.000173611111111</v>
      </c>
    </row>
    <row r="4961" spans="12:15" x14ac:dyDescent="0.25">
      <c r="L4961" s="147">
        <f ca="1"/>
        <v>50200</v>
      </c>
      <c r="M4961" s="92">
        <f t="shared" ca="1" si="165"/>
        <v>6.25</v>
      </c>
      <c r="N4961" s="143">
        <f ca="1">(PRODUCT($O$5:$O4961)-1)*36000/_xlfn.DAYS(L4961, $C$2)</f>
        <v>11.101664056606497</v>
      </c>
      <c r="O4961" s="149">
        <f t="shared" ca="1" si="166"/>
        <v>1.000173611111111</v>
      </c>
    </row>
    <row r="4962" spans="12:15" x14ac:dyDescent="0.25">
      <c r="L4962" s="147">
        <f ca="1"/>
        <v>50201</v>
      </c>
      <c r="M4962" s="92">
        <f t="shared" ca="1" si="165"/>
        <v>6.25</v>
      </c>
      <c r="N4962" s="143">
        <f ca="1">(PRODUCT($O$5:$O4962)-1)*36000/_xlfn.DAYS(L4962, $C$2)</f>
        <v>11.102612487445072</v>
      </c>
      <c r="O4962" s="149">
        <f t="shared" ca="1" si="166"/>
        <v>1.000173611111111</v>
      </c>
    </row>
    <row r="4963" spans="12:15" x14ac:dyDescent="0.25">
      <c r="L4963" s="147">
        <f ca="1"/>
        <v>50202</v>
      </c>
      <c r="M4963" s="92">
        <f t="shared" ca="1" si="165"/>
        <v>6.25</v>
      </c>
      <c r="N4963" s="143">
        <f ca="1">(PRODUCT($O$5:$O4963)-1)*36000/_xlfn.DAYS(L4963, $C$2)</f>
        <v>11.103561089061136</v>
      </c>
      <c r="O4963" s="149">
        <f t="shared" ca="1" si="166"/>
        <v>1.000173611111111</v>
      </c>
    </row>
    <row r="4964" spans="12:15" x14ac:dyDescent="0.25">
      <c r="L4964" s="147">
        <f ca="1"/>
        <v>50203</v>
      </c>
      <c r="M4964" s="92">
        <f t="shared" ca="1" si="165"/>
        <v>6.25</v>
      </c>
      <c r="N4964" s="143">
        <f ca="1">(PRODUCT($O$5:$O4964)-1)*36000/_xlfn.DAYS(L4964, $C$2)</f>
        <v>11.104509861447436</v>
      </c>
      <c r="O4964" s="149">
        <f t="shared" ca="1" si="166"/>
        <v>1.000173611111111</v>
      </c>
    </row>
    <row r="4965" spans="12:15" x14ac:dyDescent="0.25">
      <c r="L4965" s="147">
        <f ca="1"/>
        <v>50204</v>
      </c>
      <c r="M4965" s="92">
        <f t="shared" ca="1" si="165"/>
        <v>6.25</v>
      </c>
      <c r="N4965" s="143">
        <f ca="1">(PRODUCT($O$5:$O4965)-1)*36000/_xlfn.DAYS(L4965, $C$2)</f>
        <v>11.105458804596736</v>
      </c>
      <c r="O4965" s="149">
        <f t="shared" ca="1" si="166"/>
        <v>1.000173611111111</v>
      </c>
    </row>
    <row r="4966" spans="12:15" x14ac:dyDescent="0.25">
      <c r="L4966" s="147">
        <f ca="1"/>
        <v>50205</v>
      </c>
      <c r="M4966" s="92">
        <f t="shared" ca="1" si="165"/>
        <v>6.25</v>
      </c>
      <c r="N4966" s="143">
        <f ca="1">(PRODUCT($O$5:$O4966)-1)*36000/_xlfn.DAYS(L4966, $C$2)</f>
        <v>11.106407918501827</v>
      </c>
      <c r="O4966" s="149">
        <f t="shared" ca="1" si="166"/>
        <v>1.000173611111111</v>
      </c>
    </row>
    <row r="4967" spans="12:15" x14ac:dyDescent="0.25">
      <c r="L4967" s="147">
        <f ca="1"/>
        <v>50206</v>
      </c>
      <c r="M4967" s="92">
        <f t="shared" ca="1" si="165"/>
        <v>6.25</v>
      </c>
      <c r="N4967" s="143">
        <f ca="1">(PRODUCT($O$5:$O4967)-1)*36000/_xlfn.DAYS(L4967, $C$2)</f>
        <v>11.107357203155523</v>
      </c>
      <c r="O4967" s="149">
        <f t="shared" ca="1" si="166"/>
        <v>1.000173611111111</v>
      </c>
    </row>
    <row r="4968" spans="12:15" x14ac:dyDescent="0.25">
      <c r="L4968" s="147">
        <f ca="1"/>
        <v>50207</v>
      </c>
      <c r="M4968" s="92">
        <f t="shared" ca="1" si="165"/>
        <v>6.25</v>
      </c>
      <c r="N4968" s="143">
        <f ca="1">(PRODUCT($O$5:$O4968)-1)*36000/_xlfn.DAYS(L4968, $C$2)</f>
        <v>11.108306658550655</v>
      </c>
      <c r="O4968" s="149">
        <f t="shared" ca="1" si="166"/>
        <v>1.000173611111111</v>
      </c>
    </row>
    <row r="4969" spans="12:15" x14ac:dyDescent="0.25">
      <c r="L4969" s="147">
        <f ca="1"/>
        <v>50208</v>
      </c>
      <c r="M4969" s="92">
        <f t="shared" ca="1" si="165"/>
        <v>6.25</v>
      </c>
      <c r="N4969" s="143">
        <f ca="1">(PRODUCT($O$5:$O4969)-1)*36000/_xlfn.DAYS(L4969, $C$2)</f>
        <v>11.109256284680081</v>
      </c>
      <c r="O4969" s="149">
        <f t="shared" ca="1" si="166"/>
        <v>1.000173611111111</v>
      </c>
    </row>
    <row r="4970" spans="12:15" x14ac:dyDescent="0.25">
      <c r="L4970" s="147">
        <f ca="1"/>
        <v>50209</v>
      </c>
      <c r="M4970" s="92">
        <f t="shared" ca="1" si="165"/>
        <v>6.25</v>
      </c>
      <c r="N4970" s="143">
        <f ca="1">(PRODUCT($O$5:$O4970)-1)*36000/_xlfn.DAYS(L4970, $C$2)</f>
        <v>11.110206081536679</v>
      </c>
      <c r="O4970" s="149">
        <f t="shared" ca="1" si="166"/>
        <v>1.000173611111111</v>
      </c>
    </row>
    <row r="4971" spans="12:15" x14ac:dyDescent="0.25">
      <c r="L4971" s="147">
        <f ca="1"/>
        <v>50210</v>
      </c>
      <c r="M4971" s="92">
        <f t="shared" ca="1" si="165"/>
        <v>6.25</v>
      </c>
      <c r="N4971" s="143">
        <f ca="1">(PRODUCT($O$5:$O4971)-1)*36000/_xlfn.DAYS(L4971, $C$2)</f>
        <v>11.111156049113351</v>
      </c>
      <c r="O4971" s="149">
        <f t="shared" ca="1" si="166"/>
        <v>1.000173611111111</v>
      </c>
    </row>
    <row r="4972" spans="12:15" x14ac:dyDescent="0.25">
      <c r="L4972" s="147">
        <f ca="1"/>
        <v>50211</v>
      </c>
      <c r="M4972" s="92">
        <f t="shared" ca="1" si="165"/>
        <v>6.25</v>
      </c>
      <c r="N4972" s="143">
        <f ca="1">(PRODUCT($O$5:$O4972)-1)*36000/_xlfn.DAYS(L4972, $C$2)</f>
        <v>11.112106187403024</v>
      </c>
      <c r="O4972" s="149">
        <f t="shared" ca="1" si="166"/>
        <v>1.000173611111111</v>
      </c>
    </row>
    <row r="4973" spans="12:15" x14ac:dyDescent="0.25">
      <c r="L4973" s="147">
        <f ca="1"/>
        <v>50212</v>
      </c>
      <c r="M4973" s="92">
        <f t="shared" ca="1" si="165"/>
        <v>6.25</v>
      </c>
      <c r="N4973" s="143">
        <f ca="1">(PRODUCT($O$5:$O4973)-1)*36000/_xlfn.DAYS(L4973, $C$2)</f>
        <v>11.11305649639864</v>
      </c>
      <c r="O4973" s="149">
        <f t="shared" ca="1" si="166"/>
        <v>1.000173611111111</v>
      </c>
    </row>
    <row r="4974" spans="12:15" x14ac:dyDescent="0.25">
      <c r="L4974" s="147">
        <f ca="1"/>
        <v>50213</v>
      </c>
      <c r="M4974" s="92">
        <f t="shared" ca="1" si="165"/>
        <v>6.25</v>
      </c>
      <c r="N4974" s="143">
        <f ca="1">(PRODUCT($O$5:$O4974)-1)*36000/_xlfn.DAYS(L4974, $C$2)</f>
        <v>11.114006976093172</v>
      </c>
      <c r="O4974" s="149">
        <f t="shared" ca="1" si="166"/>
        <v>1.000173611111111</v>
      </c>
    </row>
    <row r="4975" spans="12:15" x14ac:dyDescent="0.25">
      <c r="L4975" s="147">
        <f ca="1"/>
        <v>50214</v>
      </c>
      <c r="M4975" s="92">
        <f t="shared" ca="1" si="165"/>
        <v>6.25</v>
      </c>
      <c r="N4975" s="143">
        <f ca="1">(PRODUCT($O$5:$O4975)-1)*36000/_xlfn.DAYS(L4975, $C$2)</f>
        <v>11.11495762647961</v>
      </c>
      <c r="O4975" s="149">
        <f t="shared" ca="1" si="166"/>
        <v>1.000173611111111</v>
      </c>
    </row>
    <row r="4976" spans="12:15" x14ac:dyDescent="0.25">
      <c r="L4976" s="147">
        <f ca="1"/>
        <v>50215</v>
      </c>
      <c r="M4976" s="92">
        <f t="shared" ca="1" si="165"/>
        <v>6.25</v>
      </c>
      <c r="N4976" s="143">
        <f ca="1">(PRODUCT($O$5:$O4976)-1)*36000/_xlfn.DAYS(L4976, $C$2)</f>
        <v>11.115908447550964</v>
      </c>
      <c r="O4976" s="149">
        <f t="shared" ca="1" si="166"/>
        <v>1.000173611111111</v>
      </c>
    </row>
    <row r="4977" spans="12:15" x14ac:dyDescent="0.25">
      <c r="L4977" s="147">
        <f ca="1"/>
        <v>50216</v>
      </c>
      <c r="M4977" s="92">
        <f t="shared" ca="1" si="165"/>
        <v>6.25</v>
      </c>
      <c r="N4977" s="143">
        <f ca="1">(PRODUCT($O$5:$O4977)-1)*36000/_xlfn.DAYS(L4977, $C$2)</f>
        <v>11.116859439300276</v>
      </c>
      <c r="O4977" s="149">
        <f t="shared" ca="1" si="166"/>
        <v>1.000173611111111</v>
      </c>
    </row>
    <row r="4978" spans="12:15" x14ac:dyDescent="0.25">
      <c r="L4978" s="147">
        <f ca="1"/>
        <v>50217</v>
      </c>
      <c r="M4978" s="92">
        <f t="shared" ca="1" si="165"/>
        <v>6.25</v>
      </c>
      <c r="N4978" s="143">
        <f ca="1">(PRODUCT($O$5:$O4978)-1)*36000/_xlfn.DAYS(L4978, $C$2)</f>
        <v>11.117810601720597</v>
      </c>
      <c r="O4978" s="149">
        <f t="shared" ca="1" si="166"/>
        <v>1.000173611111111</v>
      </c>
    </row>
    <row r="4979" spans="12:15" x14ac:dyDescent="0.25">
      <c r="L4979" s="147">
        <f ca="1"/>
        <v>50218</v>
      </c>
      <c r="M4979" s="92">
        <f t="shared" ca="1" si="165"/>
        <v>6.25</v>
      </c>
      <c r="N4979" s="143">
        <f ca="1">(PRODUCT($O$5:$O4979)-1)*36000/_xlfn.DAYS(L4979, $C$2)</f>
        <v>11.118761934805013</v>
      </c>
      <c r="O4979" s="149">
        <f t="shared" ca="1" si="166"/>
        <v>1.000173611111111</v>
      </c>
    </row>
    <row r="4980" spans="12:15" x14ac:dyDescent="0.25">
      <c r="L4980" s="147">
        <f ca="1"/>
        <v>50219</v>
      </c>
      <c r="M4980" s="92">
        <f t="shared" ca="1" si="165"/>
        <v>6.25</v>
      </c>
      <c r="N4980" s="143">
        <f ca="1">(PRODUCT($O$5:$O4980)-1)*36000/_xlfn.DAYS(L4980, $C$2)</f>
        <v>11.119713438546624</v>
      </c>
      <c r="O4980" s="149">
        <f t="shared" ca="1" si="166"/>
        <v>1.000173611111111</v>
      </c>
    </row>
    <row r="4981" spans="12:15" x14ac:dyDescent="0.25">
      <c r="L4981" s="147">
        <f ca="1"/>
        <v>50220</v>
      </c>
      <c r="M4981" s="92">
        <f t="shared" ca="1" si="165"/>
        <v>6.25</v>
      </c>
      <c r="N4981" s="143">
        <f ca="1">(PRODUCT($O$5:$O4981)-1)*36000/_xlfn.DAYS(L4981, $C$2)</f>
        <v>11.120665112938553</v>
      </c>
      <c r="O4981" s="149">
        <f t="shared" ca="1" si="166"/>
        <v>1.000173611111111</v>
      </c>
    </row>
    <row r="4982" spans="12:15" x14ac:dyDescent="0.25">
      <c r="L4982" s="147">
        <f ca="1"/>
        <v>50221</v>
      </c>
      <c r="M4982" s="92">
        <f t="shared" ca="1" si="165"/>
        <v>6.25</v>
      </c>
      <c r="N4982" s="143">
        <f ca="1">(PRODUCT($O$5:$O4982)-1)*36000/_xlfn.DAYS(L4982, $C$2)</f>
        <v>11.121616957973952</v>
      </c>
      <c r="O4982" s="149">
        <f t="shared" ca="1" si="166"/>
        <v>1.000173611111111</v>
      </c>
    </row>
    <row r="4983" spans="12:15" x14ac:dyDescent="0.25">
      <c r="L4983" s="147">
        <f ca="1"/>
        <v>50222</v>
      </c>
      <c r="M4983" s="92">
        <f t="shared" ca="1" si="165"/>
        <v>6.25</v>
      </c>
      <c r="N4983" s="143">
        <f ca="1">(PRODUCT($O$5:$O4983)-1)*36000/_xlfn.DAYS(L4983, $C$2)</f>
        <v>11.122568973645983</v>
      </c>
      <c r="O4983" s="149">
        <f t="shared" ca="1" si="166"/>
        <v>1.000173611111111</v>
      </c>
    </row>
    <row r="4984" spans="12:15" x14ac:dyDescent="0.25">
      <c r="L4984" s="147">
        <f ca="1"/>
        <v>50223</v>
      </c>
      <c r="M4984" s="92">
        <f t="shared" ca="1" si="165"/>
        <v>6.25</v>
      </c>
      <c r="N4984" s="143">
        <f ca="1">(PRODUCT($O$5:$O4984)-1)*36000/_xlfn.DAYS(L4984, $C$2)</f>
        <v>11.12352115994784</v>
      </c>
      <c r="O4984" s="149">
        <f t="shared" ca="1" si="166"/>
        <v>1.000173611111111</v>
      </c>
    </row>
    <row r="4985" spans="12:15" x14ac:dyDescent="0.25">
      <c r="L4985" s="147">
        <f ca="1"/>
        <v>50224</v>
      </c>
      <c r="M4985" s="92">
        <f t="shared" ca="1" si="165"/>
        <v>6.25</v>
      </c>
      <c r="N4985" s="143">
        <f ca="1">(PRODUCT($O$5:$O4985)-1)*36000/_xlfn.DAYS(L4985, $C$2)</f>
        <v>11.124473516872738</v>
      </c>
      <c r="O4985" s="149">
        <f t="shared" ca="1" si="166"/>
        <v>1.000173611111111</v>
      </c>
    </row>
    <row r="4986" spans="12:15" x14ac:dyDescent="0.25">
      <c r="L4986" s="147">
        <f ca="1"/>
        <v>50225</v>
      </c>
      <c r="M4986" s="92">
        <f t="shared" ca="1" si="165"/>
        <v>6.25</v>
      </c>
      <c r="N4986" s="143">
        <f ca="1">(PRODUCT($O$5:$O4986)-1)*36000/_xlfn.DAYS(L4986, $C$2)</f>
        <v>11.125426044413912</v>
      </c>
      <c r="O4986" s="149">
        <f t="shared" ca="1" si="166"/>
        <v>1.000173611111111</v>
      </c>
    </row>
    <row r="4987" spans="12:15" x14ac:dyDescent="0.25">
      <c r="L4987" s="147">
        <f ca="1"/>
        <v>50226</v>
      </c>
      <c r="M4987" s="92">
        <f t="shared" ca="1" si="165"/>
        <v>6.25</v>
      </c>
      <c r="N4987" s="143">
        <f ca="1">(PRODUCT($O$5:$O4987)-1)*36000/_xlfn.DAYS(L4987, $C$2)</f>
        <v>11.126378742564617</v>
      </c>
      <c r="O4987" s="149">
        <f t="shared" ca="1" si="166"/>
        <v>1.000173611111111</v>
      </c>
    </row>
    <row r="4988" spans="12:15" x14ac:dyDescent="0.25">
      <c r="L4988" s="147">
        <f ca="1"/>
        <v>50227</v>
      </c>
      <c r="M4988" s="92">
        <f t="shared" ca="1" si="165"/>
        <v>6.25</v>
      </c>
      <c r="N4988" s="143">
        <f ca="1">(PRODUCT($O$5:$O4988)-1)*36000/_xlfn.DAYS(L4988, $C$2)</f>
        <v>11.127331611318134</v>
      </c>
      <c r="O4988" s="149">
        <f t="shared" ca="1" si="166"/>
        <v>1.000173611111111</v>
      </c>
    </row>
    <row r="4989" spans="12:15" x14ac:dyDescent="0.25">
      <c r="L4989" s="147">
        <f ca="1"/>
        <v>50228</v>
      </c>
      <c r="M4989" s="92">
        <f t="shared" ca="1" si="165"/>
        <v>6.25</v>
      </c>
      <c r="N4989" s="143">
        <f ca="1">(PRODUCT($O$5:$O4989)-1)*36000/_xlfn.DAYS(L4989, $C$2)</f>
        <v>11.128284650667764</v>
      </c>
      <c r="O4989" s="149">
        <f t="shared" ca="1" si="166"/>
        <v>1.000173611111111</v>
      </c>
    </row>
    <row r="4990" spans="12:15" x14ac:dyDescent="0.25">
      <c r="L4990" s="147">
        <f ca="1"/>
        <v>50229</v>
      </c>
      <c r="M4990" s="92">
        <f t="shared" ca="1" si="165"/>
        <v>6.25</v>
      </c>
      <c r="N4990" s="143">
        <f ca="1">(PRODUCT($O$5:$O4990)-1)*36000/_xlfn.DAYS(L4990, $C$2)</f>
        <v>11.129237860606834</v>
      </c>
      <c r="O4990" s="149">
        <f t="shared" ca="1" si="166"/>
        <v>1.000173611111111</v>
      </c>
    </row>
    <row r="4991" spans="12:15" x14ac:dyDescent="0.25">
      <c r="L4991" s="147">
        <f ca="1"/>
        <v>50230</v>
      </c>
      <c r="M4991" s="92">
        <f t="shared" ca="1" si="165"/>
        <v>6.25</v>
      </c>
      <c r="N4991" s="143">
        <f ca="1">(PRODUCT($O$5:$O4991)-1)*36000/_xlfn.DAYS(L4991, $C$2)</f>
        <v>11.130191241128687</v>
      </c>
      <c r="O4991" s="149">
        <f t="shared" ca="1" si="166"/>
        <v>1.000173611111111</v>
      </c>
    </row>
    <row r="4992" spans="12:15" x14ac:dyDescent="0.25">
      <c r="L4992" s="147">
        <f ca="1"/>
        <v>50231</v>
      </c>
      <c r="M4992" s="92">
        <f t="shared" ca="1" si="165"/>
        <v>6.25</v>
      </c>
      <c r="N4992" s="143">
        <f ca="1">(PRODUCT($O$5:$O4992)-1)*36000/_xlfn.DAYS(L4992, $C$2)</f>
        <v>11.131144792226689</v>
      </c>
      <c r="O4992" s="149">
        <f t="shared" ca="1" si="166"/>
        <v>1.000173611111111</v>
      </c>
    </row>
    <row r="4993" spans="12:15" x14ac:dyDescent="0.25">
      <c r="L4993" s="147">
        <f ca="1"/>
        <v>50232</v>
      </c>
      <c r="M4993" s="92">
        <f t="shared" ca="1" si="165"/>
        <v>6.25</v>
      </c>
      <c r="N4993" s="143">
        <f ca="1">(PRODUCT($O$5:$O4993)-1)*36000/_xlfn.DAYS(L4993, $C$2)</f>
        <v>11.132098513894229</v>
      </c>
      <c r="O4993" s="149">
        <f t="shared" ca="1" si="166"/>
        <v>1.000173611111111</v>
      </c>
    </row>
    <row r="4994" spans="12:15" x14ac:dyDescent="0.25">
      <c r="L4994" s="147">
        <f ca="1"/>
        <v>50233</v>
      </c>
      <c r="M4994" s="92">
        <f t="shared" ca="1" si="165"/>
        <v>6.25</v>
      </c>
      <c r="N4994" s="143">
        <f ca="1">(PRODUCT($O$5:$O4994)-1)*36000/_xlfn.DAYS(L4994, $C$2)</f>
        <v>11.133052406124724</v>
      </c>
      <c r="O4994" s="149">
        <f t="shared" ca="1" si="166"/>
        <v>1.000173611111111</v>
      </c>
    </row>
    <row r="4995" spans="12:15" x14ac:dyDescent="0.25">
      <c r="L4995" s="147">
        <f ca="1"/>
        <v>50234</v>
      </c>
      <c r="M4995" s="92">
        <f t="shared" ca="1" si="165"/>
        <v>6.25</v>
      </c>
      <c r="N4995" s="143">
        <f ca="1">(PRODUCT($O$5:$O4995)-1)*36000/_xlfn.DAYS(L4995, $C$2)</f>
        <v>11.134006468911602</v>
      </c>
      <c r="O4995" s="149">
        <f t="shared" ca="1" si="166"/>
        <v>1.000173611111111</v>
      </c>
    </row>
    <row r="4996" spans="12:15" x14ac:dyDescent="0.25">
      <c r="L4996" s="147">
        <f ca="1"/>
        <v>50235</v>
      </c>
      <c r="M4996" s="92">
        <f t="shared" ca="1" si="165"/>
        <v>6.25</v>
      </c>
      <c r="N4996" s="143">
        <f ca="1">(PRODUCT($O$5:$O4996)-1)*36000/_xlfn.DAYS(L4996, $C$2)</f>
        <v>11.134960702248321</v>
      </c>
      <c r="O4996" s="149">
        <f t="shared" ca="1" si="166"/>
        <v>1.000173611111111</v>
      </c>
    </row>
    <row r="4997" spans="12:15" x14ac:dyDescent="0.25">
      <c r="L4997" s="147">
        <f ca="1"/>
        <v>50236</v>
      </c>
      <c r="M4997" s="92">
        <f t="shared" ref="M4997:M5060" ca="1" si="167">IFERROR(INDEX($E$27:$H$47, MATCH(L4997, $F$27:$F$47, 0), 4), IF(ISNUMBER(M4996), M4996, $C$5))</f>
        <v>6.25</v>
      </c>
      <c r="N4997" s="143">
        <f ca="1">(PRODUCT($O$5:$O4997)-1)*36000/_xlfn.DAYS(L4997, $C$2)</f>
        <v>11.13591510612836</v>
      </c>
      <c r="O4997" s="149">
        <f t="shared" ca="1" si="166"/>
        <v>1.000173611111111</v>
      </c>
    </row>
    <row r="4998" spans="12:15" x14ac:dyDescent="0.25">
      <c r="L4998" s="147">
        <f ca="1"/>
        <v>50237</v>
      </c>
      <c r="M4998" s="92">
        <f t="shared" ca="1" si="167"/>
        <v>6.25</v>
      </c>
      <c r="N4998" s="143">
        <f ca="1">(PRODUCT($O$5:$O4998)-1)*36000/_xlfn.DAYS(L4998, $C$2)</f>
        <v>11.136869680545214</v>
      </c>
      <c r="O4998" s="149">
        <f t="shared" ref="O4998:O5061" ca="1" si="168">1+M4998*IFERROR(_xlfn.DAYS(L4998, L4997), _xlfn.DAYS(L4998, $C$2))/36000</f>
        <v>1.000173611111111</v>
      </c>
    </row>
    <row r="4999" spans="12:15" x14ac:dyDescent="0.25">
      <c r="L4999" s="147">
        <f ca="1"/>
        <v>50238</v>
      </c>
      <c r="M4999" s="92">
        <f t="shared" ca="1" si="167"/>
        <v>6.25</v>
      </c>
      <c r="N4999" s="143">
        <f ca="1">(PRODUCT($O$5:$O4999)-1)*36000/_xlfn.DAYS(L4999, $C$2)</f>
        <v>11.137824425492406</v>
      </c>
      <c r="O4999" s="149">
        <f t="shared" ca="1" si="168"/>
        <v>1.000173611111111</v>
      </c>
    </row>
    <row r="5000" spans="12:15" x14ac:dyDescent="0.25">
      <c r="L5000" s="147">
        <f ca="1"/>
        <v>50239</v>
      </c>
      <c r="M5000" s="92">
        <f t="shared" ca="1" si="167"/>
        <v>6.25</v>
      </c>
      <c r="N5000" s="143">
        <f ca="1">(PRODUCT($O$5:$O5000)-1)*36000/_xlfn.DAYS(L5000, $C$2)</f>
        <v>11.138779340963477</v>
      </c>
      <c r="O5000" s="149">
        <f t="shared" ca="1" si="168"/>
        <v>1.000173611111111</v>
      </c>
    </row>
    <row r="5001" spans="12:15" x14ac:dyDescent="0.25">
      <c r="L5001" s="147">
        <f ca="1"/>
        <v>50240</v>
      </c>
      <c r="M5001" s="92">
        <f t="shared" ca="1" si="167"/>
        <v>6.25</v>
      </c>
      <c r="N5001" s="143">
        <f ca="1">(PRODUCT($O$5:$O5001)-1)*36000/_xlfn.DAYS(L5001, $C$2)</f>
        <v>11.139734426951996</v>
      </c>
      <c r="O5001" s="149">
        <f t="shared" ca="1" si="168"/>
        <v>1.000173611111111</v>
      </c>
    </row>
    <row r="5002" spans="12:15" x14ac:dyDescent="0.25">
      <c r="L5002" s="147">
        <f ca="1"/>
        <v>50241</v>
      </c>
      <c r="M5002" s="92">
        <f t="shared" ca="1" si="167"/>
        <v>6.25</v>
      </c>
      <c r="N5002" s="143">
        <f ca="1">(PRODUCT($O$5:$O5002)-1)*36000/_xlfn.DAYS(L5002, $C$2)</f>
        <v>11.140689683451546</v>
      </c>
      <c r="O5002" s="149">
        <f t="shared" ca="1" si="168"/>
        <v>1.000173611111111</v>
      </c>
    </row>
    <row r="5003" spans="12:15" x14ac:dyDescent="0.25">
      <c r="L5003" s="147">
        <f ca="1"/>
        <v>50242</v>
      </c>
      <c r="M5003" s="92">
        <f t="shared" ca="1" si="167"/>
        <v>6.25</v>
      </c>
      <c r="N5003" s="143">
        <f ca="1">(PRODUCT($O$5:$O5003)-1)*36000/_xlfn.DAYS(L5003, $C$2)</f>
        <v>11.141645110455737</v>
      </c>
      <c r="O5003" s="149">
        <f t="shared" ca="1" si="168"/>
        <v>1.000173611111111</v>
      </c>
    </row>
    <row r="5004" spans="12:15" x14ac:dyDescent="0.25">
      <c r="L5004" s="147">
        <f ca="1"/>
        <v>50243</v>
      </c>
      <c r="M5004" s="92">
        <f t="shared" ca="1" si="167"/>
        <v>6.25</v>
      </c>
      <c r="N5004" s="143">
        <f ca="1">(PRODUCT($O$5:$O5004)-1)*36000/_xlfn.DAYS(L5004, $C$2)</f>
        <v>11.142600707958199</v>
      </c>
      <c r="O5004" s="149">
        <f t="shared" ca="1" si="168"/>
        <v>1.000173611111111</v>
      </c>
    </row>
    <row r="5005" spans="12:15" x14ac:dyDescent="0.25">
      <c r="L5005" s="147">
        <f ca="1"/>
        <v>50244</v>
      </c>
      <c r="M5005" s="92">
        <f t="shared" ca="1" si="167"/>
        <v>6.25</v>
      </c>
      <c r="N5005" s="143">
        <f ca="1">(PRODUCT($O$5:$O5005)-1)*36000/_xlfn.DAYS(L5005, $C$2)</f>
        <v>11.143556475952582</v>
      </c>
      <c r="O5005" s="149">
        <f t="shared" ca="1" si="168"/>
        <v>1.000173611111111</v>
      </c>
    </row>
    <row r="5006" spans="12:15" x14ac:dyDescent="0.25">
      <c r="L5006" s="147">
        <f ca="1"/>
        <v>50245</v>
      </c>
      <c r="M5006" s="92">
        <f t="shared" ca="1" si="167"/>
        <v>6.25</v>
      </c>
      <c r="N5006" s="143">
        <f ca="1">(PRODUCT($O$5:$O5006)-1)*36000/_xlfn.DAYS(L5006, $C$2)</f>
        <v>11.144512414432562</v>
      </c>
      <c r="O5006" s="149">
        <f t="shared" ca="1" si="168"/>
        <v>1.000173611111111</v>
      </c>
    </row>
    <row r="5007" spans="12:15" x14ac:dyDescent="0.25">
      <c r="L5007" s="147">
        <f ca="1"/>
        <v>50246</v>
      </c>
      <c r="M5007" s="92">
        <f t="shared" ca="1" si="167"/>
        <v>6.25</v>
      </c>
      <c r="N5007" s="143">
        <f ca="1">(PRODUCT($O$5:$O5007)-1)*36000/_xlfn.DAYS(L5007, $C$2)</f>
        <v>11.145468523391832</v>
      </c>
      <c r="O5007" s="149">
        <f t="shared" ca="1" si="168"/>
        <v>1.000173611111111</v>
      </c>
    </row>
    <row r="5008" spans="12:15" x14ac:dyDescent="0.25">
      <c r="L5008" s="147">
        <f ca="1"/>
        <v>50247</v>
      </c>
      <c r="M5008" s="92">
        <f t="shared" ca="1" si="167"/>
        <v>6.25</v>
      </c>
      <c r="N5008" s="143">
        <f ca="1">(PRODUCT($O$5:$O5008)-1)*36000/_xlfn.DAYS(L5008, $C$2)</f>
        <v>11.146424802824109</v>
      </c>
      <c r="O5008" s="149">
        <f t="shared" ca="1" si="168"/>
        <v>1.000173611111111</v>
      </c>
    </row>
    <row r="5009" spans="12:15" x14ac:dyDescent="0.25">
      <c r="L5009" s="147">
        <f ca="1"/>
        <v>50248</v>
      </c>
      <c r="M5009" s="92">
        <f t="shared" ca="1" si="167"/>
        <v>6.25</v>
      </c>
      <c r="N5009" s="143">
        <f ca="1">(PRODUCT($O$5:$O5009)-1)*36000/_xlfn.DAYS(L5009, $C$2)</f>
        <v>11.147381252723136</v>
      </c>
      <c r="O5009" s="149">
        <f t="shared" ca="1" si="168"/>
        <v>1.000173611111111</v>
      </c>
    </row>
    <row r="5010" spans="12:15" x14ac:dyDescent="0.25">
      <c r="L5010" s="147">
        <f ca="1"/>
        <v>50249</v>
      </c>
      <c r="M5010" s="92">
        <f t="shared" ca="1" si="167"/>
        <v>6.25</v>
      </c>
      <c r="N5010" s="143">
        <f ca="1">(PRODUCT($O$5:$O5010)-1)*36000/_xlfn.DAYS(L5010, $C$2)</f>
        <v>11.148337873082669</v>
      </c>
      <c r="O5010" s="149">
        <f t="shared" ca="1" si="168"/>
        <v>1.000173611111111</v>
      </c>
    </row>
    <row r="5011" spans="12:15" x14ac:dyDescent="0.25">
      <c r="L5011" s="147">
        <f ca="1"/>
        <v>50250</v>
      </c>
      <c r="M5011" s="92">
        <f t="shared" ca="1" si="167"/>
        <v>6.25</v>
      </c>
      <c r="N5011" s="143">
        <f ca="1">(PRODUCT($O$5:$O5011)-1)*36000/_xlfn.DAYS(L5011, $C$2)</f>
        <v>11.149294663896489</v>
      </c>
      <c r="O5011" s="149">
        <f t="shared" ca="1" si="168"/>
        <v>1.000173611111111</v>
      </c>
    </row>
    <row r="5012" spans="12:15" x14ac:dyDescent="0.25">
      <c r="L5012" s="147">
        <f ca="1"/>
        <v>50251</v>
      </c>
      <c r="M5012" s="92">
        <f t="shared" ca="1" si="167"/>
        <v>6.25</v>
      </c>
      <c r="N5012" s="143">
        <f ca="1">(PRODUCT($O$5:$O5012)-1)*36000/_xlfn.DAYS(L5012, $C$2)</f>
        <v>11.150251625158402</v>
      </c>
      <c r="O5012" s="149">
        <f t="shared" ca="1" si="168"/>
        <v>1.000173611111111</v>
      </c>
    </row>
    <row r="5013" spans="12:15" x14ac:dyDescent="0.25">
      <c r="L5013" s="147">
        <f ca="1"/>
        <v>50252</v>
      </c>
      <c r="M5013" s="92">
        <f t="shared" ca="1" si="167"/>
        <v>6.25</v>
      </c>
      <c r="N5013" s="143">
        <f ca="1">(PRODUCT($O$5:$O5013)-1)*36000/_xlfn.DAYS(L5013, $C$2)</f>
        <v>11.151208756862232</v>
      </c>
      <c r="O5013" s="149">
        <f t="shared" ca="1" si="168"/>
        <v>1.000173611111111</v>
      </c>
    </row>
    <row r="5014" spans="12:15" x14ac:dyDescent="0.25">
      <c r="L5014" s="147">
        <f ca="1"/>
        <v>50253</v>
      </c>
      <c r="M5014" s="92">
        <f t="shared" ca="1" si="167"/>
        <v>6.25</v>
      </c>
      <c r="N5014" s="143">
        <f ca="1">(PRODUCT($O$5:$O5014)-1)*36000/_xlfn.DAYS(L5014, $C$2)</f>
        <v>11.152166059001825</v>
      </c>
      <c r="O5014" s="149">
        <f t="shared" ca="1" si="168"/>
        <v>1.000173611111111</v>
      </c>
    </row>
    <row r="5015" spans="12:15" x14ac:dyDescent="0.25">
      <c r="L5015" s="147">
        <f ca="1"/>
        <v>50254</v>
      </c>
      <c r="M5015" s="92">
        <f t="shared" ca="1" si="167"/>
        <v>6.25</v>
      </c>
      <c r="N5015" s="143">
        <f ca="1">(PRODUCT($O$5:$O5015)-1)*36000/_xlfn.DAYS(L5015, $C$2)</f>
        <v>11.153123531571051</v>
      </c>
      <c r="O5015" s="149">
        <f t="shared" ca="1" si="168"/>
        <v>1.000173611111111</v>
      </c>
    </row>
    <row r="5016" spans="12:15" x14ac:dyDescent="0.25">
      <c r="L5016" s="147">
        <f ca="1"/>
        <v>50255</v>
      </c>
      <c r="M5016" s="92">
        <f t="shared" ca="1" si="167"/>
        <v>6.25</v>
      </c>
      <c r="N5016" s="143">
        <f ca="1">(PRODUCT($O$5:$O5016)-1)*36000/_xlfn.DAYS(L5016, $C$2)</f>
        <v>11.154081174563801</v>
      </c>
      <c r="O5016" s="149">
        <f t="shared" ca="1" si="168"/>
        <v>1.000173611111111</v>
      </c>
    </row>
    <row r="5017" spans="12:15" x14ac:dyDescent="0.25">
      <c r="L5017" s="147">
        <f ca="1"/>
        <v>50256</v>
      </c>
      <c r="M5017" s="92">
        <f t="shared" ca="1" si="167"/>
        <v>6.25</v>
      </c>
      <c r="N5017" s="143">
        <f ca="1">(PRODUCT($O$5:$O5017)-1)*36000/_xlfn.DAYS(L5017, $C$2)</f>
        <v>11.155038987973983</v>
      </c>
      <c r="O5017" s="149">
        <f t="shared" ca="1" si="168"/>
        <v>1.000173611111111</v>
      </c>
    </row>
    <row r="5018" spans="12:15" x14ac:dyDescent="0.25">
      <c r="L5018" s="147">
        <f ca="1"/>
        <v>50257</v>
      </c>
      <c r="M5018" s="92">
        <f t="shared" ca="1" si="167"/>
        <v>6.25</v>
      </c>
      <c r="N5018" s="143">
        <f ca="1">(PRODUCT($O$5:$O5018)-1)*36000/_xlfn.DAYS(L5018, $C$2)</f>
        <v>11.155996971795528</v>
      </c>
      <c r="O5018" s="149">
        <f t="shared" ca="1" si="168"/>
        <v>1.000173611111111</v>
      </c>
    </row>
    <row r="5019" spans="12:15" x14ac:dyDescent="0.25">
      <c r="L5019" s="147">
        <f ca="1"/>
        <v>50258</v>
      </c>
      <c r="M5019" s="92">
        <f t="shared" ca="1" si="167"/>
        <v>6.25</v>
      </c>
      <c r="N5019" s="143">
        <f ca="1">(PRODUCT($O$5:$O5019)-1)*36000/_xlfn.DAYS(L5019, $C$2)</f>
        <v>11.156955126022398</v>
      </c>
      <c r="O5019" s="149">
        <f t="shared" ca="1" si="168"/>
        <v>1.000173611111111</v>
      </c>
    </row>
    <row r="5020" spans="12:15" x14ac:dyDescent="0.25">
      <c r="L5020" s="147">
        <f ca="1"/>
        <v>50259</v>
      </c>
      <c r="M5020" s="92">
        <f t="shared" ca="1" si="167"/>
        <v>6.25</v>
      </c>
      <c r="N5020" s="143">
        <f ca="1">(PRODUCT($O$5:$O5020)-1)*36000/_xlfn.DAYS(L5020, $C$2)</f>
        <v>11.157913450648563</v>
      </c>
      <c r="O5020" s="149">
        <f t="shared" ca="1" si="168"/>
        <v>1.000173611111111</v>
      </c>
    </row>
    <row r="5021" spans="12:15" x14ac:dyDescent="0.25">
      <c r="L5021" s="147">
        <f ca="1"/>
        <v>50260</v>
      </c>
      <c r="M5021" s="92">
        <f t="shared" ca="1" si="167"/>
        <v>6.25</v>
      </c>
      <c r="N5021" s="143">
        <f ca="1">(PRODUCT($O$5:$O5021)-1)*36000/_xlfn.DAYS(L5021, $C$2)</f>
        <v>11.15887194566802</v>
      </c>
      <c r="O5021" s="149">
        <f t="shared" ca="1" si="168"/>
        <v>1.000173611111111</v>
      </c>
    </row>
    <row r="5022" spans="12:15" x14ac:dyDescent="0.25">
      <c r="L5022" s="147">
        <f ca="1"/>
        <v>50261</v>
      </c>
      <c r="M5022" s="92">
        <f t="shared" ca="1" si="167"/>
        <v>6.25</v>
      </c>
      <c r="N5022" s="143">
        <f ca="1">(PRODUCT($O$5:$O5022)-1)*36000/_xlfn.DAYS(L5022, $C$2)</f>
        <v>11.15983061107479</v>
      </c>
      <c r="O5022" s="149">
        <f t="shared" ca="1" si="168"/>
        <v>1.000173611111111</v>
      </c>
    </row>
    <row r="5023" spans="12:15" x14ac:dyDescent="0.25">
      <c r="L5023" s="147">
        <f ca="1"/>
        <v>50262</v>
      </c>
      <c r="M5023" s="92">
        <f t="shared" ca="1" si="167"/>
        <v>6.25</v>
      </c>
      <c r="N5023" s="143">
        <f ca="1">(PRODUCT($O$5:$O5023)-1)*36000/_xlfn.DAYS(L5023, $C$2)</f>
        <v>11.160789446862912</v>
      </c>
      <c r="O5023" s="149">
        <f t="shared" ca="1" si="168"/>
        <v>1.000173611111111</v>
      </c>
    </row>
    <row r="5024" spans="12:15" x14ac:dyDescent="0.25">
      <c r="L5024" s="147">
        <f ca="1"/>
        <v>50263</v>
      </c>
      <c r="M5024" s="92">
        <f t="shared" ca="1" si="167"/>
        <v>6.25</v>
      </c>
      <c r="N5024" s="143">
        <f ca="1">(PRODUCT($O$5:$O5024)-1)*36000/_xlfn.DAYS(L5024, $C$2)</f>
        <v>11.161748453026444</v>
      </c>
      <c r="O5024" s="149">
        <f t="shared" ca="1" si="168"/>
        <v>1.000173611111111</v>
      </c>
    </row>
    <row r="5025" spans="12:15" x14ac:dyDescent="0.25">
      <c r="L5025" s="147">
        <f ca="1"/>
        <v>50264</v>
      </c>
      <c r="M5025" s="92">
        <f t="shared" ca="1" si="167"/>
        <v>6.25</v>
      </c>
      <c r="N5025" s="143">
        <f ca="1">(PRODUCT($O$5:$O5025)-1)*36000/_xlfn.DAYS(L5025, $C$2)</f>
        <v>11.162707629559478</v>
      </c>
      <c r="O5025" s="149">
        <f t="shared" ca="1" si="168"/>
        <v>1.000173611111111</v>
      </c>
    </row>
    <row r="5026" spans="12:15" x14ac:dyDescent="0.25">
      <c r="L5026" s="147">
        <f ca="1"/>
        <v>50265</v>
      </c>
      <c r="M5026" s="92">
        <f t="shared" ca="1" si="167"/>
        <v>6.25</v>
      </c>
      <c r="N5026" s="143">
        <f ca="1">(PRODUCT($O$5:$O5026)-1)*36000/_xlfn.DAYS(L5026, $C$2)</f>
        <v>11.163666976456108</v>
      </c>
      <c r="O5026" s="149">
        <f t="shared" ca="1" si="168"/>
        <v>1.000173611111111</v>
      </c>
    </row>
    <row r="5027" spans="12:15" x14ac:dyDescent="0.25">
      <c r="L5027" s="147">
        <f ca="1"/>
        <v>50266</v>
      </c>
      <c r="M5027" s="92">
        <f t="shared" ca="1" si="167"/>
        <v>6.25</v>
      </c>
      <c r="N5027" s="143">
        <f ca="1">(PRODUCT($O$5:$O5027)-1)*36000/_xlfn.DAYS(L5027, $C$2)</f>
        <v>11.164626493710465</v>
      </c>
      <c r="O5027" s="149">
        <f t="shared" ca="1" si="168"/>
        <v>1.000173611111111</v>
      </c>
    </row>
    <row r="5028" spans="12:15" x14ac:dyDescent="0.25">
      <c r="L5028" s="147">
        <f ca="1"/>
        <v>50267</v>
      </c>
      <c r="M5028" s="92">
        <f t="shared" ca="1" si="167"/>
        <v>6.25</v>
      </c>
      <c r="N5028" s="143">
        <f ca="1">(PRODUCT($O$5:$O5028)-1)*36000/_xlfn.DAYS(L5028, $C$2)</f>
        <v>11.165586181316694</v>
      </c>
      <c r="O5028" s="149">
        <f t="shared" ca="1" si="168"/>
        <v>1.000173611111111</v>
      </c>
    </row>
    <row r="5029" spans="12:15" x14ac:dyDescent="0.25">
      <c r="L5029" s="147">
        <f ca="1"/>
        <v>50268</v>
      </c>
      <c r="M5029" s="92">
        <f t="shared" ca="1" si="167"/>
        <v>6.25</v>
      </c>
      <c r="N5029" s="143">
        <f ca="1">(PRODUCT($O$5:$O5029)-1)*36000/_xlfn.DAYS(L5029, $C$2)</f>
        <v>11.166546039268967</v>
      </c>
      <c r="O5029" s="149">
        <f t="shared" ca="1" si="168"/>
        <v>1.000173611111111</v>
      </c>
    </row>
    <row r="5030" spans="12:15" x14ac:dyDescent="0.25">
      <c r="L5030" s="147">
        <f ca="1"/>
        <v>50269</v>
      </c>
      <c r="M5030" s="92">
        <f t="shared" ca="1" si="167"/>
        <v>6.25</v>
      </c>
      <c r="N5030" s="143">
        <f ca="1">(PRODUCT($O$5:$O5030)-1)*36000/_xlfn.DAYS(L5030, $C$2)</f>
        <v>11.167506067561465</v>
      </c>
      <c r="O5030" s="149">
        <f t="shared" ca="1" si="168"/>
        <v>1.000173611111111</v>
      </c>
    </row>
    <row r="5031" spans="12:15" x14ac:dyDescent="0.25">
      <c r="L5031" s="147">
        <f ca="1"/>
        <v>50270</v>
      </c>
      <c r="M5031" s="92">
        <f t="shared" ca="1" si="167"/>
        <v>6.25</v>
      </c>
      <c r="N5031" s="143">
        <f ca="1">(PRODUCT($O$5:$O5031)-1)*36000/_xlfn.DAYS(L5031, $C$2)</f>
        <v>11.168466266188405</v>
      </c>
      <c r="O5031" s="149">
        <f t="shared" ca="1" si="168"/>
        <v>1.000173611111111</v>
      </c>
    </row>
    <row r="5032" spans="12:15" x14ac:dyDescent="0.25">
      <c r="L5032" s="147">
        <f ca="1"/>
        <v>50271</v>
      </c>
      <c r="M5032" s="92">
        <f t="shared" ca="1" si="167"/>
        <v>6.25</v>
      </c>
      <c r="N5032" s="143">
        <f ca="1">(PRODUCT($O$5:$O5032)-1)*36000/_xlfn.DAYS(L5032, $C$2)</f>
        <v>11.169426635144019</v>
      </c>
      <c r="O5032" s="149">
        <f t="shared" ca="1" si="168"/>
        <v>1.000173611111111</v>
      </c>
    </row>
    <row r="5033" spans="12:15" x14ac:dyDescent="0.25">
      <c r="L5033" s="147">
        <f ca="1"/>
        <v>50272</v>
      </c>
      <c r="M5033" s="92">
        <f t="shared" ca="1" si="167"/>
        <v>6.25</v>
      </c>
      <c r="N5033" s="143">
        <f ca="1">(PRODUCT($O$5:$O5033)-1)*36000/_xlfn.DAYS(L5033, $C$2)</f>
        <v>11.170387174422558</v>
      </c>
      <c r="O5033" s="149">
        <f t="shared" ca="1" si="168"/>
        <v>1.000173611111111</v>
      </c>
    </row>
    <row r="5034" spans="12:15" x14ac:dyDescent="0.25">
      <c r="L5034" s="147">
        <f ca="1"/>
        <v>50273</v>
      </c>
      <c r="M5034" s="92">
        <f t="shared" ca="1" si="167"/>
        <v>6.25</v>
      </c>
      <c r="N5034" s="143">
        <f ca="1">(PRODUCT($O$5:$O5034)-1)*36000/_xlfn.DAYS(L5034, $C$2)</f>
        <v>11.171347884018296</v>
      </c>
      <c r="O5034" s="149">
        <f t="shared" ca="1" si="168"/>
        <v>1.000173611111111</v>
      </c>
    </row>
    <row r="5035" spans="12:15" x14ac:dyDescent="0.25">
      <c r="L5035" s="147">
        <f ca="1"/>
        <v>50274</v>
      </c>
      <c r="M5035" s="92">
        <f t="shared" ca="1" si="167"/>
        <v>6.25</v>
      </c>
      <c r="N5035" s="143">
        <f ca="1">(PRODUCT($O$5:$O5035)-1)*36000/_xlfn.DAYS(L5035, $C$2)</f>
        <v>11.172308763925532</v>
      </c>
      <c r="O5035" s="149">
        <f t="shared" ca="1" si="168"/>
        <v>1.000173611111111</v>
      </c>
    </row>
    <row r="5036" spans="12:15" x14ac:dyDescent="0.25">
      <c r="L5036" s="147">
        <f ca="1"/>
        <v>50275</v>
      </c>
      <c r="M5036" s="92">
        <f t="shared" ca="1" si="167"/>
        <v>6.25</v>
      </c>
      <c r="N5036" s="143">
        <f ca="1">(PRODUCT($O$5:$O5036)-1)*36000/_xlfn.DAYS(L5036, $C$2)</f>
        <v>11.173269814138578</v>
      </c>
      <c r="O5036" s="149">
        <f t="shared" ca="1" si="168"/>
        <v>1.000173611111111</v>
      </c>
    </row>
    <row r="5037" spans="12:15" x14ac:dyDescent="0.25">
      <c r="L5037" s="147">
        <f ca="1"/>
        <v>50276</v>
      </c>
      <c r="M5037" s="92">
        <f t="shared" ca="1" si="167"/>
        <v>6.25</v>
      </c>
      <c r="N5037" s="143">
        <f ca="1">(PRODUCT($O$5:$O5037)-1)*36000/_xlfn.DAYS(L5037, $C$2)</f>
        <v>11.174231034651779</v>
      </c>
      <c r="O5037" s="149">
        <f t="shared" ca="1" si="168"/>
        <v>1.000173611111111</v>
      </c>
    </row>
    <row r="5038" spans="12:15" x14ac:dyDescent="0.25">
      <c r="L5038" s="147">
        <f ca="1"/>
        <v>50277</v>
      </c>
      <c r="M5038" s="92">
        <f t="shared" ca="1" si="167"/>
        <v>6.25</v>
      </c>
      <c r="N5038" s="143">
        <f ca="1">(PRODUCT($O$5:$O5038)-1)*36000/_xlfn.DAYS(L5038, $C$2)</f>
        <v>11.175192425459484</v>
      </c>
      <c r="O5038" s="149">
        <f t="shared" ca="1" si="168"/>
        <v>1.000173611111111</v>
      </c>
    </row>
    <row r="5039" spans="12:15" x14ac:dyDescent="0.25">
      <c r="L5039" s="147">
        <f ca="1"/>
        <v>50278</v>
      </c>
      <c r="M5039" s="92">
        <f t="shared" ca="1" si="167"/>
        <v>6.25</v>
      </c>
      <c r="N5039" s="143">
        <f ca="1">(PRODUCT($O$5:$O5039)-1)*36000/_xlfn.DAYS(L5039, $C$2)</f>
        <v>11.176153986556081</v>
      </c>
      <c r="O5039" s="149">
        <f t="shared" ca="1" si="168"/>
        <v>1.000173611111111</v>
      </c>
    </row>
    <row r="5040" spans="12:15" x14ac:dyDescent="0.25">
      <c r="L5040" s="147">
        <f ca="1"/>
        <v>50279</v>
      </c>
      <c r="M5040" s="92">
        <f t="shared" ca="1" si="167"/>
        <v>6.25</v>
      </c>
      <c r="N5040" s="143">
        <f ca="1">(PRODUCT($O$5:$O5040)-1)*36000/_xlfn.DAYS(L5040, $C$2)</f>
        <v>11.177115717935969</v>
      </c>
      <c r="O5040" s="149">
        <f t="shared" ca="1" si="168"/>
        <v>1.000173611111111</v>
      </c>
    </row>
    <row r="5041" spans="12:15" x14ac:dyDescent="0.25">
      <c r="L5041" s="147">
        <f ca="1"/>
        <v>50280</v>
      </c>
      <c r="M5041" s="92">
        <f t="shared" ca="1" si="167"/>
        <v>6.25</v>
      </c>
      <c r="N5041" s="143">
        <f ca="1">(PRODUCT($O$5:$O5041)-1)*36000/_xlfn.DAYS(L5041, $C$2)</f>
        <v>11.178077619593569</v>
      </c>
      <c r="O5041" s="149">
        <f t="shared" ca="1" si="168"/>
        <v>1.000173611111111</v>
      </c>
    </row>
    <row r="5042" spans="12:15" x14ac:dyDescent="0.25">
      <c r="L5042" s="147">
        <f ca="1"/>
        <v>50281</v>
      </c>
      <c r="M5042" s="92">
        <f t="shared" ca="1" si="167"/>
        <v>6.25</v>
      </c>
      <c r="N5042" s="143">
        <f ca="1">(PRODUCT($O$5:$O5042)-1)*36000/_xlfn.DAYS(L5042, $C$2)</f>
        <v>11.179039691523325</v>
      </c>
      <c r="O5042" s="149">
        <f t="shared" ca="1" si="168"/>
        <v>1.000173611111111</v>
      </c>
    </row>
    <row r="5043" spans="12:15" x14ac:dyDescent="0.25">
      <c r="L5043" s="147">
        <f ca="1"/>
        <v>50282</v>
      </c>
      <c r="M5043" s="92">
        <f t="shared" ca="1" si="167"/>
        <v>6.25</v>
      </c>
      <c r="N5043" s="143">
        <f ca="1">(PRODUCT($O$5:$O5043)-1)*36000/_xlfn.DAYS(L5043, $C$2)</f>
        <v>11.180001933719705</v>
      </c>
      <c r="O5043" s="149">
        <f t="shared" ca="1" si="168"/>
        <v>1.000173611111111</v>
      </c>
    </row>
    <row r="5044" spans="12:15" x14ac:dyDescent="0.25">
      <c r="L5044" s="147">
        <f ca="1"/>
        <v>50283</v>
      </c>
      <c r="M5044" s="92">
        <f t="shared" ca="1" si="167"/>
        <v>6.25</v>
      </c>
      <c r="N5044" s="143">
        <f ca="1">(PRODUCT($O$5:$O5044)-1)*36000/_xlfn.DAYS(L5044, $C$2)</f>
        <v>11.180964346177188</v>
      </c>
      <c r="O5044" s="149">
        <f t="shared" ca="1" si="168"/>
        <v>1.000173611111111</v>
      </c>
    </row>
    <row r="5045" spans="12:15" x14ac:dyDescent="0.25">
      <c r="L5045" s="147">
        <f ca="1"/>
        <v>50284</v>
      </c>
      <c r="M5045" s="92">
        <f t="shared" ca="1" si="167"/>
        <v>6.25</v>
      </c>
      <c r="N5045" s="143">
        <f ca="1">(PRODUCT($O$5:$O5045)-1)*36000/_xlfn.DAYS(L5045, $C$2)</f>
        <v>11.181926928890285</v>
      </c>
      <c r="O5045" s="149">
        <f t="shared" ca="1" si="168"/>
        <v>1.000173611111111</v>
      </c>
    </row>
    <row r="5046" spans="12:15" x14ac:dyDescent="0.25">
      <c r="L5046" s="147">
        <f ca="1"/>
        <v>50285</v>
      </c>
      <c r="M5046" s="92">
        <f t="shared" ca="1" si="167"/>
        <v>6.25</v>
      </c>
      <c r="N5046" s="143">
        <f ca="1">(PRODUCT($O$5:$O5046)-1)*36000/_xlfn.DAYS(L5046, $C$2)</f>
        <v>11.182889681853522</v>
      </c>
      <c r="O5046" s="149">
        <f t="shared" ca="1" si="168"/>
        <v>1.000173611111111</v>
      </c>
    </row>
    <row r="5047" spans="12:15" x14ac:dyDescent="0.25">
      <c r="L5047" s="147">
        <f ca="1"/>
        <v>50286</v>
      </c>
      <c r="M5047" s="92">
        <f t="shared" ca="1" si="167"/>
        <v>6.25</v>
      </c>
      <c r="N5047" s="143">
        <f ca="1">(PRODUCT($O$5:$O5047)-1)*36000/_xlfn.DAYS(L5047, $C$2)</f>
        <v>11.183852605061448</v>
      </c>
      <c r="O5047" s="149">
        <f t="shared" ca="1" si="168"/>
        <v>1.000173611111111</v>
      </c>
    </row>
    <row r="5048" spans="12:15" x14ac:dyDescent="0.25">
      <c r="L5048" s="147">
        <f ca="1"/>
        <v>50287</v>
      </c>
      <c r="M5048" s="92">
        <f t="shared" ca="1" si="167"/>
        <v>6.25</v>
      </c>
      <c r="N5048" s="143">
        <f ca="1">(PRODUCT($O$5:$O5048)-1)*36000/_xlfn.DAYS(L5048, $C$2)</f>
        <v>11.184815698508631</v>
      </c>
      <c r="O5048" s="149">
        <f t="shared" ca="1" si="168"/>
        <v>1.000173611111111</v>
      </c>
    </row>
    <row r="5049" spans="12:15" x14ac:dyDescent="0.25">
      <c r="L5049" s="147">
        <f ca="1"/>
        <v>50288</v>
      </c>
      <c r="M5049" s="92">
        <f t="shared" ca="1" si="167"/>
        <v>6.25</v>
      </c>
      <c r="N5049" s="143">
        <f ca="1">(PRODUCT($O$5:$O5049)-1)*36000/_xlfn.DAYS(L5049, $C$2)</f>
        <v>11.185778962189664</v>
      </c>
      <c r="O5049" s="149">
        <f t="shared" ca="1" si="168"/>
        <v>1.000173611111111</v>
      </c>
    </row>
    <row r="5050" spans="12:15" x14ac:dyDescent="0.25">
      <c r="L5050" s="147">
        <f ca="1"/>
        <v>50289</v>
      </c>
      <c r="M5050" s="92">
        <f t="shared" ca="1" si="167"/>
        <v>6.25</v>
      </c>
      <c r="N5050" s="143">
        <f ca="1">(PRODUCT($O$5:$O5050)-1)*36000/_xlfn.DAYS(L5050, $C$2)</f>
        <v>11.186742396099156</v>
      </c>
      <c r="O5050" s="149">
        <f t="shared" ca="1" si="168"/>
        <v>1.000173611111111</v>
      </c>
    </row>
    <row r="5051" spans="12:15" x14ac:dyDescent="0.25">
      <c r="L5051" s="147">
        <f ca="1"/>
        <v>50290</v>
      </c>
      <c r="M5051" s="92">
        <f t="shared" ca="1" si="167"/>
        <v>6.25</v>
      </c>
      <c r="N5051" s="143">
        <f ca="1">(PRODUCT($O$5:$O5051)-1)*36000/_xlfn.DAYS(L5051, $C$2)</f>
        <v>11.187706000231739</v>
      </c>
      <c r="O5051" s="149">
        <f t="shared" ca="1" si="168"/>
        <v>1.000173611111111</v>
      </c>
    </row>
    <row r="5052" spans="12:15" x14ac:dyDescent="0.25">
      <c r="L5052" s="147">
        <f ca="1"/>
        <v>50291</v>
      </c>
      <c r="M5052" s="92">
        <f t="shared" ca="1" si="167"/>
        <v>6.25</v>
      </c>
      <c r="N5052" s="143">
        <f ca="1">(PRODUCT($O$5:$O5052)-1)*36000/_xlfn.DAYS(L5052, $C$2)</f>
        <v>11.188669774582067</v>
      </c>
      <c r="O5052" s="149">
        <f t="shared" ca="1" si="168"/>
        <v>1.000173611111111</v>
      </c>
    </row>
    <row r="5053" spans="12:15" x14ac:dyDescent="0.25">
      <c r="L5053" s="147">
        <f ca="1"/>
        <v>50292</v>
      </c>
      <c r="M5053" s="92">
        <f t="shared" ca="1" si="167"/>
        <v>6.25</v>
      </c>
      <c r="N5053" s="143">
        <f ca="1">(PRODUCT($O$5:$O5053)-1)*36000/_xlfn.DAYS(L5053, $C$2)</f>
        <v>11.189633719144812</v>
      </c>
      <c r="O5053" s="149">
        <f t="shared" ca="1" si="168"/>
        <v>1.000173611111111</v>
      </c>
    </row>
    <row r="5054" spans="12:15" x14ac:dyDescent="0.25">
      <c r="L5054" s="147">
        <f ca="1"/>
        <v>50293</v>
      </c>
      <c r="M5054" s="92">
        <f t="shared" ca="1" si="167"/>
        <v>6.25</v>
      </c>
      <c r="N5054" s="143">
        <f ca="1">(PRODUCT($O$5:$O5054)-1)*36000/_xlfn.DAYS(L5054, $C$2)</f>
        <v>11.190597833914673</v>
      </c>
      <c r="O5054" s="149">
        <f t="shared" ca="1" si="168"/>
        <v>1.000173611111111</v>
      </c>
    </row>
    <row r="5055" spans="12:15" x14ac:dyDescent="0.25">
      <c r="L5055" s="147">
        <f ca="1"/>
        <v>50294</v>
      </c>
      <c r="M5055" s="92">
        <f t="shared" ca="1" si="167"/>
        <v>6.25</v>
      </c>
      <c r="N5055" s="143">
        <f ca="1">(PRODUCT($O$5:$O5055)-1)*36000/_xlfn.DAYS(L5055, $C$2)</f>
        <v>11.191562118886358</v>
      </c>
      <c r="O5055" s="149">
        <f t="shared" ca="1" si="168"/>
        <v>1.000173611111111</v>
      </c>
    </row>
    <row r="5056" spans="12:15" x14ac:dyDescent="0.25">
      <c r="L5056" s="147">
        <f ca="1"/>
        <v>50295</v>
      </c>
      <c r="M5056" s="92">
        <f t="shared" ca="1" si="167"/>
        <v>6.25</v>
      </c>
      <c r="N5056" s="143">
        <f ca="1">(PRODUCT($O$5:$O5056)-1)*36000/_xlfn.DAYS(L5056, $C$2)</f>
        <v>11.192526574054611</v>
      </c>
      <c r="O5056" s="149">
        <f t="shared" ca="1" si="168"/>
        <v>1.000173611111111</v>
      </c>
    </row>
    <row r="5057" spans="12:15" x14ac:dyDescent="0.25">
      <c r="L5057" s="147">
        <f ca="1"/>
        <v>50296</v>
      </c>
      <c r="M5057" s="92">
        <f t="shared" ca="1" si="167"/>
        <v>6.25</v>
      </c>
      <c r="N5057" s="143">
        <f ca="1">(PRODUCT($O$5:$O5057)-1)*36000/_xlfn.DAYS(L5057, $C$2)</f>
        <v>11.193491199414188</v>
      </c>
      <c r="O5057" s="149">
        <f t="shared" ca="1" si="168"/>
        <v>1.000173611111111</v>
      </c>
    </row>
    <row r="5058" spans="12:15" x14ac:dyDescent="0.25">
      <c r="L5058" s="147">
        <f ca="1"/>
        <v>50297</v>
      </c>
      <c r="M5058" s="92">
        <f t="shared" ca="1" si="167"/>
        <v>6.25</v>
      </c>
      <c r="N5058" s="143">
        <f ca="1">(PRODUCT($O$5:$O5058)-1)*36000/_xlfn.DAYS(L5058, $C$2)</f>
        <v>11.194455994959862</v>
      </c>
      <c r="O5058" s="149">
        <f t="shared" ca="1" si="168"/>
        <v>1.000173611111111</v>
      </c>
    </row>
    <row r="5059" spans="12:15" x14ac:dyDescent="0.25">
      <c r="L5059" s="147">
        <f ca="1"/>
        <v>50298</v>
      </c>
      <c r="M5059" s="92">
        <f t="shared" ca="1" si="167"/>
        <v>6.25</v>
      </c>
      <c r="N5059" s="143">
        <f ca="1">(PRODUCT($O$5:$O5059)-1)*36000/_xlfn.DAYS(L5059, $C$2)</f>
        <v>11.195420960686436</v>
      </c>
      <c r="O5059" s="149">
        <f t="shared" ca="1" si="168"/>
        <v>1.000173611111111</v>
      </c>
    </row>
    <row r="5060" spans="12:15" x14ac:dyDescent="0.25">
      <c r="L5060" s="147">
        <f ca="1"/>
        <v>50299</v>
      </c>
      <c r="M5060" s="92">
        <f t="shared" ca="1" si="167"/>
        <v>6.25</v>
      </c>
      <c r="N5060" s="143">
        <f ca="1">(PRODUCT($O$5:$O5060)-1)*36000/_xlfn.DAYS(L5060, $C$2)</f>
        <v>11.196386096588729</v>
      </c>
      <c r="O5060" s="149">
        <f t="shared" ca="1" si="168"/>
        <v>1.000173611111111</v>
      </c>
    </row>
    <row r="5061" spans="12:15" x14ac:dyDescent="0.25">
      <c r="L5061" s="147">
        <f ca="1"/>
        <v>50300</v>
      </c>
      <c r="M5061" s="92">
        <f t="shared" ref="M5061:M5124" ca="1" si="169">IFERROR(INDEX($E$27:$H$47, MATCH(L5061, $F$27:$F$47, 0), 4), IF(ISNUMBER(M5060), M5060, $C$5))</f>
        <v>6.25</v>
      </c>
      <c r="N5061" s="143">
        <f ca="1">(PRODUCT($O$5:$O5061)-1)*36000/_xlfn.DAYS(L5061, $C$2)</f>
        <v>11.197351402661582</v>
      </c>
      <c r="O5061" s="149">
        <f t="shared" ca="1" si="168"/>
        <v>1.000173611111111</v>
      </c>
    </row>
    <row r="5062" spans="12:15" x14ac:dyDescent="0.25">
      <c r="L5062" s="147">
        <f ca="1"/>
        <v>50301</v>
      </c>
      <c r="M5062" s="92">
        <f t="shared" ca="1" si="169"/>
        <v>6.25</v>
      </c>
      <c r="N5062" s="143">
        <f ca="1">(PRODUCT($O$5:$O5062)-1)*36000/_xlfn.DAYS(L5062, $C$2)</f>
        <v>11.198316878899853</v>
      </c>
      <c r="O5062" s="149">
        <f t="shared" ref="O5062:O5125" ca="1" si="170">1+M5062*IFERROR(_xlfn.DAYS(L5062, L5061), _xlfn.DAYS(L5062, $C$2))/36000</f>
        <v>1.000173611111111</v>
      </c>
    </row>
    <row r="5063" spans="12:15" x14ac:dyDescent="0.25">
      <c r="L5063" s="147">
        <f ca="1"/>
        <v>50302</v>
      </c>
      <c r="M5063" s="92">
        <f t="shared" ca="1" si="169"/>
        <v>6.25</v>
      </c>
      <c r="N5063" s="143">
        <f ca="1">(PRODUCT($O$5:$O5063)-1)*36000/_xlfn.DAYS(L5063, $C$2)</f>
        <v>11.199282525298424</v>
      </c>
      <c r="O5063" s="149">
        <f t="shared" ca="1" si="170"/>
        <v>1.000173611111111</v>
      </c>
    </row>
    <row r="5064" spans="12:15" x14ac:dyDescent="0.25">
      <c r="L5064" s="147">
        <f ca="1"/>
        <v>50303</v>
      </c>
      <c r="M5064" s="92">
        <f t="shared" ca="1" si="169"/>
        <v>6.25</v>
      </c>
      <c r="N5064" s="143">
        <f ca="1">(PRODUCT($O$5:$O5064)-1)*36000/_xlfn.DAYS(L5064, $C$2)</f>
        <v>11.2002483418522</v>
      </c>
      <c r="O5064" s="149">
        <f t="shared" ca="1" si="170"/>
        <v>1.000173611111111</v>
      </c>
    </row>
    <row r="5065" spans="12:15" x14ac:dyDescent="0.25">
      <c r="L5065" s="147">
        <f ca="1"/>
        <v>50304</v>
      </c>
      <c r="M5065" s="92">
        <f t="shared" ca="1" si="169"/>
        <v>6.25</v>
      </c>
      <c r="N5065" s="143">
        <f ca="1">(PRODUCT($O$5:$O5065)-1)*36000/_xlfn.DAYS(L5065, $C$2)</f>
        <v>11.201214328556102</v>
      </c>
      <c r="O5065" s="149">
        <f t="shared" ca="1" si="170"/>
        <v>1.000173611111111</v>
      </c>
    </row>
    <row r="5066" spans="12:15" x14ac:dyDescent="0.25">
      <c r="L5066" s="147">
        <f ca="1"/>
        <v>50305</v>
      </c>
      <c r="M5066" s="92">
        <f t="shared" ca="1" si="169"/>
        <v>6.25</v>
      </c>
      <c r="N5066" s="143">
        <f ca="1">(PRODUCT($O$5:$O5066)-1)*36000/_xlfn.DAYS(L5066, $C$2)</f>
        <v>11.202180485405075</v>
      </c>
      <c r="O5066" s="149">
        <f t="shared" ca="1" si="170"/>
        <v>1.000173611111111</v>
      </c>
    </row>
    <row r="5067" spans="12:15" x14ac:dyDescent="0.25">
      <c r="L5067" s="147">
        <f ca="1"/>
        <v>50306</v>
      </c>
      <c r="M5067" s="92">
        <f t="shared" ca="1" si="169"/>
        <v>6.25</v>
      </c>
      <c r="N5067" s="143">
        <f ca="1">(PRODUCT($O$5:$O5067)-1)*36000/_xlfn.DAYS(L5067, $C$2)</f>
        <v>11.203146812394078</v>
      </c>
      <c r="O5067" s="149">
        <f t="shared" ca="1" si="170"/>
        <v>1.000173611111111</v>
      </c>
    </row>
    <row r="5068" spans="12:15" x14ac:dyDescent="0.25">
      <c r="L5068" s="147">
        <f ca="1"/>
        <v>50307</v>
      </c>
      <c r="M5068" s="92">
        <f t="shared" ca="1" si="169"/>
        <v>6.25</v>
      </c>
      <c r="N5068" s="143">
        <f ca="1">(PRODUCT($O$5:$O5068)-1)*36000/_xlfn.DAYS(L5068, $C$2)</f>
        <v>11.204113309518103</v>
      </c>
      <c r="O5068" s="149">
        <f t="shared" ca="1" si="170"/>
        <v>1.000173611111111</v>
      </c>
    </row>
    <row r="5069" spans="12:15" x14ac:dyDescent="0.25">
      <c r="L5069" s="147">
        <f ca="1"/>
        <v>50308</v>
      </c>
      <c r="M5069" s="92">
        <f t="shared" ca="1" si="169"/>
        <v>6.25</v>
      </c>
      <c r="N5069" s="143">
        <f ca="1">(PRODUCT($O$5:$O5069)-1)*36000/_xlfn.DAYS(L5069, $C$2)</f>
        <v>11.205079976772154</v>
      </c>
      <c r="O5069" s="149">
        <f t="shared" ca="1" si="170"/>
        <v>1.000173611111111</v>
      </c>
    </row>
    <row r="5070" spans="12:15" x14ac:dyDescent="0.25">
      <c r="L5070" s="147">
        <f ca="1"/>
        <v>50309</v>
      </c>
      <c r="M5070" s="92">
        <f t="shared" ca="1" si="169"/>
        <v>6.25</v>
      </c>
      <c r="N5070" s="143">
        <f ca="1">(PRODUCT($O$5:$O5070)-1)*36000/_xlfn.DAYS(L5070, $C$2)</f>
        <v>11.206046814151255</v>
      </c>
      <c r="O5070" s="149">
        <f t="shared" ca="1" si="170"/>
        <v>1.000173611111111</v>
      </c>
    </row>
    <row r="5071" spans="12:15" x14ac:dyDescent="0.25">
      <c r="L5071" s="147">
        <f ca="1"/>
        <v>50310</v>
      </c>
      <c r="M5071" s="92">
        <f t="shared" ca="1" si="169"/>
        <v>6.25</v>
      </c>
      <c r="N5071" s="143">
        <f ca="1">(PRODUCT($O$5:$O5071)-1)*36000/_xlfn.DAYS(L5071, $C$2)</f>
        <v>11.207013821650449</v>
      </c>
      <c r="O5071" s="149">
        <f t="shared" ca="1" si="170"/>
        <v>1.000173611111111</v>
      </c>
    </row>
    <row r="5072" spans="12:15" x14ac:dyDescent="0.25">
      <c r="L5072" s="147">
        <f ca="1"/>
        <v>50311</v>
      </c>
      <c r="M5072" s="92">
        <f t="shared" ca="1" si="169"/>
        <v>6.25</v>
      </c>
      <c r="N5072" s="143">
        <f ca="1">(PRODUCT($O$5:$O5072)-1)*36000/_xlfn.DAYS(L5072, $C$2)</f>
        <v>11.207980999264809</v>
      </c>
      <c r="O5072" s="149">
        <f t="shared" ca="1" si="170"/>
        <v>1.000173611111111</v>
      </c>
    </row>
    <row r="5073" spans="12:15" x14ac:dyDescent="0.25">
      <c r="L5073" s="147">
        <f ca="1"/>
        <v>50312</v>
      </c>
      <c r="M5073" s="92">
        <f t="shared" ca="1" si="169"/>
        <v>6.25</v>
      </c>
      <c r="N5073" s="143">
        <f ca="1">(PRODUCT($O$5:$O5073)-1)*36000/_xlfn.DAYS(L5073, $C$2)</f>
        <v>11.208948346989422</v>
      </c>
      <c r="O5073" s="149">
        <f t="shared" ca="1" si="170"/>
        <v>1.000173611111111</v>
      </c>
    </row>
    <row r="5074" spans="12:15" x14ac:dyDescent="0.25">
      <c r="L5074" s="147">
        <f ca="1"/>
        <v>50313</v>
      </c>
      <c r="M5074" s="92">
        <f t="shared" ca="1" si="169"/>
        <v>6.25</v>
      </c>
      <c r="N5074" s="143">
        <f ca="1">(PRODUCT($O$5:$O5074)-1)*36000/_xlfn.DAYS(L5074, $C$2)</f>
        <v>11.209915864819392</v>
      </c>
      <c r="O5074" s="149">
        <f t="shared" ca="1" si="170"/>
        <v>1.000173611111111</v>
      </c>
    </row>
    <row r="5075" spans="12:15" x14ac:dyDescent="0.25">
      <c r="L5075" s="147">
        <f ca="1"/>
        <v>50314</v>
      </c>
      <c r="M5075" s="92">
        <f t="shared" ca="1" si="169"/>
        <v>6.25</v>
      </c>
      <c r="N5075" s="143">
        <f ca="1">(PRODUCT($O$5:$O5075)-1)*36000/_xlfn.DAYS(L5075, $C$2)</f>
        <v>11.210883552749848</v>
      </c>
      <c r="O5075" s="149">
        <f t="shared" ca="1" si="170"/>
        <v>1.000173611111111</v>
      </c>
    </row>
    <row r="5076" spans="12:15" x14ac:dyDescent="0.25">
      <c r="L5076" s="147">
        <f ca="1"/>
        <v>50315</v>
      </c>
      <c r="M5076" s="92">
        <f t="shared" ca="1" si="169"/>
        <v>6.25</v>
      </c>
      <c r="N5076" s="143">
        <f ca="1">(PRODUCT($O$5:$O5076)-1)*36000/_xlfn.DAYS(L5076, $C$2)</f>
        <v>11.211851410775942</v>
      </c>
      <c r="O5076" s="149">
        <f t="shared" ca="1" si="170"/>
        <v>1.000173611111111</v>
      </c>
    </row>
    <row r="5077" spans="12:15" x14ac:dyDescent="0.25">
      <c r="L5077" s="147">
        <f ca="1"/>
        <v>50316</v>
      </c>
      <c r="M5077" s="92">
        <f t="shared" ca="1" si="169"/>
        <v>6.25</v>
      </c>
      <c r="N5077" s="143">
        <f ca="1">(PRODUCT($O$5:$O5077)-1)*36000/_xlfn.DAYS(L5077, $C$2)</f>
        <v>11.212819438892843</v>
      </c>
      <c r="O5077" s="149">
        <f t="shared" ca="1" si="170"/>
        <v>1.000173611111111</v>
      </c>
    </row>
    <row r="5078" spans="12:15" x14ac:dyDescent="0.25">
      <c r="L5078" s="147">
        <f ca="1"/>
        <v>50317</v>
      </c>
      <c r="M5078" s="92">
        <f t="shared" ca="1" si="169"/>
        <v>6.25</v>
      </c>
      <c r="N5078" s="143">
        <f ca="1">(PRODUCT($O$5:$O5078)-1)*36000/_xlfn.DAYS(L5078, $C$2)</f>
        <v>11.213787637095741</v>
      </c>
      <c r="O5078" s="149">
        <f t="shared" ca="1" si="170"/>
        <v>1.000173611111111</v>
      </c>
    </row>
    <row r="5079" spans="12:15" x14ac:dyDescent="0.25">
      <c r="L5079" s="147">
        <f ca="1"/>
        <v>50318</v>
      </c>
      <c r="M5079" s="92">
        <f t="shared" ca="1" si="169"/>
        <v>6.25</v>
      </c>
      <c r="N5079" s="143">
        <f ca="1">(PRODUCT($O$5:$O5079)-1)*36000/_xlfn.DAYS(L5079, $C$2)</f>
        <v>11.214756005379844</v>
      </c>
      <c r="O5079" s="149">
        <f t="shared" ca="1" si="170"/>
        <v>1.000173611111111</v>
      </c>
    </row>
    <row r="5080" spans="12:15" x14ac:dyDescent="0.25">
      <c r="L5080" s="147">
        <f ca="1"/>
        <v>50319</v>
      </c>
      <c r="M5080" s="92">
        <f t="shared" ca="1" si="169"/>
        <v>6.25</v>
      </c>
      <c r="N5080" s="143">
        <f ca="1">(PRODUCT($O$5:$O5080)-1)*36000/_xlfn.DAYS(L5080, $C$2)</f>
        <v>11.215724543740384</v>
      </c>
      <c r="O5080" s="149">
        <f t="shared" ca="1" si="170"/>
        <v>1.000173611111111</v>
      </c>
    </row>
    <row r="5081" spans="12:15" x14ac:dyDescent="0.25">
      <c r="L5081" s="147">
        <f ca="1"/>
        <v>50320</v>
      </c>
      <c r="M5081" s="92">
        <f t="shared" ca="1" si="169"/>
        <v>6.25</v>
      </c>
      <c r="N5081" s="143">
        <f ca="1">(PRODUCT($O$5:$O5081)-1)*36000/_xlfn.DAYS(L5081, $C$2)</f>
        <v>11.216693252172615</v>
      </c>
      <c r="O5081" s="149">
        <f t="shared" ca="1" si="170"/>
        <v>1.000173611111111</v>
      </c>
    </row>
    <row r="5082" spans="12:15" x14ac:dyDescent="0.25">
      <c r="L5082" s="147">
        <f ca="1"/>
        <v>50321</v>
      </c>
      <c r="M5082" s="92">
        <f t="shared" ca="1" si="169"/>
        <v>6.25</v>
      </c>
      <c r="N5082" s="143">
        <f ca="1">(PRODUCT($O$5:$O5082)-1)*36000/_xlfn.DAYS(L5082, $C$2)</f>
        <v>11.217662130671799</v>
      </c>
      <c r="O5082" s="149">
        <f t="shared" ca="1" si="170"/>
        <v>1.000173611111111</v>
      </c>
    </row>
    <row r="5083" spans="12:15" x14ac:dyDescent="0.25">
      <c r="L5083" s="147">
        <f ca="1"/>
        <v>50322</v>
      </c>
      <c r="M5083" s="92">
        <f t="shared" ca="1" si="169"/>
        <v>6.25</v>
      </c>
      <c r="N5083" s="143">
        <f ca="1">(PRODUCT($O$5:$O5083)-1)*36000/_xlfn.DAYS(L5083, $C$2)</f>
        <v>11.218631179233238</v>
      </c>
      <c r="O5083" s="149">
        <f t="shared" ca="1" si="170"/>
        <v>1.000173611111111</v>
      </c>
    </row>
    <row r="5084" spans="12:15" x14ac:dyDescent="0.25">
      <c r="L5084" s="147">
        <f ca="1"/>
        <v>50323</v>
      </c>
      <c r="M5084" s="92">
        <f t="shared" ca="1" si="169"/>
        <v>6.25</v>
      </c>
      <c r="N5084" s="143">
        <f ca="1">(PRODUCT($O$5:$O5084)-1)*36000/_xlfn.DAYS(L5084, $C$2)</f>
        <v>11.219600397852243</v>
      </c>
      <c r="O5084" s="149">
        <f t="shared" ca="1" si="170"/>
        <v>1.000173611111111</v>
      </c>
    </row>
    <row r="5085" spans="12:15" x14ac:dyDescent="0.25">
      <c r="L5085" s="147">
        <f ca="1"/>
        <v>50324</v>
      </c>
      <c r="M5085" s="92">
        <f t="shared" ca="1" si="169"/>
        <v>6.25</v>
      </c>
      <c r="N5085" s="143">
        <f ca="1">(PRODUCT($O$5:$O5085)-1)*36000/_xlfn.DAYS(L5085, $C$2)</f>
        <v>11.220569786524139</v>
      </c>
      <c r="O5085" s="149">
        <f t="shared" ca="1" si="170"/>
        <v>1.000173611111111</v>
      </c>
    </row>
    <row r="5086" spans="12:15" x14ac:dyDescent="0.25">
      <c r="L5086" s="147">
        <f ca="1"/>
        <v>50325</v>
      </c>
      <c r="M5086" s="92">
        <f t="shared" ca="1" si="169"/>
        <v>6.25</v>
      </c>
      <c r="N5086" s="143">
        <f ca="1">(PRODUCT($O$5:$O5086)-1)*36000/_xlfn.DAYS(L5086, $C$2)</f>
        <v>11.221539345244285</v>
      </c>
      <c r="O5086" s="149">
        <f t="shared" ca="1" si="170"/>
        <v>1.000173611111111</v>
      </c>
    </row>
    <row r="5087" spans="12:15" x14ac:dyDescent="0.25">
      <c r="L5087" s="147">
        <f ca="1"/>
        <v>50326</v>
      </c>
      <c r="M5087" s="92">
        <f t="shared" ca="1" si="169"/>
        <v>6.25</v>
      </c>
      <c r="N5087" s="143">
        <f ca="1">(PRODUCT($O$5:$O5087)-1)*36000/_xlfn.DAYS(L5087, $C$2)</f>
        <v>11.222509074008052</v>
      </c>
      <c r="O5087" s="149">
        <f t="shared" ca="1" si="170"/>
        <v>1.000173611111111</v>
      </c>
    </row>
    <row r="5088" spans="12:15" x14ac:dyDescent="0.25">
      <c r="L5088" s="147">
        <f ca="1"/>
        <v>50327</v>
      </c>
      <c r="M5088" s="92">
        <f t="shared" ca="1" si="169"/>
        <v>6.25</v>
      </c>
      <c r="N5088" s="143">
        <f ca="1">(PRODUCT($O$5:$O5088)-1)*36000/_xlfn.DAYS(L5088, $C$2)</f>
        <v>11.223478972810833</v>
      </c>
      <c r="O5088" s="149">
        <f t="shared" ca="1" si="170"/>
        <v>1.000173611111111</v>
      </c>
    </row>
    <row r="5089" spans="12:15" x14ac:dyDescent="0.25">
      <c r="L5089" s="147">
        <f ca="1"/>
        <v>50328</v>
      </c>
      <c r="M5089" s="92">
        <f t="shared" ca="1" si="169"/>
        <v>6.25</v>
      </c>
      <c r="N5089" s="143">
        <f ca="1">(PRODUCT($O$5:$O5089)-1)*36000/_xlfn.DAYS(L5089, $C$2)</f>
        <v>11.224449041648041</v>
      </c>
      <c r="O5089" s="149">
        <f t="shared" ca="1" si="170"/>
        <v>1.000173611111111</v>
      </c>
    </row>
    <row r="5090" spans="12:15" x14ac:dyDescent="0.25">
      <c r="L5090" s="147">
        <f ca="1"/>
        <v>50329</v>
      </c>
      <c r="M5090" s="92">
        <f t="shared" ca="1" si="169"/>
        <v>6.25</v>
      </c>
      <c r="N5090" s="143">
        <f ca="1">(PRODUCT($O$5:$O5090)-1)*36000/_xlfn.DAYS(L5090, $C$2)</f>
        <v>11.225419280515112</v>
      </c>
      <c r="O5090" s="149">
        <f t="shared" ca="1" si="170"/>
        <v>1.000173611111111</v>
      </c>
    </row>
    <row r="5091" spans="12:15" x14ac:dyDescent="0.25">
      <c r="L5091" s="147">
        <f ca="1"/>
        <v>50330</v>
      </c>
      <c r="M5091" s="92">
        <f t="shared" ca="1" si="169"/>
        <v>6.25</v>
      </c>
      <c r="N5091" s="143">
        <f ca="1">(PRODUCT($O$5:$O5091)-1)*36000/_xlfn.DAYS(L5091, $C$2)</f>
        <v>11.226389689407497</v>
      </c>
      <c r="O5091" s="149">
        <f t="shared" ca="1" si="170"/>
        <v>1.000173611111111</v>
      </c>
    </row>
    <row r="5092" spans="12:15" x14ac:dyDescent="0.25">
      <c r="L5092" s="147">
        <f ca="1"/>
        <v>50331</v>
      </c>
      <c r="M5092" s="92">
        <f t="shared" ca="1" si="169"/>
        <v>6.25</v>
      </c>
      <c r="N5092" s="143">
        <f ca="1">(PRODUCT($O$5:$O5092)-1)*36000/_xlfn.DAYS(L5092, $C$2)</f>
        <v>11.227360268320675</v>
      </c>
      <c r="O5092" s="149">
        <f t="shared" ca="1" si="170"/>
        <v>1.000173611111111</v>
      </c>
    </row>
    <row r="5093" spans="12:15" x14ac:dyDescent="0.25">
      <c r="L5093" s="147">
        <f ca="1"/>
        <v>50332</v>
      </c>
      <c r="M5093" s="92">
        <f t="shared" ca="1" si="169"/>
        <v>6.25</v>
      </c>
      <c r="N5093" s="143">
        <f ca="1">(PRODUCT($O$5:$O5093)-1)*36000/_xlfn.DAYS(L5093, $C$2)</f>
        <v>11.228331017250133</v>
      </c>
      <c r="O5093" s="149">
        <f t="shared" ca="1" si="170"/>
        <v>1.000173611111111</v>
      </c>
    </row>
    <row r="5094" spans="12:15" x14ac:dyDescent="0.25">
      <c r="L5094" s="147">
        <f ca="1"/>
        <v>50333</v>
      </c>
      <c r="M5094" s="92">
        <f t="shared" ca="1" si="169"/>
        <v>6.25</v>
      </c>
      <c r="N5094" s="143">
        <f ca="1">(PRODUCT($O$5:$O5094)-1)*36000/_xlfn.DAYS(L5094, $C$2)</f>
        <v>11.229301936191391</v>
      </c>
      <c r="O5094" s="149">
        <f t="shared" ca="1" si="170"/>
        <v>1.000173611111111</v>
      </c>
    </row>
    <row r="5095" spans="12:15" x14ac:dyDescent="0.25">
      <c r="L5095" s="147">
        <f ca="1"/>
        <v>50334</v>
      </c>
      <c r="M5095" s="92">
        <f t="shared" ca="1" si="169"/>
        <v>6.25</v>
      </c>
      <c r="N5095" s="143">
        <f ca="1">(PRODUCT($O$5:$O5095)-1)*36000/_xlfn.DAYS(L5095, $C$2)</f>
        <v>11.230273025139981</v>
      </c>
      <c r="O5095" s="149">
        <f t="shared" ca="1" si="170"/>
        <v>1.000173611111111</v>
      </c>
    </row>
    <row r="5096" spans="12:15" x14ac:dyDescent="0.25">
      <c r="L5096" s="147">
        <f ca="1"/>
        <v>50335</v>
      </c>
      <c r="M5096" s="92">
        <f t="shared" ca="1" si="169"/>
        <v>6.25</v>
      </c>
      <c r="N5096" s="143">
        <f ca="1">(PRODUCT($O$5:$O5096)-1)*36000/_xlfn.DAYS(L5096, $C$2)</f>
        <v>11.231244284091458</v>
      </c>
      <c r="O5096" s="149">
        <f t="shared" ca="1" si="170"/>
        <v>1.000173611111111</v>
      </c>
    </row>
    <row r="5097" spans="12:15" x14ac:dyDescent="0.25">
      <c r="L5097" s="147">
        <f ca="1"/>
        <v>50336</v>
      </c>
      <c r="M5097" s="92">
        <f t="shared" ca="1" si="169"/>
        <v>6.25</v>
      </c>
      <c r="N5097" s="143">
        <f ca="1">(PRODUCT($O$5:$O5097)-1)*36000/_xlfn.DAYS(L5097, $C$2)</f>
        <v>11.232215713041398</v>
      </c>
      <c r="O5097" s="149">
        <f t="shared" ca="1" si="170"/>
        <v>1.000173611111111</v>
      </c>
    </row>
    <row r="5098" spans="12:15" x14ac:dyDescent="0.25">
      <c r="L5098" s="147">
        <f ca="1"/>
        <v>50337</v>
      </c>
      <c r="M5098" s="92">
        <f t="shared" ca="1" si="169"/>
        <v>6.25</v>
      </c>
      <c r="N5098" s="143">
        <f ca="1">(PRODUCT($O$5:$O5098)-1)*36000/_xlfn.DAYS(L5098, $C$2)</f>
        <v>11.233187311985395</v>
      </c>
      <c r="O5098" s="149">
        <f t="shared" ca="1" si="170"/>
        <v>1.000173611111111</v>
      </c>
    </row>
    <row r="5099" spans="12:15" x14ac:dyDescent="0.25">
      <c r="L5099" s="147">
        <f ca="1"/>
        <v>50338</v>
      </c>
      <c r="M5099" s="92">
        <f t="shared" ca="1" si="169"/>
        <v>6.25</v>
      </c>
      <c r="N5099" s="143">
        <f ca="1">(PRODUCT($O$5:$O5099)-1)*36000/_xlfn.DAYS(L5099, $C$2)</f>
        <v>11.234159080919063</v>
      </c>
      <c r="O5099" s="149">
        <f t="shared" ca="1" si="170"/>
        <v>1.000173611111111</v>
      </c>
    </row>
    <row r="5100" spans="12:15" x14ac:dyDescent="0.25">
      <c r="L5100" s="147">
        <f ca="1"/>
        <v>50339</v>
      </c>
      <c r="M5100" s="92">
        <f t="shared" ca="1" si="169"/>
        <v>6.25</v>
      </c>
      <c r="N5100" s="143">
        <f ca="1">(PRODUCT($O$5:$O5100)-1)*36000/_xlfn.DAYS(L5100, $C$2)</f>
        <v>11.235131019838041</v>
      </c>
      <c r="O5100" s="149">
        <f t="shared" ca="1" si="170"/>
        <v>1.000173611111111</v>
      </c>
    </row>
    <row r="5101" spans="12:15" x14ac:dyDescent="0.25">
      <c r="L5101" s="147">
        <f ca="1"/>
        <v>50340</v>
      </c>
      <c r="M5101" s="92">
        <f t="shared" ca="1" si="169"/>
        <v>6.25</v>
      </c>
      <c r="N5101" s="143">
        <f ca="1">(PRODUCT($O$5:$O5101)-1)*36000/_xlfn.DAYS(L5101, $C$2)</f>
        <v>11.23610312873798</v>
      </c>
      <c r="O5101" s="149">
        <f t="shared" ca="1" si="170"/>
        <v>1.000173611111111</v>
      </c>
    </row>
    <row r="5102" spans="12:15" x14ac:dyDescent="0.25">
      <c r="L5102" s="147">
        <f ca="1"/>
        <v>50341</v>
      </c>
      <c r="M5102" s="92">
        <f t="shared" ca="1" si="169"/>
        <v>6.25</v>
      </c>
      <c r="N5102" s="143">
        <f ca="1">(PRODUCT($O$5:$O5102)-1)*36000/_xlfn.DAYS(L5102, $C$2)</f>
        <v>11.237075407614556</v>
      </c>
      <c r="O5102" s="149">
        <f t="shared" ca="1" si="170"/>
        <v>1.000173611111111</v>
      </c>
    </row>
    <row r="5103" spans="12:15" x14ac:dyDescent="0.25">
      <c r="L5103" s="147">
        <f ca="1"/>
        <v>50342</v>
      </c>
      <c r="M5103" s="92">
        <f t="shared" ca="1" si="169"/>
        <v>6.25</v>
      </c>
      <c r="N5103" s="143">
        <f ca="1">(PRODUCT($O$5:$O5103)-1)*36000/_xlfn.DAYS(L5103, $C$2)</f>
        <v>11.23804785646346</v>
      </c>
      <c r="O5103" s="149">
        <f t="shared" ca="1" si="170"/>
        <v>1.000173611111111</v>
      </c>
    </row>
    <row r="5104" spans="12:15" x14ac:dyDescent="0.25">
      <c r="L5104" s="147">
        <f ca="1"/>
        <v>50343</v>
      </c>
      <c r="M5104" s="92">
        <f t="shared" ca="1" si="169"/>
        <v>6.25</v>
      </c>
      <c r="N5104" s="143">
        <f ca="1">(PRODUCT($O$5:$O5104)-1)*36000/_xlfn.DAYS(L5104, $C$2)</f>
        <v>11.239020475280416</v>
      </c>
      <c r="O5104" s="149">
        <f t="shared" ca="1" si="170"/>
        <v>1.000173611111111</v>
      </c>
    </row>
    <row r="5105" spans="12:15" x14ac:dyDescent="0.25">
      <c r="L5105" s="147">
        <f ca="1"/>
        <v>50344</v>
      </c>
      <c r="M5105" s="92">
        <f t="shared" ca="1" si="169"/>
        <v>6.25</v>
      </c>
      <c r="N5105" s="143">
        <f ca="1">(PRODUCT($O$5:$O5105)-1)*36000/_xlfn.DAYS(L5105, $C$2)</f>
        <v>11.239993264061152</v>
      </c>
      <c r="O5105" s="149">
        <f t="shared" ca="1" si="170"/>
        <v>1.000173611111111</v>
      </c>
    </row>
    <row r="5106" spans="12:15" x14ac:dyDescent="0.25">
      <c r="L5106" s="147">
        <f ca="1"/>
        <v>50345</v>
      </c>
      <c r="M5106" s="92">
        <f t="shared" ca="1" si="169"/>
        <v>6.25</v>
      </c>
      <c r="N5106" s="143">
        <f ca="1">(PRODUCT($O$5:$O5106)-1)*36000/_xlfn.DAYS(L5106, $C$2)</f>
        <v>11.240966222801427</v>
      </c>
      <c r="O5106" s="149">
        <f t="shared" ca="1" si="170"/>
        <v>1.000173611111111</v>
      </c>
    </row>
    <row r="5107" spans="12:15" x14ac:dyDescent="0.25">
      <c r="L5107" s="147">
        <f ca="1"/>
        <v>50346</v>
      </c>
      <c r="M5107" s="92">
        <f t="shared" ca="1" si="169"/>
        <v>6.25</v>
      </c>
      <c r="N5107" s="143">
        <f ca="1">(PRODUCT($O$5:$O5107)-1)*36000/_xlfn.DAYS(L5107, $C$2)</f>
        <v>11.24193935149701</v>
      </c>
      <c r="O5107" s="149">
        <f t="shared" ca="1" si="170"/>
        <v>1.000173611111111</v>
      </c>
    </row>
    <row r="5108" spans="12:15" x14ac:dyDescent="0.25">
      <c r="L5108" s="147">
        <f ca="1"/>
        <v>50347</v>
      </c>
      <c r="M5108" s="92">
        <f t="shared" ca="1" si="169"/>
        <v>6.25</v>
      </c>
      <c r="N5108" s="143">
        <f ca="1">(PRODUCT($O$5:$O5108)-1)*36000/_xlfn.DAYS(L5108, $C$2)</f>
        <v>11.242912650143703</v>
      </c>
      <c r="O5108" s="149">
        <f t="shared" ca="1" si="170"/>
        <v>1.000173611111111</v>
      </c>
    </row>
    <row r="5109" spans="12:15" x14ac:dyDescent="0.25">
      <c r="L5109" s="147">
        <f ca="1"/>
        <v>50348</v>
      </c>
      <c r="M5109" s="92">
        <f t="shared" ca="1" si="169"/>
        <v>6.25</v>
      </c>
      <c r="N5109" s="143">
        <f ca="1">(PRODUCT($O$5:$O5109)-1)*36000/_xlfn.DAYS(L5109, $C$2)</f>
        <v>11.243886118737315</v>
      </c>
      <c r="O5109" s="149">
        <f t="shared" ca="1" si="170"/>
        <v>1.000173611111111</v>
      </c>
    </row>
    <row r="5110" spans="12:15" x14ac:dyDescent="0.25">
      <c r="L5110" s="147">
        <f ca="1"/>
        <v>50349</v>
      </c>
      <c r="M5110" s="92">
        <f t="shared" ca="1" si="169"/>
        <v>6.25</v>
      </c>
      <c r="N5110" s="143">
        <f ca="1">(PRODUCT($O$5:$O5110)-1)*36000/_xlfn.DAYS(L5110, $C$2)</f>
        <v>11.244859757273682</v>
      </c>
      <c r="O5110" s="149">
        <f t="shared" ca="1" si="170"/>
        <v>1.000173611111111</v>
      </c>
    </row>
    <row r="5111" spans="12:15" x14ac:dyDescent="0.25">
      <c r="L5111" s="147">
        <f ca="1"/>
        <v>50350</v>
      </c>
      <c r="M5111" s="92">
        <f t="shared" ca="1" si="169"/>
        <v>6.25</v>
      </c>
      <c r="N5111" s="143">
        <f ca="1">(PRODUCT($O$5:$O5111)-1)*36000/_xlfn.DAYS(L5111, $C$2)</f>
        <v>11.245833565748663</v>
      </c>
      <c r="O5111" s="149">
        <f t="shared" ca="1" si="170"/>
        <v>1.000173611111111</v>
      </c>
    </row>
    <row r="5112" spans="12:15" x14ac:dyDescent="0.25">
      <c r="L5112" s="147">
        <f ca="1"/>
        <v>50351</v>
      </c>
      <c r="M5112" s="92">
        <f t="shared" ca="1" si="169"/>
        <v>6.25</v>
      </c>
      <c r="N5112" s="143">
        <f ca="1">(PRODUCT($O$5:$O5112)-1)*36000/_xlfn.DAYS(L5112, $C$2)</f>
        <v>11.246807544158127</v>
      </c>
      <c r="O5112" s="149">
        <f t="shared" ca="1" si="170"/>
        <v>1.000173611111111</v>
      </c>
    </row>
    <row r="5113" spans="12:15" x14ac:dyDescent="0.25">
      <c r="L5113" s="147">
        <f ca="1"/>
        <v>50352</v>
      </c>
      <c r="M5113" s="92">
        <f t="shared" ca="1" si="169"/>
        <v>6.25</v>
      </c>
      <c r="N5113" s="143">
        <f ca="1">(PRODUCT($O$5:$O5113)-1)*36000/_xlfn.DAYS(L5113, $C$2)</f>
        <v>11.24778169249797</v>
      </c>
      <c r="O5113" s="149">
        <f t="shared" ca="1" si="170"/>
        <v>1.000173611111111</v>
      </c>
    </row>
    <row r="5114" spans="12:15" x14ac:dyDescent="0.25">
      <c r="L5114" s="147">
        <f ca="1"/>
        <v>50353</v>
      </c>
      <c r="M5114" s="92">
        <f t="shared" ca="1" si="169"/>
        <v>6.25</v>
      </c>
      <c r="N5114" s="143">
        <f ca="1">(PRODUCT($O$5:$O5114)-1)*36000/_xlfn.DAYS(L5114, $C$2)</f>
        <v>11.248756010764106</v>
      </c>
      <c r="O5114" s="149">
        <f t="shared" ca="1" si="170"/>
        <v>1.000173611111111</v>
      </c>
    </row>
    <row r="5115" spans="12:15" x14ac:dyDescent="0.25">
      <c r="L5115" s="147">
        <f ca="1"/>
        <v>50354</v>
      </c>
      <c r="M5115" s="92">
        <f t="shared" ca="1" si="169"/>
        <v>6.25</v>
      </c>
      <c r="N5115" s="143">
        <f ca="1">(PRODUCT($O$5:$O5115)-1)*36000/_xlfn.DAYS(L5115, $C$2)</f>
        <v>11.249730498952466</v>
      </c>
      <c r="O5115" s="149">
        <f t="shared" ca="1" si="170"/>
        <v>1.000173611111111</v>
      </c>
    </row>
    <row r="5116" spans="12:15" x14ac:dyDescent="0.25">
      <c r="L5116" s="147">
        <f ca="1"/>
        <v>50355</v>
      </c>
      <c r="M5116" s="92">
        <f t="shared" ca="1" si="169"/>
        <v>6.25</v>
      </c>
      <c r="N5116" s="143">
        <f ca="1">(PRODUCT($O$5:$O5116)-1)*36000/_xlfn.DAYS(L5116, $C$2)</f>
        <v>11.250705157059011</v>
      </c>
      <c r="O5116" s="149">
        <f t="shared" ca="1" si="170"/>
        <v>1.000173611111111</v>
      </c>
    </row>
    <row r="5117" spans="12:15" x14ac:dyDescent="0.25">
      <c r="L5117" s="147">
        <f ca="1"/>
        <v>50356</v>
      </c>
      <c r="M5117" s="92">
        <f t="shared" ca="1" si="169"/>
        <v>6.25</v>
      </c>
      <c r="N5117" s="143">
        <f ca="1">(PRODUCT($O$5:$O5117)-1)*36000/_xlfn.DAYS(L5117, $C$2)</f>
        <v>11.25167998507971</v>
      </c>
      <c r="O5117" s="149">
        <f t="shared" ca="1" si="170"/>
        <v>1.000173611111111</v>
      </c>
    </row>
    <row r="5118" spans="12:15" x14ac:dyDescent="0.25">
      <c r="L5118" s="147">
        <f ca="1"/>
        <v>50357</v>
      </c>
      <c r="M5118" s="92">
        <f t="shared" ca="1" si="169"/>
        <v>6.25</v>
      </c>
      <c r="N5118" s="143">
        <f ca="1">(PRODUCT($O$5:$O5118)-1)*36000/_xlfn.DAYS(L5118, $C$2)</f>
        <v>11.252654983010553</v>
      </c>
      <c r="O5118" s="149">
        <f t="shared" ca="1" si="170"/>
        <v>1.000173611111111</v>
      </c>
    </row>
    <row r="5119" spans="12:15" x14ac:dyDescent="0.25">
      <c r="L5119" s="147">
        <f ca="1"/>
        <v>50358</v>
      </c>
      <c r="M5119" s="92">
        <f t="shared" ca="1" si="169"/>
        <v>6.25</v>
      </c>
      <c r="N5119" s="143">
        <f ca="1">(PRODUCT($O$5:$O5119)-1)*36000/_xlfn.DAYS(L5119, $C$2)</f>
        <v>11.253630150847556</v>
      </c>
      <c r="O5119" s="149">
        <f t="shared" ca="1" si="170"/>
        <v>1.000173611111111</v>
      </c>
    </row>
    <row r="5120" spans="12:15" x14ac:dyDescent="0.25">
      <c r="L5120" s="147">
        <f ca="1"/>
        <v>50359</v>
      </c>
      <c r="M5120" s="92">
        <f t="shared" ca="1" si="169"/>
        <v>6.25</v>
      </c>
      <c r="N5120" s="143">
        <f ca="1">(PRODUCT($O$5:$O5120)-1)*36000/_xlfn.DAYS(L5120, $C$2)</f>
        <v>11.254605488586751</v>
      </c>
      <c r="O5120" s="149">
        <f t="shared" ca="1" si="170"/>
        <v>1.000173611111111</v>
      </c>
    </row>
    <row r="5121" spans="12:15" x14ac:dyDescent="0.25">
      <c r="L5121" s="147">
        <f ca="1"/>
        <v>50360</v>
      </c>
      <c r="M5121" s="92">
        <f t="shared" ca="1" si="169"/>
        <v>6.25</v>
      </c>
      <c r="N5121" s="143">
        <f ca="1">(PRODUCT($O$5:$O5121)-1)*36000/_xlfn.DAYS(L5121, $C$2)</f>
        <v>11.255580996224191</v>
      </c>
      <c r="O5121" s="149">
        <f t="shared" ca="1" si="170"/>
        <v>1.000173611111111</v>
      </c>
    </row>
    <row r="5122" spans="12:15" x14ac:dyDescent="0.25">
      <c r="L5122" s="147">
        <f ca="1"/>
        <v>50361</v>
      </c>
      <c r="M5122" s="92">
        <f t="shared" ca="1" si="169"/>
        <v>6.25</v>
      </c>
      <c r="N5122" s="143">
        <f ca="1">(PRODUCT($O$5:$O5122)-1)*36000/_xlfn.DAYS(L5122, $C$2)</f>
        <v>11.256556673755947</v>
      </c>
      <c r="O5122" s="149">
        <f t="shared" ca="1" si="170"/>
        <v>1.000173611111111</v>
      </c>
    </row>
    <row r="5123" spans="12:15" x14ac:dyDescent="0.25">
      <c r="L5123" s="147">
        <f ca="1"/>
        <v>50362</v>
      </c>
      <c r="M5123" s="92">
        <f t="shared" ca="1" si="169"/>
        <v>6.25</v>
      </c>
      <c r="N5123" s="143">
        <f ca="1">(PRODUCT($O$5:$O5123)-1)*36000/_xlfn.DAYS(L5123, $C$2)</f>
        <v>11.257532521178115</v>
      </c>
      <c r="O5123" s="149">
        <f t="shared" ca="1" si="170"/>
        <v>1.000173611111111</v>
      </c>
    </row>
    <row r="5124" spans="12:15" x14ac:dyDescent="0.25">
      <c r="L5124" s="147">
        <f ca="1"/>
        <v>50363</v>
      </c>
      <c r="M5124" s="92">
        <f t="shared" ca="1" si="169"/>
        <v>6.25</v>
      </c>
      <c r="N5124" s="143">
        <f ca="1">(PRODUCT($O$5:$O5124)-1)*36000/_xlfn.DAYS(L5124, $C$2)</f>
        <v>11.258508538486799</v>
      </c>
      <c r="O5124" s="149">
        <f t="shared" ca="1" si="170"/>
        <v>1.000173611111111</v>
      </c>
    </row>
    <row r="5125" spans="12:15" x14ac:dyDescent="0.25">
      <c r="L5125" s="147">
        <f ca="1"/>
        <v>50364</v>
      </c>
      <c r="M5125" s="92">
        <f t="shared" ref="M5125:M5188" ca="1" si="171">IFERROR(INDEX($E$27:$H$47, MATCH(L5125, $F$27:$F$47, 0), 4), IF(ISNUMBER(M5124), M5124, $C$5))</f>
        <v>6.25</v>
      </c>
      <c r="N5125" s="143">
        <f ca="1">(PRODUCT($O$5:$O5125)-1)*36000/_xlfn.DAYS(L5125, $C$2)</f>
        <v>11.259484725678135</v>
      </c>
      <c r="O5125" s="149">
        <f t="shared" ca="1" si="170"/>
        <v>1.000173611111111</v>
      </c>
    </row>
    <row r="5126" spans="12:15" x14ac:dyDescent="0.25">
      <c r="L5126" s="147">
        <f ca="1"/>
        <v>50365</v>
      </c>
      <c r="M5126" s="92">
        <f t="shared" ca="1" si="171"/>
        <v>6.25</v>
      </c>
      <c r="N5126" s="143">
        <f ca="1">(PRODUCT($O$5:$O5126)-1)*36000/_xlfn.DAYS(L5126, $C$2)</f>
        <v>11.260461082748272</v>
      </c>
      <c r="O5126" s="149">
        <f t="shared" ref="O5126:O5189" ca="1" si="172">1+M5126*IFERROR(_xlfn.DAYS(L5126, L5125), _xlfn.DAYS(L5126, $C$2))/36000</f>
        <v>1.000173611111111</v>
      </c>
    </row>
    <row r="5127" spans="12:15" x14ac:dyDescent="0.25">
      <c r="L5127" s="147">
        <f ca="1"/>
        <v>50366</v>
      </c>
      <c r="M5127" s="92">
        <f t="shared" ca="1" si="171"/>
        <v>6.25</v>
      </c>
      <c r="N5127" s="143">
        <f ca="1">(PRODUCT($O$5:$O5127)-1)*36000/_xlfn.DAYS(L5127, $C$2)</f>
        <v>11.261437609693379</v>
      </c>
      <c r="O5127" s="149">
        <f t="shared" ca="1" si="172"/>
        <v>1.000173611111111</v>
      </c>
    </row>
    <row r="5128" spans="12:15" x14ac:dyDescent="0.25">
      <c r="L5128" s="147">
        <f ca="1"/>
        <v>50367</v>
      </c>
      <c r="M5128" s="92">
        <f t="shared" ca="1" si="171"/>
        <v>6.25</v>
      </c>
      <c r="N5128" s="143">
        <f ca="1">(PRODUCT($O$5:$O5128)-1)*36000/_xlfn.DAYS(L5128, $C$2)</f>
        <v>11.262414306509646</v>
      </c>
      <c r="O5128" s="149">
        <f t="shared" ca="1" si="172"/>
        <v>1.000173611111111</v>
      </c>
    </row>
    <row r="5129" spans="12:15" x14ac:dyDescent="0.25">
      <c r="L5129" s="147">
        <f ca="1"/>
        <v>50368</v>
      </c>
      <c r="M5129" s="92">
        <f t="shared" ca="1" si="171"/>
        <v>6.25</v>
      </c>
      <c r="N5129" s="143">
        <f ca="1">(PRODUCT($O$5:$O5129)-1)*36000/_xlfn.DAYS(L5129, $C$2)</f>
        <v>11.263391173193286</v>
      </c>
      <c r="O5129" s="149">
        <f t="shared" ca="1" si="172"/>
        <v>1.000173611111111</v>
      </c>
    </row>
    <row r="5130" spans="12:15" x14ac:dyDescent="0.25">
      <c r="L5130" s="147">
        <f ca="1"/>
        <v>50369</v>
      </c>
      <c r="M5130" s="92">
        <f t="shared" ca="1" si="171"/>
        <v>6.25</v>
      </c>
      <c r="N5130" s="143">
        <f ca="1">(PRODUCT($O$5:$O5130)-1)*36000/_xlfn.DAYS(L5130, $C$2)</f>
        <v>11.264368209740523</v>
      </c>
      <c r="O5130" s="149">
        <f t="shared" ca="1" si="172"/>
        <v>1.000173611111111</v>
      </c>
    </row>
    <row r="5131" spans="12:15" x14ac:dyDescent="0.25">
      <c r="L5131" s="147">
        <f ca="1"/>
        <v>50370</v>
      </c>
      <c r="M5131" s="92">
        <f t="shared" ca="1" si="171"/>
        <v>6.25</v>
      </c>
      <c r="N5131" s="143">
        <f ca="1">(PRODUCT($O$5:$O5131)-1)*36000/_xlfn.DAYS(L5131, $C$2)</f>
        <v>11.265345416147611</v>
      </c>
      <c r="O5131" s="149">
        <f t="shared" ca="1" si="172"/>
        <v>1.000173611111111</v>
      </c>
    </row>
    <row r="5132" spans="12:15" x14ac:dyDescent="0.25">
      <c r="L5132" s="147">
        <f ca="1"/>
        <v>50371</v>
      </c>
      <c r="M5132" s="92">
        <f t="shared" ca="1" si="171"/>
        <v>6.25</v>
      </c>
      <c r="N5132" s="143">
        <f ca="1">(PRODUCT($O$5:$O5132)-1)*36000/_xlfn.DAYS(L5132, $C$2)</f>
        <v>11.266322792410811</v>
      </c>
      <c r="O5132" s="149">
        <f t="shared" ca="1" si="172"/>
        <v>1.000173611111111</v>
      </c>
    </row>
    <row r="5133" spans="12:15" x14ac:dyDescent="0.25">
      <c r="L5133" s="147">
        <f ca="1"/>
        <v>50372</v>
      </c>
      <c r="M5133" s="92">
        <f t="shared" ca="1" si="171"/>
        <v>6.25</v>
      </c>
      <c r="N5133" s="143">
        <f ca="1">(PRODUCT($O$5:$O5133)-1)*36000/_xlfn.DAYS(L5133, $C$2)</f>
        <v>11.267300338526416</v>
      </c>
      <c r="O5133" s="149">
        <f t="shared" ca="1" si="172"/>
        <v>1.000173611111111</v>
      </c>
    </row>
    <row r="5134" spans="12:15" x14ac:dyDescent="0.25">
      <c r="L5134" s="147">
        <f ca="1"/>
        <v>50373</v>
      </c>
      <c r="M5134" s="92">
        <f t="shared" ca="1" si="171"/>
        <v>6.25</v>
      </c>
      <c r="N5134" s="143">
        <f ca="1">(PRODUCT($O$5:$O5134)-1)*36000/_xlfn.DAYS(L5134, $C$2)</f>
        <v>11.268278054490732</v>
      </c>
      <c r="O5134" s="149">
        <f t="shared" ca="1" si="172"/>
        <v>1.000173611111111</v>
      </c>
    </row>
    <row r="5135" spans="12:15" x14ac:dyDescent="0.25">
      <c r="L5135" s="147">
        <f ca="1"/>
        <v>50374</v>
      </c>
      <c r="M5135" s="92">
        <f t="shared" ca="1" si="171"/>
        <v>6.25</v>
      </c>
      <c r="N5135" s="143">
        <f ca="1">(PRODUCT($O$5:$O5135)-1)*36000/_xlfn.DAYS(L5135, $C$2)</f>
        <v>11.269255940300081</v>
      </c>
      <c r="O5135" s="149">
        <f t="shared" ca="1" si="172"/>
        <v>1.000173611111111</v>
      </c>
    </row>
    <row r="5136" spans="12:15" x14ac:dyDescent="0.25">
      <c r="L5136" s="147">
        <f ca="1"/>
        <v>50375</v>
      </c>
      <c r="M5136" s="92">
        <f t="shared" ca="1" si="171"/>
        <v>6.25</v>
      </c>
      <c r="N5136" s="143">
        <f ca="1">(PRODUCT($O$5:$O5136)-1)*36000/_xlfn.DAYS(L5136, $C$2)</f>
        <v>11.270233995950814</v>
      </c>
      <c r="O5136" s="149">
        <f t="shared" ca="1" si="172"/>
        <v>1.000173611111111</v>
      </c>
    </row>
    <row r="5137" spans="12:15" x14ac:dyDescent="0.25">
      <c r="L5137" s="147">
        <f ca="1"/>
        <v>50376</v>
      </c>
      <c r="M5137" s="92">
        <f t="shared" ca="1" si="171"/>
        <v>6.25</v>
      </c>
      <c r="N5137" s="143">
        <f ca="1">(PRODUCT($O$5:$O5137)-1)*36000/_xlfn.DAYS(L5137, $C$2)</f>
        <v>11.271212221439296</v>
      </c>
      <c r="O5137" s="149">
        <f t="shared" ca="1" si="172"/>
        <v>1.000173611111111</v>
      </c>
    </row>
    <row r="5138" spans="12:15" x14ac:dyDescent="0.25">
      <c r="L5138" s="147">
        <f ca="1"/>
        <v>50377</v>
      </c>
      <c r="M5138" s="92">
        <f t="shared" ca="1" si="171"/>
        <v>6.25</v>
      </c>
      <c r="N5138" s="143">
        <f ca="1">(PRODUCT($O$5:$O5138)-1)*36000/_xlfn.DAYS(L5138, $C$2)</f>
        <v>11.272190616761913</v>
      </c>
      <c r="O5138" s="149">
        <f t="shared" ca="1" si="172"/>
        <v>1.000173611111111</v>
      </c>
    </row>
    <row r="5139" spans="12:15" x14ac:dyDescent="0.25">
      <c r="L5139" s="147">
        <f ca="1"/>
        <v>50378</v>
      </c>
      <c r="M5139" s="92">
        <f t="shared" ca="1" si="171"/>
        <v>6.25</v>
      </c>
      <c r="N5139" s="143">
        <f ca="1">(PRODUCT($O$5:$O5139)-1)*36000/_xlfn.DAYS(L5139, $C$2)</f>
        <v>11.273169181915064</v>
      </c>
      <c r="O5139" s="149">
        <f t="shared" ca="1" si="172"/>
        <v>1.000173611111111</v>
      </c>
    </row>
    <row r="5140" spans="12:15" x14ac:dyDescent="0.25">
      <c r="L5140" s="147">
        <f ca="1"/>
        <v>50379</v>
      </c>
      <c r="M5140" s="92">
        <f t="shared" ca="1" si="171"/>
        <v>6.25</v>
      </c>
      <c r="N5140" s="143">
        <f ca="1">(PRODUCT($O$5:$O5140)-1)*36000/_xlfn.DAYS(L5140, $C$2)</f>
        <v>11.274147916895178</v>
      </c>
      <c r="O5140" s="149">
        <f t="shared" ca="1" si="172"/>
        <v>1.000173611111111</v>
      </c>
    </row>
    <row r="5141" spans="12:15" x14ac:dyDescent="0.25">
      <c r="L5141" s="147">
        <f ca="1"/>
        <v>50380</v>
      </c>
      <c r="M5141" s="92">
        <f t="shared" ca="1" si="171"/>
        <v>6.25</v>
      </c>
      <c r="N5141" s="143">
        <f ca="1">(PRODUCT($O$5:$O5141)-1)*36000/_xlfn.DAYS(L5141, $C$2)</f>
        <v>11.275126821698693</v>
      </c>
      <c r="O5141" s="149">
        <f t="shared" ca="1" si="172"/>
        <v>1.000173611111111</v>
      </c>
    </row>
    <row r="5142" spans="12:15" x14ac:dyDescent="0.25">
      <c r="L5142" s="147">
        <f ca="1"/>
        <v>50381</v>
      </c>
      <c r="M5142" s="92">
        <f t="shared" ca="1" si="171"/>
        <v>6.25</v>
      </c>
      <c r="N5142" s="143">
        <f ca="1">(PRODUCT($O$5:$O5142)-1)*36000/_xlfn.DAYS(L5142, $C$2)</f>
        <v>11.276105896322074</v>
      </c>
      <c r="O5142" s="149">
        <f t="shared" ca="1" si="172"/>
        <v>1.000173611111111</v>
      </c>
    </row>
    <row r="5143" spans="12:15" x14ac:dyDescent="0.25">
      <c r="L5143" s="147">
        <f ca="1"/>
        <v>50382</v>
      </c>
      <c r="M5143" s="92">
        <f t="shared" ca="1" si="171"/>
        <v>6.25</v>
      </c>
      <c r="N5143" s="143">
        <f ca="1">(PRODUCT($O$5:$O5143)-1)*36000/_xlfn.DAYS(L5143, $C$2)</f>
        <v>11.277085140761805</v>
      </c>
      <c r="O5143" s="149">
        <f t="shared" ca="1" si="172"/>
        <v>1.000173611111111</v>
      </c>
    </row>
    <row r="5144" spans="12:15" x14ac:dyDescent="0.25">
      <c r="L5144" s="147">
        <f ca="1"/>
        <v>50383</v>
      </c>
      <c r="M5144" s="92">
        <f t="shared" ca="1" si="171"/>
        <v>6.25</v>
      </c>
      <c r="N5144" s="143">
        <f ca="1">(PRODUCT($O$5:$O5144)-1)*36000/_xlfn.DAYS(L5144, $C$2)</f>
        <v>11.278064555014385</v>
      </c>
      <c r="O5144" s="149">
        <f t="shared" ca="1" si="172"/>
        <v>1.000173611111111</v>
      </c>
    </row>
    <row r="5145" spans="12:15" x14ac:dyDescent="0.25">
      <c r="L5145" s="147">
        <f ca="1"/>
        <v>50384</v>
      </c>
      <c r="M5145" s="92">
        <f t="shared" ca="1" si="171"/>
        <v>6.25</v>
      </c>
      <c r="N5145" s="143">
        <f ca="1">(PRODUCT($O$5:$O5145)-1)*36000/_xlfn.DAYS(L5145, $C$2)</f>
        <v>11.279044139076333</v>
      </c>
      <c r="O5145" s="149">
        <f t="shared" ca="1" si="172"/>
        <v>1.000173611111111</v>
      </c>
    </row>
    <row r="5146" spans="12:15" x14ac:dyDescent="0.25">
      <c r="L5146" s="147">
        <f ca="1"/>
        <v>50385</v>
      </c>
      <c r="M5146" s="92">
        <f t="shared" ca="1" si="171"/>
        <v>6.25</v>
      </c>
      <c r="N5146" s="143">
        <f ca="1">(PRODUCT($O$5:$O5146)-1)*36000/_xlfn.DAYS(L5146, $C$2)</f>
        <v>11.28002389294419</v>
      </c>
      <c r="O5146" s="149">
        <f t="shared" ca="1" si="172"/>
        <v>1.000173611111111</v>
      </c>
    </row>
    <row r="5147" spans="12:15" x14ac:dyDescent="0.25">
      <c r="L5147" s="147">
        <f ca="1"/>
        <v>50386</v>
      </c>
      <c r="M5147" s="92">
        <f t="shared" ca="1" si="171"/>
        <v>6.25</v>
      </c>
      <c r="N5147" s="143">
        <f ca="1">(PRODUCT($O$5:$O5147)-1)*36000/_xlfn.DAYS(L5147, $C$2)</f>
        <v>11.281003816614513</v>
      </c>
      <c r="O5147" s="149">
        <f t="shared" ca="1" si="172"/>
        <v>1.000173611111111</v>
      </c>
    </row>
    <row r="5148" spans="12:15" x14ac:dyDescent="0.25">
      <c r="L5148" s="147">
        <f ca="1"/>
        <v>50387</v>
      </c>
      <c r="M5148" s="92">
        <f t="shared" ca="1" si="171"/>
        <v>6.25</v>
      </c>
      <c r="N5148" s="143">
        <f ca="1">(PRODUCT($O$5:$O5148)-1)*36000/_xlfn.DAYS(L5148, $C$2)</f>
        <v>11.281983910083884</v>
      </c>
      <c r="O5148" s="149">
        <f t="shared" ca="1" si="172"/>
        <v>1.000173611111111</v>
      </c>
    </row>
    <row r="5149" spans="12:15" x14ac:dyDescent="0.25">
      <c r="L5149" s="147">
        <f ca="1"/>
        <v>50388</v>
      </c>
      <c r="M5149" s="92">
        <f t="shared" ca="1" si="171"/>
        <v>6.25</v>
      </c>
      <c r="N5149" s="143">
        <f ca="1">(PRODUCT($O$5:$O5149)-1)*36000/_xlfn.DAYS(L5149, $C$2)</f>
        <v>11.282964173348899</v>
      </c>
      <c r="O5149" s="149">
        <f t="shared" ca="1" si="172"/>
        <v>1.000173611111111</v>
      </c>
    </row>
    <row r="5150" spans="12:15" x14ac:dyDescent="0.25">
      <c r="L5150" s="147">
        <f ca="1"/>
        <v>50389</v>
      </c>
      <c r="M5150" s="92">
        <f t="shared" ca="1" si="171"/>
        <v>6.25</v>
      </c>
      <c r="N5150" s="143">
        <f ca="1">(PRODUCT($O$5:$O5150)-1)*36000/_xlfn.DAYS(L5150, $C$2)</f>
        <v>11.283944606406173</v>
      </c>
      <c r="O5150" s="149">
        <f t="shared" ca="1" si="172"/>
        <v>1.000173611111111</v>
      </c>
    </row>
    <row r="5151" spans="12:15" x14ac:dyDescent="0.25">
      <c r="L5151" s="147">
        <f ca="1"/>
        <v>50390</v>
      </c>
      <c r="M5151" s="92">
        <f t="shared" ca="1" si="171"/>
        <v>6.25</v>
      </c>
      <c r="N5151" s="143">
        <f ca="1">(PRODUCT($O$5:$O5151)-1)*36000/_xlfn.DAYS(L5151, $C$2)</f>
        <v>11.284925209252341</v>
      </c>
      <c r="O5151" s="149">
        <f t="shared" ca="1" si="172"/>
        <v>1.000173611111111</v>
      </c>
    </row>
    <row r="5152" spans="12:15" x14ac:dyDescent="0.25">
      <c r="L5152" s="147">
        <f ca="1"/>
        <v>50391</v>
      </c>
      <c r="M5152" s="92">
        <f t="shared" ca="1" si="171"/>
        <v>6.25</v>
      </c>
      <c r="N5152" s="143">
        <f ca="1">(PRODUCT($O$5:$O5152)-1)*36000/_xlfn.DAYS(L5152, $C$2)</f>
        <v>11.285905981884065</v>
      </c>
      <c r="O5152" s="149">
        <f t="shared" ca="1" si="172"/>
        <v>1.000173611111111</v>
      </c>
    </row>
    <row r="5153" spans="12:15" x14ac:dyDescent="0.25">
      <c r="L5153" s="147">
        <f ca="1"/>
        <v>50392</v>
      </c>
      <c r="M5153" s="92">
        <f t="shared" ca="1" si="171"/>
        <v>6.25</v>
      </c>
      <c r="N5153" s="143">
        <f ca="1">(PRODUCT($O$5:$O5153)-1)*36000/_xlfn.DAYS(L5153, $C$2)</f>
        <v>11.286886924298011</v>
      </c>
      <c r="O5153" s="149">
        <f t="shared" ca="1" si="172"/>
        <v>1.000173611111111</v>
      </c>
    </row>
    <row r="5154" spans="12:15" x14ac:dyDescent="0.25">
      <c r="L5154" s="147">
        <f ca="1"/>
        <v>50393</v>
      </c>
      <c r="M5154" s="92">
        <f t="shared" ca="1" si="171"/>
        <v>6.25</v>
      </c>
      <c r="N5154" s="143">
        <f ca="1">(PRODUCT($O$5:$O5154)-1)*36000/_xlfn.DAYS(L5154, $C$2)</f>
        <v>11.287868036490877</v>
      </c>
      <c r="O5154" s="149">
        <f t="shared" ca="1" si="172"/>
        <v>1.000173611111111</v>
      </c>
    </row>
    <row r="5155" spans="12:15" x14ac:dyDescent="0.25">
      <c r="L5155" s="147">
        <f ca="1"/>
        <v>50394</v>
      </c>
      <c r="M5155" s="92">
        <f t="shared" ca="1" si="171"/>
        <v>6.25</v>
      </c>
      <c r="N5155" s="143">
        <f ca="1">(PRODUCT($O$5:$O5155)-1)*36000/_xlfn.DAYS(L5155, $C$2)</f>
        <v>11.288849318459375</v>
      </c>
      <c r="O5155" s="149">
        <f t="shared" ca="1" si="172"/>
        <v>1.000173611111111</v>
      </c>
    </row>
    <row r="5156" spans="12:15" x14ac:dyDescent="0.25">
      <c r="L5156" s="147">
        <f ca="1"/>
        <v>50395</v>
      </c>
      <c r="M5156" s="92">
        <f t="shared" ca="1" si="171"/>
        <v>6.25</v>
      </c>
      <c r="N5156" s="143">
        <f ca="1">(PRODUCT($O$5:$O5156)-1)*36000/_xlfn.DAYS(L5156, $C$2)</f>
        <v>11.289830770200238</v>
      </c>
      <c r="O5156" s="149">
        <f t="shared" ca="1" si="172"/>
        <v>1.000173611111111</v>
      </c>
    </row>
    <row r="5157" spans="12:15" x14ac:dyDescent="0.25">
      <c r="L5157" s="147">
        <f ca="1"/>
        <v>50396</v>
      </c>
      <c r="M5157" s="92">
        <f t="shared" ca="1" si="171"/>
        <v>6.25</v>
      </c>
      <c r="N5157" s="143">
        <f ca="1">(PRODUCT($O$5:$O5157)-1)*36000/_xlfn.DAYS(L5157, $C$2)</f>
        <v>11.290812391710213</v>
      </c>
      <c r="O5157" s="149">
        <f t="shared" ca="1" si="172"/>
        <v>1.000173611111111</v>
      </c>
    </row>
    <row r="5158" spans="12:15" x14ac:dyDescent="0.25">
      <c r="L5158" s="147">
        <f ca="1"/>
        <v>50397</v>
      </c>
      <c r="M5158" s="92">
        <f t="shared" ca="1" si="171"/>
        <v>6.25</v>
      </c>
      <c r="N5158" s="143">
        <f ca="1">(PRODUCT($O$5:$O5158)-1)*36000/_xlfn.DAYS(L5158, $C$2)</f>
        <v>11.291794182986077</v>
      </c>
      <c r="O5158" s="149">
        <f t="shared" ca="1" si="172"/>
        <v>1.000173611111111</v>
      </c>
    </row>
    <row r="5159" spans="12:15" x14ac:dyDescent="0.25">
      <c r="L5159" s="147">
        <f ca="1"/>
        <v>50398</v>
      </c>
      <c r="M5159" s="92">
        <f t="shared" ca="1" si="171"/>
        <v>6.25</v>
      </c>
      <c r="N5159" s="143">
        <f ca="1">(PRODUCT($O$5:$O5159)-1)*36000/_xlfn.DAYS(L5159, $C$2)</f>
        <v>11.292776144024614</v>
      </c>
      <c r="O5159" s="149">
        <f t="shared" ca="1" si="172"/>
        <v>1.000173611111111</v>
      </c>
    </row>
    <row r="5160" spans="12:15" x14ac:dyDescent="0.25">
      <c r="L5160" s="147">
        <f ca="1"/>
        <v>50399</v>
      </c>
      <c r="M5160" s="92">
        <f t="shared" ca="1" si="171"/>
        <v>6.25</v>
      </c>
      <c r="N5160" s="143">
        <f ca="1">(PRODUCT($O$5:$O5160)-1)*36000/_xlfn.DAYS(L5160, $C$2)</f>
        <v>11.293758274822633</v>
      </c>
      <c r="O5160" s="149">
        <f t="shared" ca="1" si="172"/>
        <v>1.000173611111111</v>
      </c>
    </row>
    <row r="5161" spans="12:15" x14ac:dyDescent="0.25">
      <c r="L5161" s="147">
        <f ca="1"/>
        <v>50400</v>
      </c>
      <c r="M5161" s="92">
        <f t="shared" ca="1" si="171"/>
        <v>6.25</v>
      </c>
      <c r="N5161" s="143">
        <f ca="1">(PRODUCT($O$5:$O5161)-1)*36000/_xlfn.DAYS(L5161, $C$2)</f>
        <v>11.294740575376963</v>
      </c>
      <c r="O5161" s="149">
        <f t="shared" ca="1" si="172"/>
        <v>1.000173611111111</v>
      </c>
    </row>
    <row r="5162" spans="12:15" x14ac:dyDescent="0.25">
      <c r="L5162" s="147">
        <f ca="1"/>
        <v>50401</v>
      </c>
      <c r="M5162" s="92">
        <f t="shared" ca="1" si="171"/>
        <v>6.25</v>
      </c>
      <c r="N5162" s="143">
        <f ca="1">(PRODUCT($O$5:$O5162)-1)*36000/_xlfn.DAYS(L5162, $C$2)</f>
        <v>11.295723045684447</v>
      </c>
      <c r="O5162" s="149">
        <f t="shared" ca="1" si="172"/>
        <v>1.000173611111111</v>
      </c>
    </row>
    <row r="5163" spans="12:15" x14ac:dyDescent="0.25">
      <c r="L5163" s="147">
        <f ca="1"/>
        <v>50402</v>
      </c>
      <c r="M5163" s="92">
        <f t="shared" ca="1" si="171"/>
        <v>6.25</v>
      </c>
      <c r="N5163" s="143">
        <f ca="1">(PRODUCT($O$5:$O5163)-1)*36000/_xlfn.DAYS(L5163, $C$2)</f>
        <v>11.296705685741953</v>
      </c>
      <c r="O5163" s="149">
        <f t="shared" ca="1" si="172"/>
        <v>1.000173611111111</v>
      </c>
    </row>
    <row r="5164" spans="12:15" x14ac:dyDescent="0.25">
      <c r="L5164" s="147">
        <f ca="1"/>
        <v>50403</v>
      </c>
      <c r="M5164" s="92">
        <f t="shared" ca="1" si="171"/>
        <v>6.25</v>
      </c>
      <c r="N5164" s="143">
        <f ca="1">(PRODUCT($O$5:$O5164)-1)*36000/_xlfn.DAYS(L5164, $C$2)</f>
        <v>11.297688495546367</v>
      </c>
      <c r="O5164" s="149">
        <f t="shared" ca="1" si="172"/>
        <v>1.000173611111111</v>
      </c>
    </row>
    <row r="5165" spans="12:15" x14ac:dyDescent="0.25">
      <c r="L5165" s="147">
        <f ca="1"/>
        <v>50404</v>
      </c>
      <c r="M5165" s="92">
        <f t="shared" ca="1" si="171"/>
        <v>6.25</v>
      </c>
      <c r="N5165" s="143">
        <f ca="1">(PRODUCT($O$5:$O5165)-1)*36000/_xlfn.DAYS(L5165, $C$2)</f>
        <v>11.298671475094586</v>
      </c>
      <c r="O5165" s="149">
        <f t="shared" ca="1" si="172"/>
        <v>1.000173611111111</v>
      </c>
    </row>
    <row r="5166" spans="12:15" x14ac:dyDescent="0.25">
      <c r="L5166" s="147">
        <f ca="1"/>
        <v>50405</v>
      </c>
      <c r="M5166" s="92">
        <f t="shared" ca="1" si="171"/>
        <v>6.25</v>
      </c>
      <c r="N5166" s="143">
        <f ca="1">(PRODUCT($O$5:$O5166)-1)*36000/_xlfn.DAYS(L5166, $C$2)</f>
        <v>11.299654624383543</v>
      </c>
      <c r="O5166" s="149">
        <f t="shared" ca="1" si="172"/>
        <v>1.000173611111111</v>
      </c>
    </row>
    <row r="5167" spans="12:15" x14ac:dyDescent="0.25">
      <c r="L5167" s="147">
        <f ca="1"/>
        <v>50406</v>
      </c>
      <c r="M5167" s="92">
        <f t="shared" ca="1" si="171"/>
        <v>6.25</v>
      </c>
      <c r="N5167" s="143">
        <f ca="1">(PRODUCT($O$5:$O5167)-1)*36000/_xlfn.DAYS(L5167, $C$2)</f>
        <v>11.300637943410168</v>
      </c>
      <c r="O5167" s="149">
        <f t="shared" ca="1" si="172"/>
        <v>1.000173611111111</v>
      </c>
    </row>
    <row r="5168" spans="12:15" x14ac:dyDescent="0.25">
      <c r="L5168" s="147">
        <f ca="1"/>
        <v>50407</v>
      </c>
      <c r="M5168" s="92">
        <f t="shared" ca="1" si="171"/>
        <v>6.25</v>
      </c>
      <c r="N5168" s="143">
        <f ca="1">(PRODUCT($O$5:$O5168)-1)*36000/_xlfn.DAYS(L5168, $C$2)</f>
        <v>11.301621432171427</v>
      </c>
      <c r="O5168" s="149">
        <f t="shared" ca="1" si="172"/>
        <v>1.000173611111111</v>
      </c>
    </row>
    <row r="5169" spans="12:15" x14ac:dyDescent="0.25">
      <c r="L5169" s="147">
        <f ca="1"/>
        <v>50408</v>
      </c>
      <c r="M5169" s="92">
        <f t="shared" ca="1" si="171"/>
        <v>6.25</v>
      </c>
      <c r="N5169" s="143">
        <f ca="1">(PRODUCT($O$5:$O5169)-1)*36000/_xlfn.DAYS(L5169, $C$2)</f>
        <v>11.302605090664301</v>
      </c>
      <c r="O5169" s="149">
        <f t="shared" ca="1" si="172"/>
        <v>1.000173611111111</v>
      </c>
    </row>
    <row r="5170" spans="12:15" x14ac:dyDescent="0.25">
      <c r="L5170" s="147">
        <f ca="1"/>
        <v>50409</v>
      </c>
      <c r="M5170" s="92">
        <f t="shared" ca="1" si="171"/>
        <v>6.25</v>
      </c>
      <c r="N5170" s="143">
        <f ca="1">(PRODUCT($O$5:$O5170)-1)*36000/_xlfn.DAYS(L5170, $C$2)</f>
        <v>11.303588918885785</v>
      </c>
      <c r="O5170" s="149">
        <f t="shared" ca="1" si="172"/>
        <v>1.000173611111111</v>
      </c>
    </row>
    <row r="5171" spans="12:15" x14ac:dyDescent="0.25">
      <c r="L5171" s="147">
        <f ca="1"/>
        <v>50410</v>
      </c>
      <c r="M5171" s="92">
        <f t="shared" ca="1" si="171"/>
        <v>6.25</v>
      </c>
      <c r="N5171" s="143">
        <f ca="1">(PRODUCT($O$5:$O5171)-1)*36000/_xlfn.DAYS(L5171, $C$2)</f>
        <v>11.3045729168329</v>
      </c>
      <c r="O5171" s="149">
        <f t="shared" ca="1" si="172"/>
        <v>1.000173611111111</v>
      </c>
    </row>
    <row r="5172" spans="12:15" x14ac:dyDescent="0.25">
      <c r="L5172" s="147">
        <f ca="1"/>
        <v>50411</v>
      </c>
      <c r="M5172" s="92">
        <f t="shared" ca="1" si="171"/>
        <v>6.25</v>
      </c>
      <c r="N5172" s="143">
        <f ca="1">(PRODUCT($O$5:$O5172)-1)*36000/_xlfn.DAYS(L5172, $C$2)</f>
        <v>11.305557084502675</v>
      </c>
      <c r="O5172" s="149">
        <f t="shared" ca="1" si="172"/>
        <v>1.000173611111111</v>
      </c>
    </row>
    <row r="5173" spans="12:15" x14ac:dyDescent="0.25">
      <c r="L5173" s="147">
        <f ca="1"/>
        <v>50412</v>
      </c>
      <c r="M5173" s="92">
        <f t="shared" ca="1" si="171"/>
        <v>6.25</v>
      </c>
      <c r="N5173" s="143">
        <f ca="1">(PRODUCT($O$5:$O5173)-1)*36000/_xlfn.DAYS(L5173, $C$2)</f>
        <v>11.306541421892174</v>
      </c>
      <c r="O5173" s="149">
        <f t="shared" ca="1" si="172"/>
        <v>1.000173611111111</v>
      </c>
    </row>
    <row r="5174" spans="12:15" x14ac:dyDescent="0.25">
      <c r="L5174" s="147">
        <f ca="1"/>
        <v>50413</v>
      </c>
      <c r="M5174" s="92">
        <f t="shared" ca="1" si="171"/>
        <v>6.25</v>
      </c>
      <c r="N5174" s="143">
        <f ca="1">(PRODUCT($O$5:$O5174)-1)*36000/_xlfn.DAYS(L5174, $C$2)</f>
        <v>11.307525928998464</v>
      </c>
      <c r="O5174" s="149">
        <f t="shared" ca="1" si="172"/>
        <v>1.000173611111111</v>
      </c>
    </row>
    <row r="5175" spans="12:15" x14ac:dyDescent="0.25">
      <c r="L5175" s="147">
        <f ca="1"/>
        <v>50414</v>
      </c>
      <c r="M5175" s="92">
        <f t="shared" ca="1" si="171"/>
        <v>6.25</v>
      </c>
      <c r="N5175" s="143">
        <f ca="1">(PRODUCT($O$5:$O5175)-1)*36000/_xlfn.DAYS(L5175, $C$2)</f>
        <v>11.30851060581864</v>
      </c>
      <c r="O5175" s="149">
        <f t="shared" ca="1" si="172"/>
        <v>1.000173611111111</v>
      </c>
    </row>
    <row r="5176" spans="12:15" x14ac:dyDescent="0.25">
      <c r="L5176" s="147">
        <f ca="1"/>
        <v>50415</v>
      </c>
      <c r="M5176" s="92">
        <f t="shared" ca="1" si="171"/>
        <v>6.25</v>
      </c>
      <c r="N5176" s="143">
        <f ca="1">(PRODUCT($O$5:$O5176)-1)*36000/_xlfn.DAYS(L5176, $C$2)</f>
        <v>11.309495452349813</v>
      </c>
      <c r="O5176" s="149">
        <f t="shared" ca="1" si="172"/>
        <v>1.000173611111111</v>
      </c>
    </row>
    <row r="5177" spans="12:15" x14ac:dyDescent="0.25">
      <c r="L5177" s="147">
        <f ca="1"/>
        <v>50416</v>
      </c>
      <c r="M5177" s="92">
        <f t="shared" ca="1" si="171"/>
        <v>6.25</v>
      </c>
      <c r="N5177" s="143">
        <f ca="1">(PRODUCT($O$5:$O5177)-1)*36000/_xlfn.DAYS(L5177, $C$2)</f>
        <v>11.310480468589114</v>
      </c>
      <c r="O5177" s="149">
        <f t="shared" ca="1" si="172"/>
        <v>1.000173611111111</v>
      </c>
    </row>
    <row r="5178" spans="12:15" x14ac:dyDescent="0.25">
      <c r="L5178" s="147">
        <f ca="1"/>
        <v>50417</v>
      </c>
      <c r="M5178" s="92">
        <f t="shared" ca="1" si="171"/>
        <v>6.25</v>
      </c>
      <c r="N5178" s="143">
        <f ca="1">(PRODUCT($O$5:$O5178)-1)*36000/_xlfn.DAYS(L5178, $C$2)</f>
        <v>11.31146565453369</v>
      </c>
      <c r="O5178" s="149">
        <f t="shared" ca="1" si="172"/>
        <v>1.000173611111111</v>
      </c>
    </row>
    <row r="5179" spans="12:15" x14ac:dyDescent="0.25">
      <c r="L5179" s="147">
        <f ca="1"/>
        <v>50418</v>
      </c>
      <c r="M5179" s="92">
        <f t="shared" ca="1" si="171"/>
        <v>6.25</v>
      </c>
      <c r="N5179" s="143">
        <f ca="1">(PRODUCT($O$5:$O5179)-1)*36000/_xlfn.DAYS(L5179, $C$2)</f>
        <v>11.312451010180709</v>
      </c>
      <c r="O5179" s="149">
        <f t="shared" ca="1" si="172"/>
        <v>1.000173611111111</v>
      </c>
    </row>
    <row r="5180" spans="12:15" x14ac:dyDescent="0.25">
      <c r="L5180" s="147">
        <f ca="1"/>
        <v>50419</v>
      </c>
      <c r="M5180" s="92">
        <f t="shared" ca="1" si="171"/>
        <v>6.25</v>
      </c>
      <c r="N5180" s="143">
        <f ca="1">(PRODUCT($O$5:$O5180)-1)*36000/_xlfn.DAYS(L5180, $C$2)</f>
        <v>11.313436535527362</v>
      </c>
      <c r="O5180" s="149">
        <f t="shared" ca="1" si="172"/>
        <v>1.000173611111111</v>
      </c>
    </row>
    <row r="5181" spans="12:15" x14ac:dyDescent="0.25">
      <c r="L5181" s="147">
        <f ca="1"/>
        <v>50420</v>
      </c>
      <c r="M5181" s="92">
        <f t="shared" ca="1" si="171"/>
        <v>6.25</v>
      </c>
      <c r="N5181" s="143">
        <f ca="1">(PRODUCT($O$5:$O5181)-1)*36000/_xlfn.DAYS(L5181, $C$2)</f>
        <v>11.314422230570854</v>
      </c>
      <c r="O5181" s="149">
        <f t="shared" ca="1" si="172"/>
        <v>1.000173611111111</v>
      </c>
    </row>
    <row r="5182" spans="12:15" x14ac:dyDescent="0.25">
      <c r="L5182" s="147">
        <f ca="1"/>
        <v>50421</v>
      </c>
      <c r="M5182" s="92">
        <f t="shared" ca="1" si="171"/>
        <v>6.25</v>
      </c>
      <c r="N5182" s="143">
        <f ca="1">(PRODUCT($O$5:$O5182)-1)*36000/_xlfn.DAYS(L5182, $C$2)</f>
        <v>11.315408095308403</v>
      </c>
      <c r="O5182" s="149">
        <f t="shared" ca="1" si="172"/>
        <v>1.000173611111111</v>
      </c>
    </row>
    <row r="5183" spans="12:15" x14ac:dyDescent="0.25">
      <c r="L5183" s="147">
        <f ca="1"/>
        <v>50422</v>
      </c>
      <c r="M5183" s="92">
        <f t="shared" ca="1" si="171"/>
        <v>6.25</v>
      </c>
      <c r="N5183" s="143">
        <f ca="1">(PRODUCT($O$5:$O5183)-1)*36000/_xlfn.DAYS(L5183, $C$2)</f>
        <v>11.316394129737255</v>
      </c>
      <c r="O5183" s="149">
        <f t="shared" ca="1" si="172"/>
        <v>1.000173611111111</v>
      </c>
    </row>
    <row r="5184" spans="12:15" x14ac:dyDescent="0.25">
      <c r="L5184" s="147">
        <f ca="1"/>
        <v>50423</v>
      </c>
      <c r="M5184" s="92">
        <f t="shared" ca="1" si="171"/>
        <v>6.25</v>
      </c>
      <c r="N5184" s="143">
        <f ca="1">(PRODUCT($O$5:$O5184)-1)*36000/_xlfn.DAYS(L5184, $C$2)</f>
        <v>11.317380333854674</v>
      </c>
      <c r="O5184" s="149">
        <f t="shared" ca="1" si="172"/>
        <v>1.000173611111111</v>
      </c>
    </row>
    <row r="5185" spans="12:15" x14ac:dyDescent="0.25">
      <c r="L5185" s="147">
        <f ca="1"/>
        <v>50424</v>
      </c>
      <c r="M5185" s="92">
        <f t="shared" ca="1" si="171"/>
        <v>6.25</v>
      </c>
      <c r="N5185" s="143">
        <f ca="1">(PRODUCT($O$5:$O5185)-1)*36000/_xlfn.DAYS(L5185, $C$2)</f>
        <v>11.318366707657935</v>
      </c>
      <c r="O5185" s="149">
        <f t="shared" ca="1" si="172"/>
        <v>1.000173611111111</v>
      </c>
    </row>
    <row r="5186" spans="12:15" x14ac:dyDescent="0.25">
      <c r="L5186" s="147">
        <f ca="1"/>
        <v>50425</v>
      </c>
      <c r="M5186" s="92">
        <f t="shared" ca="1" si="171"/>
        <v>6.25</v>
      </c>
      <c r="N5186" s="143">
        <f ca="1">(PRODUCT($O$5:$O5186)-1)*36000/_xlfn.DAYS(L5186, $C$2)</f>
        <v>11.319353251144342</v>
      </c>
      <c r="O5186" s="149">
        <f t="shared" ca="1" si="172"/>
        <v>1.000173611111111</v>
      </c>
    </row>
    <row r="5187" spans="12:15" x14ac:dyDescent="0.25">
      <c r="L5187" s="147">
        <f ca="1"/>
        <v>50426</v>
      </c>
      <c r="M5187" s="92">
        <f t="shared" ca="1" si="171"/>
        <v>6.25</v>
      </c>
      <c r="N5187" s="143">
        <f ca="1">(PRODUCT($O$5:$O5187)-1)*36000/_xlfn.DAYS(L5187, $C$2)</f>
        <v>11.320339964311213</v>
      </c>
      <c r="O5187" s="149">
        <f t="shared" ca="1" si="172"/>
        <v>1.000173611111111</v>
      </c>
    </row>
    <row r="5188" spans="12:15" x14ac:dyDescent="0.25">
      <c r="L5188" s="147">
        <f ca="1"/>
        <v>50427</v>
      </c>
      <c r="M5188" s="92">
        <f t="shared" ca="1" si="171"/>
        <v>6.25</v>
      </c>
      <c r="N5188" s="143">
        <f ca="1">(PRODUCT($O$5:$O5188)-1)*36000/_xlfn.DAYS(L5188, $C$2)</f>
        <v>11.321326847155881</v>
      </c>
      <c r="O5188" s="149">
        <f t="shared" ca="1" si="172"/>
        <v>1.000173611111111</v>
      </c>
    </row>
    <row r="5189" spans="12:15" x14ac:dyDescent="0.25">
      <c r="L5189" s="147">
        <f ca="1"/>
        <v>50428</v>
      </c>
      <c r="M5189" s="92">
        <f t="shared" ref="M5189:M5252" ca="1" si="173">IFERROR(INDEX($E$27:$H$47, MATCH(L5189, $F$27:$F$47, 0), 4), IF(ISNUMBER(M5188), M5188, $C$5))</f>
        <v>6.25</v>
      </c>
      <c r="N5189" s="143">
        <f ca="1">(PRODUCT($O$5:$O5189)-1)*36000/_xlfn.DAYS(L5189, $C$2)</f>
        <v>11.322313899675704</v>
      </c>
      <c r="O5189" s="149">
        <f t="shared" ca="1" si="172"/>
        <v>1.000173611111111</v>
      </c>
    </row>
    <row r="5190" spans="12:15" x14ac:dyDescent="0.25">
      <c r="L5190" s="147">
        <f ca="1"/>
        <v>50429</v>
      </c>
      <c r="M5190" s="92">
        <f t="shared" ca="1" si="173"/>
        <v>6.25</v>
      </c>
      <c r="N5190" s="143">
        <f ca="1">(PRODUCT($O$5:$O5190)-1)*36000/_xlfn.DAYS(L5190, $C$2)</f>
        <v>11.323301121868054</v>
      </c>
      <c r="O5190" s="149">
        <f t="shared" ref="O5190:O5253" ca="1" si="174">1+M5190*IFERROR(_xlfn.DAYS(L5190, L5189), _xlfn.DAYS(L5190, $C$2))/36000</f>
        <v>1.000173611111111</v>
      </c>
    </row>
    <row r="5191" spans="12:15" x14ac:dyDescent="0.25">
      <c r="L5191" s="147">
        <f ca="1"/>
        <v>50430</v>
      </c>
      <c r="M5191" s="92">
        <f t="shared" ca="1" si="173"/>
        <v>6.25</v>
      </c>
      <c r="N5191" s="143">
        <f ca="1">(PRODUCT($O$5:$O5191)-1)*36000/_xlfn.DAYS(L5191, $C$2)</f>
        <v>11.324288513730322</v>
      </c>
      <c r="O5191" s="149">
        <f t="shared" ca="1" si="174"/>
        <v>1.000173611111111</v>
      </c>
    </row>
    <row r="5192" spans="12:15" x14ac:dyDescent="0.25">
      <c r="L5192" s="147">
        <f ca="1"/>
        <v>50431</v>
      </c>
      <c r="M5192" s="92">
        <f t="shared" ca="1" si="173"/>
        <v>6.25</v>
      </c>
      <c r="N5192" s="143">
        <f ca="1">(PRODUCT($O$5:$O5192)-1)*36000/_xlfn.DAYS(L5192, $C$2)</f>
        <v>11.32527607525992</v>
      </c>
      <c r="O5192" s="149">
        <f t="shared" ca="1" si="174"/>
        <v>1.000173611111111</v>
      </c>
    </row>
    <row r="5193" spans="12:15" x14ac:dyDescent="0.25">
      <c r="L5193" s="147">
        <f ca="1"/>
        <v>50432</v>
      </c>
      <c r="M5193" s="92">
        <f t="shared" ca="1" si="173"/>
        <v>6.25</v>
      </c>
      <c r="N5193" s="143">
        <f ca="1">(PRODUCT($O$5:$O5193)-1)*36000/_xlfn.DAYS(L5193, $C$2)</f>
        <v>11.326263806454277</v>
      </c>
      <c r="O5193" s="149">
        <f t="shared" ca="1" si="174"/>
        <v>1.000173611111111</v>
      </c>
    </row>
    <row r="5194" spans="12:15" x14ac:dyDescent="0.25">
      <c r="L5194" s="147">
        <f ca="1"/>
        <v>50433</v>
      </c>
      <c r="M5194" s="92">
        <f t="shared" ca="1" si="173"/>
        <v>6.25</v>
      </c>
      <c r="N5194" s="143">
        <f ca="1">(PRODUCT($O$5:$O5194)-1)*36000/_xlfn.DAYS(L5194, $C$2)</f>
        <v>11.327251707310841</v>
      </c>
      <c r="O5194" s="149">
        <f t="shared" ca="1" si="174"/>
        <v>1.000173611111111</v>
      </c>
    </row>
    <row r="5195" spans="12:15" x14ac:dyDescent="0.25">
      <c r="L5195" s="147">
        <f ca="1"/>
        <v>50434</v>
      </c>
      <c r="M5195" s="92">
        <f t="shared" ca="1" si="173"/>
        <v>6.25</v>
      </c>
      <c r="N5195" s="143">
        <f ca="1">(PRODUCT($O$5:$O5195)-1)*36000/_xlfn.DAYS(L5195, $C$2)</f>
        <v>11.328239777827077</v>
      </c>
      <c r="O5195" s="149">
        <f t="shared" ca="1" si="174"/>
        <v>1.000173611111111</v>
      </c>
    </row>
    <row r="5196" spans="12:15" x14ac:dyDescent="0.25">
      <c r="L5196" s="147">
        <f ca="1"/>
        <v>50435</v>
      </c>
      <c r="M5196" s="92">
        <f t="shared" ca="1" si="173"/>
        <v>6.25</v>
      </c>
      <c r="N5196" s="143">
        <f ca="1">(PRODUCT($O$5:$O5196)-1)*36000/_xlfn.DAYS(L5196, $C$2)</f>
        <v>11.329228018000473</v>
      </c>
      <c r="O5196" s="149">
        <f t="shared" ca="1" si="174"/>
        <v>1.000173611111111</v>
      </c>
    </row>
    <row r="5197" spans="12:15" x14ac:dyDescent="0.25">
      <c r="L5197" s="147">
        <f ca="1"/>
        <v>50436</v>
      </c>
      <c r="M5197" s="92">
        <f t="shared" ca="1" si="173"/>
        <v>6.25</v>
      </c>
      <c r="N5197" s="143">
        <f ca="1">(PRODUCT($O$5:$O5197)-1)*36000/_xlfn.DAYS(L5197, $C$2)</f>
        <v>11.330216427828532</v>
      </c>
      <c r="O5197" s="149">
        <f t="shared" ca="1" si="174"/>
        <v>1.000173611111111</v>
      </c>
    </row>
    <row r="5198" spans="12:15" x14ac:dyDescent="0.25">
      <c r="L5198" s="147">
        <f ca="1"/>
        <v>50437</v>
      </c>
      <c r="M5198" s="92">
        <f t="shared" ca="1" si="173"/>
        <v>6.25</v>
      </c>
      <c r="N5198" s="143">
        <f ca="1">(PRODUCT($O$5:$O5198)-1)*36000/_xlfn.DAYS(L5198, $C$2)</f>
        <v>11.331205007308775</v>
      </c>
      <c r="O5198" s="149">
        <f t="shared" ca="1" si="174"/>
        <v>1.000173611111111</v>
      </c>
    </row>
    <row r="5199" spans="12:15" x14ac:dyDescent="0.25">
      <c r="L5199" s="147">
        <f ca="1"/>
        <v>50438</v>
      </c>
      <c r="M5199" s="92">
        <f t="shared" ca="1" si="173"/>
        <v>6.25</v>
      </c>
      <c r="N5199" s="143">
        <f ca="1">(PRODUCT($O$5:$O5199)-1)*36000/_xlfn.DAYS(L5199, $C$2)</f>
        <v>11.332193756438741</v>
      </c>
      <c r="O5199" s="149">
        <f t="shared" ca="1" si="174"/>
        <v>1.000173611111111</v>
      </c>
    </row>
    <row r="5200" spans="12:15" x14ac:dyDescent="0.25">
      <c r="L5200" s="147">
        <f ca="1"/>
        <v>50439</v>
      </c>
      <c r="M5200" s="92">
        <f t="shared" ca="1" si="173"/>
        <v>6.25</v>
      </c>
      <c r="N5200" s="143">
        <f ca="1">(PRODUCT($O$5:$O5200)-1)*36000/_xlfn.DAYS(L5200, $C$2)</f>
        <v>11.333182675215989</v>
      </c>
      <c r="O5200" s="149">
        <f t="shared" ca="1" si="174"/>
        <v>1.000173611111111</v>
      </c>
    </row>
    <row r="5201" spans="12:15" x14ac:dyDescent="0.25">
      <c r="L5201" s="147">
        <f ca="1"/>
        <v>50440</v>
      </c>
      <c r="M5201" s="92">
        <f t="shared" ca="1" si="173"/>
        <v>6.25</v>
      </c>
      <c r="N5201" s="143">
        <f ca="1">(PRODUCT($O$5:$O5201)-1)*36000/_xlfn.DAYS(L5201, $C$2)</f>
        <v>11.3341717636381</v>
      </c>
      <c r="O5201" s="149">
        <f t="shared" ca="1" si="174"/>
        <v>1.000173611111111</v>
      </c>
    </row>
    <row r="5202" spans="12:15" x14ac:dyDescent="0.25">
      <c r="L5202" s="147">
        <f ca="1"/>
        <v>50441</v>
      </c>
      <c r="M5202" s="92">
        <f t="shared" ca="1" si="173"/>
        <v>6.25</v>
      </c>
      <c r="N5202" s="143">
        <f ca="1">(PRODUCT($O$5:$O5202)-1)*36000/_xlfn.DAYS(L5202, $C$2)</f>
        <v>11.335161021702666</v>
      </c>
      <c r="O5202" s="149">
        <f t="shared" ca="1" si="174"/>
        <v>1.000173611111111</v>
      </c>
    </row>
    <row r="5203" spans="12:15" x14ac:dyDescent="0.25">
      <c r="L5203" s="147">
        <f ca="1"/>
        <v>50442</v>
      </c>
      <c r="M5203" s="92">
        <f t="shared" ca="1" si="173"/>
        <v>6.25</v>
      </c>
      <c r="N5203" s="143">
        <f ca="1">(PRODUCT($O$5:$O5203)-1)*36000/_xlfn.DAYS(L5203, $C$2)</f>
        <v>11.336150449407306</v>
      </c>
      <c r="O5203" s="149">
        <f t="shared" ca="1" si="174"/>
        <v>1.000173611111111</v>
      </c>
    </row>
    <row r="5204" spans="12:15" x14ac:dyDescent="0.25">
      <c r="L5204" s="147">
        <f ca="1"/>
        <v>50443</v>
      </c>
      <c r="M5204" s="92">
        <f t="shared" ca="1" si="173"/>
        <v>6.25</v>
      </c>
      <c r="N5204" s="143">
        <f ca="1">(PRODUCT($O$5:$O5204)-1)*36000/_xlfn.DAYS(L5204, $C$2)</f>
        <v>11.337140046749647</v>
      </c>
      <c r="O5204" s="149">
        <f t="shared" ca="1" si="174"/>
        <v>1.000173611111111</v>
      </c>
    </row>
    <row r="5205" spans="12:15" x14ac:dyDescent="0.25">
      <c r="L5205" s="147">
        <f ca="1"/>
        <v>50444</v>
      </c>
      <c r="M5205" s="92">
        <f t="shared" ca="1" si="173"/>
        <v>6.25</v>
      </c>
      <c r="N5205" s="143">
        <f ca="1">(PRODUCT($O$5:$O5205)-1)*36000/_xlfn.DAYS(L5205, $C$2)</f>
        <v>11.338129813727344</v>
      </c>
      <c r="O5205" s="149">
        <f t="shared" ca="1" si="174"/>
        <v>1.000173611111111</v>
      </c>
    </row>
    <row r="5206" spans="12:15" x14ac:dyDescent="0.25">
      <c r="L5206" s="147">
        <f ca="1"/>
        <v>50445</v>
      </c>
      <c r="M5206" s="92">
        <f t="shared" ca="1" si="173"/>
        <v>6.25</v>
      </c>
      <c r="N5206" s="143">
        <f ca="1">(PRODUCT($O$5:$O5206)-1)*36000/_xlfn.DAYS(L5206, $C$2)</f>
        <v>11.339119750338066</v>
      </c>
      <c r="O5206" s="149">
        <f t="shared" ca="1" si="174"/>
        <v>1.000173611111111</v>
      </c>
    </row>
    <row r="5207" spans="12:15" x14ac:dyDescent="0.25">
      <c r="L5207" s="147">
        <f ca="1"/>
        <v>50446</v>
      </c>
      <c r="M5207" s="92">
        <f t="shared" ca="1" si="173"/>
        <v>6.25</v>
      </c>
      <c r="N5207" s="143">
        <f ca="1">(PRODUCT($O$5:$O5207)-1)*36000/_xlfn.DAYS(L5207, $C$2)</f>
        <v>11.340109856579501</v>
      </c>
      <c r="O5207" s="149">
        <f t="shared" ca="1" si="174"/>
        <v>1.000173611111111</v>
      </c>
    </row>
    <row r="5208" spans="12:15" x14ac:dyDescent="0.25">
      <c r="L5208" s="147">
        <f ca="1"/>
        <v>50447</v>
      </c>
      <c r="M5208" s="92">
        <f t="shared" ca="1" si="173"/>
        <v>6.25</v>
      </c>
      <c r="N5208" s="143">
        <f ca="1">(PRODUCT($O$5:$O5208)-1)*36000/_xlfn.DAYS(L5208, $C$2)</f>
        <v>11.341100132449352</v>
      </c>
      <c r="O5208" s="149">
        <f t="shared" ca="1" si="174"/>
        <v>1.000173611111111</v>
      </c>
    </row>
    <row r="5209" spans="12:15" x14ac:dyDescent="0.25">
      <c r="L5209" s="147">
        <f ca="1"/>
        <v>50448</v>
      </c>
      <c r="M5209" s="92">
        <f t="shared" ca="1" si="173"/>
        <v>6.25</v>
      </c>
      <c r="N5209" s="143">
        <f ca="1">(PRODUCT($O$5:$O5209)-1)*36000/_xlfn.DAYS(L5209, $C$2)</f>
        <v>11.342090577945346</v>
      </c>
      <c r="O5209" s="149">
        <f t="shared" ca="1" si="174"/>
        <v>1.000173611111111</v>
      </c>
    </row>
    <row r="5210" spans="12:15" x14ac:dyDescent="0.25">
      <c r="L5210" s="147">
        <f ca="1"/>
        <v>50449</v>
      </c>
      <c r="M5210" s="92">
        <f t="shared" ca="1" si="173"/>
        <v>6.25</v>
      </c>
      <c r="N5210" s="143">
        <f ca="1">(PRODUCT($O$5:$O5210)-1)*36000/_xlfn.DAYS(L5210, $C$2)</f>
        <v>11.343081193065226</v>
      </c>
      <c r="O5210" s="149">
        <f t="shared" ca="1" si="174"/>
        <v>1.000173611111111</v>
      </c>
    </row>
    <row r="5211" spans="12:15" x14ac:dyDescent="0.25">
      <c r="L5211" s="147">
        <f ca="1"/>
        <v>50450</v>
      </c>
      <c r="M5211" s="92">
        <f t="shared" ca="1" si="173"/>
        <v>6.25</v>
      </c>
      <c r="N5211" s="143">
        <f ca="1">(PRODUCT($O$5:$O5211)-1)*36000/_xlfn.DAYS(L5211, $C$2)</f>
        <v>11.344071977806752</v>
      </c>
      <c r="O5211" s="149">
        <f t="shared" ca="1" si="174"/>
        <v>1.000173611111111</v>
      </c>
    </row>
    <row r="5212" spans="12:15" x14ac:dyDescent="0.25">
      <c r="L5212" s="147">
        <f ca="1"/>
        <v>50451</v>
      </c>
      <c r="M5212" s="92">
        <f t="shared" ca="1" si="173"/>
        <v>6.25</v>
      </c>
      <c r="N5212" s="143">
        <f ca="1">(PRODUCT($O$5:$O5212)-1)*36000/_xlfn.DAYS(L5212, $C$2)</f>
        <v>11.345062932167707</v>
      </c>
      <c r="O5212" s="149">
        <f t="shared" ca="1" si="174"/>
        <v>1.000173611111111</v>
      </c>
    </row>
    <row r="5213" spans="12:15" x14ac:dyDescent="0.25">
      <c r="L5213" s="147">
        <f ca="1"/>
        <v>50452</v>
      </c>
      <c r="M5213" s="92">
        <f t="shared" ca="1" si="173"/>
        <v>6.25</v>
      </c>
      <c r="N5213" s="143">
        <f ca="1">(PRODUCT($O$5:$O5213)-1)*36000/_xlfn.DAYS(L5213, $C$2)</f>
        <v>11.346054056145883</v>
      </c>
      <c r="O5213" s="149">
        <f t="shared" ca="1" si="174"/>
        <v>1.000173611111111</v>
      </c>
    </row>
    <row r="5214" spans="12:15" x14ac:dyDescent="0.25">
      <c r="L5214" s="147">
        <f ca="1"/>
        <v>50453</v>
      </c>
      <c r="M5214" s="92">
        <f t="shared" ca="1" si="173"/>
        <v>6.25</v>
      </c>
      <c r="N5214" s="143">
        <f ca="1">(PRODUCT($O$5:$O5214)-1)*36000/_xlfn.DAYS(L5214, $C$2)</f>
        <v>11.347045349739101</v>
      </c>
      <c r="O5214" s="149">
        <f t="shared" ca="1" si="174"/>
        <v>1.000173611111111</v>
      </c>
    </row>
    <row r="5215" spans="12:15" x14ac:dyDescent="0.25">
      <c r="L5215" s="147">
        <f ca="1"/>
        <v>50454</v>
      </c>
      <c r="M5215" s="92">
        <f t="shared" ca="1" si="173"/>
        <v>6.25</v>
      </c>
      <c r="N5215" s="143">
        <f ca="1">(PRODUCT($O$5:$O5215)-1)*36000/_xlfn.DAYS(L5215, $C$2)</f>
        <v>11.348036812945194</v>
      </c>
      <c r="O5215" s="149">
        <f t="shared" ca="1" si="174"/>
        <v>1.000173611111111</v>
      </c>
    </row>
    <row r="5216" spans="12:15" x14ac:dyDescent="0.25">
      <c r="L5216" s="147">
        <f ca="1"/>
        <v>50455</v>
      </c>
      <c r="M5216" s="92">
        <f t="shared" ca="1" si="173"/>
        <v>6.25</v>
      </c>
      <c r="N5216" s="143">
        <f ca="1">(PRODUCT($O$5:$O5216)-1)*36000/_xlfn.DAYS(L5216, $C$2)</f>
        <v>11.349028445762013</v>
      </c>
      <c r="O5216" s="149">
        <f t="shared" ca="1" si="174"/>
        <v>1.000173611111111</v>
      </c>
    </row>
    <row r="5217" spans="12:15" x14ac:dyDescent="0.25">
      <c r="L5217" s="147">
        <f ca="1"/>
        <v>50456</v>
      </c>
      <c r="M5217" s="92">
        <f t="shared" ca="1" si="173"/>
        <v>6.25</v>
      </c>
      <c r="N5217" s="143">
        <f ca="1">(PRODUCT($O$5:$O5217)-1)*36000/_xlfn.DAYS(L5217, $C$2)</f>
        <v>11.350020248187427</v>
      </c>
      <c r="O5217" s="149">
        <f t="shared" ca="1" si="174"/>
        <v>1.000173611111111</v>
      </c>
    </row>
    <row r="5218" spans="12:15" x14ac:dyDescent="0.25">
      <c r="L5218" s="147">
        <f ca="1"/>
        <v>50457</v>
      </c>
      <c r="M5218" s="92">
        <f t="shared" ca="1" si="173"/>
        <v>6.25</v>
      </c>
      <c r="N5218" s="143">
        <f ca="1">(PRODUCT($O$5:$O5218)-1)*36000/_xlfn.DAYS(L5218, $C$2)</f>
        <v>11.35101222021933</v>
      </c>
      <c r="O5218" s="149">
        <f t="shared" ca="1" si="174"/>
        <v>1.000173611111111</v>
      </c>
    </row>
    <row r="5219" spans="12:15" x14ac:dyDescent="0.25">
      <c r="L5219" s="147">
        <f ca="1"/>
        <v>50458</v>
      </c>
      <c r="M5219" s="92">
        <f t="shared" ca="1" si="173"/>
        <v>6.25</v>
      </c>
      <c r="N5219" s="143">
        <f ca="1">(PRODUCT($O$5:$O5219)-1)*36000/_xlfn.DAYS(L5219, $C$2)</f>
        <v>11.352004361855625</v>
      </c>
      <c r="O5219" s="149">
        <f t="shared" ca="1" si="174"/>
        <v>1.000173611111111</v>
      </c>
    </row>
    <row r="5220" spans="12:15" x14ac:dyDescent="0.25">
      <c r="L5220" s="147">
        <f ca="1"/>
        <v>50459</v>
      </c>
      <c r="M5220" s="92">
        <f t="shared" ca="1" si="173"/>
        <v>6.25</v>
      </c>
      <c r="N5220" s="143">
        <f ca="1">(PRODUCT($O$5:$O5220)-1)*36000/_xlfn.DAYS(L5220, $C$2)</f>
        <v>11.352996673094241</v>
      </c>
      <c r="O5220" s="149">
        <f t="shared" ca="1" si="174"/>
        <v>1.000173611111111</v>
      </c>
    </row>
    <row r="5221" spans="12:15" x14ac:dyDescent="0.25">
      <c r="L5221" s="147">
        <f ca="1"/>
        <v>50460</v>
      </c>
      <c r="M5221" s="92">
        <f t="shared" ca="1" si="173"/>
        <v>6.25</v>
      </c>
      <c r="N5221" s="143">
        <f ca="1">(PRODUCT($O$5:$O5221)-1)*36000/_xlfn.DAYS(L5221, $C$2)</f>
        <v>11.353989153933119</v>
      </c>
      <c r="O5221" s="149">
        <f t="shared" ca="1" si="174"/>
        <v>1.000173611111111</v>
      </c>
    </row>
    <row r="5222" spans="12:15" x14ac:dyDescent="0.25">
      <c r="L5222" s="147">
        <f ca="1"/>
        <v>50461</v>
      </c>
      <c r="M5222" s="92">
        <f t="shared" ca="1" si="173"/>
        <v>6.25</v>
      </c>
      <c r="N5222" s="143">
        <f ca="1">(PRODUCT($O$5:$O5222)-1)*36000/_xlfn.DAYS(L5222, $C$2)</f>
        <v>11.354981804370221</v>
      </c>
      <c r="O5222" s="149">
        <f t="shared" ca="1" si="174"/>
        <v>1.000173611111111</v>
      </c>
    </row>
    <row r="5223" spans="12:15" x14ac:dyDescent="0.25">
      <c r="L5223" s="147">
        <f ca="1"/>
        <v>50462</v>
      </c>
      <c r="M5223" s="92">
        <f t="shared" ca="1" si="173"/>
        <v>6.25</v>
      </c>
      <c r="N5223" s="143">
        <f ca="1">(PRODUCT($O$5:$O5223)-1)*36000/_xlfn.DAYS(L5223, $C$2)</f>
        <v>11.355974624403524</v>
      </c>
      <c r="O5223" s="149">
        <f t="shared" ca="1" si="174"/>
        <v>1.000173611111111</v>
      </c>
    </row>
    <row r="5224" spans="12:15" x14ac:dyDescent="0.25">
      <c r="L5224" s="147">
        <f ca="1"/>
        <v>50463</v>
      </c>
      <c r="M5224" s="92">
        <f t="shared" ca="1" si="173"/>
        <v>6.25</v>
      </c>
      <c r="N5224" s="143">
        <f ca="1">(PRODUCT($O$5:$O5224)-1)*36000/_xlfn.DAYS(L5224, $C$2)</f>
        <v>11.35696761403103</v>
      </c>
      <c r="O5224" s="149">
        <f t="shared" ca="1" si="174"/>
        <v>1.000173611111111</v>
      </c>
    </row>
    <row r="5225" spans="12:15" x14ac:dyDescent="0.25">
      <c r="L5225" s="147">
        <f ca="1"/>
        <v>50464</v>
      </c>
      <c r="M5225" s="92">
        <f t="shared" ca="1" si="173"/>
        <v>6.25</v>
      </c>
      <c r="N5225" s="143">
        <f ca="1">(PRODUCT($O$5:$O5225)-1)*36000/_xlfn.DAYS(L5225, $C$2)</f>
        <v>11.357960773250753</v>
      </c>
      <c r="O5225" s="149">
        <f t="shared" ca="1" si="174"/>
        <v>1.000173611111111</v>
      </c>
    </row>
    <row r="5226" spans="12:15" x14ac:dyDescent="0.25">
      <c r="L5226" s="147">
        <f ca="1"/>
        <v>50465</v>
      </c>
      <c r="M5226" s="92">
        <f t="shared" ca="1" si="173"/>
        <v>6.25</v>
      </c>
      <c r="N5226" s="143">
        <f ca="1">(PRODUCT($O$5:$O5226)-1)*36000/_xlfn.DAYS(L5226, $C$2)</f>
        <v>11.358954102060729</v>
      </c>
      <c r="O5226" s="149">
        <f t="shared" ca="1" si="174"/>
        <v>1.000173611111111</v>
      </c>
    </row>
    <row r="5227" spans="12:15" x14ac:dyDescent="0.25">
      <c r="L5227" s="147">
        <f ca="1"/>
        <v>50466</v>
      </c>
      <c r="M5227" s="92">
        <f t="shared" ca="1" si="173"/>
        <v>6.25</v>
      </c>
      <c r="N5227" s="143">
        <f ca="1">(PRODUCT($O$5:$O5227)-1)*36000/_xlfn.DAYS(L5227, $C$2)</f>
        <v>11.359947600459007</v>
      </c>
      <c r="O5227" s="149">
        <f t="shared" ca="1" si="174"/>
        <v>1.000173611111111</v>
      </c>
    </row>
    <row r="5228" spans="12:15" x14ac:dyDescent="0.25">
      <c r="L5228" s="147">
        <f ca="1"/>
        <v>50467</v>
      </c>
      <c r="M5228" s="92">
        <f t="shared" ca="1" si="173"/>
        <v>6.25</v>
      </c>
      <c r="N5228" s="143">
        <f ca="1">(PRODUCT($O$5:$O5228)-1)*36000/_xlfn.DAYS(L5228, $C$2)</f>
        <v>11.360941268443661</v>
      </c>
      <c r="O5228" s="149">
        <f t="shared" ca="1" si="174"/>
        <v>1.000173611111111</v>
      </c>
    </row>
    <row r="5229" spans="12:15" x14ac:dyDescent="0.25">
      <c r="L5229" s="147">
        <f ca="1"/>
        <v>50468</v>
      </c>
      <c r="M5229" s="92">
        <f t="shared" ca="1" si="173"/>
        <v>6.25</v>
      </c>
      <c r="N5229" s="143">
        <f ca="1">(PRODUCT($O$5:$O5229)-1)*36000/_xlfn.DAYS(L5229, $C$2)</f>
        <v>11.361935106012774</v>
      </c>
      <c r="O5229" s="149">
        <f t="shared" ca="1" si="174"/>
        <v>1.000173611111111</v>
      </c>
    </row>
    <row r="5230" spans="12:15" x14ac:dyDescent="0.25">
      <c r="L5230" s="147">
        <f ca="1"/>
        <v>50469</v>
      </c>
      <c r="M5230" s="92">
        <f t="shared" ca="1" si="173"/>
        <v>6.25</v>
      </c>
      <c r="N5230" s="143">
        <f ca="1">(PRODUCT($O$5:$O5230)-1)*36000/_xlfn.DAYS(L5230, $C$2)</f>
        <v>11.362929113164459</v>
      </c>
      <c r="O5230" s="149">
        <f t="shared" ca="1" si="174"/>
        <v>1.000173611111111</v>
      </c>
    </row>
    <row r="5231" spans="12:15" x14ac:dyDescent="0.25">
      <c r="L5231" s="147">
        <f ca="1"/>
        <v>50470</v>
      </c>
      <c r="M5231" s="92">
        <f t="shared" ca="1" si="173"/>
        <v>6.25</v>
      </c>
      <c r="N5231" s="143">
        <f ca="1">(PRODUCT($O$5:$O5231)-1)*36000/_xlfn.DAYS(L5231, $C$2)</f>
        <v>11.363923289896833</v>
      </c>
      <c r="O5231" s="149">
        <f t="shared" ca="1" si="174"/>
        <v>1.000173611111111</v>
      </c>
    </row>
    <row r="5232" spans="12:15" x14ac:dyDescent="0.25">
      <c r="L5232" s="147">
        <f ca="1"/>
        <v>50471</v>
      </c>
      <c r="M5232" s="92">
        <f t="shared" ca="1" si="173"/>
        <v>6.25</v>
      </c>
      <c r="N5232" s="143">
        <f ca="1">(PRODUCT($O$5:$O5232)-1)*36000/_xlfn.DAYS(L5232, $C$2)</f>
        <v>11.364917636208045</v>
      </c>
      <c r="O5232" s="149">
        <f t="shared" ca="1" si="174"/>
        <v>1.000173611111111</v>
      </c>
    </row>
    <row r="5233" spans="12:15" x14ac:dyDescent="0.25">
      <c r="L5233" s="147">
        <f ca="1"/>
        <v>50472</v>
      </c>
      <c r="M5233" s="92">
        <f t="shared" ca="1" si="173"/>
        <v>6.25</v>
      </c>
      <c r="N5233" s="143">
        <f ca="1">(PRODUCT($O$5:$O5233)-1)*36000/_xlfn.DAYS(L5233, $C$2)</f>
        <v>11.36591215209625</v>
      </c>
      <c r="O5233" s="149">
        <f t="shared" ca="1" si="174"/>
        <v>1.000173611111111</v>
      </c>
    </row>
    <row r="5234" spans="12:15" x14ac:dyDescent="0.25">
      <c r="L5234" s="147">
        <f ca="1"/>
        <v>50473</v>
      </c>
      <c r="M5234" s="92">
        <f t="shared" ca="1" si="173"/>
        <v>6.25</v>
      </c>
      <c r="N5234" s="143">
        <f ca="1">(PRODUCT($O$5:$O5234)-1)*36000/_xlfn.DAYS(L5234, $C$2)</f>
        <v>11.366906837559627</v>
      </c>
      <c r="O5234" s="149">
        <f t="shared" ca="1" si="174"/>
        <v>1.000173611111111</v>
      </c>
    </row>
    <row r="5235" spans="12:15" x14ac:dyDescent="0.25">
      <c r="L5235" s="147">
        <f ca="1"/>
        <v>50474</v>
      </c>
      <c r="M5235" s="92">
        <f t="shared" ca="1" si="173"/>
        <v>6.25</v>
      </c>
      <c r="N5235" s="143">
        <f ca="1">(PRODUCT($O$5:$O5235)-1)*36000/_xlfn.DAYS(L5235, $C$2)</f>
        <v>11.367901692596375</v>
      </c>
      <c r="O5235" s="149">
        <f t="shared" ca="1" si="174"/>
        <v>1.000173611111111</v>
      </c>
    </row>
    <row r="5236" spans="12:15" x14ac:dyDescent="0.25">
      <c r="L5236" s="147">
        <f ca="1"/>
        <v>50475</v>
      </c>
      <c r="M5236" s="92">
        <f t="shared" ca="1" si="173"/>
        <v>6.25</v>
      </c>
      <c r="N5236" s="143">
        <f ca="1">(PRODUCT($O$5:$O5236)-1)*36000/_xlfn.DAYS(L5236, $C$2)</f>
        <v>11.368896717204706</v>
      </c>
      <c r="O5236" s="149">
        <f t="shared" ca="1" si="174"/>
        <v>1.000173611111111</v>
      </c>
    </row>
    <row r="5237" spans="12:15" x14ac:dyDescent="0.25">
      <c r="L5237" s="147">
        <f ca="1"/>
        <v>50476</v>
      </c>
      <c r="M5237" s="92">
        <f t="shared" ca="1" si="173"/>
        <v>6.25</v>
      </c>
      <c r="N5237" s="143">
        <f ca="1">(PRODUCT($O$5:$O5237)-1)*36000/_xlfn.DAYS(L5237, $C$2)</f>
        <v>11.369891911382853</v>
      </c>
      <c r="O5237" s="149">
        <f t="shared" ca="1" si="174"/>
        <v>1.000173611111111</v>
      </c>
    </row>
    <row r="5238" spans="12:15" x14ac:dyDescent="0.25">
      <c r="L5238" s="147">
        <f ca="1"/>
        <v>50477</v>
      </c>
      <c r="M5238" s="92">
        <f t="shared" ca="1" si="173"/>
        <v>6.25</v>
      </c>
      <c r="N5238" s="143">
        <f ca="1">(PRODUCT($O$5:$O5238)-1)*36000/_xlfn.DAYS(L5238, $C$2)</f>
        <v>11.370887275129066</v>
      </c>
      <c r="O5238" s="149">
        <f t="shared" ca="1" si="174"/>
        <v>1.000173611111111</v>
      </c>
    </row>
    <row r="5239" spans="12:15" x14ac:dyDescent="0.25">
      <c r="L5239" s="147">
        <f ca="1"/>
        <v>50478</v>
      </c>
      <c r="M5239" s="92">
        <f t="shared" ca="1" si="173"/>
        <v>6.25</v>
      </c>
      <c r="N5239" s="143">
        <f ca="1">(PRODUCT($O$5:$O5239)-1)*36000/_xlfn.DAYS(L5239, $C$2)</f>
        <v>11.371882808441615</v>
      </c>
      <c r="O5239" s="149">
        <f t="shared" ca="1" si="174"/>
        <v>1.000173611111111</v>
      </c>
    </row>
    <row r="5240" spans="12:15" x14ac:dyDescent="0.25">
      <c r="L5240" s="147">
        <f ca="1"/>
        <v>50479</v>
      </c>
      <c r="M5240" s="92">
        <f t="shared" ca="1" si="173"/>
        <v>6.25</v>
      </c>
      <c r="N5240" s="143">
        <f ca="1">(PRODUCT($O$5:$O5240)-1)*36000/_xlfn.DAYS(L5240, $C$2)</f>
        <v>11.372878511318781</v>
      </c>
      <c r="O5240" s="149">
        <f t="shared" ca="1" si="174"/>
        <v>1.000173611111111</v>
      </c>
    </row>
    <row r="5241" spans="12:15" x14ac:dyDescent="0.25">
      <c r="L5241" s="147">
        <f ca="1"/>
        <v>50480</v>
      </c>
      <c r="M5241" s="92">
        <f t="shared" ca="1" si="173"/>
        <v>6.25</v>
      </c>
      <c r="N5241" s="143">
        <f ca="1">(PRODUCT($O$5:$O5241)-1)*36000/_xlfn.DAYS(L5241, $C$2)</f>
        <v>11.373874383758871</v>
      </c>
      <c r="O5241" s="149">
        <f t="shared" ca="1" si="174"/>
        <v>1.000173611111111</v>
      </c>
    </row>
    <row r="5242" spans="12:15" x14ac:dyDescent="0.25">
      <c r="L5242" s="147">
        <f ca="1"/>
        <v>50481</v>
      </c>
      <c r="M5242" s="92">
        <f t="shared" ca="1" si="173"/>
        <v>6.25</v>
      </c>
      <c r="N5242" s="143">
        <f ca="1">(PRODUCT($O$5:$O5242)-1)*36000/_xlfn.DAYS(L5242, $C$2)</f>
        <v>11.374870425760204</v>
      </c>
      <c r="O5242" s="149">
        <f t="shared" ca="1" si="174"/>
        <v>1.000173611111111</v>
      </c>
    </row>
    <row r="5243" spans="12:15" x14ac:dyDescent="0.25">
      <c r="L5243" s="147">
        <f ca="1"/>
        <v>50482</v>
      </c>
      <c r="M5243" s="92">
        <f t="shared" ca="1" si="173"/>
        <v>6.25</v>
      </c>
      <c r="N5243" s="143">
        <f ca="1">(PRODUCT($O$5:$O5243)-1)*36000/_xlfn.DAYS(L5243, $C$2)</f>
        <v>11.375866637321122</v>
      </c>
      <c r="O5243" s="149">
        <f t="shared" ca="1" si="174"/>
        <v>1.000173611111111</v>
      </c>
    </row>
    <row r="5244" spans="12:15" x14ac:dyDescent="0.25">
      <c r="L5244" s="147">
        <f ca="1"/>
        <v>50483</v>
      </c>
      <c r="M5244" s="92">
        <f t="shared" ca="1" si="173"/>
        <v>6.25</v>
      </c>
      <c r="N5244" s="143">
        <f ca="1">(PRODUCT($O$5:$O5244)-1)*36000/_xlfn.DAYS(L5244, $C$2)</f>
        <v>11.376863018439984</v>
      </c>
      <c r="O5244" s="149">
        <f t="shared" ca="1" si="174"/>
        <v>1.000173611111111</v>
      </c>
    </row>
    <row r="5245" spans="12:15" x14ac:dyDescent="0.25">
      <c r="L5245" s="147">
        <f ca="1"/>
        <v>50484</v>
      </c>
      <c r="M5245" s="92">
        <f t="shared" ca="1" si="173"/>
        <v>6.25</v>
      </c>
      <c r="N5245" s="143">
        <f ca="1">(PRODUCT($O$5:$O5245)-1)*36000/_xlfn.DAYS(L5245, $C$2)</f>
        <v>11.377859569115163</v>
      </c>
      <c r="O5245" s="149">
        <f t="shared" ca="1" si="174"/>
        <v>1.000173611111111</v>
      </c>
    </row>
    <row r="5246" spans="12:15" x14ac:dyDescent="0.25">
      <c r="L5246" s="147">
        <f ca="1"/>
        <v>50485</v>
      </c>
      <c r="M5246" s="92">
        <f t="shared" ca="1" si="173"/>
        <v>6.25</v>
      </c>
      <c r="N5246" s="143">
        <f ca="1">(PRODUCT($O$5:$O5246)-1)*36000/_xlfn.DAYS(L5246, $C$2)</f>
        <v>11.378856289345048</v>
      </c>
      <c r="O5246" s="149">
        <f t="shared" ca="1" si="174"/>
        <v>1.000173611111111</v>
      </c>
    </row>
    <row r="5247" spans="12:15" x14ac:dyDescent="0.25">
      <c r="L5247" s="147">
        <f ca="1"/>
        <v>50486</v>
      </c>
      <c r="M5247" s="92">
        <f t="shared" ca="1" si="173"/>
        <v>6.25</v>
      </c>
      <c r="N5247" s="143">
        <f ca="1">(PRODUCT($O$5:$O5247)-1)*36000/_xlfn.DAYS(L5247, $C$2)</f>
        <v>11.379853179128055</v>
      </c>
      <c r="O5247" s="149">
        <f t="shared" ca="1" si="174"/>
        <v>1.000173611111111</v>
      </c>
    </row>
    <row r="5248" spans="12:15" x14ac:dyDescent="0.25">
      <c r="L5248" s="147">
        <f ca="1"/>
        <v>50487</v>
      </c>
      <c r="M5248" s="92">
        <f t="shared" ca="1" si="173"/>
        <v>6.25</v>
      </c>
      <c r="N5248" s="143">
        <f ca="1">(PRODUCT($O$5:$O5248)-1)*36000/_xlfn.DAYS(L5248, $C$2)</f>
        <v>11.38085023846261</v>
      </c>
      <c r="O5248" s="149">
        <f t="shared" ca="1" si="174"/>
        <v>1.000173611111111</v>
      </c>
    </row>
    <row r="5249" spans="12:15" x14ac:dyDescent="0.25">
      <c r="L5249" s="147">
        <f ca="1"/>
        <v>50488</v>
      </c>
      <c r="M5249" s="92">
        <f t="shared" ca="1" si="173"/>
        <v>6.25</v>
      </c>
      <c r="N5249" s="143">
        <f ca="1">(PRODUCT($O$5:$O5249)-1)*36000/_xlfn.DAYS(L5249, $C$2)</f>
        <v>11.381847467347161</v>
      </c>
      <c r="O5249" s="149">
        <f t="shared" ca="1" si="174"/>
        <v>1.000173611111111</v>
      </c>
    </row>
    <row r="5250" spans="12:15" x14ac:dyDescent="0.25">
      <c r="L5250" s="147">
        <f ca="1"/>
        <v>50489</v>
      </c>
      <c r="M5250" s="92">
        <f t="shared" ca="1" si="173"/>
        <v>6.25</v>
      </c>
      <c r="N5250" s="143">
        <f ca="1">(PRODUCT($O$5:$O5250)-1)*36000/_xlfn.DAYS(L5250, $C$2)</f>
        <v>11.38284486578017</v>
      </c>
      <c r="O5250" s="149">
        <f t="shared" ca="1" si="174"/>
        <v>1.000173611111111</v>
      </c>
    </row>
    <row r="5251" spans="12:15" x14ac:dyDescent="0.25">
      <c r="L5251" s="147">
        <f ca="1"/>
        <v>50490</v>
      </c>
      <c r="M5251" s="92">
        <f t="shared" ca="1" si="173"/>
        <v>6.25</v>
      </c>
      <c r="N5251" s="143">
        <f ca="1">(PRODUCT($O$5:$O5251)-1)*36000/_xlfn.DAYS(L5251, $C$2)</f>
        <v>11.383842433760117</v>
      </c>
      <c r="O5251" s="149">
        <f t="shared" ca="1" si="174"/>
        <v>1.000173611111111</v>
      </c>
    </row>
    <row r="5252" spans="12:15" x14ac:dyDescent="0.25">
      <c r="L5252" s="147">
        <f ca="1"/>
        <v>50491</v>
      </c>
      <c r="M5252" s="92">
        <f t="shared" ca="1" si="173"/>
        <v>6.25</v>
      </c>
      <c r="N5252" s="143">
        <f ca="1">(PRODUCT($O$5:$O5252)-1)*36000/_xlfn.DAYS(L5252, $C$2)</f>
        <v>11.384840171285504</v>
      </c>
      <c r="O5252" s="149">
        <f t="shared" ca="1" si="174"/>
        <v>1.000173611111111</v>
      </c>
    </row>
    <row r="5253" spans="12:15" x14ac:dyDescent="0.25">
      <c r="L5253" s="147">
        <f ca="1"/>
        <v>50492</v>
      </c>
      <c r="M5253" s="92">
        <f t="shared" ref="M5253:M5316" ca="1" si="175">IFERROR(INDEX($E$27:$H$47, MATCH(L5253, $F$27:$F$47, 0), 4), IF(ISNUMBER(M5252), M5252, $C$5))</f>
        <v>6.25</v>
      </c>
      <c r="N5253" s="143">
        <f ca="1">(PRODUCT($O$5:$O5253)-1)*36000/_xlfn.DAYS(L5253, $C$2)</f>
        <v>11.385838078354848</v>
      </c>
      <c r="O5253" s="149">
        <f t="shared" ca="1" si="174"/>
        <v>1.000173611111111</v>
      </c>
    </row>
    <row r="5254" spans="12:15" x14ac:dyDescent="0.25">
      <c r="L5254" s="147">
        <f ca="1"/>
        <v>50493</v>
      </c>
      <c r="M5254" s="92">
        <f t="shared" ca="1" si="175"/>
        <v>6.25</v>
      </c>
      <c r="N5254" s="143">
        <f ca="1">(PRODUCT($O$5:$O5254)-1)*36000/_xlfn.DAYS(L5254, $C$2)</f>
        <v>11.386836154966684</v>
      </c>
      <c r="O5254" s="149">
        <f t="shared" ref="O5254:O5317" ca="1" si="176">1+M5254*IFERROR(_xlfn.DAYS(L5254, L5253), _xlfn.DAYS(L5254, $C$2))/36000</f>
        <v>1.000173611111111</v>
      </c>
    </row>
    <row r="5255" spans="12:15" x14ac:dyDescent="0.25">
      <c r="L5255" s="147">
        <f ca="1"/>
        <v>50494</v>
      </c>
      <c r="M5255" s="92">
        <f t="shared" ca="1" si="175"/>
        <v>6.25</v>
      </c>
      <c r="N5255" s="143">
        <f ca="1">(PRODUCT($O$5:$O5255)-1)*36000/_xlfn.DAYS(L5255, $C$2)</f>
        <v>11.387834401119564</v>
      </c>
      <c r="O5255" s="149">
        <f t="shared" ca="1" si="176"/>
        <v>1.000173611111111</v>
      </c>
    </row>
    <row r="5256" spans="12:15" x14ac:dyDescent="0.25">
      <c r="L5256" s="147">
        <f ca="1"/>
        <v>50495</v>
      </c>
      <c r="M5256" s="92">
        <f t="shared" ca="1" si="175"/>
        <v>6.25</v>
      </c>
      <c r="N5256" s="143">
        <f ca="1">(PRODUCT($O$5:$O5256)-1)*36000/_xlfn.DAYS(L5256, $C$2)</f>
        <v>11.388832816812057</v>
      </c>
      <c r="O5256" s="149">
        <f t="shared" ca="1" si="176"/>
        <v>1.000173611111111</v>
      </c>
    </row>
    <row r="5257" spans="12:15" x14ac:dyDescent="0.25">
      <c r="L5257" s="147">
        <f ca="1"/>
        <v>50496</v>
      </c>
      <c r="M5257" s="92">
        <f t="shared" ca="1" si="175"/>
        <v>6.25</v>
      </c>
      <c r="N5257" s="143">
        <f ca="1">(PRODUCT($O$5:$O5257)-1)*36000/_xlfn.DAYS(L5257, $C$2)</f>
        <v>11.389831402042752</v>
      </c>
      <c r="O5257" s="149">
        <f t="shared" ca="1" si="176"/>
        <v>1.000173611111111</v>
      </c>
    </row>
    <row r="5258" spans="12:15" x14ac:dyDescent="0.25">
      <c r="L5258" s="147">
        <f ca="1"/>
        <v>50497</v>
      </c>
      <c r="M5258" s="92">
        <f t="shared" ca="1" si="175"/>
        <v>6.25</v>
      </c>
      <c r="N5258" s="143">
        <f ca="1">(PRODUCT($O$5:$O5258)-1)*36000/_xlfn.DAYS(L5258, $C$2)</f>
        <v>11.390830156810255</v>
      </c>
      <c r="O5258" s="149">
        <f t="shared" ca="1" si="176"/>
        <v>1.000173611111111</v>
      </c>
    </row>
    <row r="5259" spans="12:15" x14ac:dyDescent="0.25">
      <c r="L5259" s="147">
        <f ca="1"/>
        <v>50498</v>
      </c>
      <c r="M5259" s="92">
        <f t="shared" ca="1" si="175"/>
        <v>6.25</v>
      </c>
      <c r="N5259" s="143">
        <f ca="1">(PRODUCT($O$5:$O5259)-1)*36000/_xlfn.DAYS(L5259, $C$2)</f>
        <v>11.391829081113187</v>
      </c>
      <c r="O5259" s="149">
        <f t="shared" ca="1" si="176"/>
        <v>1.000173611111111</v>
      </c>
    </row>
    <row r="5260" spans="12:15" x14ac:dyDescent="0.25">
      <c r="L5260" s="147">
        <f ca="1"/>
        <v>50499</v>
      </c>
      <c r="M5260" s="92">
        <f t="shared" ca="1" si="175"/>
        <v>6.25</v>
      </c>
      <c r="N5260" s="143">
        <f ca="1">(PRODUCT($O$5:$O5260)-1)*36000/_xlfn.DAYS(L5260, $C$2)</f>
        <v>11.392828174950191</v>
      </c>
      <c r="O5260" s="149">
        <f t="shared" ca="1" si="176"/>
        <v>1.000173611111111</v>
      </c>
    </row>
    <row r="5261" spans="12:15" x14ac:dyDescent="0.25">
      <c r="L5261" s="147">
        <f ca="1"/>
        <v>50500</v>
      </c>
      <c r="M5261" s="92">
        <f t="shared" ca="1" si="175"/>
        <v>6.25</v>
      </c>
      <c r="N5261" s="143">
        <f ca="1">(PRODUCT($O$5:$O5261)-1)*36000/_xlfn.DAYS(L5261, $C$2)</f>
        <v>11.393827438319923</v>
      </c>
      <c r="O5261" s="149">
        <f t="shared" ca="1" si="176"/>
        <v>1.000173611111111</v>
      </c>
    </row>
    <row r="5262" spans="12:15" x14ac:dyDescent="0.25">
      <c r="L5262" s="147">
        <f ca="1"/>
        <v>50501</v>
      </c>
      <c r="M5262" s="92">
        <f t="shared" ca="1" si="175"/>
        <v>6.25</v>
      </c>
      <c r="N5262" s="143">
        <f ca="1">(PRODUCT($O$5:$O5262)-1)*36000/_xlfn.DAYS(L5262, $C$2)</f>
        <v>11.39482687122106</v>
      </c>
      <c r="O5262" s="149">
        <f t="shared" ca="1" si="176"/>
        <v>1.000173611111111</v>
      </c>
    </row>
    <row r="5263" spans="12:15" x14ac:dyDescent="0.25">
      <c r="L5263" s="147">
        <f ca="1"/>
        <v>50502</v>
      </c>
      <c r="M5263" s="92">
        <f t="shared" ca="1" si="175"/>
        <v>6.25</v>
      </c>
      <c r="N5263" s="143">
        <f ca="1">(PRODUCT($O$5:$O5263)-1)*36000/_xlfn.DAYS(L5263, $C$2)</f>
        <v>11.395826473652294</v>
      </c>
      <c r="O5263" s="149">
        <f t="shared" ca="1" si="176"/>
        <v>1.000173611111111</v>
      </c>
    </row>
    <row r="5264" spans="12:15" x14ac:dyDescent="0.25">
      <c r="L5264" s="147">
        <f ca="1"/>
        <v>50503</v>
      </c>
      <c r="M5264" s="92">
        <f t="shared" ca="1" si="175"/>
        <v>6.25</v>
      </c>
      <c r="N5264" s="143">
        <f ca="1">(PRODUCT($O$5:$O5264)-1)*36000/_xlfn.DAYS(L5264, $C$2)</f>
        <v>11.39682624561234</v>
      </c>
      <c r="O5264" s="149">
        <f t="shared" ca="1" si="176"/>
        <v>1.000173611111111</v>
      </c>
    </row>
    <row r="5265" spans="12:15" x14ac:dyDescent="0.25">
      <c r="L5265" s="147">
        <f ca="1"/>
        <v>50504</v>
      </c>
      <c r="M5265" s="92">
        <f t="shared" ca="1" si="175"/>
        <v>6.25</v>
      </c>
      <c r="N5265" s="143">
        <f ca="1">(PRODUCT($O$5:$O5265)-1)*36000/_xlfn.DAYS(L5265, $C$2)</f>
        <v>11.397826187099923</v>
      </c>
      <c r="O5265" s="149">
        <f t="shared" ca="1" si="176"/>
        <v>1.000173611111111</v>
      </c>
    </row>
    <row r="5266" spans="12:15" x14ac:dyDescent="0.25">
      <c r="L5266" s="147">
        <f ca="1"/>
        <v>50505</v>
      </c>
      <c r="M5266" s="92">
        <f t="shared" ca="1" si="175"/>
        <v>6.25</v>
      </c>
      <c r="N5266" s="143">
        <f ca="1">(PRODUCT($O$5:$O5266)-1)*36000/_xlfn.DAYS(L5266, $C$2)</f>
        <v>11.398826298113791</v>
      </c>
      <c r="O5266" s="149">
        <f t="shared" ca="1" si="176"/>
        <v>1.000173611111111</v>
      </c>
    </row>
    <row r="5267" spans="12:15" x14ac:dyDescent="0.25">
      <c r="L5267" s="147">
        <f ca="1"/>
        <v>50506</v>
      </c>
      <c r="M5267" s="92">
        <f t="shared" ca="1" si="175"/>
        <v>6.25</v>
      </c>
      <c r="N5267" s="143">
        <f ca="1">(PRODUCT($O$5:$O5267)-1)*36000/_xlfn.DAYS(L5267, $C$2)</f>
        <v>11.399826578652704</v>
      </c>
      <c r="O5267" s="149">
        <f t="shared" ca="1" si="176"/>
        <v>1.000173611111111</v>
      </c>
    </row>
    <row r="5268" spans="12:15" x14ac:dyDescent="0.25">
      <c r="L5268" s="147">
        <f ca="1"/>
        <v>50507</v>
      </c>
      <c r="M5268" s="92">
        <f t="shared" ca="1" si="175"/>
        <v>6.25</v>
      </c>
      <c r="N5268" s="143">
        <f ca="1">(PRODUCT($O$5:$O5268)-1)*36000/_xlfn.DAYS(L5268, $C$2)</f>
        <v>11.400827028715446</v>
      </c>
      <c r="O5268" s="149">
        <f t="shared" ca="1" si="176"/>
        <v>1.000173611111111</v>
      </c>
    </row>
    <row r="5269" spans="12:15" x14ac:dyDescent="0.25">
      <c r="L5269" s="147">
        <f ca="1"/>
        <v>50508</v>
      </c>
      <c r="M5269" s="92">
        <f t="shared" ca="1" si="175"/>
        <v>6.25</v>
      </c>
      <c r="N5269" s="143">
        <f ca="1">(PRODUCT($O$5:$O5269)-1)*36000/_xlfn.DAYS(L5269, $C$2)</f>
        <v>11.401827648300815</v>
      </c>
      <c r="O5269" s="149">
        <f t="shared" ca="1" si="176"/>
        <v>1.000173611111111</v>
      </c>
    </row>
    <row r="5270" spans="12:15" x14ac:dyDescent="0.25">
      <c r="L5270" s="147">
        <f ca="1"/>
        <v>50509</v>
      </c>
      <c r="M5270" s="92">
        <f t="shared" ca="1" si="175"/>
        <v>6.25</v>
      </c>
      <c r="N5270" s="143">
        <f ca="1">(PRODUCT($O$5:$O5270)-1)*36000/_xlfn.DAYS(L5270, $C$2)</f>
        <v>11.402828437407626</v>
      </c>
      <c r="O5270" s="149">
        <f t="shared" ca="1" si="176"/>
        <v>1.000173611111111</v>
      </c>
    </row>
    <row r="5271" spans="12:15" x14ac:dyDescent="0.25">
      <c r="L5271" s="147">
        <f ca="1"/>
        <v>50510</v>
      </c>
      <c r="M5271" s="92">
        <f t="shared" ca="1" si="175"/>
        <v>6.25</v>
      </c>
      <c r="N5271" s="143">
        <f ca="1">(PRODUCT($O$5:$O5271)-1)*36000/_xlfn.DAYS(L5271, $C$2)</f>
        <v>11.403829396034713</v>
      </c>
      <c r="O5271" s="149">
        <f t="shared" ca="1" si="176"/>
        <v>1.000173611111111</v>
      </c>
    </row>
    <row r="5272" spans="12:15" x14ac:dyDescent="0.25">
      <c r="L5272" s="147">
        <f ca="1"/>
        <v>50511</v>
      </c>
      <c r="M5272" s="92">
        <f t="shared" ca="1" si="175"/>
        <v>6.25</v>
      </c>
      <c r="N5272" s="143">
        <f ca="1">(PRODUCT($O$5:$O5272)-1)*36000/_xlfn.DAYS(L5272, $C$2)</f>
        <v>11.404830524180925</v>
      </c>
      <c r="O5272" s="149">
        <f t="shared" ca="1" si="176"/>
        <v>1.000173611111111</v>
      </c>
    </row>
    <row r="5273" spans="12:15" x14ac:dyDescent="0.25">
      <c r="L5273" s="147">
        <f ca="1"/>
        <v>50512</v>
      </c>
      <c r="M5273" s="92">
        <f t="shared" ca="1" si="175"/>
        <v>6.25</v>
      </c>
      <c r="N5273" s="143">
        <f ca="1">(PRODUCT($O$5:$O5273)-1)*36000/_xlfn.DAYS(L5273, $C$2)</f>
        <v>11.405831821845135</v>
      </c>
      <c r="O5273" s="149">
        <f t="shared" ca="1" si="176"/>
        <v>1.000173611111111</v>
      </c>
    </row>
    <row r="5274" spans="12:15" x14ac:dyDescent="0.25">
      <c r="L5274" s="147">
        <f ca="1"/>
        <v>50513</v>
      </c>
      <c r="M5274" s="92">
        <f t="shared" ca="1" si="175"/>
        <v>6.25</v>
      </c>
      <c r="N5274" s="143">
        <f ca="1">(PRODUCT($O$5:$O5274)-1)*36000/_xlfn.DAYS(L5274, $C$2)</f>
        <v>11.406833289026226</v>
      </c>
      <c r="O5274" s="149">
        <f t="shared" ca="1" si="176"/>
        <v>1.000173611111111</v>
      </c>
    </row>
    <row r="5275" spans="12:15" x14ac:dyDescent="0.25">
      <c r="L5275" s="147">
        <f ca="1"/>
        <v>50514</v>
      </c>
      <c r="M5275" s="92">
        <f t="shared" ca="1" si="175"/>
        <v>6.25</v>
      </c>
      <c r="N5275" s="143">
        <f ca="1">(PRODUCT($O$5:$O5275)-1)*36000/_xlfn.DAYS(L5275, $C$2)</f>
        <v>11.407834925723099</v>
      </c>
      <c r="O5275" s="149">
        <f t="shared" ca="1" si="176"/>
        <v>1.000173611111111</v>
      </c>
    </row>
    <row r="5276" spans="12:15" x14ac:dyDescent="0.25">
      <c r="L5276" s="147">
        <f ca="1"/>
        <v>50515</v>
      </c>
      <c r="M5276" s="92">
        <f t="shared" ca="1" si="175"/>
        <v>6.25</v>
      </c>
      <c r="N5276" s="143">
        <f ca="1">(PRODUCT($O$5:$O5276)-1)*36000/_xlfn.DAYS(L5276, $C$2)</f>
        <v>11.408836731934677</v>
      </c>
      <c r="O5276" s="149">
        <f t="shared" ca="1" si="176"/>
        <v>1.000173611111111</v>
      </c>
    </row>
    <row r="5277" spans="12:15" x14ac:dyDescent="0.25">
      <c r="L5277" s="147">
        <f ca="1"/>
        <v>50516</v>
      </c>
      <c r="M5277" s="92">
        <f t="shared" ca="1" si="175"/>
        <v>6.25</v>
      </c>
      <c r="N5277" s="143">
        <f ca="1">(PRODUCT($O$5:$O5277)-1)*36000/_xlfn.DAYS(L5277, $C$2)</f>
        <v>11.409838707659896</v>
      </c>
      <c r="O5277" s="149">
        <f t="shared" ca="1" si="176"/>
        <v>1.000173611111111</v>
      </c>
    </row>
    <row r="5278" spans="12:15" x14ac:dyDescent="0.25">
      <c r="L5278" s="147">
        <f ca="1"/>
        <v>50517</v>
      </c>
      <c r="M5278" s="92">
        <f t="shared" ca="1" si="175"/>
        <v>6.25</v>
      </c>
      <c r="N5278" s="143">
        <f ca="1">(PRODUCT($O$5:$O5278)-1)*36000/_xlfn.DAYS(L5278, $C$2)</f>
        <v>11.410840852897715</v>
      </c>
      <c r="O5278" s="149">
        <f t="shared" ca="1" si="176"/>
        <v>1.000173611111111</v>
      </c>
    </row>
    <row r="5279" spans="12:15" x14ac:dyDescent="0.25">
      <c r="L5279" s="147">
        <f ca="1"/>
        <v>50518</v>
      </c>
      <c r="M5279" s="92">
        <f t="shared" ca="1" si="175"/>
        <v>6.25</v>
      </c>
      <c r="N5279" s="143">
        <f ca="1">(PRODUCT($O$5:$O5279)-1)*36000/_xlfn.DAYS(L5279, $C$2)</f>
        <v>11.411843167647104</v>
      </c>
      <c r="O5279" s="149">
        <f t="shared" ca="1" si="176"/>
        <v>1.000173611111111</v>
      </c>
    </row>
    <row r="5280" spans="12:15" x14ac:dyDescent="0.25">
      <c r="L5280" s="147">
        <f ca="1"/>
        <v>50519</v>
      </c>
      <c r="M5280" s="92">
        <f t="shared" ca="1" si="175"/>
        <v>6.25</v>
      </c>
      <c r="N5280" s="143">
        <f ca="1">(PRODUCT($O$5:$O5280)-1)*36000/_xlfn.DAYS(L5280, $C$2)</f>
        <v>11.412845651907054</v>
      </c>
      <c r="O5280" s="149">
        <f t="shared" ca="1" si="176"/>
        <v>1.000173611111111</v>
      </c>
    </row>
    <row r="5281" spans="12:15" x14ac:dyDescent="0.25">
      <c r="L5281" s="147">
        <f ca="1"/>
        <v>50520</v>
      </c>
      <c r="M5281" s="92">
        <f t="shared" ca="1" si="175"/>
        <v>6.25</v>
      </c>
      <c r="N5281" s="143">
        <f ca="1">(PRODUCT($O$5:$O5281)-1)*36000/_xlfn.DAYS(L5281, $C$2)</f>
        <v>11.41384830567657</v>
      </c>
      <c r="O5281" s="149">
        <f t="shared" ca="1" si="176"/>
        <v>1.000173611111111</v>
      </c>
    </row>
    <row r="5282" spans="12:15" x14ac:dyDescent="0.25">
      <c r="L5282" s="147">
        <f ca="1"/>
        <v>50521</v>
      </c>
      <c r="M5282" s="92">
        <f t="shared" ca="1" si="175"/>
        <v>6.25</v>
      </c>
      <c r="N5282" s="143">
        <f ca="1">(PRODUCT($O$5:$O5282)-1)*36000/_xlfn.DAYS(L5282, $C$2)</f>
        <v>11.414851128954679</v>
      </c>
      <c r="O5282" s="149">
        <f t="shared" ca="1" si="176"/>
        <v>1.000173611111111</v>
      </c>
    </row>
    <row r="5283" spans="12:15" x14ac:dyDescent="0.25">
      <c r="L5283" s="147">
        <f ca="1"/>
        <v>50522</v>
      </c>
      <c r="M5283" s="92">
        <f t="shared" ca="1" si="175"/>
        <v>6.25</v>
      </c>
      <c r="N5283" s="143">
        <f ca="1">(PRODUCT($O$5:$O5283)-1)*36000/_xlfn.DAYS(L5283, $C$2)</f>
        <v>11.415854121740423</v>
      </c>
      <c r="O5283" s="149">
        <f t="shared" ca="1" si="176"/>
        <v>1.000173611111111</v>
      </c>
    </row>
    <row r="5284" spans="12:15" x14ac:dyDescent="0.25">
      <c r="L5284" s="147">
        <f ca="1"/>
        <v>50523</v>
      </c>
      <c r="M5284" s="92">
        <f t="shared" ca="1" si="175"/>
        <v>6.25</v>
      </c>
      <c r="N5284" s="143">
        <f ca="1">(PRODUCT($O$5:$O5284)-1)*36000/_xlfn.DAYS(L5284, $C$2)</f>
        <v>11.41685728403286</v>
      </c>
      <c r="O5284" s="149">
        <f t="shared" ca="1" si="176"/>
        <v>1.000173611111111</v>
      </c>
    </row>
    <row r="5285" spans="12:15" x14ac:dyDescent="0.25">
      <c r="L5285" s="147">
        <f ca="1"/>
        <v>50524</v>
      </c>
      <c r="M5285" s="92">
        <f t="shared" ca="1" si="175"/>
        <v>6.25</v>
      </c>
      <c r="N5285" s="143">
        <f ca="1">(PRODUCT($O$5:$O5285)-1)*36000/_xlfn.DAYS(L5285, $C$2)</f>
        <v>11.417860615831064</v>
      </c>
      <c r="O5285" s="149">
        <f t="shared" ca="1" si="176"/>
        <v>1.000173611111111</v>
      </c>
    </row>
    <row r="5286" spans="12:15" x14ac:dyDescent="0.25">
      <c r="L5286" s="147">
        <f ca="1"/>
        <v>50525</v>
      </c>
      <c r="M5286" s="92">
        <f t="shared" ca="1" si="175"/>
        <v>6.25</v>
      </c>
      <c r="N5286" s="143">
        <f ca="1">(PRODUCT($O$5:$O5286)-1)*36000/_xlfn.DAYS(L5286, $C$2)</f>
        <v>11.418864117134131</v>
      </c>
      <c r="O5286" s="149">
        <f t="shared" ca="1" si="176"/>
        <v>1.000173611111111</v>
      </c>
    </row>
    <row r="5287" spans="12:15" x14ac:dyDescent="0.25">
      <c r="L5287" s="147">
        <f ca="1"/>
        <v>50526</v>
      </c>
      <c r="M5287" s="92">
        <f t="shared" ca="1" si="175"/>
        <v>6.25</v>
      </c>
      <c r="N5287" s="143">
        <f ca="1">(PRODUCT($O$5:$O5287)-1)*36000/_xlfn.DAYS(L5287, $C$2)</f>
        <v>11.419867787941172</v>
      </c>
      <c r="O5287" s="149">
        <f t="shared" ca="1" si="176"/>
        <v>1.000173611111111</v>
      </c>
    </row>
    <row r="5288" spans="12:15" x14ac:dyDescent="0.25">
      <c r="L5288" s="147">
        <f ca="1"/>
        <v>50527</v>
      </c>
      <c r="M5288" s="92">
        <f t="shared" ca="1" si="175"/>
        <v>6.25</v>
      </c>
      <c r="N5288" s="143">
        <f ca="1">(PRODUCT($O$5:$O5288)-1)*36000/_xlfn.DAYS(L5288, $C$2)</f>
        <v>11.420871628251314</v>
      </c>
      <c r="O5288" s="149">
        <f t="shared" ca="1" si="176"/>
        <v>1.000173611111111</v>
      </c>
    </row>
    <row r="5289" spans="12:15" x14ac:dyDescent="0.25">
      <c r="L5289" s="147">
        <f ca="1"/>
        <v>50528</v>
      </c>
      <c r="M5289" s="92">
        <f t="shared" ca="1" si="175"/>
        <v>6.25</v>
      </c>
      <c r="N5289" s="143">
        <f ca="1">(PRODUCT($O$5:$O5289)-1)*36000/_xlfn.DAYS(L5289, $C$2)</f>
        <v>11.421875638063705</v>
      </c>
      <c r="O5289" s="149">
        <f t="shared" ca="1" si="176"/>
        <v>1.000173611111111</v>
      </c>
    </row>
    <row r="5290" spans="12:15" x14ac:dyDescent="0.25">
      <c r="L5290" s="147">
        <f ca="1"/>
        <v>50529</v>
      </c>
      <c r="M5290" s="92">
        <f t="shared" ca="1" si="175"/>
        <v>6.25</v>
      </c>
      <c r="N5290" s="143">
        <f ca="1">(PRODUCT($O$5:$O5290)-1)*36000/_xlfn.DAYS(L5290, $C$2)</f>
        <v>11.422879817377506</v>
      </c>
      <c r="O5290" s="149">
        <f t="shared" ca="1" si="176"/>
        <v>1.000173611111111</v>
      </c>
    </row>
    <row r="5291" spans="12:15" x14ac:dyDescent="0.25">
      <c r="L5291" s="147">
        <f ca="1"/>
        <v>50530</v>
      </c>
      <c r="M5291" s="92">
        <f t="shared" ca="1" si="175"/>
        <v>6.25</v>
      </c>
      <c r="N5291" s="143">
        <f ca="1">(PRODUCT($O$5:$O5291)-1)*36000/_xlfn.DAYS(L5291, $C$2)</f>
        <v>11.423884166191897</v>
      </c>
      <c r="O5291" s="149">
        <f t="shared" ca="1" si="176"/>
        <v>1.000173611111111</v>
      </c>
    </row>
    <row r="5292" spans="12:15" x14ac:dyDescent="0.25">
      <c r="L5292" s="147">
        <f ca="1"/>
        <v>50531</v>
      </c>
      <c r="M5292" s="92">
        <f t="shared" ca="1" si="175"/>
        <v>6.25</v>
      </c>
      <c r="N5292" s="143">
        <f ca="1">(PRODUCT($O$5:$O5292)-1)*36000/_xlfn.DAYS(L5292, $C$2)</f>
        <v>11.424888684506076</v>
      </c>
      <c r="O5292" s="149">
        <f t="shared" ca="1" si="176"/>
        <v>1.000173611111111</v>
      </c>
    </row>
    <row r="5293" spans="12:15" x14ac:dyDescent="0.25">
      <c r="L5293" s="147">
        <f ca="1"/>
        <v>50532</v>
      </c>
      <c r="M5293" s="92">
        <f t="shared" ca="1" si="175"/>
        <v>6.25</v>
      </c>
      <c r="N5293" s="143">
        <f ca="1">(PRODUCT($O$5:$O5293)-1)*36000/_xlfn.DAYS(L5293, $C$2)</f>
        <v>11.425893372319253</v>
      </c>
      <c r="O5293" s="149">
        <f t="shared" ca="1" si="176"/>
        <v>1.000173611111111</v>
      </c>
    </row>
    <row r="5294" spans="12:15" x14ac:dyDescent="0.25">
      <c r="L5294" s="147">
        <f ca="1"/>
        <v>50533</v>
      </c>
      <c r="M5294" s="92">
        <f t="shared" ca="1" si="175"/>
        <v>6.25</v>
      </c>
      <c r="N5294" s="143">
        <f ca="1">(PRODUCT($O$5:$O5294)-1)*36000/_xlfn.DAYS(L5294, $C$2)</f>
        <v>11.426898229630662</v>
      </c>
      <c r="O5294" s="149">
        <f t="shared" ca="1" si="176"/>
        <v>1.000173611111111</v>
      </c>
    </row>
    <row r="5295" spans="12:15" x14ac:dyDescent="0.25">
      <c r="L5295" s="147">
        <f ca="1"/>
        <v>50534</v>
      </c>
      <c r="M5295" s="92">
        <f t="shared" ca="1" si="175"/>
        <v>6.25</v>
      </c>
      <c r="N5295" s="143">
        <f ca="1">(PRODUCT($O$5:$O5295)-1)*36000/_xlfn.DAYS(L5295, $C$2)</f>
        <v>11.427903256439555</v>
      </c>
      <c r="O5295" s="149">
        <f t="shared" ca="1" si="176"/>
        <v>1.000173611111111</v>
      </c>
    </row>
    <row r="5296" spans="12:15" x14ac:dyDescent="0.25">
      <c r="L5296" s="147">
        <f ca="1"/>
        <v>50535</v>
      </c>
      <c r="M5296" s="92">
        <f t="shared" ca="1" si="175"/>
        <v>6.25</v>
      </c>
      <c r="N5296" s="143">
        <f ca="1">(PRODUCT($O$5:$O5296)-1)*36000/_xlfn.DAYS(L5296, $C$2)</f>
        <v>11.428908452745191</v>
      </c>
      <c r="O5296" s="149">
        <f t="shared" ca="1" si="176"/>
        <v>1.000173611111111</v>
      </c>
    </row>
    <row r="5297" spans="12:15" x14ac:dyDescent="0.25">
      <c r="L5297" s="147">
        <f ca="1"/>
        <v>50536</v>
      </c>
      <c r="M5297" s="92">
        <f t="shared" ca="1" si="175"/>
        <v>6.25</v>
      </c>
      <c r="N5297" s="143">
        <f ca="1">(PRODUCT($O$5:$O5297)-1)*36000/_xlfn.DAYS(L5297, $C$2)</f>
        <v>11.429913818546854</v>
      </c>
      <c r="O5297" s="149">
        <f t="shared" ca="1" si="176"/>
        <v>1.000173611111111</v>
      </c>
    </row>
    <row r="5298" spans="12:15" x14ac:dyDescent="0.25">
      <c r="L5298" s="147">
        <f ca="1"/>
        <v>50537</v>
      </c>
      <c r="M5298" s="92">
        <f t="shared" ca="1" si="175"/>
        <v>6.25</v>
      </c>
      <c r="N5298" s="143">
        <f ca="1">(PRODUCT($O$5:$O5298)-1)*36000/_xlfn.DAYS(L5298, $C$2)</f>
        <v>11.430919353843848</v>
      </c>
      <c r="O5298" s="149">
        <f t="shared" ca="1" si="176"/>
        <v>1.000173611111111</v>
      </c>
    </row>
    <row r="5299" spans="12:15" x14ac:dyDescent="0.25">
      <c r="L5299" s="147">
        <f ca="1"/>
        <v>50538</v>
      </c>
      <c r="M5299" s="92">
        <f t="shared" ca="1" si="175"/>
        <v>6.25</v>
      </c>
      <c r="N5299" s="143">
        <f ca="1">(PRODUCT($O$5:$O5299)-1)*36000/_xlfn.DAYS(L5299, $C$2)</f>
        <v>11.431925058635484</v>
      </c>
      <c r="O5299" s="149">
        <f t="shared" ca="1" si="176"/>
        <v>1.000173611111111</v>
      </c>
    </row>
    <row r="5300" spans="12:15" x14ac:dyDescent="0.25">
      <c r="L5300" s="147">
        <f ca="1"/>
        <v>50539</v>
      </c>
      <c r="M5300" s="92">
        <f t="shared" ca="1" si="175"/>
        <v>6.25</v>
      </c>
      <c r="N5300" s="143">
        <f ca="1">(PRODUCT($O$5:$O5300)-1)*36000/_xlfn.DAYS(L5300, $C$2)</f>
        <v>11.432930932921098</v>
      </c>
      <c r="O5300" s="149">
        <f t="shared" ca="1" si="176"/>
        <v>1.000173611111111</v>
      </c>
    </row>
    <row r="5301" spans="12:15" x14ac:dyDescent="0.25">
      <c r="L5301" s="147">
        <f ca="1"/>
        <v>50540</v>
      </c>
      <c r="M5301" s="92">
        <f t="shared" ca="1" si="175"/>
        <v>6.25</v>
      </c>
      <c r="N5301" s="143">
        <f ca="1">(PRODUCT($O$5:$O5301)-1)*36000/_xlfn.DAYS(L5301, $C$2)</f>
        <v>11.433936976700043</v>
      </c>
      <c r="O5301" s="149">
        <f t="shared" ca="1" si="176"/>
        <v>1.000173611111111</v>
      </c>
    </row>
    <row r="5302" spans="12:15" x14ac:dyDescent="0.25">
      <c r="L5302" s="147">
        <f ca="1"/>
        <v>50541</v>
      </c>
      <c r="M5302" s="92">
        <f t="shared" ca="1" si="175"/>
        <v>6.25</v>
      </c>
      <c r="N5302" s="143">
        <f ca="1">(PRODUCT($O$5:$O5302)-1)*36000/_xlfn.DAYS(L5302, $C$2)</f>
        <v>11.434943189971682</v>
      </c>
      <c r="O5302" s="149">
        <f t="shared" ca="1" si="176"/>
        <v>1.000173611111111</v>
      </c>
    </row>
    <row r="5303" spans="12:15" x14ac:dyDescent="0.25">
      <c r="L5303" s="147">
        <f ca="1"/>
        <v>50542</v>
      </c>
      <c r="M5303" s="92">
        <f t="shared" ca="1" si="175"/>
        <v>6.25</v>
      </c>
      <c r="N5303" s="143">
        <f ca="1">(PRODUCT($O$5:$O5303)-1)*36000/_xlfn.DAYS(L5303, $C$2)</f>
        <v>11.435949572735405</v>
      </c>
      <c r="O5303" s="149">
        <f t="shared" ca="1" si="176"/>
        <v>1.000173611111111</v>
      </c>
    </row>
    <row r="5304" spans="12:15" x14ac:dyDescent="0.25">
      <c r="L5304" s="147">
        <f ca="1"/>
        <v>50543</v>
      </c>
      <c r="M5304" s="92">
        <f t="shared" ca="1" si="175"/>
        <v>6.25</v>
      </c>
      <c r="N5304" s="143">
        <f ca="1">(PRODUCT($O$5:$O5304)-1)*36000/_xlfn.DAYS(L5304, $C$2)</f>
        <v>11.43695612499061</v>
      </c>
      <c r="O5304" s="149">
        <f t="shared" ca="1" si="176"/>
        <v>1.000173611111111</v>
      </c>
    </row>
    <row r="5305" spans="12:15" x14ac:dyDescent="0.25">
      <c r="L5305" s="147">
        <f ca="1"/>
        <v>50544</v>
      </c>
      <c r="M5305" s="92">
        <f t="shared" ca="1" si="175"/>
        <v>6.25</v>
      </c>
      <c r="N5305" s="143">
        <f ca="1">(PRODUCT($O$5:$O5305)-1)*36000/_xlfn.DAYS(L5305, $C$2)</f>
        <v>11.437962846736719</v>
      </c>
      <c r="O5305" s="149">
        <f t="shared" ca="1" si="176"/>
        <v>1.000173611111111</v>
      </c>
    </row>
    <row r="5306" spans="12:15" x14ac:dyDescent="0.25">
      <c r="L5306" s="147">
        <f ca="1"/>
        <v>50545</v>
      </c>
      <c r="M5306" s="92">
        <f t="shared" ca="1" si="175"/>
        <v>6.25</v>
      </c>
      <c r="N5306" s="143">
        <f ca="1">(PRODUCT($O$5:$O5306)-1)*36000/_xlfn.DAYS(L5306, $C$2)</f>
        <v>11.438969737973165</v>
      </c>
      <c r="O5306" s="149">
        <f t="shared" ca="1" si="176"/>
        <v>1.000173611111111</v>
      </c>
    </row>
    <row r="5307" spans="12:15" x14ac:dyDescent="0.25">
      <c r="L5307" s="147">
        <f ca="1"/>
        <v>50546</v>
      </c>
      <c r="M5307" s="92">
        <f t="shared" ca="1" si="175"/>
        <v>6.25</v>
      </c>
      <c r="N5307" s="143">
        <f ca="1">(PRODUCT($O$5:$O5307)-1)*36000/_xlfn.DAYS(L5307, $C$2)</f>
        <v>11.439976798699403</v>
      </c>
      <c r="O5307" s="149">
        <f t="shared" ca="1" si="176"/>
        <v>1.000173611111111</v>
      </c>
    </row>
    <row r="5308" spans="12:15" x14ac:dyDescent="0.25">
      <c r="L5308" s="147">
        <f ca="1"/>
        <v>50547</v>
      </c>
      <c r="M5308" s="92">
        <f t="shared" ca="1" si="175"/>
        <v>6.25</v>
      </c>
      <c r="N5308" s="143">
        <f ca="1">(PRODUCT($O$5:$O5308)-1)*36000/_xlfn.DAYS(L5308, $C$2)</f>
        <v>11.440984028914906</v>
      </c>
      <c r="O5308" s="149">
        <f t="shared" ca="1" si="176"/>
        <v>1.000173611111111</v>
      </c>
    </row>
    <row r="5309" spans="12:15" x14ac:dyDescent="0.25">
      <c r="L5309" s="147">
        <f ca="1"/>
        <v>50548</v>
      </c>
      <c r="M5309" s="92">
        <f t="shared" ca="1" si="175"/>
        <v>6.25</v>
      </c>
      <c r="N5309" s="143">
        <f ca="1">(PRODUCT($O$5:$O5309)-1)*36000/_xlfn.DAYS(L5309, $C$2)</f>
        <v>11.441991428619151</v>
      </c>
      <c r="O5309" s="149">
        <f t="shared" ca="1" si="176"/>
        <v>1.000173611111111</v>
      </c>
    </row>
    <row r="5310" spans="12:15" x14ac:dyDescent="0.25">
      <c r="L5310" s="147">
        <f ca="1"/>
        <v>50549</v>
      </c>
      <c r="M5310" s="92">
        <f t="shared" ca="1" si="175"/>
        <v>6.25</v>
      </c>
      <c r="N5310" s="143">
        <f ca="1">(PRODUCT($O$5:$O5310)-1)*36000/_xlfn.DAYS(L5310, $C$2)</f>
        <v>11.442998997811651</v>
      </c>
      <c r="O5310" s="149">
        <f t="shared" ca="1" si="176"/>
        <v>1.000173611111111</v>
      </c>
    </row>
    <row r="5311" spans="12:15" x14ac:dyDescent="0.25">
      <c r="L5311" s="147">
        <f ca="1"/>
        <v>50550</v>
      </c>
      <c r="M5311" s="92">
        <f t="shared" ca="1" si="175"/>
        <v>6.25</v>
      </c>
      <c r="N5311" s="143">
        <f ca="1">(PRODUCT($O$5:$O5311)-1)*36000/_xlfn.DAYS(L5311, $C$2)</f>
        <v>11.444006736491925</v>
      </c>
      <c r="O5311" s="149">
        <f t="shared" ca="1" si="176"/>
        <v>1.000173611111111</v>
      </c>
    </row>
    <row r="5312" spans="12:15" x14ac:dyDescent="0.25">
      <c r="L5312" s="147">
        <f ca="1"/>
        <v>50551</v>
      </c>
      <c r="M5312" s="92">
        <f t="shared" ca="1" si="175"/>
        <v>6.25</v>
      </c>
      <c r="N5312" s="143">
        <f ca="1">(PRODUCT($O$5:$O5312)-1)*36000/_xlfn.DAYS(L5312, $C$2)</f>
        <v>11.445014644659507</v>
      </c>
      <c r="O5312" s="149">
        <f t="shared" ca="1" si="176"/>
        <v>1.000173611111111</v>
      </c>
    </row>
    <row r="5313" spans="12:15" x14ac:dyDescent="0.25">
      <c r="L5313" s="147">
        <f ca="1"/>
        <v>50552</v>
      </c>
      <c r="M5313" s="92">
        <f t="shared" ca="1" si="175"/>
        <v>6.25</v>
      </c>
      <c r="N5313" s="143">
        <f ca="1">(PRODUCT($O$5:$O5313)-1)*36000/_xlfn.DAYS(L5313, $C$2)</f>
        <v>11.446022722313952</v>
      </c>
      <c r="O5313" s="149">
        <f t="shared" ca="1" si="176"/>
        <v>1.000173611111111</v>
      </c>
    </row>
    <row r="5314" spans="12:15" x14ac:dyDescent="0.25">
      <c r="L5314" s="147">
        <f ca="1"/>
        <v>50553</v>
      </c>
      <c r="M5314" s="92">
        <f t="shared" ca="1" si="175"/>
        <v>6.25</v>
      </c>
      <c r="N5314" s="143">
        <f ca="1">(PRODUCT($O$5:$O5314)-1)*36000/_xlfn.DAYS(L5314, $C$2)</f>
        <v>11.447030969454834</v>
      </c>
      <c r="O5314" s="149">
        <f t="shared" ca="1" si="176"/>
        <v>1.000173611111111</v>
      </c>
    </row>
    <row r="5315" spans="12:15" x14ac:dyDescent="0.25">
      <c r="L5315" s="147">
        <f ca="1"/>
        <v>50554</v>
      </c>
      <c r="M5315" s="92">
        <f t="shared" ca="1" si="175"/>
        <v>6.25</v>
      </c>
      <c r="N5315" s="143">
        <f ca="1">(PRODUCT($O$5:$O5315)-1)*36000/_xlfn.DAYS(L5315, $C$2)</f>
        <v>11.448039386081744</v>
      </c>
      <c r="O5315" s="149">
        <f t="shared" ca="1" si="176"/>
        <v>1.000173611111111</v>
      </c>
    </row>
    <row r="5316" spans="12:15" x14ac:dyDescent="0.25">
      <c r="L5316" s="147">
        <f ca="1"/>
        <v>50555</v>
      </c>
      <c r="M5316" s="92">
        <f t="shared" ca="1" si="175"/>
        <v>6.25</v>
      </c>
      <c r="N5316" s="143">
        <f ca="1">(PRODUCT($O$5:$O5316)-1)*36000/_xlfn.DAYS(L5316, $C$2)</f>
        <v>11.449047972194281</v>
      </c>
      <c r="O5316" s="149">
        <f t="shared" ca="1" si="176"/>
        <v>1.000173611111111</v>
      </c>
    </row>
    <row r="5317" spans="12:15" x14ac:dyDescent="0.25">
      <c r="L5317" s="147">
        <f ca="1"/>
        <v>50556</v>
      </c>
      <c r="M5317" s="92">
        <f t="shared" ref="M5317:M5380" ca="1" si="177">IFERROR(INDEX($E$27:$H$47, MATCH(L5317, $F$27:$F$47, 0), 4), IF(ISNUMBER(M5316), M5316, $C$5))</f>
        <v>6.25</v>
      </c>
      <c r="N5317" s="143">
        <f ca="1">(PRODUCT($O$5:$O5317)-1)*36000/_xlfn.DAYS(L5317, $C$2)</f>
        <v>11.450056727792067</v>
      </c>
      <c r="O5317" s="149">
        <f t="shared" ca="1" si="176"/>
        <v>1.000173611111111</v>
      </c>
    </row>
    <row r="5318" spans="12:15" x14ac:dyDescent="0.25">
      <c r="L5318" s="147">
        <f ca="1"/>
        <v>50557</v>
      </c>
      <c r="M5318" s="92">
        <f t="shared" ca="1" si="177"/>
        <v>6.25</v>
      </c>
      <c r="N5318" s="143">
        <f ca="1">(PRODUCT($O$5:$O5318)-1)*36000/_xlfn.DAYS(L5318, $C$2)</f>
        <v>11.451065652874744</v>
      </c>
      <c r="O5318" s="149">
        <f t="shared" ref="O5318:O5381" ca="1" si="178">1+M5318*IFERROR(_xlfn.DAYS(L5318, L5317), _xlfn.DAYS(L5318, $C$2))/36000</f>
        <v>1.000173611111111</v>
      </c>
    </row>
    <row r="5319" spans="12:15" x14ac:dyDescent="0.25">
      <c r="L5319" s="147">
        <f ca="1"/>
        <v>50558</v>
      </c>
      <c r="M5319" s="92">
        <f t="shared" ca="1" si="177"/>
        <v>6.25</v>
      </c>
      <c r="N5319" s="143">
        <f ca="1">(PRODUCT($O$5:$O5319)-1)*36000/_xlfn.DAYS(L5319, $C$2)</f>
        <v>11.452074747441966</v>
      </c>
      <c r="O5319" s="149">
        <f t="shared" ca="1" si="178"/>
        <v>1.000173611111111</v>
      </c>
    </row>
    <row r="5320" spans="12:15" x14ac:dyDescent="0.25">
      <c r="L5320" s="147">
        <f ca="1"/>
        <v>50559</v>
      </c>
      <c r="M5320" s="92">
        <f t="shared" ca="1" si="177"/>
        <v>6.25</v>
      </c>
      <c r="N5320" s="143">
        <f ca="1">(PRODUCT($O$5:$O5320)-1)*36000/_xlfn.DAYS(L5320, $C$2)</f>
        <v>11.453084011493408</v>
      </c>
      <c r="O5320" s="149">
        <f t="shared" ca="1" si="178"/>
        <v>1.000173611111111</v>
      </c>
    </row>
    <row r="5321" spans="12:15" x14ac:dyDescent="0.25">
      <c r="L5321" s="147">
        <f ca="1"/>
        <v>50560</v>
      </c>
      <c r="M5321" s="92">
        <f t="shared" ca="1" si="177"/>
        <v>6.25</v>
      </c>
      <c r="N5321" s="143">
        <f ca="1">(PRODUCT($O$5:$O5321)-1)*36000/_xlfn.DAYS(L5321, $C$2)</f>
        <v>11.454093445028754</v>
      </c>
      <c r="O5321" s="149">
        <f t="shared" ca="1" si="178"/>
        <v>1.000173611111111</v>
      </c>
    </row>
    <row r="5322" spans="12:15" x14ac:dyDescent="0.25">
      <c r="L5322" s="147">
        <f ca="1"/>
        <v>50561</v>
      </c>
      <c r="M5322" s="92">
        <f t="shared" ca="1" si="177"/>
        <v>6.25</v>
      </c>
      <c r="N5322" s="143">
        <f ca="1">(PRODUCT($O$5:$O5322)-1)*36000/_xlfn.DAYS(L5322, $C$2)</f>
        <v>11.455103048047715</v>
      </c>
      <c r="O5322" s="149">
        <f t="shared" ca="1" si="178"/>
        <v>1.000173611111111</v>
      </c>
    </row>
    <row r="5323" spans="12:15" x14ac:dyDescent="0.25">
      <c r="L5323" s="147">
        <f ca="1"/>
        <v>50562</v>
      </c>
      <c r="M5323" s="92">
        <f t="shared" ca="1" si="177"/>
        <v>6.25</v>
      </c>
      <c r="N5323" s="143">
        <f ca="1">(PRODUCT($O$5:$O5323)-1)*36000/_xlfn.DAYS(L5323, $C$2)</f>
        <v>11.456112820550008</v>
      </c>
      <c r="O5323" s="149">
        <f t="shared" ca="1" si="178"/>
        <v>1.000173611111111</v>
      </c>
    </row>
    <row r="5324" spans="12:15" x14ac:dyDescent="0.25">
      <c r="L5324" s="147">
        <f ca="1"/>
        <v>50563</v>
      </c>
      <c r="M5324" s="92">
        <f t="shared" ca="1" si="177"/>
        <v>6.25</v>
      </c>
      <c r="N5324" s="143">
        <f ca="1">(PRODUCT($O$5:$O5324)-1)*36000/_xlfn.DAYS(L5324, $C$2)</f>
        <v>11.457122762535377</v>
      </c>
      <c r="O5324" s="149">
        <f t="shared" ca="1" si="178"/>
        <v>1.000173611111111</v>
      </c>
    </row>
    <row r="5325" spans="12:15" x14ac:dyDescent="0.25">
      <c r="L5325" s="147">
        <f ca="1"/>
        <v>50564</v>
      </c>
      <c r="M5325" s="92">
        <f t="shared" ca="1" si="177"/>
        <v>6.25</v>
      </c>
      <c r="N5325" s="143">
        <f ca="1">(PRODUCT($O$5:$O5325)-1)*36000/_xlfn.DAYS(L5325, $C$2)</f>
        <v>11.458132874003578</v>
      </c>
      <c r="O5325" s="149">
        <f t="shared" ca="1" si="178"/>
        <v>1.000173611111111</v>
      </c>
    </row>
    <row r="5326" spans="12:15" x14ac:dyDescent="0.25">
      <c r="L5326" s="147">
        <f ca="1"/>
        <v>50565</v>
      </c>
      <c r="M5326" s="92">
        <f t="shared" ca="1" si="177"/>
        <v>6.25</v>
      </c>
      <c r="N5326" s="143">
        <f ca="1">(PRODUCT($O$5:$O5326)-1)*36000/_xlfn.DAYS(L5326, $C$2)</f>
        <v>11.459143154954383</v>
      </c>
      <c r="O5326" s="149">
        <f t="shared" ca="1" si="178"/>
        <v>1.000173611111111</v>
      </c>
    </row>
    <row r="5327" spans="12:15" x14ac:dyDescent="0.25">
      <c r="L5327" s="147">
        <f ca="1"/>
        <v>50566</v>
      </c>
      <c r="M5327" s="92">
        <f t="shared" ca="1" si="177"/>
        <v>6.25</v>
      </c>
      <c r="N5327" s="143">
        <f ca="1">(PRODUCT($O$5:$O5327)-1)*36000/_xlfn.DAYS(L5327, $C$2)</f>
        <v>11.460153605387582</v>
      </c>
      <c r="O5327" s="149">
        <f t="shared" ca="1" si="178"/>
        <v>1.000173611111111</v>
      </c>
    </row>
    <row r="5328" spans="12:15" x14ac:dyDescent="0.25">
      <c r="L5328" s="147">
        <f ca="1"/>
        <v>50567</v>
      </c>
      <c r="M5328" s="92">
        <f t="shared" ca="1" si="177"/>
        <v>6.25</v>
      </c>
      <c r="N5328" s="143">
        <f ca="1">(PRODUCT($O$5:$O5328)-1)*36000/_xlfn.DAYS(L5328, $C$2)</f>
        <v>11.461164225302982</v>
      </c>
      <c r="O5328" s="149">
        <f t="shared" ca="1" si="178"/>
        <v>1.000173611111111</v>
      </c>
    </row>
    <row r="5329" spans="12:15" x14ac:dyDescent="0.25">
      <c r="L5329" s="147">
        <f ca="1"/>
        <v>50568</v>
      </c>
      <c r="M5329" s="92">
        <f t="shared" ca="1" si="177"/>
        <v>6.25</v>
      </c>
      <c r="N5329" s="143">
        <f ca="1">(PRODUCT($O$5:$O5329)-1)*36000/_xlfn.DAYS(L5329, $C$2)</f>
        <v>11.462175014700405</v>
      </c>
      <c r="O5329" s="149">
        <f t="shared" ca="1" si="178"/>
        <v>1.000173611111111</v>
      </c>
    </row>
    <row r="5330" spans="12:15" x14ac:dyDescent="0.25">
      <c r="L5330" s="147">
        <f ca="1"/>
        <v>50569</v>
      </c>
      <c r="M5330" s="92">
        <f t="shared" ca="1" si="177"/>
        <v>6.25</v>
      </c>
      <c r="N5330" s="143">
        <f ca="1">(PRODUCT($O$5:$O5330)-1)*36000/_xlfn.DAYS(L5330, $C$2)</f>
        <v>11.463185973579689</v>
      </c>
      <c r="O5330" s="149">
        <f t="shared" ca="1" si="178"/>
        <v>1.000173611111111</v>
      </c>
    </row>
    <row r="5331" spans="12:15" x14ac:dyDescent="0.25">
      <c r="L5331" s="147">
        <f ca="1"/>
        <v>50570</v>
      </c>
      <c r="M5331" s="92">
        <f t="shared" ca="1" si="177"/>
        <v>6.25</v>
      </c>
      <c r="N5331" s="143">
        <f ca="1">(PRODUCT($O$5:$O5331)-1)*36000/_xlfn.DAYS(L5331, $C$2)</f>
        <v>11.464197101940693</v>
      </c>
      <c r="O5331" s="149">
        <f t="shared" ca="1" si="178"/>
        <v>1.000173611111111</v>
      </c>
    </row>
    <row r="5332" spans="12:15" x14ac:dyDescent="0.25">
      <c r="L5332" s="147">
        <f ca="1"/>
        <v>50571</v>
      </c>
      <c r="M5332" s="92">
        <f t="shared" ca="1" si="177"/>
        <v>6.25</v>
      </c>
      <c r="N5332" s="143">
        <f ca="1">(PRODUCT($O$5:$O5332)-1)*36000/_xlfn.DAYS(L5332, $C$2)</f>
        <v>11.465208399783288</v>
      </c>
      <c r="O5332" s="149">
        <f t="shared" ca="1" si="178"/>
        <v>1.000173611111111</v>
      </c>
    </row>
    <row r="5333" spans="12:15" x14ac:dyDescent="0.25">
      <c r="L5333" s="147">
        <f ca="1"/>
        <v>50572</v>
      </c>
      <c r="M5333" s="92">
        <f t="shared" ca="1" si="177"/>
        <v>6.25</v>
      </c>
      <c r="N5333" s="143">
        <f ca="1">(PRODUCT($O$5:$O5333)-1)*36000/_xlfn.DAYS(L5333, $C$2)</f>
        <v>11.466219867107364</v>
      </c>
      <c r="O5333" s="149">
        <f t="shared" ca="1" si="178"/>
        <v>1.000173611111111</v>
      </c>
    </row>
    <row r="5334" spans="12:15" x14ac:dyDescent="0.25">
      <c r="L5334" s="147">
        <f ca="1"/>
        <v>50573</v>
      </c>
      <c r="M5334" s="92">
        <f t="shared" ca="1" si="177"/>
        <v>6.25</v>
      </c>
      <c r="N5334" s="143">
        <f ca="1">(PRODUCT($O$5:$O5334)-1)*36000/_xlfn.DAYS(L5334, $C$2)</f>
        <v>11.467231503912831</v>
      </c>
      <c r="O5334" s="149">
        <f t="shared" ca="1" si="178"/>
        <v>1.000173611111111</v>
      </c>
    </row>
    <row r="5335" spans="12:15" x14ac:dyDescent="0.25">
      <c r="L5335" s="147">
        <f ca="1"/>
        <v>50574</v>
      </c>
      <c r="M5335" s="92">
        <f t="shared" ca="1" si="177"/>
        <v>6.25</v>
      </c>
      <c r="N5335" s="143">
        <f ca="1">(PRODUCT($O$5:$O5335)-1)*36000/_xlfn.DAYS(L5335, $C$2)</f>
        <v>11.468243310199606</v>
      </c>
      <c r="O5335" s="149">
        <f t="shared" ca="1" si="178"/>
        <v>1.000173611111111</v>
      </c>
    </row>
    <row r="5336" spans="12:15" x14ac:dyDescent="0.25">
      <c r="L5336" s="147">
        <f ca="1"/>
        <v>50575</v>
      </c>
      <c r="M5336" s="92">
        <f t="shared" ca="1" si="177"/>
        <v>6.25</v>
      </c>
      <c r="N5336" s="143">
        <f ca="1">(PRODUCT($O$5:$O5336)-1)*36000/_xlfn.DAYS(L5336, $C$2)</f>
        <v>11.469255285967632</v>
      </c>
      <c r="O5336" s="149">
        <f t="shared" ca="1" si="178"/>
        <v>1.000173611111111</v>
      </c>
    </row>
    <row r="5337" spans="12:15" x14ac:dyDescent="0.25">
      <c r="L5337" s="147">
        <f ca="1"/>
        <v>50576</v>
      </c>
      <c r="M5337" s="92">
        <f t="shared" ca="1" si="177"/>
        <v>6.25</v>
      </c>
      <c r="N5337" s="143">
        <f ca="1">(PRODUCT($O$5:$O5337)-1)*36000/_xlfn.DAYS(L5337, $C$2)</f>
        <v>11.470267431216866</v>
      </c>
      <c r="O5337" s="149">
        <f t="shared" ca="1" si="178"/>
        <v>1.000173611111111</v>
      </c>
    </row>
    <row r="5338" spans="12:15" x14ac:dyDescent="0.25">
      <c r="L5338" s="147">
        <f ca="1"/>
        <v>50577</v>
      </c>
      <c r="M5338" s="92">
        <f t="shared" ca="1" si="177"/>
        <v>6.25</v>
      </c>
      <c r="N5338" s="143">
        <f ca="1">(PRODUCT($O$5:$O5338)-1)*36000/_xlfn.DAYS(L5338, $C$2)</f>
        <v>11.471279745947276</v>
      </c>
      <c r="O5338" s="149">
        <f t="shared" ca="1" si="178"/>
        <v>1.000173611111111</v>
      </c>
    </row>
    <row r="5339" spans="12:15" x14ac:dyDescent="0.25">
      <c r="L5339" s="147">
        <f ca="1"/>
        <v>50578</v>
      </c>
      <c r="M5339" s="92">
        <f t="shared" ca="1" si="177"/>
        <v>6.25</v>
      </c>
      <c r="N5339" s="143">
        <f ca="1">(PRODUCT($O$5:$O5339)-1)*36000/_xlfn.DAYS(L5339, $C$2)</f>
        <v>11.472292230158855</v>
      </c>
      <c r="O5339" s="149">
        <f t="shared" ca="1" si="178"/>
        <v>1.000173611111111</v>
      </c>
    </row>
    <row r="5340" spans="12:15" x14ac:dyDescent="0.25">
      <c r="L5340" s="147">
        <f ca="1"/>
        <v>50579</v>
      </c>
      <c r="M5340" s="92">
        <f t="shared" ca="1" si="177"/>
        <v>6.25</v>
      </c>
      <c r="N5340" s="143">
        <f ca="1">(PRODUCT($O$5:$O5340)-1)*36000/_xlfn.DAYS(L5340, $C$2)</f>
        <v>11.473304883851611</v>
      </c>
      <c r="O5340" s="149">
        <f t="shared" ca="1" si="178"/>
        <v>1.000173611111111</v>
      </c>
    </row>
    <row r="5341" spans="12:15" x14ac:dyDescent="0.25">
      <c r="L5341" s="147">
        <f ca="1"/>
        <v>50580</v>
      </c>
      <c r="M5341" s="92">
        <f t="shared" ca="1" si="177"/>
        <v>6.25</v>
      </c>
      <c r="N5341" s="143">
        <f ca="1">(PRODUCT($O$5:$O5341)-1)*36000/_xlfn.DAYS(L5341, $C$2)</f>
        <v>11.474317707025559</v>
      </c>
      <c r="O5341" s="149">
        <f t="shared" ca="1" si="178"/>
        <v>1.000173611111111</v>
      </c>
    </row>
    <row r="5342" spans="12:15" x14ac:dyDescent="0.25">
      <c r="L5342" s="147">
        <f ca="1"/>
        <v>50581</v>
      </c>
      <c r="M5342" s="92">
        <f t="shared" ca="1" si="177"/>
        <v>6.25</v>
      </c>
      <c r="N5342" s="143">
        <f ca="1">(PRODUCT($O$5:$O5342)-1)*36000/_xlfn.DAYS(L5342, $C$2)</f>
        <v>11.475330699680747</v>
      </c>
      <c r="O5342" s="149">
        <f t="shared" ca="1" si="178"/>
        <v>1.000173611111111</v>
      </c>
    </row>
    <row r="5343" spans="12:15" x14ac:dyDescent="0.25">
      <c r="L5343" s="147">
        <f ca="1"/>
        <v>50582</v>
      </c>
      <c r="M5343" s="92">
        <f t="shared" ca="1" si="177"/>
        <v>6.25</v>
      </c>
      <c r="N5343" s="143">
        <f ca="1">(PRODUCT($O$5:$O5343)-1)*36000/_xlfn.DAYS(L5343, $C$2)</f>
        <v>11.476343861817222</v>
      </c>
      <c r="O5343" s="149">
        <f t="shared" ca="1" si="178"/>
        <v>1.000173611111111</v>
      </c>
    </row>
    <row r="5344" spans="12:15" x14ac:dyDescent="0.25">
      <c r="L5344" s="147">
        <f ca="1"/>
        <v>50583</v>
      </c>
      <c r="M5344" s="92">
        <f t="shared" ca="1" si="177"/>
        <v>6.25</v>
      </c>
      <c r="N5344" s="143">
        <f ca="1">(PRODUCT($O$5:$O5344)-1)*36000/_xlfn.DAYS(L5344, $C$2)</f>
        <v>11.47735719343506</v>
      </c>
      <c r="O5344" s="149">
        <f t="shared" ca="1" si="178"/>
        <v>1.000173611111111</v>
      </c>
    </row>
    <row r="5345" spans="12:15" x14ac:dyDescent="0.25">
      <c r="L5345" s="147">
        <f ca="1"/>
        <v>50584</v>
      </c>
      <c r="M5345" s="92">
        <f t="shared" ca="1" si="177"/>
        <v>6.25</v>
      </c>
      <c r="N5345" s="143">
        <f ca="1">(PRODUCT($O$5:$O5345)-1)*36000/_xlfn.DAYS(L5345, $C$2)</f>
        <v>11.478370694534348</v>
      </c>
      <c r="O5345" s="149">
        <f t="shared" ca="1" si="178"/>
        <v>1.000173611111111</v>
      </c>
    </row>
    <row r="5346" spans="12:15" x14ac:dyDescent="0.25">
      <c r="L5346" s="147">
        <f ca="1"/>
        <v>50585</v>
      </c>
      <c r="M5346" s="92">
        <f t="shared" ca="1" si="177"/>
        <v>6.25</v>
      </c>
      <c r="N5346" s="143">
        <f ca="1">(PRODUCT($O$5:$O5346)-1)*36000/_xlfn.DAYS(L5346, $C$2)</f>
        <v>11.479384365115195</v>
      </c>
      <c r="O5346" s="149">
        <f t="shared" ca="1" si="178"/>
        <v>1.000173611111111</v>
      </c>
    </row>
    <row r="5347" spans="12:15" x14ac:dyDescent="0.25">
      <c r="L5347" s="147">
        <f ca="1"/>
        <v>50586</v>
      </c>
      <c r="M5347" s="92">
        <f t="shared" ca="1" si="177"/>
        <v>6.25</v>
      </c>
      <c r="N5347" s="143">
        <f ca="1">(PRODUCT($O$5:$O5347)-1)*36000/_xlfn.DAYS(L5347, $C$2)</f>
        <v>11.480398205177714</v>
      </c>
      <c r="O5347" s="149">
        <f t="shared" ca="1" si="178"/>
        <v>1.000173611111111</v>
      </c>
    </row>
    <row r="5348" spans="12:15" x14ac:dyDescent="0.25">
      <c r="L5348" s="147">
        <f ca="1"/>
        <v>50587</v>
      </c>
      <c r="M5348" s="92">
        <f t="shared" ca="1" si="177"/>
        <v>6.25</v>
      </c>
      <c r="N5348" s="143">
        <f ca="1">(PRODUCT($O$5:$O5348)-1)*36000/_xlfn.DAYS(L5348, $C$2)</f>
        <v>11.481412214722051</v>
      </c>
      <c r="O5348" s="149">
        <f t="shared" ca="1" si="178"/>
        <v>1.000173611111111</v>
      </c>
    </row>
    <row r="5349" spans="12:15" x14ac:dyDescent="0.25">
      <c r="L5349" s="147">
        <f ca="1"/>
        <v>50588</v>
      </c>
      <c r="M5349" s="92">
        <f t="shared" ca="1" si="177"/>
        <v>6.25</v>
      </c>
      <c r="N5349" s="143">
        <f ca="1">(PRODUCT($O$5:$O5349)-1)*36000/_xlfn.DAYS(L5349, $C$2)</f>
        <v>11.482426393748357</v>
      </c>
      <c r="O5349" s="149">
        <f t="shared" ca="1" si="178"/>
        <v>1.000173611111111</v>
      </c>
    </row>
    <row r="5350" spans="12:15" x14ac:dyDescent="0.25">
      <c r="L5350" s="147">
        <f ca="1"/>
        <v>50589</v>
      </c>
      <c r="M5350" s="92">
        <f t="shared" ca="1" si="177"/>
        <v>6.25</v>
      </c>
      <c r="N5350" s="143">
        <f ca="1">(PRODUCT($O$5:$O5350)-1)*36000/_xlfn.DAYS(L5350, $C$2)</f>
        <v>11.4834407422568</v>
      </c>
      <c r="O5350" s="149">
        <f t="shared" ca="1" si="178"/>
        <v>1.000173611111111</v>
      </c>
    </row>
    <row r="5351" spans="12:15" x14ac:dyDescent="0.25">
      <c r="L5351" s="147">
        <f ca="1"/>
        <v>50590</v>
      </c>
      <c r="M5351" s="92">
        <f t="shared" ca="1" si="177"/>
        <v>6.25</v>
      </c>
      <c r="N5351" s="143">
        <f ca="1">(PRODUCT($O$5:$O5351)-1)*36000/_xlfn.DAYS(L5351, $C$2)</f>
        <v>11.484455260247568</v>
      </c>
      <c r="O5351" s="149">
        <f t="shared" ca="1" si="178"/>
        <v>1.000173611111111</v>
      </c>
    </row>
    <row r="5352" spans="12:15" x14ac:dyDescent="0.25">
      <c r="L5352" s="147">
        <f ca="1"/>
        <v>50591</v>
      </c>
      <c r="M5352" s="92">
        <f t="shared" ca="1" si="177"/>
        <v>6.25</v>
      </c>
      <c r="N5352" s="143">
        <f ca="1">(PRODUCT($O$5:$O5352)-1)*36000/_xlfn.DAYS(L5352, $C$2)</f>
        <v>11.485469947720865</v>
      </c>
      <c r="O5352" s="149">
        <f t="shared" ca="1" si="178"/>
        <v>1.000173611111111</v>
      </c>
    </row>
    <row r="5353" spans="12:15" x14ac:dyDescent="0.25">
      <c r="L5353" s="147">
        <f ca="1"/>
        <v>50592</v>
      </c>
      <c r="M5353" s="92">
        <f t="shared" ca="1" si="177"/>
        <v>6.25</v>
      </c>
      <c r="N5353" s="143">
        <f ca="1">(PRODUCT($O$5:$O5353)-1)*36000/_xlfn.DAYS(L5353, $C$2)</f>
        <v>11.486484804676914</v>
      </c>
      <c r="O5353" s="149">
        <f t="shared" ca="1" si="178"/>
        <v>1.000173611111111</v>
      </c>
    </row>
    <row r="5354" spans="12:15" x14ac:dyDescent="0.25">
      <c r="L5354" s="147">
        <f ca="1"/>
        <v>50593</v>
      </c>
      <c r="M5354" s="92">
        <f t="shared" ca="1" si="177"/>
        <v>6.25</v>
      </c>
      <c r="N5354" s="143">
        <f ca="1">(PRODUCT($O$5:$O5354)-1)*36000/_xlfn.DAYS(L5354, $C$2)</f>
        <v>11.487499831115947</v>
      </c>
      <c r="O5354" s="149">
        <f t="shared" ca="1" si="178"/>
        <v>1.000173611111111</v>
      </c>
    </row>
    <row r="5355" spans="12:15" x14ac:dyDescent="0.25">
      <c r="L5355" s="147">
        <f ca="1"/>
        <v>50594</v>
      </c>
      <c r="M5355" s="92">
        <f t="shared" ca="1" si="177"/>
        <v>6.25</v>
      </c>
      <c r="N5355" s="143">
        <f ca="1">(PRODUCT($O$5:$O5355)-1)*36000/_xlfn.DAYS(L5355, $C$2)</f>
        <v>11.488515027038218</v>
      </c>
      <c r="O5355" s="149">
        <f t="shared" ca="1" si="178"/>
        <v>1.000173611111111</v>
      </c>
    </row>
    <row r="5356" spans="12:15" x14ac:dyDescent="0.25">
      <c r="L5356" s="147">
        <f ca="1"/>
        <v>50595</v>
      </c>
      <c r="M5356" s="92">
        <f t="shared" ca="1" si="177"/>
        <v>6.25</v>
      </c>
      <c r="N5356" s="143">
        <f ca="1">(PRODUCT($O$5:$O5356)-1)*36000/_xlfn.DAYS(L5356, $C$2)</f>
        <v>11.489530392443996</v>
      </c>
      <c r="O5356" s="149">
        <f t="shared" ca="1" si="178"/>
        <v>1.000173611111111</v>
      </c>
    </row>
    <row r="5357" spans="12:15" x14ac:dyDescent="0.25">
      <c r="L5357" s="147">
        <f ca="1"/>
        <v>50596</v>
      </c>
      <c r="M5357" s="92">
        <f t="shared" ca="1" si="177"/>
        <v>6.25</v>
      </c>
      <c r="N5357" s="143">
        <f ca="1">(PRODUCT($O$5:$O5357)-1)*36000/_xlfn.DAYS(L5357, $C$2)</f>
        <v>11.490545927333562</v>
      </c>
      <c r="O5357" s="149">
        <f t="shared" ca="1" si="178"/>
        <v>1.000173611111111</v>
      </c>
    </row>
    <row r="5358" spans="12:15" x14ac:dyDescent="0.25">
      <c r="L5358" s="147">
        <f ca="1"/>
        <v>50597</v>
      </c>
      <c r="M5358" s="92">
        <f t="shared" ca="1" si="177"/>
        <v>6.25</v>
      </c>
      <c r="N5358" s="143">
        <f ca="1">(PRODUCT($O$5:$O5358)-1)*36000/_xlfn.DAYS(L5358, $C$2)</f>
        <v>11.491561631707226</v>
      </c>
      <c r="O5358" s="149">
        <f t="shared" ca="1" si="178"/>
        <v>1.000173611111111</v>
      </c>
    </row>
    <row r="5359" spans="12:15" x14ac:dyDescent="0.25">
      <c r="L5359" s="147">
        <f ca="1"/>
        <v>50598</v>
      </c>
      <c r="M5359" s="92">
        <f t="shared" ca="1" si="177"/>
        <v>6.25</v>
      </c>
      <c r="N5359" s="143">
        <f ca="1">(PRODUCT($O$5:$O5359)-1)*36000/_xlfn.DAYS(L5359, $C$2)</f>
        <v>11.492577505565301</v>
      </c>
      <c r="O5359" s="149">
        <f t="shared" ca="1" si="178"/>
        <v>1.000173611111111</v>
      </c>
    </row>
    <row r="5360" spans="12:15" x14ac:dyDescent="0.25">
      <c r="L5360" s="147">
        <f ca="1"/>
        <v>50599</v>
      </c>
      <c r="M5360" s="92">
        <f t="shared" ca="1" si="177"/>
        <v>6.25</v>
      </c>
      <c r="N5360" s="143">
        <f ca="1">(PRODUCT($O$5:$O5360)-1)*36000/_xlfn.DAYS(L5360, $C$2)</f>
        <v>11.49359354890812</v>
      </c>
      <c r="O5360" s="149">
        <f t="shared" ca="1" si="178"/>
        <v>1.000173611111111</v>
      </c>
    </row>
    <row r="5361" spans="12:15" x14ac:dyDescent="0.25">
      <c r="L5361" s="147">
        <f ca="1"/>
        <v>50600</v>
      </c>
      <c r="M5361" s="92">
        <f t="shared" ca="1" si="177"/>
        <v>6.25</v>
      </c>
      <c r="N5361" s="143">
        <f ca="1">(PRODUCT($O$5:$O5361)-1)*36000/_xlfn.DAYS(L5361, $C$2)</f>
        <v>11.494609761736033</v>
      </c>
      <c r="O5361" s="149">
        <f t="shared" ca="1" si="178"/>
        <v>1.000173611111111</v>
      </c>
    </row>
    <row r="5362" spans="12:15" x14ac:dyDescent="0.25">
      <c r="L5362" s="147">
        <f ca="1"/>
        <v>50601</v>
      </c>
      <c r="M5362" s="92">
        <f t="shared" ca="1" si="177"/>
        <v>6.25</v>
      </c>
      <c r="N5362" s="143">
        <f ca="1">(PRODUCT($O$5:$O5362)-1)*36000/_xlfn.DAYS(L5362, $C$2)</f>
        <v>11.495626144049407</v>
      </c>
      <c r="O5362" s="149">
        <f t="shared" ca="1" si="178"/>
        <v>1.000173611111111</v>
      </c>
    </row>
    <row r="5363" spans="12:15" x14ac:dyDescent="0.25">
      <c r="L5363" s="147">
        <f ca="1"/>
        <v>50602</v>
      </c>
      <c r="M5363" s="92">
        <f t="shared" ca="1" si="177"/>
        <v>6.25</v>
      </c>
      <c r="N5363" s="143">
        <f ca="1">(PRODUCT($O$5:$O5363)-1)*36000/_xlfn.DAYS(L5363, $C$2)</f>
        <v>11.496642695848628</v>
      </c>
      <c r="O5363" s="149">
        <f t="shared" ca="1" si="178"/>
        <v>1.000173611111111</v>
      </c>
    </row>
    <row r="5364" spans="12:15" x14ac:dyDescent="0.25">
      <c r="L5364" s="147">
        <f ca="1"/>
        <v>50603</v>
      </c>
      <c r="M5364" s="92">
        <f t="shared" ca="1" si="177"/>
        <v>6.25</v>
      </c>
      <c r="N5364" s="143">
        <f ca="1">(PRODUCT($O$5:$O5364)-1)*36000/_xlfn.DAYS(L5364, $C$2)</f>
        <v>11.497659417134093</v>
      </c>
      <c r="O5364" s="149">
        <f t="shared" ca="1" si="178"/>
        <v>1.000173611111111</v>
      </c>
    </row>
    <row r="5365" spans="12:15" x14ac:dyDescent="0.25">
      <c r="L5365" s="147">
        <f ca="1"/>
        <v>50604</v>
      </c>
      <c r="M5365" s="92">
        <f t="shared" ca="1" si="177"/>
        <v>6.25</v>
      </c>
      <c r="N5365" s="143">
        <f ca="1">(PRODUCT($O$5:$O5365)-1)*36000/_xlfn.DAYS(L5365, $C$2)</f>
        <v>11.498676307906219</v>
      </c>
      <c r="O5365" s="149">
        <f t="shared" ca="1" si="178"/>
        <v>1.000173611111111</v>
      </c>
    </row>
    <row r="5366" spans="12:15" x14ac:dyDescent="0.25">
      <c r="L5366" s="147">
        <f ca="1"/>
        <v>50605</v>
      </c>
      <c r="M5366" s="92">
        <f t="shared" ca="1" si="177"/>
        <v>6.25</v>
      </c>
      <c r="N5366" s="143">
        <f ca="1">(PRODUCT($O$5:$O5366)-1)*36000/_xlfn.DAYS(L5366, $C$2)</f>
        <v>11.499693368165433</v>
      </c>
      <c r="O5366" s="149">
        <f t="shared" ca="1" si="178"/>
        <v>1.000173611111111</v>
      </c>
    </row>
    <row r="5367" spans="12:15" x14ac:dyDescent="0.25">
      <c r="L5367" s="147">
        <f ca="1"/>
        <v>50606</v>
      </c>
      <c r="M5367" s="92">
        <f t="shared" ca="1" si="177"/>
        <v>6.25</v>
      </c>
      <c r="N5367" s="143">
        <f ca="1">(PRODUCT($O$5:$O5367)-1)*36000/_xlfn.DAYS(L5367, $C$2)</f>
        <v>11.500710597912187</v>
      </c>
      <c r="O5367" s="149">
        <f t="shared" ca="1" si="178"/>
        <v>1.000173611111111</v>
      </c>
    </row>
    <row r="5368" spans="12:15" x14ac:dyDescent="0.25">
      <c r="L5368" s="147">
        <f ca="1"/>
        <v>50607</v>
      </c>
      <c r="M5368" s="92">
        <f t="shared" ca="1" si="177"/>
        <v>6.25</v>
      </c>
      <c r="N5368" s="143">
        <f ca="1">(PRODUCT($O$5:$O5368)-1)*36000/_xlfn.DAYS(L5368, $C$2)</f>
        <v>11.501727997146945</v>
      </c>
      <c r="O5368" s="149">
        <f t="shared" ca="1" si="178"/>
        <v>1.000173611111111</v>
      </c>
    </row>
    <row r="5369" spans="12:15" x14ac:dyDescent="0.25">
      <c r="L5369" s="147">
        <f ca="1"/>
        <v>50608</v>
      </c>
      <c r="M5369" s="92">
        <f t="shared" ca="1" si="177"/>
        <v>6.25</v>
      </c>
      <c r="N5369" s="143">
        <f ca="1">(PRODUCT($O$5:$O5369)-1)*36000/_xlfn.DAYS(L5369, $C$2)</f>
        <v>11.502745565870187</v>
      </c>
      <c r="O5369" s="149">
        <f t="shared" ca="1" si="178"/>
        <v>1.000173611111111</v>
      </c>
    </row>
    <row r="5370" spans="12:15" x14ac:dyDescent="0.25">
      <c r="L5370" s="147">
        <f ca="1"/>
        <v>50609</v>
      </c>
      <c r="M5370" s="92">
        <f t="shared" ca="1" si="177"/>
        <v>6.25</v>
      </c>
      <c r="N5370" s="143">
        <f ca="1">(PRODUCT($O$5:$O5370)-1)*36000/_xlfn.DAYS(L5370, $C$2)</f>
        <v>11.503763304082408</v>
      </c>
      <c r="O5370" s="149">
        <f t="shared" ca="1" si="178"/>
        <v>1.000173611111111</v>
      </c>
    </row>
    <row r="5371" spans="12:15" x14ac:dyDescent="0.25">
      <c r="L5371" s="147">
        <f ca="1"/>
        <v>50610</v>
      </c>
      <c r="M5371" s="92">
        <f t="shared" ca="1" si="177"/>
        <v>6.25</v>
      </c>
      <c r="N5371" s="143">
        <f ca="1">(PRODUCT($O$5:$O5371)-1)*36000/_xlfn.DAYS(L5371, $C$2)</f>
        <v>11.50478121178412</v>
      </c>
      <c r="O5371" s="149">
        <f t="shared" ca="1" si="178"/>
        <v>1.000173611111111</v>
      </c>
    </row>
    <row r="5372" spans="12:15" x14ac:dyDescent="0.25">
      <c r="L5372" s="147">
        <f ca="1"/>
        <v>50611</v>
      </c>
      <c r="M5372" s="92">
        <f t="shared" ca="1" si="177"/>
        <v>6.25</v>
      </c>
      <c r="N5372" s="143">
        <f ca="1">(PRODUCT($O$5:$O5372)-1)*36000/_xlfn.DAYS(L5372, $C$2)</f>
        <v>11.505799288975853</v>
      </c>
      <c r="O5372" s="149">
        <f t="shared" ca="1" si="178"/>
        <v>1.000173611111111</v>
      </c>
    </row>
    <row r="5373" spans="12:15" x14ac:dyDescent="0.25">
      <c r="L5373" s="147">
        <f ca="1"/>
        <v>50612</v>
      </c>
      <c r="M5373" s="92">
        <f t="shared" ca="1" si="177"/>
        <v>6.25</v>
      </c>
      <c r="N5373" s="143">
        <f ca="1">(PRODUCT($O$5:$O5373)-1)*36000/_xlfn.DAYS(L5373, $C$2)</f>
        <v>11.506817535658154</v>
      </c>
      <c r="O5373" s="149">
        <f t="shared" ca="1" si="178"/>
        <v>1.000173611111111</v>
      </c>
    </row>
    <row r="5374" spans="12:15" x14ac:dyDescent="0.25">
      <c r="L5374" s="147">
        <f ca="1"/>
        <v>50613</v>
      </c>
      <c r="M5374" s="92">
        <f t="shared" ca="1" si="177"/>
        <v>6.25</v>
      </c>
      <c r="N5374" s="143">
        <f ca="1">(PRODUCT($O$5:$O5374)-1)*36000/_xlfn.DAYS(L5374, $C$2)</f>
        <v>11.507835951831581</v>
      </c>
      <c r="O5374" s="149">
        <f t="shared" ca="1" si="178"/>
        <v>1.000173611111111</v>
      </c>
    </row>
    <row r="5375" spans="12:15" x14ac:dyDescent="0.25">
      <c r="L5375" s="147">
        <f ca="1"/>
        <v>50614</v>
      </c>
      <c r="M5375" s="92">
        <f t="shared" ca="1" si="177"/>
        <v>6.25</v>
      </c>
      <c r="N5375" s="143">
        <f ca="1">(PRODUCT($O$5:$O5375)-1)*36000/_xlfn.DAYS(L5375, $C$2)</f>
        <v>11.508854537496713</v>
      </c>
      <c r="O5375" s="149">
        <f t="shared" ca="1" si="178"/>
        <v>1.000173611111111</v>
      </c>
    </row>
    <row r="5376" spans="12:15" x14ac:dyDescent="0.25">
      <c r="L5376" s="147">
        <f ca="1"/>
        <v>50615</v>
      </c>
      <c r="M5376" s="92">
        <f t="shared" ca="1" si="177"/>
        <v>6.25</v>
      </c>
      <c r="N5376" s="143">
        <f ca="1">(PRODUCT($O$5:$O5376)-1)*36000/_xlfn.DAYS(L5376, $C$2)</f>
        <v>11.509873292654143</v>
      </c>
      <c r="O5376" s="149">
        <f t="shared" ca="1" si="178"/>
        <v>1.000173611111111</v>
      </c>
    </row>
    <row r="5377" spans="12:15" x14ac:dyDescent="0.25">
      <c r="L5377" s="147">
        <f ca="1"/>
        <v>50616</v>
      </c>
      <c r="M5377" s="92">
        <f t="shared" ca="1" si="177"/>
        <v>6.25</v>
      </c>
      <c r="N5377" s="143">
        <f ca="1">(PRODUCT($O$5:$O5377)-1)*36000/_xlfn.DAYS(L5377, $C$2)</f>
        <v>11.510892217304477</v>
      </c>
      <c r="O5377" s="149">
        <f t="shared" ca="1" si="178"/>
        <v>1.000173611111111</v>
      </c>
    </row>
    <row r="5378" spans="12:15" x14ac:dyDescent="0.25">
      <c r="L5378" s="147">
        <f ca="1"/>
        <v>50617</v>
      </c>
      <c r="M5378" s="92">
        <f t="shared" ca="1" si="177"/>
        <v>6.25</v>
      </c>
      <c r="N5378" s="143">
        <f ca="1">(PRODUCT($O$5:$O5378)-1)*36000/_xlfn.DAYS(L5378, $C$2)</f>
        <v>11.511911311448344</v>
      </c>
      <c r="O5378" s="149">
        <f t="shared" ca="1" si="178"/>
        <v>1.000173611111111</v>
      </c>
    </row>
    <row r="5379" spans="12:15" x14ac:dyDescent="0.25">
      <c r="L5379" s="147">
        <f ca="1"/>
        <v>50618</v>
      </c>
      <c r="M5379" s="92">
        <f t="shared" ca="1" si="177"/>
        <v>6.25</v>
      </c>
      <c r="N5379" s="143">
        <f ca="1">(PRODUCT($O$5:$O5379)-1)*36000/_xlfn.DAYS(L5379, $C$2)</f>
        <v>11.512930575086383</v>
      </c>
      <c r="O5379" s="149">
        <f t="shared" ca="1" si="178"/>
        <v>1.000173611111111</v>
      </c>
    </row>
    <row r="5380" spans="12:15" x14ac:dyDescent="0.25">
      <c r="L5380" s="147">
        <f ca="1"/>
        <v>50619</v>
      </c>
      <c r="M5380" s="92">
        <f t="shared" ca="1" si="177"/>
        <v>6.25</v>
      </c>
      <c r="N5380" s="143">
        <f ca="1">(PRODUCT($O$5:$O5380)-1)*36000/_xlfn.DAYS(L5380, $C$2)</f>
        <v>11.513950008219256</v>
      </c>
      <c r="O5380" s="149">
        <f t="shared" ca="1" si="178"/>
        <v>1.000173611111111</v>
      </c>
    </row>
    <row r="5381" spans="12:15" x14ac:dyDescent="0.25">
      <c r="L5381" s="147">
        <f ca="1"/>
        <v>50620</v>
      </c>
      <c r="M5381" s="92">
        <f t="shared" ref="M5381:M5444" ca="1" si="179">IFERROR(INDEX($E$27:$H$47, MATCH(L5381, $F$27:$F$47, 0), 4), IF(ISNUMBER(M5380), M5380, $C$5))</f>
        <v>6.25</v>
      </c>
      <c r="N5381" s="143">
        <f ca="1">(PRODUCT($O$5:$O5381)-1)*36000/_xlfn.DAYS(L5381, $C$2)</f>
        <v>11.514969610847631</v>
      </c>
      <c r="O5381" s="149">
        <f t="shared" ca="1" si="178"/>
        <v>1.000173611111111</v>
      </c>
    </row>
    <row r="5382" spans="12:15" x14ac:dyDescent="0.25">
      <c r="L5382" s="147">
        <f ca="1"/>
        <v>50621</v>
      </c>
      <c r="M5382" s="92">
        <f t="shared" ca="1" si="179"/>
        <v>6.25</v>
      </c>
      <c r="N5382" s="143">
        <f ca="1">(PRODUCT($O$5:$O5382)-1)*36000/_xlfn.DAYS(L5382, $C$2)</f>
        <v>11.515989382972201</v>
      </c>
      <c r="O5382" s="149">
        <f t="shared" ref="O5382:O5445" ca="1" si="180">1+M5382*IFERROR(_xlfn.DAYS(L5382, L5381), _xlfn.DAYS(L5382, $C$2))/36000</f>
        <v>1.000173611111111</v>
      </c>
    </row>
    <row r="5383" spans="12:15" x14ac:dyDescent="0.25">
      <c r="L5383" s="147">
        <f ca="1"/>
        <v>50622</v>
      </c>
      <c r="M5383" s="92">
        <f t="shared" ca="1" si="179"/>
        <v>6.25</v>
      </c>
      <c r="N5383" s="143">
        <f ca="1">(PRODUCT($O$5:$O5383)-1)*36000/_xlfn.DAYS(L5383, $C$2)</f>
        <v>11.517009324593671</v>
      </c>
      <c r="O5383" s="149">
        <f t="shared" ca="1" si="180"/>
        <v>1.000173611111111</v>
      </c>
    </row>
    <row r="5384" spans="12:15" x14ac:dyDescent="0.25">
      <c r="L5384" s="147">
        <f ca="1"/>
        <v>50623</v>
      </c>
      <c r="M5384" s="92">
        <f t="shared" ca="1" si="179"/>
        <v>6.25</v>
      </c>
      <c r="N5384" s="143">
        <f ca="1">(PRODUCT($O$5:$O5384)-1)*36000/_xlfn.DAYS(L5384, $C$2)</f>
        <v>11.518029435712762</v>
      </c>
      <c r="O5384" s="149">
        <f t="shared" ca="1" si="180"/>
        <v>1.000173611111111</v>
      </c>
    </row>
    <row r="5385" spans="12:15" x14ac:dyDescent="0.25">
      <c r="L5385" s="147">
        <f ca="1"/>
        <v>50624</v>
      </c>
      <c r="M5385" s="92">
        <f t="shared" ca="1" si="179"/>
        <v>6.25</v>
      </c>
      <c r="N5385" s="143">
        <f ca="1">(PRODUCT($O$5:$O5385)-1)*36000/_xlfn.DAYS(L5385, $C$2)</f>
        <v>11.519049716330214</v>
      </c>
      <c r="O5385" s="149">
        <f t="shared" ca="1" si="180"/>
        <v>1.000173611111111</v>
      </c>
    </row>
    <row r="5386" spans="12:15" x14ac:dyDescent="0.25">
      <c r="L5386" s="147">
        <f ca="1"/>
        <v>50625</v>
      </c>
      <c r="M5386" s="92">
        <f t="shared" ca="1" si="179"/>
        <v>6.25</v>
      </c>
      <c r="N5386" s="143">
        <f ca="1">(PRODUCT($O$5:$O5386)-1)*36000/_xlfn.DAYS(L5386, $C$2)</f>
        <v>11.520070166446775</v>
      </c>
      <c r="O5386" s="149">
        <f t="shared" ca="1" si="180"/>
        <v>1.000173611111111</v>
      </c>
    </row>
    <row r="5387" spans="12:15" x14ac:dyDescent="0.25">
      <c r="L5387" s="147">
        <f ca="1"/>
        <v>50626</v>
      </c>
      <c r="M5387" s="92">
        <f t="shared" ca="1" si="179"/>
        <v>6.25</v>
      </c>
      <c r="N5387" s="143">
        <f ca="1">(PRODUCT($O$5:$O5387)-1)*36000/_xlfn.DAYS(L5387, $C$2)</f>
        <v>11.521090786063221</v>
      </c>
      <c r="O5387" s="149">
        <f t="shared" ca="1" si="180"/>
        <v>1.000173611111111</v>
      </c>
    </row>
    <row r="5388" spans="12:15" x14ac:dyDescent="0.25">
      <c r="L5388" s="147">
        <f ca="1"/>
        <v>50627</v>
      </c>
      <c r="M5388" s="92">
        <f t="shared" ca="1" si="179"/>
        <v>6.25</v>
      </c>
      <c r="N5388" s="143">
        <f ca="1">(PRODUCT($O$5:$O5388)-1)*36000/_xlfn.DAYS(L5388, $C$2)</f>
        <v>11.522111575180334</v>
      </c>
      <c r="O5388" s="149">
        <f t="shared" ca="1" si="180"/>
        <v>1.000173611111111</v>
      </c>
    </row>
    <row r="5389" spans="12:15" x14ac:dyDescent="0.25">
      <c r="L5389" s="147">
        <f ca="1"/>
        <v>50628</v>
      </c>
      <c r="M5389" s="92">
        <f t="shared" ca="1" si="179"/>
        <v>6.25</v>
      </c>
      <c r="N5389" s="143">
        <f ca="1">(PRODUCT($O$5:$O5389)-1)*36000/_xlfn.DAYS(L5389, $C$2)</f>
        <v>11.523132533798913</v>
      </c>
      <c r="O5389" s="149">
        <f t="shared" ca="1" si="180"/>
        <v>1.000173611111111</v>
      </c>
    </row>
    <row r="5390" spans="12:15" x14ac:dyDescent="0.25">
      <c r="L5390" s="147">
        <f ca="1"/>
        <v>50629</v>
      </c>
      <c r="M5390" s="92">
        <f t="shared" ca="1" si="179"/>
        <v>6.25</v>
      </c>
      <c r="N5390" s="143">
        <f ca="1">(PRODUCT($O$5:$O5390)-1)*36000/_xlfn.DAYS(L5390, $C$2)</f>
        <v>11.52415366191978</v>
      </c>
      <c r="O5390" s="149">
        <f t="shared" ca="1" si="180"/>
        <v>1.000173611111111</v>
      </c>
    </row>
    <row r="5391" spans="12:15" x14ac:dyDescent="0.25">
      <c r="L5391" s="147">
        <f ca="1"/>
        <v>50630</v>
      </c>
      <c r="M5391" s="92">
        <f t="shared" ca="1" si="179"/>
        <v>6.25</v>
      </c>
      <c r="N5391" s="143">
        <f ca="1">(PRODUCT($O$5:$O5391)-1)*36000/_xlfn.DAYS(L5391, $C$2)</f>
        <v>11.525174959543765</v>
      </c>
      <c r="O5391" s="149">
        <f t="shared" ca="1" si="180"/>
        <v>1.000173611111111</v>
      </c>
    </row>
    <row r="5392" spans="12:15" x14ac:dyDescent="0.25">
      <c r="L5392" s="147">
        <f ca="1"/>
        <v>50631</v>
      </c>
      <c r="M5392" s="92">
        <f t="shared" ca="1" si="179"/>
        <v>6.25</v>
      </c>
      <c r="N5392" s="143">
        <f ca="1">(PRODUCT($O$5:$O5392)-1)*36000/_xlfn.DAYS(L5392, $C$2)</f>
        <v>11.526196426671723</v>
      </c>
      <c r="O5392" s="149">
        <f t="shared" ca="1" si="180"/>
        <v>1.000173611111111</v>
      </c>
    </row>
    <row r="5393" spans="12:15" x14ac:dyDescent="0.25">
      <c r="L5393" s="147">
        <f ca="1"/>
        <v>50632</v>
      </c>
      <c r="M5393" s="92">
        <f t="shared" ca="1" si="179"/>
        <v>6.25</v>
      </c>
      <c r="N5393" s="143">
        <f ca="1">(PRODUCT($O$5:$O5393)-1)*36000/_xlfn.DAYS(L5393, $C$2)</f>
        <v>11.527218063304511</v>
      </c>
      <c r="O5393" s="149">
        <f t="shared" ca="1" si="180"/>
        <v>1.000173611111111</v>
      </c>
    </row>
    <row r="5394" spans="12:15" x14ac:dyDescent="0.25">
      <c r="L5394" s="147">
        <f ca="1"/>
        <v>50633</v>
      </c>
      <c r="M5394" s="92">
        <f t="shared" ca="1" si="179"/>
        <v>6.25</v>
      </c>
      <c r="N5394" s="143">
        <f ca="1">(PRODUCT($O$5:$O5394)-1)*36000/_xlfn.DAYS(L5394, $C$2)</f>
        <v>11.528239869443016</v>
      </c>
      <c r="O5394" s="149">
        <f t="shared" ca="1" si="180"/>
        <v>1.000173611111111</v>
      </c>
    </row>
    <row r="5395" spans="12:15" x14ac:dyDescent="0.25">
      <c r="L5395" s="147">
        <f ca="1"/>
        <v>50634</v>
      </c>
      <c r="M5395" s="92">
        <f t="shared" ca="1" si="179"/>
        <v>6.25</v>
      </c>
      <c r="N5395" s="143">
        <f ca="1">(PRODUCT($O$5:$O5395)-1)*36000/_xlfn.DAYS(L5395, $C$2)</f>
        <v>11.529261845088133</v>
      </c>
      <c r="O5395" s="149">
        <f t="shared" ca="1" si="180"/>
        <v>1.000173611111111</v>
      </c>
    </row>
    <row r="5396" spans="12:15" x14ac:dyDescent="0.25">
      <c r="L5396" s="147">
        <f ca="1"/>
        <v>50635</v>
      </c>
      <c r="M5396" s="92">
        <f t="shared" ca="1" si="179"/>
        <v>6.25</v>
      </c>
      <c r="N5396" s="143">
        <f ca="1">(PRODUCT($O$5:$O5396)-1)*36000/_xlfn.DAYS(L5396, $C$2)</f>
        <v>11.530283990240774</v>
      </c>
      <c r="O5396" s="149">
        <f t="shared" ca="1" si="180"/>
        <v>1.000173611111111</v>
      </c>
    </row>
    <row r="5397" spans="12:15" x14ac:dyDescent="0.25">
      <c r="L5397" s="147">
        <f ca="1"/>
        <v>50636</v>
      </c>
      <c r="M5397" s="92">
        <f t="shared" ca="1" si="179"/>
        <v>6.25</v>
      </c>
      <c r="N5397" s="143">
        <f ca="1">(PRODUCT($O$5:$O5397)-1)*36000/_xlfn.DAYS(L5397, $C$2)</f>
        <v>11.531306304901868</v>
      </c>
      <c r="O5397" s="149">
        <f t="shared" ca="1" si="180"/>
        <v>1.000173611111111</v>
      </c>
    </row>
    <row r="5398" spans="12:15" x14ac:dyDescent="0.25">
      <c r="L5398" s="147">
        <f ca="1"/>
        <v>50637</v>
      </c>
      <c r="M5398" s="92">
        <f t="shared" ca="1" si="179"/>
        <v>6.25</v>
      </c>
      <c r="N5398" s="143">
        <f ca="1">(PRODUCT($O$5:$O5398)-1)*36000/_xlfn.DAYS(L5398, $C$2)</f>
        <v>11.532328789072359</v>
      </c>
      <c r="O5398" s="149">
        <f t="shared" ca="1" si="180"/>
        <v>1.000173611111111</v>
      </c>
    </row>
    <row r="5399" spans="12:15" x14ac:dyDescent="0.25">
      <c r="L5399" s="147">
        <f ca="1"/>
        <v>50638</v>
      </c>
      <c r="M5399" s="92">
        <f t="shared" ca="1" si="179"/>
        <v>6.25</v>
      </c>
      <c r="N5399" s="143">
        <f ca="1">(PRODUCT($O$5:$O5399)-1)*36000/_xlfn.DAYS(L5399, $C$2)</f>
        <v>11.533351442753208</v>
      </c>
      <c r="O5399" s="149">
        <f t="shared" ca="1" si="180"/>
        <v>1.000173611111111</v>
      </c>
    </row>
    <row r="5400" spans="12:15" x14ac:dyDescent="0.25">
      <c r="L5400" s="147">
        <f ca="1"/>
        <v>50639</v>
      </c>
      <c r="M5400" s="92">
        <f t="shared" ca="1" si="179"/>
        <v>6.25</v>
      </c>
      <c r="N5400" s="143">
        <f ca="1">(PRODUCT($O$5:$O5400)-1)*36000/_xlfn.DAYS(L5400, $C$2)</f>
        <v>11.534374265945392</v>
      </c>
      <c r="O5400" s="149">
        <f t="shared" ca="1" si="180"/>
        <v>1.000173611111111</v>
      </c>
    </row>
    <row r="5401" spans="12:15" x14ac:dyDescent="0.25">
      <c r="L5401" s="147">
        <f ca="1"/>
        <v>50640</v>
      </c>
      <c r="M5401" s="92">
        <f t="shared" ca="1" si="179"/>
        <v>6.25</v>
      </c>
      <c r="N5401" s="143">
        <f ca="1">(PRODUCT($O$5:$O5401)-1)*36000/_xlfn.DAYS(L5401, $C$2)</f>
        <v>11.535397258649901</v>
      </c>
      <c r="O5401" s="149">
        <f t="shared" ca="1" si="180"/>
        <v>1.000173611111111</v>
      </c>
    </row>
    <row r="5402" spans="12:15" x14ac:dyDescent="0.25">
      <c r="L5402" s="147">
        <f ca="1"/>
        <v>50641</v>
      </c>
      <c r="M5402" s="92">
        <f t="shared" ca="1" si="179"/>
        <v>6.25</v>
      </c>
      <c r="N5402" s="143">
        <f ca="1">(PRODUCT($O$5:$O5402)-1)*36000/_xlfn.DAYS(L5402, $C$2)</f>
        <v>11.536420420867746</v>
      </c>
      <c r="O5402" s="149">
        <f t="shared" ca="1" si="180"/>
        <v>1.000173611111111</v>
      </c>
    </row>
    <row r="5403" spans="12:15" x14ac:dyDescent="0.25">
      <c r="L5403" s="147">
        <f ca="1"/>
        <v>50642</v>
      </c>
      <c r="M5403" s="92">
        <f t="shared" ca="1" si="179"/>
        <v>6.25</v>
      </c>
      <c r="N5403" s="143">
        <f ca="1">(PRODUCT($O$5:$O5403)-1)*36000/_xlfn.DAYS(L5403, $C$2)</f>
        <v>11.537443752599946</v>
      </c>
      <c r="O5403" s="149">
        <f t="shared" ca="1" si="180"/>
        <v>1.000173611111111</v>
      </c>
    </row>
    <row r="5404" spans="12:15" x14ac:dyDescent="0.25">
      <c r="L5404" s="147">
        <f ca="1"/>
        <v>50643</v>
      </c>
      <c r="M5404" s="92">
        <f t="shared" ca="1" si="179"/>
        <v>6.25</v>
      </c>
      <c r="N5404" s="143">
        <f ca="1">(PRODUCT($O$5:$O5404)-1)*36000/_xlfn.DAYS(L5404, $C$2)</f>
        <v>11.538467253847543</v>
      </c>
      <c r="O5404" s="149">
        <f t="shared" ca="1" si="180"/>
        <v>1.000173611111111</v>
      </c>
    </row>
    <row r="5405" spans="12:15" x14ac:dyDescent="0.25">
      <c r="L5405" s="147">
        <f ca="1"/>
        <v>50644</v>
      </c>
      <c r="M5405" s="92">
        <f t="shared" ca="1" si="179"/>
        <v>6.25</v>
      </c>
      <c r="N5405" s="143">
        <f ca="1">(PRODUCT($O$5:$O5405)-1)*36000/_xlfn.DAYS(L5405, $C$2)</f>
        <v>11.539490924611592</v>
      </c>
      <c r="O5405" s="149">
        <f t="shared" ca="1" si="180"/>
        <v>1.000173611111111</v>
      </c>
    </row>
    <row r="5406" spans="12:15" x14ac:dyDescent="0.25">
      <c r="L5406" s="147">
        <f ca="1"/>
        <v>50645</v>
      </c>
      <c r="M5406" s="92">
        <f t="shared" ca="1" si="179"/>
        <v>6.25</v>
      </c>
      <c r="N5406" s="143">
        <f ca="1">(PRODUCT($O$5:$O5406)-1)*36000/_xlfn.DAYS(L5406, $C$2)</f>
        <v>11.540514764893162</v>
      </c>
      <c r="O5406" s="149">
        <f t="shared" ca="1" si="180"/>
        <v>1.000173611111111</v>
      </c>
    </row>
    <row r="5407" spans="12:15" x14ac:dyDescent="0.25">
      <c r="L5407" s="147">
        <f ca="1"/>
        <v>50646</v>
      </c>
      <c r="M5407" s="92">
        <f t="shared" ca="1" si="179"/>
        <v>6.25</v>
      </c>
      <c r="N5407" s="143">
        <f ca="1">(PRODUCT($O$5:$O5407)-1)*36000/_xlfn.DAYS(L5407, $C$2)</f>
        <v>11.541538774693343</v>
      </c>
      <c r="O5407" s="149">
        <f t="shared" ca="1" si="180"/>
        <v>1.000173611111111</v>
      </c>
    </row>
    <row r="5408" spans="12:15" x14ac:dyDescent="0.25">
      <c r="L5408" s="147">
        <f ca="1"/>
        <v>50647</v>
      </c>
      <c r="M5408" s="92">
        <f t="shared" ca="1" si="179"/>
        <v>6.25</v>
      </c>
      <c r="N5408" s="143">
        <f ca="1">(PRODUCT($O$5:$O5408)-1)*36000/_xlfn.DAYS(L5408, $C$2)</f>
        <v>11.542562954013233</v>
      </c>
      <c r="O5408" s="149">
        <f t="shared" ca="1" si="180"/>
        <v>1.000173611111111</v>
      </c>
    </row>
    <row r="5409" spans="12:15" x14ac:dyDescent="0.25">
      <c r="L5409" s="147">
        <f ca="1"/>
        <v>50648</v>
      </c>
      <c r="M5409" s="92">
        <f t="shared" ca="1" si="179"/>
        <v>6.25</v>
      </c>
      <c r="N5409" s="143">
        <f ca="1">(PRODUCT($O$5:$O5409)-1)*36000/_xlfn.DAYS(L5409, $C$2)</f>
        <v>11.54358730285395</v>
      </c>
      <c r="O5409" s="149">
        <f t="shared" ca="1" si="180"/>
        <v>1.000173611111111</v>
      </c>
    </row>
    <row r="5410" spans="12:15" x14ac:dyDescent="0.25">
      <c r="L5410" s="147">
        <f ca="1"/>
        <v>50649</v>
      </c>
      <c r="M5410" s="92">
        <f t="shared" ca="1" si="179"/>
        <v>6.25</v>
      </c>
      <c r="N5410" s="143">
        <f ca="1">(PRODUCT($O$5:$O5410)-1)*36000/_xlfn.DAYS(L5410, $C$2)</f>
        <v>11.544611821216634</v>
      </c>
      <c r="O5410" s="149">
        <f t="shared" ca="1" si="180"/>
        <v>1.000173611111111</v>
      </c>
    </row>
    <row r="5411" spans="12:15" x14ac:dyDescent="0.25">
      <c r="L5411" s="147">
        <f ca="1"/>
        <v>50650</v>
      </c>
      <c r="M5411" s="92">
        <f t="shared" ca="1" si="179"/>
        <v>6.25</v>
      </c>
      <c r="N5411" s="143">
        <f ca="1">(PRODUCT($O$5:$O5411)-1)*36000/_xlfn.DAYS(L5411, $C$2)</f>
        <v>11.545636509102426</v>
      </c>
      <c r="O5411" s="149">
        <f t="shared" ca="1" si="180"/>
        <v>1.000173611111111</v>
      </c>
    </row>
    <row r="5412" spans="12:15" x14ac:dyDescent="0.25">
      <c r="L5412" s="147">
        <f ca="1"/>
        <v>50651</v>
      </c>
      <c r="M5412" s="92">
        <f t="shared" ca="1" si="179"/>
        <v>6.25</v>
      </c>
      <c r="N5412" s="143">
        <f ca="1">(PRODUCT($O$5:$O5412)-1)*36000/_xlfn.DAYS(L5412, $C$2)</f>
        <v>11.546661366512497</v>
      </c>
      <c r="O5412" s="149">
        <f t="shared" ca="1" si="180"/>
        <v>1.000173611111111</v>
      </c>
    </row>
    <row r="5413" spans="12:15" x14ac:dyDescent="0.25">
      <c r="L5413" s="147">
        <f ca="1"/>
        <v>50652</v>
      </c>
      <c r="M5413" s="92">
        <f t="shared" ca="1" si="179"/>
        <v>6.25</v>
      </c>
      <c r="N5413" s="143">
        <f ca="1">(PRODUCT($O$5:$O5413)-1)*36000/_xlfn.DAYS(L5413, $C$2)</f>
        <v>11.547686393448021</v>
      </c>
      <c r="O5413" s="149">
        <f t="shared" ca="1" si="180"/>
        <v>1.000173611111111</v>
      </c>
    </row>
    <row r="5414" spans="12:15" x14ac:dyDescent="0.25">
      <c r="L5414" s="147">
        <f ca="1"/>
        <v>50653</v>
      </c>
      <c r="M5414" s="92">
        <f t="shared" ca="1" si="179"/>
        <v>6.25</v>
      </c>
      <c r="N5414" s="143">
        <f ca="1">(PRODUCT($O$5:$O5414)-1)*36000/_xlfn.DAYS(L5414, $C$2)</f>
        <v>11.548711589910202</v>
      </c>
      <c r="O5414" s="149">
        <f t="shared" ca="1" si="180"/>
        <v>1.000173611111111</v>
      </c>
    </row>
    <row r="5415" spans="12:15" x14ac:dyDescent="0.25">
      <c r="L5415" s="147">
        <f ca="1"/>
        <v>50654</v>
      </c>
      <c r="M5415" s="92">
        <f t="shared" ca="1" si="179"/>
        <v>6.25</v>
      </c>
      <c r="N5415" s="143">
        <f ca="1">(PRODUCT($O$5:$O5415)-1)*36000/_xlfn.DAYS(L5415, $C$2)</f>
        <v>11.549736955900245</v>
      </c>
      <c r="O5415" s="149">
        <f t="shared" ca="1" si="180"/>
        <v>1.000173611111111</v>
      </c>
    </row>
    <row r="5416" spans="12:15" x14ac:dyDescent="0.25">
      <c r="L5416" s="147">
        <f ca="1"/>
        <v>50655</v>
      </c>
      <c r="M5416" s="92">
        <f t="shared" ca="1" si="179"/>
        <v>6.25</v>
      </c>
      <c r="N5416" s="143">
        <f ca="1">(PRODUCT($O$5:$O5416)-1)*36000/_xlfn.DAYS(L5416, $C$2)</f>
        <v>11.550762491419382</v>
      </c>
      <c r="O5416" s="149">
        <f t="shared" ca="1" si="180"/>
        <v>1.000173611111111</v>
      </c>
    </row>
    <row r="5417" spans="12:15" x14ac:dyDescent="0.25">
      <c r="L5417" s="147">
        <f ca="1"/>
        <v>50656</v>
      </c>
      <c r="M5417" s="92">
        <f t="shared" ca="1" si="179"/>
        <v>6.25</v>
      </c>
      <c r="N5417" s="143">
        <f ca="1">(PRODUCT($O$5:$O5417)-1)*36000/_xlfn.DAYS(L5417, $C$2)</f>
        <v>11.551788196468859</v>
      </c>
      <c r="O5417" s="149">
        <f t="shared" ca="1" si="180"/>
        <v>1.000173611111111</v>
      </c>
    </row>
    <row r="5418" spans="12:15" x14ac:dyDescent="0.25">
      <c r="L5418" s="147">
        <f ca="1"/>
        <v>50657</v>
      </c>
      <c r="M5418" s="92">
        <f t="shared" ca="1" si="179"/>
        <v>6.25</v>
      </c>
      <c r="N5418" s="143">
        <f ca="1">(PRODUCT($O$5:$O5418)-1)*36000/_xlfn.DAYS(L5418, $C$2)</f>
        <v>11.552814071049927</v>
      </c>
      <c r="O5418" s="149">
        <f t="shared" ca="1" si="180"/>
        <v>1.000173611111111</v>
      </c>
    </row>
    <row r="5419" spans="12:15" x14ac:dyDescent="0.25">
      <c r="L5419" s="147">
        <f ca="1"/>
        <v>50658</v>
      </c>
      <c r="M5419" s="92">
        <f t="shared" ca="1" si="179"/>
        <v>6.25</v>
      </c>
      <c r="N5419" s="143">
        <f ca="1">(PRODUCT($O$5:$O5419)-1)*36000/_xlfn.DAYS(L5419, $C$2)</f>
        <v>11.553840115163865</v>
      </c>
      <c r="O5419" s="149">
        <f t="shared" ca="1" si="180"/>
        <v>1.000173611111111</v>
      </c>
    </row>
    <row r="5420" spans="12:15" x14ac:dyDescent="0.25">
      <c r="L5420" s="147">
        <f ca="1"/>
        <v>50659</v>
      </c>
      <c r="M5420" s="92">
        <f t="shared" ca="1" si="179"/>
        <v>6.25</v>
      </c>
      <c r="N5420" s="143">
        <f ca="1">(PRODUCT($O$5:$O5420)-1)*36000/_xlfn.DAYS(L5420, $C$2)</f>
        <v>11.554866328811963</v>
      </c>
      <c r="O5420" s="149">
        <f t="shared" ca="1" si="180"/>
        <v>1.000173611111111</v>
      </c>
    </row>
    <row r="5421" spans="12:15" x14ac:dyDescent="0.25">
      <c r="L5421" s="147">
        <f ca="1"/>
        <v>50660</v>
      </c>
      <c r="M5421" s="92">
        <f t="shared" ca="1" si="179"/>
        <v>6.25</v>
      </c>
      <c r="N5421" s="143">
        <f ca="1">(PRODUCT($O$5:$O5421)-1)*36000/_xlfn.DAYS(L5421, $C$2)</f>
        <v>11.555892711995524</v>
      </c>
      <c r="O5421" s="149">
        <f t="shared" ca="1" si="180"/>
        <v>1.000173611111111</v>
      </c>
    </row>
    <row r="5422" spans="12:15" x14ac:dyDescent="0.25">
      <c r="L5422" s="147">
        <f ca="1"/>
        <v>50661</v>
      </c>
      <c r="M5422" s="92">
        <f t="shared" ca="1" si="179"/>
        <v>6.25</v>
      </c>
      <c r="N5422" s="143">
        <f ca="1">(PRODUCT($O$5:$O5422)-1)*36000/_xlfn.DAYS(L5422, $C$2)</f>
        <v>11.556919264715873</v>
      </c>
      <c r="O5422" s="149">
        <f t="shared" ca="1" si="180"/>
        <v>1.000173611111111</v>
      </c>
    </row>
    <row r="5423" spans="12:15" x14ac:dyDescent="0.25">
      <c r="L5423" s="147">
        <f ca="1"/>
        <v>50662</v>
      </c>
      <c r="M5423" s="92">
        <f t="shared" ca="1" si="179"/>
        <v>6.25</v>
      </c>
      <c r="N5423" s="143">
        <f ca="1">(PRODUCT($O$5:$O5423)-1)*36000/_xlfn.DAYS(L5423, $C$2)</f>
        <v>11.557945986974344</v>
      </c>
      <c r="O5423" s="149">
        <f t="shared" ca="1" si="180"/>
        <v>1.000173611111111</v>
      </c>
    </row>
    <row r="5424" spans="12:15" x14ac:dyDescent="0.25">
      <c r="L5424" s="147">
        <f ca="1"/>
        <v>50663</v>
      </c>
      <c r="M5424" s="92">
        <f t="shared" ca="1" si="179"/>
        <v>6.25</v>
      </c>
      <c r="N5424" s="143">
        <f ca="1">(PRODUCT($O$5:$O5424)-1)*36000/_xlfn.DAYS(L5424, $C$2)</f>
        <v>11.558972878772289</v>
      </c>
      <c r="O5424" s="149">
        <f t="shared" ca="1" si="180"/>
        <v>1.000173611111111</v>
      </c>
    </row>
    <row r="5425" spans="12:15" x14ac:dyDescent="0.25">
      <c r="L5425" s="147">
        <f ca="1"/>
        <v>50664</v>
      </c>
      <c r="M5425" s="92">
        <f t="shared" ca="1" si="179"/>
        <v>6.25</v>
      </c>
      <c r="N5425" s="143">
        <f ca="1">(PRODUCT($O$5:$O5425)-1)*36000/_xlfn.DAYS(L5425, $C$2)</f>
        <v>11.559999940111075</v>
      </c>
      <c r="O5425" s="149">
        <f t="shared" ca="1" si="180"/>
        <v>1.000173611111111</v>
      </c>
    </row>
    <row r="5426" spans="12:15" x14ac:dyDescent="0.25">
      <c r="L5426" s="147">
        <f ca="1"/>
        <v>50665</v>
      </c>
      <c r="M5426" s="92">
        <f t="shared" ca="1" si="179"/>
        <v>6.25</v>
      </c>
      <c r="N5426" s="143">
        <f ca="1">(PRODUCT($O$5:$O5426)-1)*36000/_xlfn.DAYS(L5426, $C$2)</f>
        <v>11.561027170992089</v>
      </c>
      <c r="O5426" s="149">
        <f t="shared" ca="1" si="180"/>
        <v>1.000173611111111</v>
      </c>
    </row>
    <row r="5427" spans="12:15" x14ac:dyDescent="0.25">
      <c r="L5427" s="147">
        <f ca="1"/>
        <v>50666</v>
      </c>
      <c r="M5427" s="92">
        <f t="shared" ca="1" si="179"/>
        <v>6.25</v>
      </c>
      <c r="N5427" s="143">
        <f ca="1">(PRODUCT($O$5:$O5427)-1)*36000/_xlfn.DAYS(L5427, $C$2)</f>
        <v>11.562054571416725</v>
      </c>
      <c r="O5427" s="149">
        <f t="shared" ca="1" si="180"/>
        <v>1.000173611111111</v>
      </c>
    </row>
    <row r="5428" spans="12:15" x14ac:dyDescent="0.25">
      <c r="L5428" s="147">
        <f ca="1"/>
        <v>50667</v>
      </c>
      <c r="M5428" s="92">
        <f t="shared" ca="1" si="179"/>
        <v>6.25</v>
      </c>
      <c r="N5428" s="143">
        <f ca="1">(PRODUCT($O$5:$O5428)-1)*36000/_xlfn.DAYS(L5428, $C$2)</f>
        <v>11.563082141386401</v>
      </c>
      <c r="O5428" s="149">
        <f t="shared" ca="1" si="180"/>
        <v>1.000173611111111</v>
      </c>
    </row>
    <row r="5429" spans="12:15" x14ac:dyDescent="0.25">
      <c r="L5429" s="147">
        <f ca="1"/>
        <v>50668</v>
      </c>
      <c r="M5429" s="92">
        <f t="shared" ca="1" si="179"/>
        <v>6.25</v>
      </c>
      <c r="N5429" s="143">
        <f ca="1">(PRODUCT($O$5:$O5429)-1)*36000/_xlfn.DAYS(L5429, $C$2)</f>
        <v>11.564109880902544</v>
      </c>
      <c r="O5429" s="149">
        <f t="shared" ca="1" si="180"/>
        <v>1.000173611111111</v>
      </c>
    </row>
    <row r="5430" spans="12:15" x14ac:dyDescent="0.25">
      <c r="L5430" s="147">
        <f ca="1"/>
        <v>50669</v>
      </c>
      <c r="M5430" s="92">
        <f t="shared" ca="1" si="179"/>
        <v>6.25</v>
      </c>
      <c r="N5430" s="143">
        <f ca="1">(PRODUCT($O$5:$O5430)-1)*36000/_xlfn.DAYS(L5430, $C$2)</f>
        <v>11.565137789966601</v>
      </c>
      <c r="O5430" s="149">
        <f t="shared" ca="1" si="180"/>
        <v>1.000173611111111</v>
      </c>
    </row>
    <row r="5431" spans="12:15" x14ac:dyDescent="0.25">
      <c r="L5431" s="147">
        <f ca="1"/>
        <v>50670</v>
      </c>
      <c r="M5431" s="92">
        <f t="shared" ca="1" si="179"/>
        <v>6.25</v>
      </c>
      <c r="N5431" s="143">
        <f ca="1">(PRODUCT($O$5:$O5431)-1)*36000/_xlfn.DAYS(L5431, $C$2)</f>
        <v>11.566165868580031</v>
      </c>
      <c r="O5431" s="149">
        <f t="shared" ca="1" si="180"/>
        <v>1.000173611111111</v>
      </c>
    </row>
    <row r="5432" spans="12:15" x14ac:dyDescent="0.25">
      <c r="L5432" s="147">
        <f ca="1"/>
        <v>50671</v>
      </c>
      <c r="M5432" s="92">
        <f t="shared" ca="1" si="179"/>
        <v>6.25</v>
      </c>
      <c r="N5432" s="143">
        <f ca="1">(PRODUCT($O$5:$O5432)-1)*36000/_xlfn.DAYS(L5432, $C$2)</f>
        <v>11.567194116744311</v>
      </c>
      <c r="O5432" s="149">
        <f t="shared" ca="1" si="180"/>
        <v>1.000173611111111</v>
      </c>
    </row>
    <row r="5433" spans="12:15" x14ac:dyDescent="0.25">
      <c r="L5433" s="147">
        <f ca="1"/>
        <v>50672</v>
      </c>
      <c r="M5433" s="92">
        <f t="shared" ca="1" si="179"/>
        <v>6.25</v>
      </c>
      <c r="N5433" s="143">
        <f ca="1">(PRODUCT($O$5:$O5433)-1)*36000/_xlfn.DAYS(L5433, $C$2)</f>
        <v>11.568222534460933</v>
      </c>
      <c r="O5433" s="149">
        <f t="shared" ca="1" si="180"/>
        <v>1.000173611111111</v>
      </c>
    </row>
    <row r="5434" spans="12:15" x14ac:dyDescent="0.25">
      <c r="L5434" s="147">
        <f ca="1"/>
        <v>50673</v>
      </c>
      <c r="M5434" s="92">
        <f t="shared" ca="1" si="179"/>
        <v>6.25</v>
      </c>
      <c r="N5434" s="143">
        <f ca="1">(PRODUCT($O$5:$O5434)-1)*36000/_xlfn.DAYS(L5434, $C$2)</f>
        <v>11.569251121731401</v>
      </c>
      <c r="O5434" s="149">
        <f t="shared" ca="1" si="180"/>
        <v>1.000173611111111</v>
      </c>
    </row>
    <row r="5435" spans="12:15" x14ac:dyDescent="0.25">
      <c r="L5435" s="147">
        <f ca="1"/>
        <v>50674</v>
      </c>
      <c r="M5435" s="92">
        <f t="shared" ca="1" si="179"/>
        <v>6.25</v>
      </c>
      <c r="N5435" s="143">
        <f ca="1">(PRODUCT($O$5:$O5435)-1)*36000/_xlfn.DAYS(L5435, $C$2)</f>
        <v>11.570279878557242</v>
      </c>
      <c r="O5435" s="149">
        <f t="shared" ca="1" si="180"/>
        <v>1.000173611111111</v>
      </c>
    </row>
    <row r="5436" spans="12:15" x14ac:dyDescent="0.25">
      <c r="L5436" s="147">
        <f ca="1"/>
        <v>50675</v>
      </c>
      <c r="M5436" s="92">
        <f t="shared" ca="1" si="179"/>
        <v>6.25</v>
      </c>
      <c r="N5436" s="143">
        <f ca="1">(PRODUCT($O$5:$O5436)-1)*36000/_xlfn.DAYS(L5436, $C$2)</f>
        <v>11.571308804939992</v>
      </c>
      <c r="O5436" s="149">
        <f t="shared" ca="1" si="180"/>
        <v>1.000173611111111</v>
      </c>
    </row>
    <row r="5437" spans="12:15" x14ac:dyDescent="0.25">
      <c r="L5437" s="147">
        <f ca="1"/>
        <v>50676</v>
      </c>
      <c r="M5437" s="92">
        <f t="shared" ca="1" si="179"/>
        <v>6.25</v>
      </c>
      <c r="N5437" s="143">
        <f ca="1">(PRODUCT($O$5:$O5437)-1)*36000/_xlfn.DAYS(L5437, $C$2)</f>
        <v>11.572337900881202</v>
      </c>
      <c r="O5437" s="149">
        <f t="shared" ca="1" si="180"/>
        <v>1.000173611111111</v>
      </c>
    </row>
    <row r="5438" spans="12:15" x14ac:dyDescent="0.25">
      <c r="L5438" s="147">
        <f ca="1"/>
        <v>50677</v>
      </c>
      <c r="M5438" s="92">
        <f t="shared" ca="1" si="179"/>
        <v>6.25</v>
      </c>
      <c r="N5438" s="143">
        <f ca="1">(PRODUCT($O$5:$O5438)-1)*36000/_xlfn.DAYS(L5438, $C$2)</f>
        <v>11.573367166382443</v>
      </c>
      <c r="O5438" s="149">
        <f t="shared" ca="1" si="180"/>
        <v>1.000173611111111</v>
      </c>
    </row>
    <row r="5439" spans="12:15" x14ac:dyDescent="0.25">
      <c r="L5439" s="147">
        <f ca="1"/>
        <v>50678</v>
      </c>
      <c r="M5439" s="92">
        <f t="shared" ca="1" si="179"/>
        <v>6.25</v>
      </c>
      <c r="N5439" s="143">
        <f ca="1">(PRODUCT($O$5:$O5439)-1)*36000/_xlfn.DAYS(L5439, $C$2)</f>
        <v>11.574396601445297</v>
      </c>
      <c r="O5439" s="149">
        <f t="shared" ca="1" si="180"/>
        <v>1.000173611111111</v>
      </c>
    </row>
    <row r="5440" spans="12:15" x14ac:dyDescent="0.25">
      <c r="L5440" s="147">
        <f ca="1"/>
        <v>50679</v>
      </c>
      <c r="M5440" s="92">
        <f t="shared" ca="1" si="179"/>
        <v>6.25</v>
      </c>
      <c r="N5440" s="143">
        <f ca="1">(PRODUCT($O$5:$O5440)-1)*36000/_xlfn.DAYS(L5440, $C$2)</f>
        <v>11.575426206071366</v>
      </c>
      <c r="O5440" s="149">
        <f t="shared" ca="1" si="180"/>
        <v>1.000173611111111</v>
      </c>
    </row>
    <row r="5441" spans="12:15" x14ac:dyDescent="0.25">
      <c r="L5441" s="147">
        <f ca="1"/>
        <v>50680</v>
      </c>
      <c r="M5441" s="92">
        <f t="shared" ca="1" si="179"/>
        <v>6.25</v>
      </c>
      <c r="N5441" s="143">
        <f ca="1">(PRODUCT($O$5:$O5441)-1)*36000/_xlfn.DAYS(L5441, $C$2)</f>
        <v>11.576455980262262</v>
      </c>
      <c r="O5441" s="149">
        <f t="shared" ca="1" si="180"/>
        <v>1.000173611111111</v>
      </c>
    </row>
    <row r="5442" spans="12:15" x14ac:dyDescent="0.25">
      <c r="L5442" s="147">
        <f ca="1"/>
        <v>50681</v>
      </c>
      <c r="M5442" s="92">
        <f t="shared" ca="1" si="179"/>
        <v>6.25</v>
      </c>
      <c r="N5442" s="143">
        <f ca="1">(PRODUCT($O$5:$O5442)-1)*36000/_xlfn.DAYS(L5442, $C$2)</f>
        <v>11.577485924019614</v>
      </c>
      <c r="O5442" s="149">
        <f t="shared" ca="1" si="180"/>
        <v>1.000173611111111</v>
      </c>
    </row>
    <row r="5443" spans="12:15" x14ac:dyDescent="0.25">
      <c r="L5443" s="147">
        <f ca="1"/>
        <v>50682</v>
      </c>
      <c r="M5443" s="92">
        <f t="shared" ca="1" si="179"/>
        <v>6.25</v>
      </c>
      <c r="N5443" s="143">
        <f ca="1">(PRODUCT($O$5:$O5443)-1)*36000/_xlfn.DAYS(L5443, $C$2)</f>
        <v>11.578516037345073</v>
      </c>
      <c r="O5443" s="149">
        <f t="shared" ca="1" si="180"/>
        <v>1.000173611111111</v>
      </c>
    </row>
    <row r="5444" spans="12:15" x14ac:dyDescent="0.25">
      <c r="L5444" s="147">
        <f ca="1"/>
        <v>50683</v>
      </c>
      <c r="M5444" s="92">
        <f t="shared" ca="1" si="179"/>
        <v>6.25</v>
      </c>
      <c r="N5444" s="143">
        <f ca="1">(PRODUCT($O$5:$O5444)-1)*36000/_xlfn.DAYS(L5444, $C$2)</f>
        <v>11.579546320240294</v>
      </c>
      <c r="O5444" s="149">
        <f t="shared" ca="1" si="180"/>
        <v>1.000173611111111</v>
      </c>
    </row>
    <row r="5445" spans="12:15" x14ac:dyDescent="0.25">
      <c r="L5445" s="147">
        <f ca="1"/>
        <v>50684</v>
      </c>
      <c r="M5445" s="92">
        <f t="shared" ref="M5445:M5508" ca="1" si="181">IFERROR(INDEX($E$27:$H$47, MATCH(L5445, $F$27:$F$47, 0), 4), IF(ISNUMBER(M5444), M5444, $C$5))</f>
        <v>6.25</v>
      </c>
      <c r="N5445" s="143">
        <f ca="1">(PRODUCT($O$5:$O5445)-1)*36000/_xlfn.DAYS(L5445, $C$2)</f>
        <v>11.580576772706952</v>
      </c>
      <c r="O5445" s="149">
        <f t="shared" ca="1" si="180"/>
        <v>1.000173611111111</v>
      </c>
    </row>
    <row r="5446" spans="12:15" x14ac:dyDescent="0.25">
      <c r="L5446" s="147">
        <f ca="1"/>
        <v>50685</v>
      </c>
      <c r="M5446" s="92">
        <f t="shared" ca="1" si="181"/>
        <v>6.25</v>
      </c>
      <c r="N5446" s="143">
        <f ca="1">(PRODUCT($O$5:$O5446)-1)*36000/_xlfn.DAYS(L5446, $C$2)</f>
        <v>11.581607394746742</v>
      </c>
      <c r="O5446" s="149">
        <f t="shared" ref="O5446:O5509" ca="1" si="182">1+M5446*IFERROR(_xlfn.DAYS(L5446, L5445), _xlfn.DAYS(L5446, $C$2))/36000</f>
        <v>1.000173611111111</v>
      </c>
    </row>
    <row r="5447" spans="12:15" x14ac:dyDescent="0.25">
      <c r="L5447" s="147">
        <f ca="1"/>
        <v>50686</v>
      </c>
      <c r="M5447" s="92">
        <f t="shared" ca="1" si="181"/>
        <v>6.25</v>
      </c>
      <c r="N5447" s="143">
        <f ca="1">(PRODUCT($O$5:$O5447)-1)*36000/_xlfn.DAYS(L5447, $C$2)</f>
        <v>11.582638186361367</v>
      </c>
      <c r="O5447" s="149">
        <f t="shared" ca="1" si="182"/>
        <v>1.000173611111111</v>
      </c>
    </row>
    <row r="5448" spans="12:15" x14ac:dyDescent="0.25">
      <c r="L5448" s="147">
        <f ca="1"/>
        <v>50687</v>
      </c>
      <c r="M5448" s="92">
        <f t="shared" ca="1" si="181"/>
        <v>6.25</v>
      </c>
      <c r="N5448" s="143">
        <f ca="1">(PRODUCT($O$5:$O5448)-1)*36000/_xlfn.DAYS(L5448, $C$2)</f>
        <v>11.58366914755255</v>
      </c>
      <c r="O5448" s="149">
        <f t="shared" ca="1" si="182"/>
        <v>1.000173611111111</v>
      </c>
    </row>
    <row r="5449" spans="12:15" x14ac:dyDescent="0.25">
      <c r="L5449" s="147">
        <f ca="1"/>
        <v>50688</v>
      </c>
      <c r="M5449" s="92">
        <f t="shared" ca="1" si="181"/>
        <v>6.25</v>
      </c>
      <c r="N5449" s="143">
        <f ca="1">(PRODUCT($O$5:$O5449)-1)*36000/_xlfn.DAYS(L5449, $C$2)</f>
        <v>11.584700278322028</v>
      </c>
      <c r="O5449" s="149">
        <f t="shared" ca="1" si="182"/>
        <v>1.000173611111111</v>
      </c>
    </row>
    <row r="5450" spans="12:15" x14ac:dyDescent="0.25">
      <c r="L5450" s="147">
        <f ca="1"/>
        <v>50689</v>
      </c>
      <c r="M5450" s="92">
        <f t="shared" ca="1" si="181"/>
        <v>6.25</v>
      </c>
      <c r="N5450" s="143">
        <f ca="1">(PRODUCT($O$5:$O5450)-1)*36000/_xlfn.DAYS(L5450, $C$2)</f>
        <v>11.585731578671554</v>
      </c>
      <c r="O5450" s="149">
        <f t="shared" ca="1" si="182"/>
        <v>1.000173611111111</v>
      </c>
    </row>
    <row r="5451" spans="12:15" x14ac:dyDescent="0.25">
      <c r="L5451" s="147">
        <f ca="1"/>
        <v>50690</v>
      </c>
      <c r="M5451" s="92">
        <f t="shared" ca="1" si="181"/>
        <v>6.25</v>
      </c>
      <c r="N5451" s="143">
        <f ca="1">(PRODUCT($O$5:$O5451)-1)*36000/_xlfn.DAYS(L5451, $C$2)</f>
        <v>11.586763048602895</v>
      </c>
      <c r="O5451" s="149">
        <f t="shared" ca="1" si="182"/>
        <v>1.000173611111111</v>
      </c>
    </row>
    <row r="5452" spans="12:15" x14ac:dyDescent="0.25">
      <c r="L5452" s="147">
        <f ca="1"/>
        <v>50691</v>
      </c>
      <c r="M5452" s="92">
        <f t="shared" ca="1" si="181"/>
        <v>6.25</v>
      </c>
      <c r="N5452" s="143">
        <f ca="1">(PRODUCT($O$5:$O5452)-1)*36000/_xlfn.DAYS(L5452, $C$2)</f>
        <v>11.587794688117835</v>
      </c>
      <c r="O5452" s="149">
        <f t="shared" ca="1" si="182"/>
        <v>1.000173611111111</v>
      </c>
    </row>
    <row r="5453" spans="12:15" x14ac:dyDescent="0.25">
      <c r="L5453" s="147">
        <f ca="1"/>
        <v>50692</v>
      </c>
      <c r="M5453" s="92">
        <f t="shared" ca="1" si="181"/>
        <v>6.25</v>
      </c>
      <c r="N5453" s="143">
        <f ca="1">(PRODUCT($O$5:$O5453)-1)*36000/_xlfn.DAYS(L5453, $C$2)</f>
        <v>11.58882649721817</v>
      </c>
      <c r="O5453" s="149">
        <f t="shared" ca="1" si="182"/>
        <v>1.000173611111111</v>
      </c>
    </row>
    <row r="5454" spans="12:15" x14ac:dyDescent="0.25">
      <c r="L5454" s="147">
        <f ca="1"/>
        <v>50693</v>
      </c>
      <c r="M5454" s="92">
        <f t="shared" ca="1" si="181"/>
        <v>6.25</v>
      </c>
      <c r="N5454" s="143">
        <f ca="1">(PRODUCT($O$5:$O5454)-1)*36000/_xlfn.DAYS(L5454, $C$2)</f>
        <v>11.589858475905709</v>
      </c>
      <c r="O5454" s="149">
        <f t="shared" ca="1" si="182"/>
        <v>1.000173611111111</v>
      </c>
    </row>
    <row r="5455" spans="12:15" x14ac:dyDescent="0.25">
      <c r="L5455" s="147">
        <f ca="1"/>
        <v>50694</v>
      </c>
      <c r="M5455" s="92">
        <f t="shared" ca="1" si="181"/>
        <v>6.25</v>
      </c>
      <c r="N5455" s="143">
        <f ca="1">(PRODUCT($O$5:$O5455)-1)*36000/_xlfn.DAYS(L5455, $C$2)</f>
        <v>11.590890624182288</v>
      </c>
      <c r="O5455" s="149">
        <f t="shared" ca="1" si="182"/>
        <v>1.000173611111111</v>
      </c>
    </row>
    <row r="5456" spans="12:15" x14ac:dyDescent="0.25">
      <c r="L5456" s="147">
        <f ca="1"/>
        <v>50695</v>
      </c>
      <c r="M5456" s="92">
        <f t="shared" ca="1" si="181"/>
        <v>6.25</v>
      </c>
      <c r="N5456" s="143">
        <f ca="1">(PRODUCT($O$5:$O5456)-1)*36000/_xlfn.DAYS(L5456, $C$2)</f>
        <v>11.591922942049747</v>
      </c>
      <c r="O5456" s="149">
        <f t="shared" ca="1" si="182"/>
        <v>1.000173611111111</v>
      </c>
    </row>
    <row r="5457" spans="12:15" x14ac:dyDescent="0.25">
      <c r="L5457" s="147">
        <f ca="1"/>
        <v>50696</v>
      </c>
      <c r="M5457" s="92">
        <f t="shared" ca="1" si="181"/>
        <v>6.25</v>
      </c>
      <c r="N5457" s="143">
        <f ca="1">(PRODUCT($O$5:$O5457)-1)*36000/_xlfn.DAYS(L5457, $C$2)</f>
        <v>11.592955429509942</v>
      </c>
      <c r="O5457" s="149">
        <f t="shared" ca="1" si="182"/>
        <v>1.000173611111111</v>
      </c>
    </row>
    <row r="5458" spans="12:15" x14ac:dyDescent="0.25">
      <c r="L5458" s="147">
        <f ca="1"/>
        <v>50697</v>
      </c>
      <c r="M5458" s="92">
        <f t="shared" ca="1" si="181"/>
        <v>6.25</v>
      </c>
      <c r="N5458" s="143">
        <f ca="1">(PRODUCT($O$5:$O5458)-1)*36000/_xlfn.DAYS(L5458, $C$2)</f>
        <v>11.593988086564751</v>
      </c>
      <c r="O5458" s="149">
        <f t="shared" ca="1" si="182"/>
        <v>1.000173611111111</v>
      </c>
    </row>
    <row r="5459" spans="12:15" x14ac:dyDescent="0.25">
      <c r="L5459" s="147">
        <f ca="1"/>
        <v>50698</v>
      </c>
      <c r="M5459" s="92">
        <f t="shared" ca="1" si="181"/>
        <v>6.25</v>
      </c>
      <c r="N5459" s="143">
        <f ca="1">(PRODUCT($O$5:$O5459)-1)*36000/_xlfn.DAYS(L5459, $C$2)</f>
        <v>11.595020913216061</v>
      </c>
      <c r="O5459" s="149">
        <f t="shared" ca="1" si="182"/>
        <v>1.000173611111111</v>
      </c>
    </row>
    <row r="5460" spans="12:15" x14ac:dyDescent="0.25">
      <c r="L5460" s="147">
        <f ca="1"/>
        <v>50699</v>
      </c>
      <c r="M5460" s="92">
        <f t="shared" ca="1" si="181"/>
        <v>6.25</v>
      </c>
      <c r="N5460" s="143">
        <f ca="1">(PRODUCT($O$5:$O5460)-1)*36000/_xlfn.DAYS(L5460, $C$2)</f>
        <v>11.596053909465773</v>
      </c>
      <c r="O5460" s="149">
        <f t="shared" ca="1" si="182"/>
        <v>1.000173611111111</v>
      </c>
    </row>
    <row r="5461" spans="12:15" x14ac:dyDescent="0.25">
      <c r="L5461" s="147">
        <f ca="1"/>
        <v>50700</v>
      </c>
      <c r="M5461" s="92">
        <f t="shared" ca="1" si="181"/>
        <v>6.25</v>
      </c>
      <c r="N5461" s="143">
        <f ca="1">(PRODUCT($O$5:$O5461)-1)*36000/_xlfn.DAYS(L5461, $C$2)</f>
        <v>11.597087075315812</v>
      </c>
      <c r="O5461" s="149">
        <f t="shared" ca="1" si="182"/>
        <v>1.000173611111111</v>
      </c>
    </row>
    <row r="5462" spans="12:15" x14ac:dyDescent="0.25">
      <c r="L5462" s="147">
        <f ca="1"/>
        <v>50701</v>
      </c>
      <c r="M5462" s="92">
        <f t="shared" ca="1" si="181"/>
        <v>6.25</v>
      </c>
      <c r="N5462" s="143">
        <f ca="1">(PRODUCT($O$5:$O5462)-1)*36000/_xlfn.DAYS(L5462, $C$2)</f>
        <v>11.598120410768109</v>
      </c>
      <c r="O5462" s="149">
        <f t="shared" ca="1" si="182"/>
        <v>1.000173611111111</v>
      </c>
    </row>
    <row r="5463" spans="12:15" x14ac:dyDescent="0.25">
      <c r="L5463" s="147">
        <f ca="1"/>
        <v>50702</v>
      </c>
      <c r="M5463" s="92">
        <f t="shared" ca="1" si="181"/>
        <v>6.25</v>
      </c>
      <c r="N5463" s="143">
        <f ca="1">(PRODUCT($O$5:$O5463)-1)*36000/_xlfn.DAYS(L5463, $C$2)</f>
        <v>11.59915391582461</v>
      </c>
      <c r="O5463" s="149">
        <f t="shared" ca="1" si="182"/>
        <v>1.000173611111111</v>
      </c>
    </row>
    <row r="5464" spans="12:15" x14ac:dyDescent="0.25">
      <c r="L5464" s="147">
        <f ca="1"/>
        <v>50703</v>
      </c>
      <c r="M5464" s="92">
        <f t="shared" ca="1" si="181"/>
        <v>6.25</v>
      </c>
      <c r="N5464" s="143">
        <f ca="1">(PRODUCT($O$5:$O5464)-1)*36000/_xlfn.DAYS(L5464, $C$2)</f>
        <v>11.600187590487288</v>
      </c>
      <c r="O5464" s="149">
        <f t="shared" ca="1" si="182"/>
        <v>1.000173611111111</v>
      </c>
    </row>
    <row r="5465" spans="12:15" x14ac:dyDescent="0.25">
      <c r="L5465" s="147">
        <f ca="1"/>
        <v>50704</v>
      </c>
      <c r="M5465" s="92">
        <f t="shared" ca="1" si="181"/>
        <v>6.25</v>
      </c>
      <c r="N5465" s="143">
        <f ca="1">(PRODUCT($O$5:$O5465)-1)*36000/_xlfn.DAYS(L5465, $C$2)</f>
        <v>11.601221434758115</v>
      </c>
      <c r="O5465" s="149">
        <f t="shared" ca="1" si="182"/>
        <v>1.000173611111111</v>
      </c>
    </row>
    <row r="5466" spans="12:15" x14ac:dyDescent="0.25">
      <c r="L5466" s="147">
        <f ca="1"/>
        <v>50705</v>
      </c>
      <c r="M5466" s="92">
        <f t="shared" ca="1" si="181"/>
        <v>6.25</v>
      </c>
      <c r="N5466" s="143">
        <f ca="1">(PRODUCT($O$5:$O5466)-1)*36000/_xlfn.DAYS(L5466, $C$2)</f>
        <v>11.602255448639088</v>
      </c>
      <c r="O5466" s="149">
        <f t="shared" ca="1" si="182"/>
        <v>1.000173611111111</v>
      </c>
    </row>
    <row r="5467" spans="12:15" x14ac:dyDescent="0.25">
      <c r="L5467" s="147">
        <f ca="1"/>
        <v>50706</v>
      </c>
      <c r="M5467" s="92">
        <f t="shared" ca="1" si="181"/>
        <v>6.25</v>
      </c>
      <c r="N5467" s="143">
        <f ca="1">(PRODUCT($O$5:$O5467)-1)*36000/_xlfn.DAYS(L5467, $C$2)</f>
        <v>11.603289632132217</v>
      </c>
      <c r="O5467" s="149">
        <f t="shared" ca="1" si="182"/>
        <v>1.000173611111111</v>
      </c>
    </row>
    <row r="5468" spans="12:15" x14ac:dyDescent="0.25">
      <c r="L5468" s="147">
        <f ca="1"/>
        <v>50707</v>
      </c>
      <c r="M5468" s="92">
        <f t="shared" ca="1" si="181"/>
        <v>6.25</v>
      </c>
      <c r="N5468" s="143">
        <f ca="1">(PRODUCT($O$5:$O5468)-1)*36000/_xlfn.DAYS(L5468, $C$2)</f>
        <v>11.604323985239525</v>
      </c>
      <c r="O5468" s="149">
        <f t="shared" ca="1" si="182"/>
        <v>1.000173611111111</v>
      </c>
    </row>
    <row r="5469" spans="12:15" x14ac:dyDescent="0.25">
      <c r="L5469" s="147">
        <f ca="1"/>
        <v>50708</v>
      </c>
      <c r="M5469" s="92">
        <f t="shared" ca="1" si="181"/>
        <v>6.25</v>
      </c>
      <c r="N5469" s="143">
        <f ca="1">(PRODUCT($O$5:$O5469)-1)*36000/_xlfn.DAYS(L5469, $C$2)</f>
        <v>11.605358507963054</v>
      </c>
      <c r="O5469" s="149">
        <f t="shared" ca="1" si="182"/>
        <v>1.000173611111111</v>
      </c>
    </row>
    <row r="5470" spans="12:15" x14ac:dyDescent="0.25">
      <c r="L5470" s="147">
        <f ca="1"/>
        <v>50709</v>
      </c>
      <c r="M5470" s="92">
        <f t="shared" ca="1" si="181"/>
        <v>6.25</v>
      </c>
      <c r="N5470" s="143">
        <f ca="1">(PRODUCT($O$5:$O5470)-1)*36000/_xlfn.DAYS(L5470, $C$2)</f>
        <v>11.606393200304856</v>
      </c>
      <c r="O5470" s="149">
        <f t="shared" ca="1" si="182"/>
        <v>1.000173611111111</v>
      </c>
    </row>
    <row r="5471" spans="12:15" x14ac:dyDescent="0.25">
      <c r="L5471" s="147">
        <f ca="1"/>
        <v>50710</v>
      </c>
      <c r="M5471" s="92">
        <f t="shared" ca="1" si="181"/>
        <v>6.25</v>
      </c>
      <c r="N5471" s="143">
        <f ca="1">(PRODUCT($O$5:$O5471)-1)*36000/_xlfn.DAYS(L5471, $C$2)</f>
        <v>11.607428062267003</v>
      </c>
      <c r="O5471" s="149">
        <f t="shared" ca="1" si="182"/>
        <v>1.000173611111111</v>
      </c>
    </row>
    <row r="5472" spans="12:15" x14ac:dyDescent="0.25">
      <c r="L5472" s="147">
        <f ca="1"/>
        <v>50711</v>
      </c>
      <c r="M5472" s="92">
        <f t="shared" ca="1" si="181"/>
        <v>6.25</v>
      </c>
      <c r="N5472" s="143">
        <f ca="1">(PRODUCT($O$5:$O5472)-1)*36000/_xlfn.DAYS(L5472, $C$2)</f>
        <v>11.608463093851579</v>
      </c>
      <c r="O5472" s="149">
        <f t="shared" ca="1" si="182"/>
        <v>1.000173611111111</v>
      </c>
    </row>
    <row r="5473" spans="12:15" x14ac:dyDescent="0.25">
      <c r="L5473" s="147">
        <f ca="1"/>
        <v>50712</v>
      </c>
      <c r="M5473" s="92">
        <f t="shared" ca="1" si="181"/>
        <v>6.25</v>
      </c>
      <c r="N5473" s="143">
        <f ca="1">(PRODUCT($O$5:$O5473)-1)*36000/_xlfn.DAYS(L5473, $C$2)</f>
        <v>11.609498295060684</v>
      </c>
      <c r="O5473" s="149">
        <f t="shared" ca="1" si="182"/>
        <v>1.000173611111111</v>
      </c>
    </row>
    <row r="5474" spans="12:15" x14ac:dyDescent="0.25">
      <c r="L5474" s="147">
        <f ca="1"/>
        <v>50713</v>
      </c>
      <c r="M5474" s="92">
        <f t="shared" ca="1" si="181"/>
        <v>6.25</v>
      </c>
      <c r="N5474" s="143">
        <f ca="1">(PRODUCT($O$5:$O5474)-1)*36000/_xlfn.DAYS(L5474, $C$2)</f>
        <v>11.61053366589643</v>
      </c>
      <c r="O5474" s="149">
        <f t="shared" ca="1" si="182"/>
        <v>1.000173611111111</v>
      </c>
    </row>
    <row r="5475" spans="12:15" x14ac:dyDescent="0.25">
      <c r="L5475" s="147">
        <f ca="1"/>
        <v>50714</v>
      </c>
      <c r="M5475" s="92">
        <f t="shared" ca="1" si="181"/>
        <v>6.25</v>
      </c>
      <c r="N5475" s="143">
        <f ca="1">(PRODUCT($O$5:$O5475)-1)*36000/_xlfn.DAYS(L5475, $C$2)</f>
        <v>11.611569206360953</v>
      </c>
      <c r="O5475" s="149">
        <f t="shared" ca="1" si="182"/>
        <v>1.000173611111111</v>
      </c>
    </row>
    <row r="5476" spans="12:15" x14ac:dyDescent="0.25">
      <c r="L5476" s="147">
        <f ca="1"/>
        <v>50715</v>
      </c>
      <c r="M5476" s="92">
        <f t="shared" ca="1" si="181"/>
        <v>6.25</v>
      </c>
      <c r="N5476" s="143">
        <f ca="1">(PRODUCT($O$5:$O5476)-1)*36000/_xlfn.DAYS(L5476, $C$2)</f>
        <v>11.612604916456391</v>
      </c>
      <c r="O5476" s="149">
        <f t="shared" ca="1" si="182"/>
        <v>1.000173611111111</v>
      </c>
    </row>
    <row r="5477" spans="12:15" x14ac:dyDescent="0.25">
      <c r="L5477" s="147">
        <f ca="1"/>
        <v>50716</v>
      </c>
      <c r="M5477" s="92">
        <f t="shared" ca="1" si="181"/>
        <v>6.25</v>
      </c>
      <c r="N5477" s="143">
        <f ca="1">(PRODUCT($O$5:$O5477)-1)*36000/_xlfn.DAYS(L5477, $C$2)</f>
        <v>11.613640796184905</v>
      </c>
      <c r="O5477" s="149">
        <f t="shared" ca="1" si="182"/>
        <v>1.000173611111111</v>
      </c>
    </row>
    <row r="5478" spans="12:15" x14ac:dyDescent="0.25">
      <c r="L5478" s="147">
        <f ca="1"/>
        <v>50717</v>
      </c>
      <c r="M5478" s="92">
        <f t="shared" ca="1" si="181"/>
        <v>6.25</v>
      </c>
      <c r="N5478" s="143">
        <f ca="1">(PRODUCT($O$5:$O5478)-1)*36000/_xlfn.DAYS(L5478, $C$2)</f>
        <v>11.614676845548672</v>
      </c>
      <c r="O5478" s="149">
        <f t="shared" ca="1" si="182"/>
        <v>1.000173611111111</v>
      </c>
    </row>
    <row r="5479" spans="12:15" x14ac:dyDescent="0.25">
      <c r="L5479" s="147">
        <f ca="1"/>
        <v>50718</v>
      </c>
      <c r="M5479" s="92">
        <f t="shared" ca="1" si="181"/>
        <v>6.25</v>
      </c>
      <c r="N5479" s="143">
        <f ca="1">(PRODUCT($O$5:$O5479)-1)*36000/_xlfn.DAYS(L5479, $C$2)</f>
        <v>11.61571306454988</v>
      </c>
      <c r="O5479" s="149">
        <f t="shared" ca="1" si="182"/>
        <v>1.000173611111111</v>
      </c>
    </row>
    <row r="5480" spans="12:15" x14ac:dyDescent="0.25">
      <c r="L5480" s="147">
        <f ca="1"/>
        <v>50719</v>
      </c>
      <c r="M5480" s="92">
        <f t="shared" ca="1" si="181"/>
        <v>6.25</v>
      </c>
      <c r="N5480" s="143">
        <f ca="1">(PRODUCT($O$5:$O5480)-1)*36000/_xlfn.DAYS(L5480, $C$2)</f>
        <v>11.616749453190733</v>
      </c>
      <c r="O5480" s="149">
        <f t="shared" ca="1" si="182"/>
        <v>1.000173611111111</v>
      </c>
    </row>
    <row r="5481" spans="12:15" x14ac:dyDescent="0.25">
      <c r="L5481" s="147">
        <f ca="1"/>
        <v>50720</v>
      </c>
      <c r="M5481" s="92">
        <f t="shared" ca="1" si="181"/>
        <v>6.25</v>
      </c>
      <c r="N5481" s="143">
        <f ca="1">(PRODUCT($O$5:$O5481)-1)*36000/_xlfn.DAYS(L5481, $C$2)</f>
        <v>11.617786011473454</v>
      </c>
      <c r="O5481" s="149">
        <f t="shared" ca="1" si="182"/>
        <v>1.000173611111111</v>
      </c>
    </row>
    <row r="5482" spans="12:15" x14ac:dyDescent="0.25">
      <c r="L5482" s="147">
        <f ca="1"/>
        <v>50721</v>
      </c>
      <c r="M5482" s="92">
        <f t="shared" ca="1" si="181"/>
        <v>6.25</v>
      </c>
      <c r="N5482" s="143">
        <f ca="1">(PRODUCT($O$5:$O5482)-1)*36000/_xlfn.DAYS(L5482, $C$2)</f>
        <v>11.618822739400272</v>
      </c>
      <c r="O5482" s="149">
        <f t="shared" ca="1" si="182"/>
        <v>1.000173611111111</v>
      </c>
    </row>
    <row r="5483" spans="12:15" x14ac:dyDescent="0.25">
      <c r="L5483" s="147">
        <f ca="1"/>
        <v>50722</v>
      </c>
      <c r="M5483" s="92">
        <f t="shared" ca="1" si="181"/>
        <v>6.25</v>
      </c>
      <c r="N5483" s="143">
        <f ca="1">(PRODUCT($O$5:$O5483)-1)*36000/_xlfn.DAYS(L5483, $C$2)</f>
        <v>11.619859636973437</v>
      </c>
      <c r="O5483" s="149">
        <f t="shared" ca="1" si="182"/>
        <v>1.000173611111111</v>
      </c>
    </row>
    <row r="5484" spans="12:15" x14ac:dyDescent="0.25">
      <c r="L5484" s="147">
        <f ca="1"/>
        <v>50723</v>
      </c>
      <c r="M5484" s="92">
        <f t="shared" ca="1" si="181"/>
        <v>6.25</v>
      </c>
      <c r="N5484" s="143">
        <f ca="1">(PRODUCT($O$5:$O5484)-1)*36000/_xlfn.DAYS(L5484, $C$2)</f>
        <v>11.620896704195214</v>
      </c>
      <c r="O5484" s="149">
        <f t="shared" ca="1" si="182"/>
        <v>1.000173611111111</v>
      </c>
    </row>
    <row r="5485" spans="12:15" x14ac:dyDescent="0.25">
      <c r="L5485" s="147">
        <f ca="1"/>
        <v>50724</v>
      </c>
      <c r="M5485" s="92">
        <f t="shared" ca="1" si="181"/>
        <v>6.25</v>
      </c>
      <c r="N5485" s="143">
        <f ca="1">(PRODUCT($O$5:$O5485)-1)*36000/_xlfn.DAYS(L5485, $C$2)</f>
        <v>11.621933941067882</v>
      </c>
      <c r="O5485" s="149">
        <f t="shared" ca="1" si="182"/>
        <v>1.000173611111111</v>
      </c>
    </row>
    <row r="5486" spans="12:15" x14ac:dyDescent="0.25">
      <c r="L5486" s="147">
        <f ca="1"/>
        <v>50725</v>
      </c>
      <c r="M5486" s="92">
        <f t="shared" ca="1" si="181"/>
        <v>6.25</v>
      </c>
      <c r="N5486" s="143">
        <f ca="1">(PRODUCT($O$5:$O5486)-1)*36000/_xlfn.DAYS(L5486, $C$2)</f>
        <v>11.622971347593733</v>
      </c>
      <c r="O5486" s="149">
        <f t="shared" ca="1" si="182"/>
        <v>1.000173611111111</v>
      </c>
    </row>
    <row r="5487" spans="12:15" x14ac:dyDescent="0.25">
      <c r="L5487" s="147">
        <f ca="1"/>
        <v>50726</v>
      </c>
      <c r="M5487" s="92">
        <f t="shared" ca="1" si="181"/>
        <v>6.25</v>
      </c>
      <c r="N5487" s="143">
        <f ca="1">(PRODUCT($O$5:$O5487)-1)*36000/_xlfn.DAYS(L5487, $C$2)</f>
        <v>11.624008923775078</v>
      </c>
      <c r="O5487" s="149">
        <f t="shared" ca="1" si="182"/>
        <v>1.000173611111111</v>
      </c>
    </row>
    <row r="5488" spans="12:15" x14ac:dyDescent="0.25">
      <c r="L5488" s="147">
        <f ca="1"/>
        <v>50727</v>
      </c>
      <c r="M5488" s="92">
        <f t="shared" ca="1" si="181"/>
        <v>6.25</v>
      </c>
      <c r="N5488" s="143">
        <f ca="1">(PRODUCT($O$5:$O5488)-1)*36000/_xlfn.DAYS(L5488, $C$2)</f>
        <v>11.625046669614237</v>
      </c>
      <c r="O5488" s="149">
        <f t="shared" ca="1" si="182"/>
        <v>1.000173611111111</v>
      </c>
    </row>
    <row r="5489" spans="12:15" x14ac:dyDescent="0.25">
      <c r="L5489" s="147">
        <f ca="1"/>
        <v>50728</v>
      </c>
      <c r="M5489" s="92">
        <f t="shared" ca="1" si="181"/>
        <v>6.25</v>
      </c>
      <c r="N5489" s="143">
        <f ca="1">(PRODUCT($O$5:$O5489)-1)*36000/_xlfn.DAYS(L5489, $C$2)</f>
        <v>11.626084585113551</v>
      </c>
      <c r="O5489" s="149">
        <f t="shared" ca="1" si="182"/>
        <v>1.000173611111111</v>
      </c>
    </row>
    <row r="5490" spans="12:15" x14ac:dyDescent="0.25">
      <c r="L5490" s="147">
        <f ca="1"/>
        <v>50729</v>
      </c>
      <c r="M5490" s="92">
        <f t="shared" ca="1" si="181"/>
        <v>6.25</v>
      </c>
      <c r="N5490" s="143">
        <f ca="1">(PRODUCT($O$5:$O5490)-1)*36000/_xlfn.DAYS(L5490, $C$2)</f>
        <v>11.627122670275373</v>
      </c>
      <c r="O5490" s="149">
        <f t="shared" ca="1" si="182"/>
        <v>1.000173611111111</v>
      </c>
    </row>
    <row r="5491" spans="12:15" x14ac:dyDescent="0.25">
      <c r="L5491" s="147">
        <f ca="1"/>
        <v>50730</v>
      </c>
      <c r="M5491" s="92">
        <f t="shared" ca="1" si="181"/>
        <v>6.25</v>
      </c>
      <c r="N5491" s="143">
        <f ca="1">(PRODUCT($O$5:$O5491)-1)*36000/_xlfn.DAYS(L5491, $C$2)</f>
        <v>11.628160925102067</v>
      </c>
      <c r="O5491" s="149">
        <f t="shared" ca="1" si="182"/>
        <v>1.000173611111111</v>
      </c>
    </row>
    <row r="5492" spans="12:15" x14ac:dyDescent="0.25">
      <c r="L5492" s="147">
        <f ca="1"/>
        <v>50731</v>
      </c>
      <c r="M5492" s="92">
        <f t="shared" ca="1" si="181"/>
        <v>6.25</v>
      </c>
      <c r="N5492" s="143">
        <f ca="1">(PRODUCT($O$5:$O5492)-1)*36000/_xlfn.DAYS(L5492, $C$2)</f>
        <v>11.629199349596021</v>
      </c>
      <c r="O5492" s="149">
        <f t="shared" ca="1" si="182"/>
        <v>1.000173611111111</v>
      </c>
    </row>
    <row r="5493" spans="12:15" x14ac:dyDescent="0.25">
      <c r="L5493" s="147">
        <f ca="1"/>
        <v>50732</v>
      </c>
      <c r="M5493" s="92">
        <f t="shared" ca="1" si="181"/>
        <v>6.25</v>
      </c>
      <c r="N5493" s="143">
        <f ca="1">(PRODUCT($O$5:$O5493)-1)*36000/_xlfn.DAYS(L5493, $C$2)</f>
        <v>11.63023794375963</v>
      </c>
      <c r="O5493" s="149">
        <f t="shared" ca="1" si="182"/>
        <v>1.000173611111111</v>
      </c>
    </row>
    <row r="5494" spans="12:15" x14ac:dyDescent="0.25">
      <c r="L5494" s="147">
        <f ca="1"/>
        <v>50733</v>
      </c>
      <c r="M5494" s="92">
        <f t="shared" ca="1" si="181"/>
        <v>6.25</v>
      </c>
      <c r="N5494" s="143">
        <f ca="1">(PRODUCT($O$5:$O5494)-1)*36000/_xlfn.DAYS(L5494, $C$2)</f>
        <v>11.631276707595303</v>
      </c>
      <c r="O5494" s="149">
        <f t="shared" ca="1" si="182"/>
        <v>1.000173611111111</v>
      </c>
    </row>
    <row r="5495" spans="12:15" x14ac:dyDescent="0.25">
      <c r="L5495" s="147">
        <f ca="1"/>
        <v>50734</v>
      </c>
      <c r="M5495" s="92">
        <f t="shared" ca="1" si="181"/>
        <v>6.25</v>
      </c>
      <c r="N5495" s="143">
        <f ca="1">(PRODUCT($O$5:$O5495)-1)*36000/_xlfn.DAYS(L5495, $C$2)</f>
        <v>11.632315641105468</v>
      </c>
      <c r="O5495" s="149">
        <f t="shared" ca="1" si="182"/>
        <v>1.000173611111111</v>
      </c>
    </row>
    <row r="5496" spans="12:15" x14ac:dyDescent="0.25">
      <c r="L5496" s="147">
        <f ca="1"/>
        <v>50735</v>
      </c>
      <c r="M5496" s="92">
        <f t="shared" ca="1" si="181"/>
        <v>6.25</v>
      </c>
      <c r="N5496" s="143">
        <f ca="1">(PRODUCT($O$5:$O5496)-1)*36000/_xlfn.DAYS(L5496, $C$2)</f>
        <v>11.633354744292571</v>
      </c>
      <c r="O5496" s="149">
        <f t="shared" ca="1" si="182"/>
        <v>1.000173611111111</v>
      </c>
    </row>
    <row r="5497" spans="12:15" x14ac:dyDescent="0.25">
      <c r="L5497" s="147">
        <f ca="1"/>
        <v>50736</v>
      </c>
      <c r="M5497" s="92">
        <f t="shared" ca="1" si="181"/>
        <v>6.25</v>
      </c>
      <c r="N5497" s="143">
        <f ca="1">(PRODUCT($O$5:$O5497)-1)*36000/_xlfn.DAYS(L5497, $C$2)</f>
        <v>11.634394017159062</v>
      </c>
      <c r="O5497" s="149">
        <f t="shared" ca="1" si="182"/>
        <v>1.000173611111111</v>
      </c>
    </row>
    <row r="5498" spans="12:15" x14ac:dyDescent="0.25">
      <c r="L5498" s="147">
        <f ca="1"/>
        <v>50737</v>
      </c>
      <c r="M5498" s="92">
        <f t="shared" ca="1" si="181"/>
        <v>6.25</v>
      </c>
      <c r="N5498" s="143">
        <f ca="1">(PRODUCT($O$5:$O5498)-1)*36000/_xlfn.DAYS(L5498, $C$2)</f>
        <v>11.635433459707414</v>
      </c>
      <c r="O5498" s="149">
        <f t="shared" ca="1" si="182"/>
        <v>1.000173611111111</v>
      </c>
    </row>
    <row r="5499" spans="12:15" x14ac:dyDescent="0.25">
      <c r="L5499" s="147">
        <f ca="1"/>
        <v>50738</v>
      </c>
      <c r="M5499" s="92">
        <f t="shared" ca="1" si="181"/>
        <v>6.25</v>
      </c>
      <c r="N5499" s="143">
        <f ca="1">(PRODUCT($O$5:$O5499)-1)*36000/_xlfn.DAYS(L5499, $C$2)</f>
        <v>11.636473071940113</v>
      </c>
      <c r="O5499" s="149">
        <f t="shared" ca="1" si="182"/>
        <v>1.000173611111111</v>
      </c>
    </row>
    <row r="5500" spans="12:15" x14ac:dyDescent="0.25">
      <c r="L5500" s="147">
        <f ca="1"/>
        <v>50739</v>
      </c>
      <c r="M5500" s="92">
        <f t="shared" ca="1" si="181"/>
        <v>6.25</v>
      </c>
      <c r="N5500" s="143">
        <f ca="1">(PRODUCT($O$5:$O5500)-1)*36000/_xlfn.DAYS(L5500, $C$2)</f>
        <v>11.637512853859661</v>
      </c>
      <c r="O5500" s="149">
        <f t="shared" ca="1" si="182"/>
        <v>1.000173611111111</v>
      </c>
    </row>
    <row r="5501" spans="12:15" x14ac:dyDescent="0.25">
      <c r="L5501" s="147">
        <f ca="1"/>
        <v>50740</v>
      </c>
      <c r="M5501" s="92">
        <f t="shared" ca="1" si="181"/>
        <v>6.25</v>
      </c>
      <c r="N5501" s="143">
        <f ca="1">(PRODUCT($O$5:$O5501)-1)*36000/_xlfn.DAYS(L5501, $C$2)</f>
        <v>11.638552805468574</v>
      </c>
      <c r="O5501" s="149">
        <f t="shared" ca="1" si="182"/>
        <v>1.000173611111111</v>
      </c>
    </row>
    <row r="5502" spans="12:15" x14ac:dyDescent="0.25">
      <c r="L5502" s="147">
        <f ca="1"/>
        <v>50741</v>
      </c>
      <c r="M5502" s="92">
        <f t="shared" ca="1" si="181"/>
        <v>6.25</v>
      </c>
      <c r="N5502" s="143">
        <f ca="1">(PRODUCT($O$5:$O5502)-1)*36000/_xlfn.DAYS(L5502, $C$2)</f>
        <v>11.639592926769378</v>
      </c>
      <c r="O5502" s="149">
        <f t="shared" ca="1" si="182"/>
        <v>1.000173611111111</v>
      </c>
    </row>
    <row r="5503" spans="12:15" x14ac:dyDescent="0.25">
      <c r="L5503" s="147">
        <f ca="1"/>
        <v>50742</v>
      </c>
      <c r="M5503" s="92">
        <f t="shared" ca="1" si="181"/>
        <v>6.25</v>
      </c>
      <c r="N5503" s="143">
        <f ca="1">(PRODUCT($O$5:$O5503)-1)*36000/_xlfn.DAYS(L5503, $C$2)</f>
        <v>11.64063321776462</v>
      </c>
      <c r="O5503" s="149">
        <f t="shared" ca="1" si="182"/>
        <v>1.000173611111111</v>
      </c>
    </row>
    <row r="5504" spans="12:15" x14ac:dyDescent="0.25">
      <c r="L5504" s="147">
        <f ca="1"/>
        <v>50743</v>
      </c>
      <c r="M5504" s="92">
        <f t="shared" ca="1" si="181"/>
        <v>6.25</v>
      </c>
      <c r="N5504" s="143">
        <f ca="1">(PRODUCT($O$5:$O5504)-1)*36000/_xlfn.DAYS(L5504, $C$2)</f>
        <v>11.641673678456858</v>
      </c>
      <c r="O5504" s="149">
        <f t="shared" ca="1" si="182"/>
        <v>1.000173611111111</v>
      </c>
    </row>
    <row r="5505" spans="12:15" x14ac:dyDescent="0.25">
      <c r="L5505" s="147">
        <f ca="1"/>
        <v>50744</v>
      </c>
      <c r="M5505" s="92">
        <f t="shared" ca="1" si="181"/>
        <v>6.25</v>
      </c>
      <c r="N5505" s="143">
        <f ca="1">(PRODUCT($O$5:$O5505)-1)*36000/_xlfn.DAYS(L5505, $C$2)</f>
        <v>11.642714308848666</v>
      </c>
      <c r="O5505" s="149">
        <f t="shared" ca="1" si="182"/>
        <v>1.000173611111111</v>
      </c>
    </row>
    <row r="5506" spans="12:15" x14ac:dyDescent="0.25">
      <c r="L5506" s="147">
        <f ca="1"/>
        <v>50745</v>
      </c>
      <c r="M5506" s="92">
        <f t="shared" ca="1" si="181"/>
        <v>6.25</v>
      </c>
      <c r="N5506" s="143">
        <f ca="1">(PRODUCT($O$5:$O5506)-1)*36000/_xlfn.DAYS(L5506, $C$2)</f>
        <v>11.643755108942635</v>
      </c>
      <c r="O5506" s="149">
        <f t="shared" ca="1" si="182"/>
        <v>1.000173611111111</v>
      </c>
    </row>
    <row r="5507" spans="12:15" x14ac:dyDescent="0.25">
      <c r="L5507" s="147">
        <f ca="1"/>
        <v>50746</v>
      </c>
      <c r="M5507" s="92">
        <f t="shared" ca="1" si="181"/>
        <v>6.25</v>
      </c>
      <c r="N5507" s="143">
        <f ca="1">(PRODUCT($O$5:$O5507)-1)*36000/_xlfn.DAYS(L5507, $C$2)</f>
        <v>11.644796078741363</v>
      </c>
      <c r="O5507" s="149">
        <f t="shared" ca="1" si="182"/>
        <v>1.000173611111111</v>
      </c>
    </row>
    <row r="5508" spans="12:15" x14ac:dyDescent="0.25">
      <c r="L5508" s="147">
        <f ca="1"/>
        <v>50747</v>
      </c>
      <c r="M5508" s="92">
        <f t="shared" ca="1" si="181"/>
        <v>6.25</v>
      </c>
      <c r="N5508" s="143">
        <f ca="1">(PRODUCT($O$5:$O5508)-1)*36000/_xlfn.DAYS(L5508, $C$2)</f>
        <v>11.645837218247472</v>
      </c>
      <c r="O5508" s="149">
        <f t="shared" ca="1" si="182"/>
        <v>1.000173611111111</v>
      </c>
    </row>
    <row r="5509" spans="12:15" x14ac:dyDescent="0.25">
      <c r="L5509" s="147">
        <f ca="1"/>
        <v>50748</v>
      </c>
      <c r="M5509" s="92">
        <f t="shared" ref="M5509:M5572" ca="1" si="183">IFERROR(INDEX($E$27:$H$47, MATCH(L5509, $F$27:$F$47, 0), 4), IF(ISNUMBER(M5508), M5508, $C$5))</f>
        <v>6.25</v>
      </c>
      <c r="N5509" s="143">
        <f ca="1">(PRODUCT($O$5:$O5509)-1)*36000/_xlfn.DAYS(L5509, $C$2)</f>
        <v>11.646878527463592</v>
      </c>
      <c r="O5509" s="149">
        <f t="shared" ca="1" si="182"/>
        <v>1.000173611111111</v>
      </c>
    </row>
    <row r="5510" spans="12:15" x14ac:dyDescent="0.25">
      <c r="L5510" s="147">
        <f ca="1"/>
        <v>50749</v>
      </c>
      <c r="M5510" s="92">
        <f t="shared" ca="1" si="183"/>
        <v>6.25</v>
      </c>
      <c r="N5510" s="143">
        <f ca="1">(PRODUCT($O$5:$O5510)-1)*36000/_xlfn.DAYS(L5510, $C$2)</f>
        <v>11.647920006392368</v>
      </c>
      <c r="O5510" s="149">
        <f t="shared" ref="O5510:O5573" ca="1" si="184">1+M5510*IFERROR(_xlfn.DAYS(L5510, L5509), _xlfn.DAYS(L5510, $C$2))/36000</f>
        <v>1.000173611111111</v>
      </c>
    </row>
    <row r="5511" spans="12:15" x14ac:dyDescent="0.25">
      <c r="L5511" s="147">
        <f ca="1"/>
        <v>50750</v>
      </c>
      <c r="M5511" s="92">
        <f t="shared" ca="1" si="183"/>
        <v>6.25</v>
      </c>
      <c r="N5511" s="143">
        <f ca="1">(PRODUCT($O$5:$O5511)-1)*36000/_xlfn.DAYS(L5511, $C$2)</f>
        <v>11.648961655036464</v>
      </c>
      <c r="O5511" s="149">
        <f t="shared" ca="1" si="184"/>
        <v>1.000173611111111</v>
      </c>
    </row>
    <row r="5512" spans="12:15" x14ac:dyDescent="0.25">
      <c r="L5512" s="147">
        <f ca="1"/>
        <v>50751</v>
      </c>
      <c r="M5512" s="92">
        <f t="shared" ca="1" si="183"/>
        <v>6.25</v>
      </c>
      <c r="N5512" s="143">
        <f ca="1">(PRODUCT($O$5:$O5512)-1)*36000/_xlfn.DAYS(L5512, $C$2)</f>
        <v>11.650003473398558</v>
      </c>
      <c r="O5512" s="149">
        <f t="shared" ca="1" si="184"/>
        <v>1.000173611111111</v>
      </c>
    </row>
    <row r="5513" spans="12:15" x14ac:dyDescent="0.25">
      <c r="L5513" s="147">
        <f ca="1"/>
        <v>50752</v>
      </c>
      <c r="M5513" s="92">
        <f t="shared" ca="1" si="183"/>
        <v>6.25</v>
      </c>
      <c r="N5513" s="143">
        <f ca="1">(PRODUCT($O$5:$O5513)-1)*36000/_xlfn.DAYS(L5513, $C$2)</f>
        <v>11.651045461481337</v>
      </c>
      <c r="O5513" s="149">
        <f t="shared" ca="1" si="184"/>
        <v>1.000173611111111</v>
      </c>
    </row>
    <row r="5514" spans="12:15" x14ac:dyDescent="0.25">
      <c r="L5514" s="147">
        <f ca="1"/>
        <v>50753</v>
      </c>
      <c r="M5514" s="92">
        <f t="shared" ca="1" si="183"/>
        <v>6.25</v>
      </c>
      <c r="N5514" s="143">
        <f ca="1">(PRODUCT($O$5:$O5514)-1)*36000/_xlfn.DAYS(L5514, $C$2)</f>
        <v>11.652087619287508</v>
      </c>
      <c r="O5514" s="149">
        <f t="shared" ca="1" si="184"/>
        <v>1.000173611111111</v>
      </c>
    </row>
    <row r="5515" spans="12:15" x14ac:dyDescent="0.25">
      <c r="L5515" s="147">
        <f ca="1"/>
        <v>50754</v>
      </c>
      <c r="M5515" s="92">
        <f t="shared" ca="1" si="183"/>
        <v>6.25</v>
      </c>
      <c r="N5515" s="143">
        <f ca="1">(PRODUCT($O$5:$O5515)-1)*36000/_xlfn.DAYS(L5515, $C$2)</f>
        <v>11.65312994681979</v>
      </c>
      <c r="O5515" s="149">
        <f t="shared" ca="1" si="184"/>
        <v>1.000173611111111</v>
      </c>
    </row>
    <row r="5516" spans="12:15" x14ac:dyDescent="0.25">
      <c r="L5516" s="147">
        <f ca="1"/>
        <v>50755</v>
      </c>
      <c r="M5516" s="92">
        <f t="shared" ca="1" si="183"/>
        <v>6.25</v>
      </c>
      <c r="N5516" s="143">
        <f ca="1">(PRODUCT($O$5:$O5516)-1)*36000/_xlfn.DAYS(L5516, $C$2)</f>
        <v>11.654172444080917</v>
      </c>
      <c r="O5516" s="149">
        <f t="shared" ca="1" si="184"/>
        <v>1.000173611111111</v>
      </c>
    </row>
    <row r="5517" spans="12:15" x14ac:dyDescent="0.25">
      <c r="L5517" s="147">
        <f ca="1"/>
        <v>50756</v>
      </c>
      <c r="M5517" s="92">
        <f t="shared" ca="1" si="183"/>
        <v>6.25</v>
      </c>
      <c r="N5517" s="143">
        <f ca="1">(PRODUCT($O$5:$O5517)-1)*36000/_xlfn.DAYS(L5517, $C$2)</f>
        <v>11.655215111073638</v>
      </c>
      <c r="O5517" s="149">
        <f t="shared" ca="1" si="184"/>
        <v>1.000173611111111</v>
      </c>
    </row>
    <row r="5518" spans="12:15" x14ac:dyDescent="0.25">
      <c r="L5518" s="147">
        <f ca="1"/>
        <v>50757</v>
      </c>
      <c r="M5518" s="92">
        <f t="shared" ca="1" si="183"/>
        <v>6.25</v>
      </c>
      <c r="N5518" s="143">
        <f ca="1">(PRODUCT($O$5:$O5518)-1)*36000/_xlfn.DAYS(L5518, $C$2)</f>
        <v>11.656257947800718</v>
      </c>
      <c r="O5518" s="149">
        <f t="shared" ca="1" si="184"/>
        <v>1.000173611111111</v>
      </c>
    </row>
    <row r="5519" spans="12:15" x14ac:dyDescent="0.25">
      <c r="L5519" s="147">
        <f ca="1"/>
        <v>50758</v>
      </c>
      <c r="M5519" s="92">
        <f t="shared" ca="1" si="183"/>
        <v>6.25</v>
      </c>
      <c r="N5519" s="143">
        <f ca="1">(PRODUCT($O$5:$O5519)-1)*36000/_xlfn.DAYS(L5519, $C$2)</f>
        <v>11.657300954264931</v>
      </c>
      <c r="O5519" s="149">
        <f t="shared" ca="1" si="184"/>
        <v>1.000173611111111</v>
      </c>
    </row>
    <row r="5520" spans="12:15" x14ac:dyDescent="0.25">
      <c r="L5520" s="147">
        <f ca="1"/>
        <v>50759</v>
      </c>
      <c r="M5520" s="92">
        <f t="shared" ca="1" si="183"/>
        <v>6.25</v>
      </c>
      <c r="N5520" s="143">
        <f ca="1">(PRODUCT($O$5:$O5520)-1)*36000/_xlfn.DAYS(L5520, $C$2)</f>
        <v>11.658344130469072</v>
      </c>
      <c r="O5520" s="149">
        <f t="shared" ca="1" si="184"/>
        <v>1.000173611111111</v>
      </c>
    </row>
    <row r="5521" spans="12:15" x14ac:dyDescent="0.25">
      <c r="L5521" s="147">
        <f ca="1"/>
        <v>50760</v>
      </c>
      <c r="M5521" s="92">
        <f t="shared" ca="1" si="183"/>
        <v>6.25</v>
      </c>
      <c r="N5521" s="143">
        <f ca="1">(PRODUCT($O$5:$O5521)-1)*36000/_xlfn.DAYS(L5521, $C$2)</f>
        <v>11.659387476415946</v>
      </c>
      <c r="O5521" s="149">
        <f t="shared" ca="1" si="184"/>
        <v>1.000173611111111</v>
      </c>
    </row>
    <row r="5522" spans="12:15" x14ac:dyDescent="0.25">
      <c r="L5522" s="147">
        <f ca="1"/>
        <v>50761</v>
      </c>
      <c r="M5522" s="92">
        <f t="shared" ca="1" si="183"/>
        <v>6.25</v>
      </c>
      <c r="N5522" s="143">
        <f ca="1">(PRODUCT($O$5:$O5522)-1)*36000/_xlfn.DAYS(L5522, $C$2)</f>
        <v>11.660430992108378</v>
      </c>
      <c r="O5522" s="149">
        <f t="shared" ca="1" si="184"/>
        <v>1.000173611111111</v>
      </c>
    </row>
    <row r="5523" spans="12:15" x14ac:dyDescent="0.25">
      <c r="L5523" s="147">
        <f ca="1"/>
        <v>50762</v>
      </c>
      <c r="M5523" s="92">
        <f t="shared" ca="1" si="183"/>
        <v>6.25</v>
      </c>
      <c r="N5523" s="143">
        <f ca="1">(PRODUCT($O$5:$O5523)-1)*36000/_xlfn.DAYS(L5523, $C$2)</f>
        <v>11.661474677549199</v>
      </c>
      <c r="O5523" s="149">
        <f t="shared" ca="1" si="184"/>
        <v>1.000173611111111</v>
      </c>
    </row>
    <row r="5524" spans="12:15" x14ac:dyDescent="0.25">
      <c r="L5524" s="147">
        <f ca="1"/>
        <v>50763</v>
      </c>
      <c r="M5524" s="92">
        <f t="shared" ca="1" si="183"/>
        <v>6.25</v>
      </c>
      <c r="N5524" s="143">
        <f ca="1">(PRODUCT($O$5:$O5524)-1)*36000/_xlfn.DAYS(L5524, $C$2)</f>
        <v>11.662518532741261</v>
      </c>
      <c r="O5524" s="149">
        <f t="shared" ca="1" si="184"/>
        <v>1.000173611111111</v>
      </c>
    </row>
    <row r="5525" spans="12:15" x14ac:dyDescent="0.25">
      <c r="L5525" s="147">
        <f ca="1"/>
        <v>50764</v>
      </c>
      <c r="M5525" s="92">
        <f t="shared" ca="1" si="183"/>
        <v>6.25</v>
      </c>
      <c r="N5525" s="143">
        <f ca="1">(PRODUCT($O$5:$O5525)-1)*36000/_xlfn.DAYS(L5525, $C$2)</f>
        <v>11.663562557687429</v>
      </c>
      <c r="O5525" s="149">
        <f t="shared" ca="1" si="184"/>
        <v>1.000173611111111</v>
      </c>
    </row>
    <row r="5526" spans="12:15" x14ac:dyDescent="0.25">
      <c r="L5526" s="147">
        <f ca="1"/>
        <v>50765</v>
      </c>
      <c r="M5526" s="92">
        <f t="shared" ca="1" si="183"/>
        <v>6.25</v>
      </c>
      <c r="N5526" s="143">
        <f ca="1">(PRODUCT($O$5:$O5526)-1)*36000/_xlfn.DAYS(L5526, $C$2)</f>
        <v>11.664606752390583</v>
      </c>
      <c r="O5526" s="149">
        <f t="shared" ca="1" si="184"/>
        <v>1.000173611111111</v>
      </c>
    </row>
    <row r="5527" spans="12:15" x14ac:dyDescent="0.25">
      <c r="L5527" s="147">
        <f ca="1"/>
        <v>50766</v>
      </c>
      <c r="M5527" s="92">
        <f t="shared" ca="1" si="183"/>
        <v>6.25</v>
      </c>
      <c r="N5527" s="143">
        <f ca="1">(PRODUCT($O$5:$O5527)-1)*36000/_xlfn.DAYS(L5527, $C$2)</f>
        <v>11.665651116853613</v>
      </c>
      <c r="O5527" s="149">
        <f t="shared" ca="1" si="184"/>
        <v>1.000173611111111</v>
      </c>
    </row>
    <row r="5528" spans="12:15" x14ac:dyDescent="0.25">
      <c r="L5528" s="147">
        <f ca="1"/>
        <v>50767</v>
      </c>
      <c r="M5528" s="92">
        <f t="shared" ca="1" si="183"/>
        <v>6.25</v>
      </c>
      <c r="N5528" s="143">
        <f ca="1">(PRODUCT($O$5:$O5528)-1)*36000/_xlfn.DAYS(L5528, $C$2)</f>
        <v>11.666695651079431</v>
      </c>
      <c r="O5528" s="149">
        <f t="shared" ca="1" si="184"/>
        <v>1.000173611111111</v>
      </c>
    </row>
    <row r="5529" spans="12:15" x14ac:dyDescent="0.25">
      <c r="L5529" s="147">
        <f ca="1"/>
        <v>50768</v>
      </c>
      <c r="M5529" s="92">
        <f t="shared" ca="1" si="183"/>
        <v>6.25</v>
      </c>
      <c r="N5529" s="143">
        <f ca="1">(PRODUCT($O$5:$O5529)-1)*36000/_xlfn.DAYS(L5529, $C$2)</f>
        <v>11.667740355070956</v>
      </c>
      <c r="O5529" s="149">
        <f t="shared" ca="1" si="184"/>
        <v>1.000173611111111</v>
      </c>
    </row>
    <row r="5530" spans="12:15" x14ac:dyDescent="0.25">
      <c r="L5530" s="147">
        <f ca="1"/>
        <v>50769</v>
      </c>
      <c r="M5530" s="92">
        <f t="shared" ca="1" si="183"/>
        <v>6.25</v>
      </c>
      <c r="N5530" s="143">
        <f ca="1">(PRODUCT($O$5:$O5530)-1)*36000/_xlfn.DAYS(L5530, $C$2)</f>
        <v>11.668785228831124</v>
      </c>
      <c r="O5530" s="149">
        <f t="shared" ca="1" si="184"/>
        <v>1.000173611111111</v>
      </c>
    </row>
    <row r="5531" spans="12:15" x14ac:dyDescent="0.25">
      <c r="L5531" s="147">
        <f ca="1"/>
        <v>50770</v>
      </c>
      <c r="M5531" s="92">
        <f t="shared" ca="1" si="183"/>
        <v>6.25</v>
      </c>
      <c r="N5531" s="143">
        <f ca="1">(PRODUCT($O$5:$O5531)-1)*36000/_xlfn.DAYS(L5531, $C$2)</f>
        <v>11.669830272362891</v>
      </c>
      <c r="O5531" s="149">
        <f t="shared" ca="1" si="184"/>
        <v>1.000173611111111</v>
      </c>
    </row>
    <row r="5532" spans="12:15" x14ac:dyDescent="0.25">
      <c r="L5532" s="147">
        <f ca="1"/>
        <v>50771</v>
      </c>
      <c r="M5532" s="92">
        <f t="shared" ca="1" si="183"/>
        <v>6.25</v>
      </c>
      <c r="N5532" s="143">
        <f ca="1">(PRODUCT($O$5:$O5532)-1)*36000/_xlfn.DAYS(L5532, $C$2)</f>
        <v>11.670875485669217</v>
      </c>
      <c r="O5532" s="149">
        <f t="shared" ca="1" si="184"/>
        <v>1.000173611111111</v>
      </c>
    </row>
    <row r="5533" spans="12:15" x14ac:dyDescent="0.25">
      <c r="L5533" s="147">
        <f ca="1"/>
        <v>50772</v>
      </c>
      <c r="M5533" s="92">
        <f t="shared" ca="1" si="183"/>
        <v>6.25</v>
      </c>
      <c r="N5533" s="143">
        <f ca="1">(PRODUCT($O$5:$O5533)-1)*36000/_xlfn.DAYS(L5533, $C$2)</f>
        <v>11.671920868753086</v>
      </c>
      <c r="O5533" s="149">
        <f t="shared" ca="1" si="184"/>
        <v>1.000173611111111</v>
      </c>
    </row>
    <row r="5534" spans="12:15" x14ac:dyDescent="0.25">
      <c r="L5534" s="147">
        <f ca="1"/>
        <v>50773</v>
      </c>
      <c r="M5534" s="92">
        <f t="shared" ca="1" si="183"/>
        <v>6.25</v>
      </c>
      <c r="N5534" s="143">
        <f ca="1">(PRODUCT($O$5:$O5534)-1)*36000/_xlfn.DAYS(L5534, $C$2)</f>
        <v>11.672966421617488</v>
      </c>
      <c r="O5534" s="149">
        <f t="shared" ca="1" si="184"/>
        <v>1.000173611111111</v>
      </c>
    </row>
    <row r="5535" spans="12:15" x14ac:dyDescent="0.25">
      <c r="L5535" s="147">
        <f ca="1"/>
        <v>50774</v>
      </c>
      <c r="M5535" s="92">
        <f t="shared" ca="1" si="183"/>
        <v>6.25</v>
      </c>
      <c r="N5535" s="143">
        <f ca="1">(PRODUCT($O$5:$O5535)-1)*36000/_xlfn.DAYS(L5535, $C$2)</f>
        <v>11.674012144265435</v>
      </c>
      <c r="O5535" s="149">
        <f t="shared" ca="1" si="184"/>
        <v>1.000173611111111</v>
      </c>
    </row>
    <row r="5536" spans="12:15" x14ac:dyDescent="0.25">
      <c r="L5536" s="147">
        <f ca="1"/>
        <v>50775</v>
      </c>
      <c r="M5536" s="92">
        <f t="shared" ca="1" si="183"/>
        <v>6.25</v>
      </c>
      <c r="N5536" s="143">
        <f ca="1">(PRODUCT($O$5:$O5536)-1)*36000/_xlfn.DAYS(L5536, $C$2)</f>
        <v>11.675058036699948</v>
      </c>
      <c r="O5536" s="149">
        <f t="shared" ca="1" si="184"/>
        <v>1.000173611111111</v>
      </c>
    </row>
    <row r="5537" spans="12:15" x14ac:dyDescent="0.25">
      <c r="L5537" s="147">
        <f ca="1"/>
        <v>50776</v>
      </c>
      <c r="M5537" s="92">
        <f t="shared" ca="1" si="183"/>
        <v>6.25</v>
      </c>
      <c r="N5537" s="143">
        <f ca="1">(PRODUCT($O$5:$O5537)-1)*36000/_xlfn.DAYS(L5537, $C$2)</f>
        <v>11.676104098924066</v>
      </c>
      <c r="O5537" s="149">
        <f t="shared" ca="1" si="184"/>
        <v>1.000173611111111</v>
      </c>
    </row>
    <row r="5538" spans="12:15" x14ac:dyDescent="0.25">
      <c r="L5538" s="147">
        <f ca="1"/>
        <v>50777</v>
      </c>
      <c r="M5538" s="92">
        <f t="shared" ca="1" si="183"/>
        <v>6.25</v>
      </c>
      <c r="N5538" s="143">
        <f ca="1">(PRODUCT($O$5:$O5538)-1)*36000/_xlfn.DAYS(L5538, $C$2)</f>
        <v>11.677150330940837</v>
      </c>
      <c r="O5538" s="149">
        <f t="shared" ca="1" si="184"/>
        <v>1.000173611111111</v>
      </c>
    </row>
    <row r="5539" spans="12:15" x14ac:dyDescent="0.25">
      <c r="L5539" s="147">
        <f ca="1"/>
        <v>50778</v>
      </c>
      <c r="M5539" s="92">
        <f t="shared" ca="1" si="183"/>
        <v>6.25</v>
      </c>
      <c r="N5539" s="143">
        <f ca="1">(PRODUCT($O$5:$O5539)-1)*36000/_xlfn.DAYS(L5539, $C$2)</f>
        <v>11.67819673275333</v>
      </c>
      <c r="O5539" s="149">
        <f t="shared" ca="1" si="184"/>
        <v>1.000173611111111</v>
      </c>
    </row>
    <row r="5540" spans="12:15" x14ac:dyDescent="0.25">
      <c r="L5540" s="147">
        <f ca="1"/>
        <v>50779</v>
      </c>
      <c r="M5540" s="92">
        <f t="shared" ca="1" si="183"/>
        <v>6.25</v>
      </c>
      <c r="N5540" s="143">
        <f ca="1">(PRODUCT($O$5:$O5540)-1)*36000/_xlfn.DAYS(L5540, $C$2)</f>
        <v>11.679243304364622</v>
      </c>
      <c r="O5540" s="149">
        <f t="shared" ca="1" si="184"/>
        <v>1.000173611111111</v>
      </c>
    </row>
    <row r="5541" spans="12:15" x14ac:dyDescent="0.25">
      <c r="L5541" s="147">
        <f ca="1"/>
        <v>50780</v>
      </c>
      <c r="M5541" s="92">
        <f t="shared" ca="1" si="183"/>
        <v>6.25</v>
      </c>
      <c r="N5541" s="143">
        <f ca="1">(PRODUCT($O$5:$O5541)-1)*36000/_xlfn.DAYS(L5541, $C$2)</f>
        <v>11.680290045777809</v>
      </c>
      <c r="O5541" s="149">
        <f t="shared" ca="1" si="184"/>
        <v>1.000173611111111</v>
      </c>
    </row>
    <row r="5542" spans="12:15" x14ac:dyDescent="0.25">
      <c r="L5542" s="147">
        <f ca="1"/>
        <v>50781</v>
      </c>
      <c r="M5542" s="92">
        <f t="shared" ca="1" si="183"/>
        <v>6.25</v>
      </c>
      <c r="N5542" s="143">
        <f ca="1">(PRODUCT($O$5:$O5542)-1)*36000/_xlfn.DAYS(L5542, $C$2)</f>
        <v>11.681336956996002</v>
      </c>
      <c r="O5542" s="149">
        <f t="shared" ca="1" si="184"/>
        <v>1.000173611111111</v>
      </c>
    </row>
    <row r="5543" spans="12:15" x14ac:dyDescent="0.25">
      <c r="L5543" s="147">
        <f ca="1"/>
        <v>50782</v>
      </c>
      <c r="M5543" s="92">
        <f t="shared" ca="1" si="183"/>
        <v>6.25</v>
      </c>
      <c r="N5543" s="143">
        <f ca="1">(PRODUCT($O$5:$O5543)-1)*36000/_xlfn.DAYS(L5543, $C$2)</f>
        <v>11.682384038022319</v>
      </c>
      <c r="O5543" s="149">
        <f t="shared" ca="1" si="184"/>
        <v>1.000173611111111</v>
      </c>
    </row>
    <row r="5544" spans="12:15" x14ac:dyDescent="0.25">
      <c r="L5544" s="147">
        <f ca="1"/>
        <v>50783</v>
      </c>
      <c r="M5544" s="92">
        <f t="shared" ca="1" si="183"/>
        <v>6.25</v>
      </c>
      <c r="N5544" s="143">
        <f ca="1">(PRODUCT($O$5:$O5544)-1)*36000/_xlfn.DAYS(L5544, $C$2)</f>
        <v>11.6834312888599</v>
      </c>
      <c r="O5544" s="149">
        <f t="shared" ca="1" si="184"/>
        <v>1.000173611111111</v>
      </c>
    </row>
    <row r="5545" spans="12:15" x14ac:dyDescent="0.25">
      <c r="L5545" s="147">
        <f ca="1"/>
        <v>50784</v>
      </c>
      <c r="M5545" s="92">
        <f t="shared" ca="1" si="183"/>
        <v>6.25</v>
      </c>
      <c r="N5545" s="143">
        <f ca="1">(PRODUCT($O$5:$O5545)-1)*36000/_xlfn.DAYS(L5545, $C$2)</f>
        <v>11.684478709511897</v>
      </c>
      <c r="O5545" s="149">
        <f t="shared" ca="1" si="184"/>
        <v>1.000173611111111</v>
      </c>
    </row>
    <row r="5546" spans="12:15" x14ac:dyDescent="0.25">
      <c r="L5546" s="147">
        <f ca="1"/>
        <v>50785</v>
      </c>
      <c r="M5546" s="92">
        <f t="shared" ca="1" si="183"/>
        <v>6.25</v>
      </c>
      <c r="N5546" s="143">
        <f ca="1">(PRODUCT($O$5:$O5546)-1)*36000/_xlfn.DAYS(L5546, $C$2)</f>
        <v>11.685526299981472</v>
      </c>
      <c r="O5546" s="149">
        <f t="shared" ca="1" si="184"/>
        <v>1.000173611111111</v>
      </c>
    </row>
    <row r="5547" spans="12:15" x14ac:dyDescent="0.25">
      <c r="L5547" s="147">
        <f ca="1"/>
        <v>50786</v>
      </c>
      <c r="M5547" s="92">
        <f t="shared" ca="1" si="183"/>
        <v>6.25</v>
      </c>
      <c r="N5547" s="143">
        <f ca="1">(PRODUCT($O$5:$O5547)-1)*36000/_xlfn.DAYS(L5547, $C$2)</f>
        <v>11.686574060271809</v>
      </c>
      <c r="O5547" s="149">
        <f t="shared" ca="1" si="184"/>
        <v>1.000173611111111</v>
      </c>
    </row>
    <row r="5548" spans="12:15" x14ac:dyDescent="0.25">
      <c r="L5548" s="147">
        <f ca="1"/>
        <v>50787</v>
      </c>
      <c r="M5548" s="92">
        <f t="shared" ca="1" si="183"/>
        <v>6.25</v>
      </c>
      <c r="N5548" s="143">
        <f ca="1">(PRODUCT($O$5:$O5548)-1)*36000/_xlfn.DAYS(L5548, $C$2)</f>
        <v>11.687621990386099</v>
      </c>
      <c r="O5548" s="149">
        <f t="shared" ca="1" si="184"/>
        <v>1.000173611111111</v>
      </c>
    </row>
    <row r="5549" spans="12:15" x14ac:dyDescent="0.25">
      <c r="L5549" s="147">
        <f ca="1"/>
        <v>50788</v>
      </c>
      <c r="M5549" s="92">
        <f t="shared" ca="1" si="183"/>
        <v>6.25</v>
      </c>
      <c r="N5549" s="143">
        <f ca="1">(PRODUCT($O$5:$O5549)-1)*36000/_xlfn.DAYS(L5549, $C$2)</f>
        <v>11.688670090327554</v>
      </c>
      <c r="O5549" s="149">
        <f t="shared" ca="1" si="184"/>
        <v>1.000173611111111</v>
      </c>
    </row>
    <row r="5550" spans="12:15" x14ac:dyDescent="0.25">
      <c r="L5550" s="147">
        <f ca="1"/>
        <v>50789</v>
      </c>
      <c r="M5550" s="92">
        <f t="shared" ca="1" si="183"/>
        <v>6.25</v>
      </c>
      <c r="N5550" s="143">
        <f ca="1">(PRODUCT($O$5:$O5550)-1)*36000/_xlfn.DAYS(L5550, $C$2)</f>
        <v>11.689718360099389</v>
      </c>
      <c r="O5550" s="149">
        <f t="shared" ca="1" si="184"/>
        <v>1.000173611111111</v>
      </c>
    </row>
    <row r="5551" spans="12:15" x14ac:dyDescent="0.25">
      <c r="L5551" s="147">
        <f ca="1"/>
        <v>50790</v>
      </c>
      <c r="M5551" s="92">
        <f t="shared" ca="1" si="183"/>
        <v>6.25</v>
      </c>
      <c r="N5551" s="143">
        <f ca="1">(PRODUCT($O$5:$O5551)-1)*36000/_xlfn.DAYS(L5551, $C$2)</f>
        <v>11.690766799704848</v>
      </c>
      <c r="O5551" s="149">
        <f t="shared" ca="1" si="184"/>
        <v>1.000173611111111</v>
      </c>
    </row>
    <row r="5552" spans="12:15" x14ac:dyDescent="0.25">
      <c r="L5552" s="147">
        <f ca="1"/>
        <v>50791</v>
      </c>
      <c r="M5552" s="92">
        <f t="shared" ca="1" si="183"/>
        <v>6.25</v>
      </c>
      <c r="N5552" s="143">
        <f ca="1">(PRODUCT($O$5:$O5552)-1)*36000/_xlfn.DAYS(L5552, $C$2)</f>
        <v>11.691815409147177</v>
      </c>
      <c r="O5552" s="149">
        <f t="shared" ca="1" si="184"/>
        <v>1.000173611111111</v>
      </c>
    </row>
    <row r="5553" spans="12:15" x14ac:dyDescent="0.25">
      <c r="L5553" s="147">
        <f ca="1"/>
        <v>50792</v>
      </c>
      <c r="M5553" s="92">
        <f t="shared" ca="1" si="183"/>
        <v>6.25</v>
      </c>
      <c r="N5553" s="143">
        <f ca="1">(PRODUCT($O$5:$O5553)-1)*36000/_xlfn.DAYS(L5553, $C$2)</f>
        <v>11.692864188429642</v>
      </c>
      <c r="O5553" s="149">
        <f t="shared" ca="1" si="184"/>
        <v>1.000173611111111</v>
      </c>
    </row>
    <row r="5554" spans="12:15" x14ac:dyDescent="0.25">
      <c r="L5554" s="147">
        <f ca="1"/>
        <v>50793</v>
      </c>
      <c r="M5554" s="92">
        <f t="shared" ca="1" si="183"/>
        <v>6.25</v>
      </c>
      <c r="N5554" s="143">
        <f ca="1">(PRODUCT($O$5:$O5554)-1)*36000/_xlfn.DAYS(L5554, $C$2)</f>
        <v>11.693913137555523</v>
      </c>
      <c r="O5554" s="149">
        <f t="shared" ca="1" si="184"/>
        <v>1.000173611111111</v>
      </c>
    </row>
    <row r="5555" spans="12:15" x14ac:dyDescent="0.25">
      <c r="L5555" s="147">
        <f ca="1"/>
        <v>50794</v>
      </c>
      <c r="M5555" s="92">
        <f t="shared" ca="1" si="183"/>
        <v>6.25</v>
      </c>
      <c r="N5555" s="143">
        <f ca="1">(PRODUCT($O$5:$O5555)-1)*36000/_xlfn.DAYS(L5555, $C$2)</f>
        <v>11.694962256528116</v>
      </c>
      <c r="O5555" s="149">
        <f t="shared" ca="1" si="184"/>
        <v>1.000173611111111</v>
      </c>
    </row>
    <row r="5556" spans="12:15" x14ac:dyDescent="0.25">
      <c r="L5556" s="147">
        <f ca="1"/>
        <v>50795</v>
      </c>
      <c r="M5556" s="92">
        <f t="shared" ca="1" si="183"/>
        <v>6.25</v>
      </c>
      <c r="N5556" s="143">
        <f ca="1">(PRODUCT($O$5:$O5556)-1)*36000/_xlfn.DAYS(L5556, $C$2)</f>
        <v>11.696011545350721</v>
      </c>
      <c r="O5556" s="149">
        <f t="shared" ca="1" si="184"/>
        <v>1.000173611111111</v>
      </c>
    </row>
    <row r="5557" spans="12:15" x14ac:dyDescent="0.25">
      <c r="L5557" s="147">
        <f ca="1"/>
        <v>50796</v>
      </c>
      <c r="M5557" s="92">
        <f t="shared" ca="1" si="183"/>
        <v>6.25</v>
      </c>
      <c r="N5557" s="143">
        <f ca="1">(PRODUCT($O$5:$O5557)-1)*36000/_xlfn.DAYS(L5557, $C$2)</f>
        <v>11.697061004026667</v>
      </c>
      <c r="O5557" s="149">
        <f t="shared" ca="1" si="184"/>
        <v>1.000173611111111</v>
      </c>
    </row>
    <row r="5558" spans="12:15" x14ac:dyDescent="0.25">
      <c r="L5558" s="147">
        <f ca="1"/>
        <v>50797</v>
      </c>
      <c r="M5558" s="92">
        <f t="shared" ca="1" si="183"/>
        <v>6.25</v>
      </c>
      <c r="N5558" s="143">
        <f ca="1">(PRODUCT($O$5:$O5558)-1)*36000/_xlfn.DAYS(L5558, $C$2)</f>
        <v>11.698110632559283</v>
      </c>
      <c r="O5558" s="149">
        <f t="shared" ca="1" si="184"/>
        <v>1.000173611111111</v>
      </c>
    </row>
    <row r="5559" spans="12:15" x14ac:dyDescent="0.25">
      <c r="L5559" s="147">
        <f ca="1"/>
        <v>50798</v>
      </c>
      <c r="M5559" s="92">
        <f t="shared" ca="1" si="183"/>
        <v>6.25</v>
      </c>
      <c r="N5559" s="143">
        <f ca="1">(PRODUCT($O$5:$O5559)-1)*36000/_xlfn.DAYS(L5559, $C$2)</f>
        <v>11.699160430951922</v>
      </c>
      <c r="O5559" s="149">
        <f t="shared" ca="1" si="184"/>
        <v>1.000173611111111</v>
      </c>
    </row>
    <row r="5560" spans="12:15" x14ac:dyDescent="0.25">
      <c r="L5560" s="147">
        <f ca="1"/>
        <v>50799</v>
      </c>
      <c r="M5560" s="92">
        <f t="shared" ca="1" si="183"/>
        <v>6.25</v>
      </c>
      <c r="N5560" s="143">
        <f ca="1">(PRODUCT($O$5:$O5560)-1)*36000/_xlfn.DAYS(L5560, $C$2)</f>
        <v>11.70021039920795</v>
      </c>
      <c r="O5560" s="149">
        <f t="shared" ca="1" si="184"/>
        <v>1.000173611111111</v>
      </c>
    </row>
    <row r="5561" spans="12:15" x14ac:dyDescent="0.25">
      <c r="L5561" s="147">
        <f ca="1"/>
        <v>50800</v>
      </c>
      <c r="M5561" s="92">
        <f t="shared" ca="1" si="183"/>
        <v>6.25</v>
      </c>
      <c r="N5561" s="143">
        <f ca="1">(PRODUCT($O$5:$O5561)-1)*36000/_xlfn.DAYS(L5561, $C$2)</f>
        <v>11.701260537330743</v>
      </c>
      <c r="O5561" s="149">
        <f t="shared" ca="1" si="184"/>
        <v>1.000173611111111</v>
      </c>
    </row>
    <row r="5562" spans="12:15" x14ac:dyDescent="0.25">
      <c r="L5562" s="147">
        <f ca="1"/>
        <v>50801</v>
      </c>
      <c r="M5562" s="92">
        <f t="shared" ca="1" si="183"/>
        <v>6.25</v>
      </c>
      <c r="N5562" s="143">
        <f ca="1">(PRODUCT($O$5:$O5562)-1)*36000/_xlfn.DAYS(L5562, $C$2)</f>
        <v>11.702310845323691</v>
      </c>
      <c r="O5562" s="149">
        <f t="shared" ca="1" si="184"/>
        <v>1.000173611111111</v>
      </c>
    </row>
    <row r="5563" spans="12:15" x14ac:dyDescent="0.25">
      <c r="L5563" s="147">
        <f ca="1"/>
        <v>50802</v>
      </c>
      <c r="M5563" s="92">
        <f t="shared" ca="1" si="183"/>
        <v>6.25</v>
      </c>
      <c r="N5563" s="143">
        <f ca="1">(PRODUCT($O$5:$O5563)-1)*36000/_xlfn.DAYS(L5563, $C$2)</f>
        <v>11.703361323190201</v>
      </c>
      <c r="O5563" s="149">
        <f t="shared" ca="1" si="184"/>
        <v>1.000173611111111</v>
      </c>
    </row>
    <row r="5564" spans="12:15" x14ac:dyDescent="0.25">
      <c r="L5564" s="147">
        <f ca="1"/>
        <v>50803</v>
      </c>
      <c r="M5564" s="92">
        <f t="shared" ca="1" si="183"/>
        <v>6.25</v>
      </c>
      <c r="N5564" s="143">
        <f ca="1">(PRODUCT($O$5:$O5564)-1)*36000/_xlfn.DAYS(L5564, $C$2)</f>
        <v>11.704411970933693</v>
      </c>
      <c r="O5564" s="149">
        <f t="shared" ca="1" si="184"/>
        <v>1.000173611111111</v>
      </c>
    </row>
    <row r="5565" spans="12:15" x14ac:dyDescent="0.25">
      <c r="L5565" s="147">
        <f ca="1"/>
        <v>50804</v>
      </c>
      <c r="M5565" s="92">
        <f t="shared" ca="1" si="183"/>
        <v>6.25</v>
      </c>
      <c r="N5565" s="143">
        <f ca="1">(PRODUCT($O$5:$O5565)-1)*36000/_xlfn.DAYS(L5565, $C$2)</f>
        <v>11.705462788557602</v>
      </c>
      <c r="O5565" s="149">
        <f t="shared" ca="1" si="184"/>
        <v>1.000173611111111</v>
      </c>
    </row>
    <row r="5566" spans="12:15" x14ac:dyDescent="0.25">
      <c r="L5566" s="147">
        <f ca="1"/>
        <v>50805</v>
      </c>
      <c r="M5566" s="92">
        <f t="shared" ca="1" si="183"/>
        <v>6.25</v>
      </c>
      <c r="N5566" s="143">
        <f ca="1">(PRODUCT($O$5:$O5566)-1)*36000/_xlfn.DAYS(L5566, $C$2)</f>
        <v>11.706513776065375</v>
      </c>
      <c r="O5566" s="149">
        <f t="shared" ca="1" si="184"/>
        <v>1.000173611111111</v>
      </c>
    </row>
    <row r="5567" spans="12:15" x14ac:dyDescent="0.25">
      <c r="L5567" s="147">
        <f ca="1"/>
        <v>50806</v>
      </c>
      <c r="M5567" s="92">
        <f t="shared" ca="1" si="183"/>
        <v>6.25</v>
      </c>
      <c r="N5567" s="143">
        <f ca="1">(PRODUCT($O$5:$O5567)-1)*36000/_xlfn.DAYS(L5567, $C$2)</f>
        <v>11.707564933460473</v>
      </c>
      <c r="O5567" s="149">
        <f t="shared" ca="1" si="184"/>
        <v>1.000173611111111</v>
      </c>
    </row>
    <row r="5568" spans="12:15" x14ac:dyDescent="0.25">
      <c r="L5568" s="147">
        <f ca="1"/>
        <v>50807</v>
      </c>
      <c r="M5568" s="92">
        <f t="shared" ca="1" si="183"/>
        <v>6.25</v>
      </c>
      <c r="N5568" s="143">
        <f ca="1">(PRODUCT($O$5:$O5568)-1)*36000/_xlfn.DAYS(L5568, $C$2)</f>
        <v>11.708616260746377</v>
      </c>
      <c r="O5568" s="149">
        <f t="shared" ca="1" si="184"/>
        <v>1.000173611111111</v>
      </c>
    </row>
    <row r="5569" spans="12:15" x14ac:dyDescent="0.25">
      <c r="L5569" s="147">
        <f ca="1"/>
        <v>50808</v>
      </c>
      <c r="M5569" s="92">
        <f t="shared" ca="1" si="183"/>
        <v>6.25</v>
      </c>
      <c r="N5569" s="143">
        <f ca="1">(PRODUCT($O$5:$O5569)-1)*36000/_xlfn.DAYS(L5569, $C$2)</f>
        <v>11.709667757926569</v>
      </c>
      <c r="O5569" s="149">
        <f t="shared" ca="1" si="184"/>
        <v>1.000173611111111</v>
      </c>
    </row>
    <row r="5570" spans="12:15" x14ac:dyDescent="0.25">
      <c r="L5570" s="147">
        <f ca="1"/>
        <v>50809</v>
      </c>
      <c r="M5570" s="92">
        <f t="shared" ca="1" si="183"/>
        <v>6.25</v>
      </c>
      <c r="N5570" s="143">
        <f ca="1">(PRODUCT($O$5:$O5570)-1)*36000/_xlfn.DAYS(L5570, $C$2)</f>
        <v>11.710719425004562</v>
      </c>
      <c r="O5570" s="149">
        <f t="shared" ca="1" si="184"/>
        <v>1.000173611111111</v>
      </c>
    </row>
    <row r="5571" spans="12:15" x14ac:dyDescent="0.25">
      <c r="L5571" s="147">
        <f ca="1"/>
        <v>50810</v>
      </c>
      <c r="M5571" s="92">
        <f t="shared" ca="1" si="183"/>
        <v>6.25</v>
      </c>
      <c r="N5571" s="143">
        <f ca="1">(PRODUCT($O$5:$O5571)-1)*36000/_xlfn.DAYS(L5571, $C$2)</f>
        <v>11.71177126198387</v>
      </c>
      <c r="O5571" s="149">
        <f t="shared" ca="1" si="184"/>
        <v>1.000173611111111</v>
      </c>
    </row>
    <row r="5572" spans="12:15" x14ac:dyDescent="0.25">
      <c r="L5572" s="147">
        <f ca="1"/>
        <v>50811</v>
      </c>
      <c r="M5572" s="92">
        <f t="shared" ca="1" si="183"/>
        <v>6.25</v>
      </c>
      <c r="N5572" s="143">
        <f ca="1">(PRODUCT($O$5:$O5572)-1)*36000/_xlfn.DAYS(L5572, $C$2)</f>
        <v>11.712823268868025</v>
      </c>
      <c r="O5572" s="149">
        <f t="shared" ca="1" si="184"/>
        <v>1.000173611111111</v>
      </c>
    </row>
    <row r="5573" spans="12:15" x14ac:dyDescent="0.25">
      <c r="L5573" s="147">
        <f ca="1"/>
        <v>50812</v>
      </c>
      <c r="M5573" s="92">
        <f t="shared" ref="M5573:M5636" ca="1" si="185">IFERROR(INDEX($E$27:$H$47, MATCH(L5573, $F$27:$F$47, 0), 4), IF(ISNUMBER(M5572), M5572, $C$5))</f>
        <v>6.25</v>
      </c>
      <c r="N5573" s="143">
        <f ca="1">(PRODUCT($O$5:$O5573)-1)*36000/_xlfn.DAYS(L5573, $C$2)</f>
        <v>11.713875445660571</v>
      </c>
      <c r="O5573" s="149">
        <f t="shared" ca="1" si="184"/>
        <v>1.000173611111111</v>
      </c>
    </row>
    <row r="5574" spans="12:15" x14ac:dyDescent="0.25">
      <c r="L5574" s="147">
        <f ca="1"/>
        <v>50813</v>
      </c>
      <c r="M5574" s="92">
        <f t="shared" ca="1" si="185"/>
        <v>6.25</v>
      </c>
      <c r="N5574" s="143">
        <f ca="1">(PRODUCT($O$5:$O5574)-1)*36000/_xlfn.DAYS(L5574, $C$2)</f>
        <v>11.714927792365069</v>
      </c>
      <c r="O5574" s="149">
        <f t="shared" ref="O5574:O5637" ca="1" si="186">1+M5574*IFERROR(_xlfn.DAYS(L5574, L5573), _xlfn.DAYS(L5574, $C$2))/36000</f>
        <v>1.000173611111111</v>
      </c>
    </row>
    <row r="5575" spans="12:15" x14ac:dyDescent="0.25">
      <c r="L5575" s="147">
        <f ca="1"/>
        <v>50814</v>
      </c>
      <c r="M5575" s="92">
        <f t="shared" ca="1" si="185"/>
        <v>6.25</v>
      </c>
      <c r="N5575" s="143">
        <f ca="1">(PRODUCT($O$5:$O5575)-1)*36000/_xlfn.DAYS(L5575, $C$2)</f>
        <v>11.715980308985099</v>
      </c>
      <c r="O5575" s="149">
        <f t="shared" ca="1" si="186"/>
        <v>1.000173611111111</v>
      </c>
    </row>
    <row r="5576" spans="12:15" x14ac:dyDescent="0.25">
      <c r="L5576" s="147">
        <f ca="1"/>
        <v>50815</v>
      </c>
      <c r="M5576" s="92">
        <f t="shared" ca="1" si="185"/>
        <v>6.25</v>
      </c>
      <c r="N5576" s="143">
        <f ca="1">(PRODUCT($O$5:$O5576)-1)*36000/_xlfn.DAYS(L5576, $C$2)</f>
        <v>11.717032995524242</v>
      </c>
      <c r="O5576" s="149">
        <f t="shared" ca="1" si="186"/>
        <v>1.000173611111111</v>
      </c>
    </row>
    <row r="5577" spans="12:15" x14ac:dyDescent="0.25">
      <c r="L5577" s="147">
        <f ca="1"/>
        <v>50816</v>
      </c>
      <c r="M5577" s="92">
        <f t="shared" ca="1" si="185"/>
        <v>6.25</v>
      </c>
      <c r="N5577" s="143">
        <f ca="1">(PRODUCT($O$5:$O5577)-1)*36000/_xlfn.DAYS(L5577, $C$2)</f>
        <v>11.718085851986102</v>
      </c>
      <c r="O5577" s="149">
        <f t="shared" ca="1" si="186"/>
        <v>1.000173611111111</v>
      </c>
    </row>
    <row r="5578" spans="12:15" x14ac:dyDescent="0.25">
      <c r="L5578" s="147">
        <f ca="1"/>
        <v>50817</v>
      </c>
      <c r="M5578" s="92">
        <f t="shared" ca="1" si="185"/>
        <v>6.25</v>
      </c>
      <c r="N5578" s="143">
        <f ca="1">(PRODUCT($O$5:$O5578)-1)*36000/_xlfn.DAYS(L5578, $C$2)</f>
        <v>11.719138878374293</v>
      </c>
      <c r="O5578" s="149">
        <f t="shared" ca="1" si="186"/>
        <v>1.000173611111111</v>
      </c>
    </row>
    <row r="5579" spans="12:15" x14ac:dyDescent="0.25">
      <c r="L5579" s="147">
        <f ca="1"/>
        <v>50818</v>
      </c>
      <c r="M5579" s="92">
        <f t="shared" ca="1" si="185"/>
        <v>6.25</v>
      </c>
      <c r="N5579" s="143">
        <f ca="1">(PRODUCT($O$5:$O5579)-1)*36000/_xlfn.DAYS(L5579, $C$2)</f>
        <v>11.720192074692449</v>
      </c>
      <c r="O5579" s="149">
        <f t="shared" ca="1" si="186"/>
        <v>1.000173611111111</v>
      </c>
    </row>
    <row r="5580" spans="12:15" x14ac:dyDescent="0.25">
      <c r="L5580" s="147">
        <f ca="1"/>
        <v>50819</v>
      </c>
      <c r="M5580" s="92">
        <f t="shared" ca="1" si="185"/>
        <v>6.25</v>
      </c>
      <c r="N5580" s="143">
        <f ca="1">(PRODUCT($O$5:$O5580)-1)*36000/_xlfn.DAYS(L5580, $C$2)</f>
        <v>11.721245440944207</v>
      </c>
      <c r="O5580" s="149">
        <f t="shared" ca="1" si="186"/>
        <v>1.000173611111111</v>
      </c>
    </row>
    <row r="5581" spans="12:15" x14ac:dyDescent="0.25">
      <c r="L5581" s="147">
        <f ca="1"/>
        <v>50820</v>
      </c>
      <c r="M5581" s="92">
        <f t="shared" ca="1" si="185"/>
        <v>6.25</v>
      </c>
      <c r="N5581" s="143">
        <f ca="1">(PRODUCT($O$5:$O5581)-1)*36000/_xlfn.DAYS(L5581, $C$2)</f>
        <v>11.72229897713323</v>
      </c>
      <c r="O5581" s="149">
        <f t="shared" ca="1" si="186"/>
        <v>1.000173611111111</v>
      </c>
    </row>
    <row r="5582" spans="12:15" x14ac:dyDescent="0.25">
      <c r="L5582" s="147">
        <f ca="1"/>
        <v>50821</v>
      </c>
      <c r="M5582" s="92">
        <f t="shared" ca="1" si="185"/>
        <v>6.25</v>
      </c>
      <c r="N5582" s="143">
        <f ca="1">(PRODUCT($O$5:$O5582)-1)*36000/_xlfn.DAYS(L5582, $C$2)</f>
        <v>11.723352683263187</v>
      </c>
      <c r="O5582" s="149">
        <f t="shared" ca="1" si="186"/>
        <v>1.000173611111111</v>
      </c>
    </row>
    <row r="5583" spans="12:15" x14ac:dyDescent="0.25">
      <c r="L5583" s="147">
        <f ca="1"/>
        <v>50822</v>
      </c>
      <c r="M5583" s="92">
        <f t="shared" ca="1" si="185"/>
        <v>6.25</v>
      </c>
      <c r="N5583" s="143">
        <f ca="1">(PRODUCT($O$5:$O5583)-1)*36000/_xlfn.DAYS(L5583, $C$2)</f>
        <v>11.724406559337764</v>
      </c>
      <c r="O5583" s="149">
        <f t="shared" ca="1" si="186"/>
        <v>1.000173611111111</v>
      </c>
    </row>
    <row r="5584" spans="12:15" x14ac:dyDescent="0.25">
      <c r="L5584" s="147">
        <f ca="1"/>
        <v>50823</v>
      </c>
      <c r="M5584" s="92">
        <f t="shared" ca="1" si="185"/>
        <v>6.25</v>
      </c>
      <c r="N5584" s="143">
        <f ca="1">(PRODUCT($O$5:$O5584)-1)*36000/_xlfn.DAYS(L5584, $C$2)</f>
        <v>11.725460605360661</v>
      </c>
      <c r="O5584" s="149">
        <f t="shared" ca="1" si="186"/>
        <v>1.000173611111111</v>
      </c>
    </row>
    <row r="5585" spans="12:15" x14ac:dyDescent="0.25">
      <c r="L5585" s="147">
        <f ca="1"/>
        <v>50824</v>
      </c>
      <c r="M5585" s="92">
        <f t="shared" ca="1" si="185"/>
        <v>6.25</v>
      </c>
      <c r="N5585" s="143">
        <f ca="1">(PRODUCT($O$5:$O5585)-1)*36000/_xlfn.DAYS(L5585, $C$2)</f>
        <v>11.72651482133559</v>
      </c>
      <c r="O5585" s="149">
        <f t="shared" ca="1" si="186"/>
        <v>1.000173611111111</v>
      </c>
    </row>
    <row r="5586" spans="12:15" x14ac:dyDescent="0.25">
      <c r="L5586" s="147">
        <f ca="1"/>
        <v>50825</v>
      </c>
      <c r="M5586" s="92">
        <f t="shared" ca="1" si="185"/>
        <v>6.25</v>
      </c>
      <c r="N5586" s="143">
        <f ca="1">(PRODUCT($O$5:$O5586)-1)*36000/_xlfn.DAYS(L5586, $C$2)</f>
        <v>11.727569207266276</v>
      </c>
      <c r="O5586" s="149">
        <f t="shared" ca="1" si="186"/>
        <v>1.000173611111111</v>
      </c>
    </row>
    <row r="5587" spans="12:15" x14ac:dyDescent="0.25">
      <c r="L5587" s="147">
        <f ca="1"/>
        <v>50826</v>
      </c>
      <c r="M5587" s="92">
        <f t="shared" ca="1" si="185"/>
        <v>6.25</v>
      </c>
      <c r="N5587" s="143">
        <f ca="1">(PRODUCT($O$5:$O5587)-1)*36000/_xlfn.DAYS(L5587, $C$2)</f>
        <v>11.72862376315646</v>
      </c>
      <c r="O5587" s="149">
        <f t="shared" ca="1" si="186"/>
        <v>1.000173611111111</v>
      </c>
    </row>
    <row r="5588" spans="12:15" x14ac:dyDescent="0.25">
      <c r="L5588" s="147">
        <f ca="1"/>
        <v>50827</v>
      </c>
      <c r="M5588" s="92">
        <f t="shared" ca="1" si="185"/>
        <v>6.25</v>
      </c>
      <c r="N5588" s="143">
        <f ca="1">(PRODUCT($O$5:$O5588)-1)*36000/_xlfn.DAYS(L5588, $C$2)</f>
        <v>11.729678489009899</v>
      </c>
      <c r="O5588" s="149">
        <f t="shared" ca="1" si="186"/>
        <v>1.000173611111111</v>
      </c>
    </row>
    <row r="5589" spans="12:15" x14ac:dyDescent="0.25">
      <c r="L5589" s="147">
        <f ca="1"/>
        <v>50828</v>
      </c>
      <c r="M5589" s="92">
        <f t="shared" ca="1" si="185"/>
        <v>6.25</v>
      </c>
      <c r="N5589" s="143">
        <f ca="1">(PRODUCT($O$5:$O5589)-1)*36000/_xlfn.DAYS(L5589, $C$2)</f>
        <v>11.73073338483036</v>
      </c>
      <c r="O5589" s="149">
        <f t="shared" ca="1" si="186"/>
        <v>1.000173611111111</v>
      </c>
    </row>
    <row r="5590" spans="12:15" x14ac:dyDescent="0.25">
      <c r="L5590" s="147">
        <f ca="1"/>
        <v>50829</v>
      </c>
      <c r="M5590" s="92">
        <f t="shared" ca="1" si="185"/>
        <v>6.25</v>
      </c>
      <c r="N5590" s="143">
        <f ca="1">(PRODUCT($O$5:$O5590)-1)*36000/_xlfn.DAYS(L5590, $C$2)</f>
        <v>11.731788450621625</v>
      </c>
      <c r="O5590" s="149">
        <f t="shared" ca="1" si="186"/>
        <v>1.000173611111111</v>
      </c>
    </row>
    <row r="5591" spans="12:15" x14ac:dyDescent="0.25">
      <c r="L5591" s="147">
        <f ca="1"/>
        <v>50830</v>
      </c>
      <c r="M5591" s="92">
        <f t="shared" ca="1" si="185"/>
        <v>6.25</v>
      </c>
      <c r="N5591" s="143">
        <f ca="1">(PRODUCT($O$5:$O5591)-1)*36000/_xlfn.DAYS(L5591, $C$2)</f>
        <v>11.732843686387488</v>
      </c>
      <c r="O5591" s="149">
        <f t="shared" ca="1" si="186"/>
        <v>1.000173611111111</v>
      </c>
    </row>
    <row r="5592" spans="12:15" x14ac:dyDescent="0.25">
      <c r="L5592" s="147">
        <f ca="1"/>
        <v>50831</v>
      </c>
      <c r="M5592" s="92">
        <f t="shared" ca="1" si="185"/>
        <v>6.25</v>
      </c>
      <c r="N5592" s="143">
        <f ca="1">(PRODUCT($O$5:$O5592)-1)*36000/_xlfn.DAYS(L5592, $C$2)</f>
        <v>11.733899092131763</v>
      </c>
      <c r="O5592" s="149">
        <f t="shared" ca="1" si="186"/>
        <v>1.000173611111111</v>
      </c>
    </row>
    <row r="5593" spans="12:15" x14ac:dyDescent="0.25">
      <c r="L5593" s="147">
        <f ca="1"/>
        <v>50832</v>
      </c>
      <c r="M5593" s="92">
        <f t="shared" ca="1" si="185"/>
        <v>6.25</v>
      </c>
      <c r="N5593" s="143">
        <f ca="1">(PRODUCT($O$5:$O5593)-1)*36000/_xlfn.DAYS(L5593, $C$2)</f>
        <v>11.734954667858268</v>
      </c>
      <c r="O5593" s="149">
        <f t="shared" ca="1" si="186"/>
        <v>1.000173611111111</v>
      </c>
    </row>
    <row r="5594" spans="12:15" x14ac:dyDescent="0.25">
      <c r="L5594" s="147">
        <f ca="1"/>
        <v>50833</v>
      </c>
      <c r="M5594" s="92">
        <f t="shared" ca="1" si="185"/>
        <v>6.25</v>
      </c>
      <c r="N5594" s="143">
        <f ca="1">(PRODUCT($O$5:$O5594)-1)*36000/_xlfn.DAYS(L5594, $C$2)</f>
        <v>11.73601041357084</v>
      </c>
      <c r="O5594" s="149">
        <f t="shared" ca="1" si="186"/>
        <v>1.000173611111111</v>
      </c>
    </row>
    <row r="5595" spans="12:15" x14ac:dyDescent="0.25">
      <c r="L5595" s="147">
        <f ca="1"/>
        <v>50834</v>
      </c>
      <c r="M5595" s="92">
        <f t="shared" ca="1" si="185"/>
        <v>6.25</v>
      </c>
      <c r="N5595" s="143">
        <f ca="1">(PRODUCT($O$5:$O5595)-1)*36000/_xlfn.DAYS(L5595, $C$2)</f>
        <v>11.737066329273336</v>
      </c>
      <c r="O5595" s="149">
        <f t="shared" ca="1" si="186"/>
        <v>1.000173611111111</v>
      </c>
    </row>
    <row r="5596" spans="12:15" x14ac:dyDescent="0.25">
      <c r="L5596" s="147">
        <f ca="1"/>
        <v>50835</v>
      </c>
      <c r="M5596" s="92">
        <f t="shared" ca="1" si="185"/>
        <v>6.25</v>
      </c>
      <c r="N5596" s="143">
        <f ca="1">(PRODUCT($O$5:$O5596)-1)*36000/_xlfn.DAYS(L5596, $C$2)</f>
        <v>11.738122414969615</v>
      </c>
      <c r="O5596" s="149">
        <f t="shared" ca="1" si="186"/>
        <v>1.000173611111111</v>
      </c>
    </row>
    <row r="5597" spans="12:15" x14ac:dyDescent="0.25">
      <c r="L5597" s="147">
        <f ca="1"/>
        <v>50836</v>
      </c>
      <c r="M5597" s="92">
        <f t="shared" ca="1" si="185"/>
        <v>6.25</v>
      </c>
      <c r="N5597" s="143">
        <f ca="1">(PRODUCT($O$5:$O5597)-1)*36000/_xlfn.DAYS(L5597, $C$2)</f>
        <v>11.739178670663557</v>
      </c>
      <c r="O5597" s="149">
        <f t="shared" ca="1" si="186"/>
        <v>1.000173611111111</v>
      </c>
    </row>
    <row r="5598" spans="12:15" x14ac:dyDescent="0.25">
      <c r="L5598" s="147">
        <f ca="1"/>
        <v>50837</v>
      </c>
      <c r="M5598" s="92">
        <f t="shared" ca="1" si="185"/>
        <v>6.25</v>
      </c>
      <c r="N5598" s="143">
        <f ca="1">(PRODUCT($O$5:$O5598)-1)*36000/_xlfn.DAYS(L5598, $C$2)</f>
        <v>11.740235096359056</v>
      </c>
      <c r="O5598" s="149">
        <f t="shared" ca="1" si="186"/>
        <v>1.000173611111111</v>
      </c>
    </row>
    <row r="5599" spans="12:15" x14ac:dyDescent="0.25">
      <c r="L5599" s="147">
        <f ca="1"/>
        <v>50838</v>
      </c>
      <c r="M5599" s="92">
        <f t="shared" ca="1" si="185"/>
        <v>6.25</v>
      </c>
      <c r="N5599" s="143">
        <f ca="1">(PRODUCT($O$5:$O5599)-1)*36000/_xlfn.DAYS(L5599, $C$2)</f>
        <v>11.741291692060015</v>
      </c>
      <c r="O5599" s="149">
        <f t="shared" ca="1" si="186"/>
        <v>1.000173611111111</v>
      </c>
    </row>
    <row r="5600" spans="12:15" x14ac:dyDescent="0.25">
      <c r="L5600" s="147">
        <f ca="1"/>
        <v>50839</v>
      </c>
      <c r="M5600" s="92">
        <f t="shared" ca="1" si="185"/>
        <v>6.25</v>
      </c>
      <c r="N5600" s="143">
        <f ca="1">(PRODUCT($O$5:$O5600)-1)*36000/_xlfn.DAYS(L5600, $C$2)</f>
        <v>11.742348457770357</v>
      </c>
      <c r="O5600" s="149">
        <f t="shared" ca="1" si="186"/>
        <v>1.000173611111111</v>
      </c>
    </row>
    <row r="5601" spans="12:15" x14ac:dyDescent="0.25">
      <c r="L5601" s="147">
        <f ca="1"/>
        <v>50840</v>
      </c>
      <c r="M5601" s="92">
        <f t="shared" ca="1" si="185"/>
        <v>6.25</v>
      </c>
      <c r="N5601" s="143">
        <f ca="1">(PRODUCT($O$5:$O5601)-1)*36000/_xlfn.DAYS(L5601, $C$2)</f>
        <v>11.74340539349401</v>
      </c>
      <c r="O5601" s="149">
        <f t="shared" ca="1" si="186"/>
        <v>1.000173611111111</v>
      </c>
    </row>
    <row r="5602" spans="12:15" x14ac:dyDescent="0.25">
      <c r="L5602" s="147">
        <f ca="1"/>
        <v>50841</v>
      </c>
      <c r="M5602" s="92">
        <f t="shared" ca="1" si="185"/>
        <v>6.25</v>
      </c>
      <c r="N5602" s="143">
        <f ca="1">(PRODUCT($O$5:$O5602)-1)*36000/_xlfn.DAYS(L5602, $C$2)</f>
        <v>11.744462499234924</v>
      </c>
      <c r="O5602" s="149">
        <f t="shared" ca="1" si="186"/>
        <v>1.000173611111111</v>
      </c>
    </row>
    <row r="5603" spans="12:15" x14ac:dyDescent="0.25">
      <c r="L5603" s="147">
        <f ca="1"/>
        <v>50842</v>
      </c>
      <c r="M5603" s="92">
        <f t="shared" ca="1" si="185"/>
        <v>6.25</v>
      </c>
      <c r="N5603" s="143">
        <f ca="1">(PRODUCT($O$5:$O5603)-1)*36000/_xlfn.DAYS(L5603, $C$2)</f>
        <v>11.74551977499706</v>
      </c>
      <c r="O5603" s="149">
        <f t="shared" ca="1" si="186"/>
        <v>1.000173611111111</v>
      </c>
    </row>
    <row r="5604" spans="12:15" x14ac:dyDescent="0.25">
      <c r="L5604" s="147">
        <f ca="1"/>
        <v>50843</v>
      </c>
      <c r="M5604" s="92">
        <f t="shared" ca="1" si="185"/>
        <v>6.25</v>
      </c>
      <c r="N5604" s="143">
        <f ca="1">(PRODUCT($O$5:$O5604)-1)*36000/_xlfn.DAYS(L5604, $C$2)</f>
        <v>11.746577220784394</v>
      </c>
      <c r="O5604" s="149">
        <f t="shared" ca="1" si="186"/>
        <v>1.000173611111111</v>
      </c>
    </row>
    <row r="5605" spans="12:15" x14ac:dyDescent="0.25">
      <c r="L5605" s="147">
        <f ca="1"/>
        <v>50844</v>
      </c>
      <c r="M5605" s="92">
        <f t="shared" ca="1" si="185"/>
        <v>6.25</v>
      </c>
      <c r="N5605" s="143">
        <f ca="1">(PRODUCT($O$5:$O5605)-1)*36000/_xlfn.DAYS(L5605, $C$2)</f>
        <v>11.747634836600909</v>
      </c>
      <c r="O5605" s="149">
        <f t="shared" ca="1" si="186"/>
        <v>1.000173611111111</v>
      </c>
    </row>
    <row r="5606" spans="12:15" x14ac:dyDescent="0.25">
      <c r="L5606" s="147">
        <f ca="1"/>
        <v>50845</v>
      </c>
      <c r="M5606" s="92">
        <f t="shared" ca="1" si="185"/>
        <v>6.25</v>
      </c>
      <c r="N5606" s="143">
        <f ca="1">(PRODUCT($O$5:$O5606)-1)*36000/_xlfn.DAYS(L5606, $C$2)</f>
        <v>11.748692622450607</v>
      </c>
      <c r="O5606" s="149">
        <f t="shared" ca="1" si="186"/>
        <v>1.000173611111111</v>
      </c>
    </row>
    <row r="5607" spans="12:15" x14ac:dyDescent="0.25">
      <c r="L5607" s="147">
        <f ca="1"/>
        <v>50846</v>
      </c>
      <c r="M5607" s="92">
        <f t="shared" ca="1" si="185"/>
        <v>6.25</v>
      </c>
      <c r="N5607" s="143">
        <f ca="1">(PRODUCT($O$5:$O5607)-1)*36000/_xlfn.DAYS(L5607, $C$2)</f>
        <v>11.749750578337506</v>
      </c>
      <c r="O5607" s="149">
        <f t="shared" ca="1" si="186"/>
        <v>1.000173611111111</v>
      </c>
    </row>
    <row r="5608" spans="12:15" x14ac:dyDescent="0.25">
      <c r="L5608" s="147">
        <f ca="1"/>
        <v>50847</v>
      </c>
      <c r="M5608" s="92">
        <f t="shared" ca="1" si="185"/>
        <v>6.25</v>
      </c>
      <c r="N5608" s="143">
        <f ca="1">(PRODUCT($O$5:$O5608)-1)*36000/_xlfn.DAYS(L5608, $C$2)</f>
        <v>11.750808704265637</v>
      </c>
      <c r="O5608" s="149">
        <f t="shared" ca="1" si="186"/>
        <v>1.000173611111111</v>
      </c>
    </row>
    <row r="5609" spans="12:15" x14ac:dyDescent="0.25">
      <c r="L5609" s="147">
        <f ca="1"/>
        <v>50848</v>
      </c>
      <c r="M5609" s="92">
        <f t="shared" ca="1" si="185"/>
        <v>6.25</v>
      </c>
      <c r="N5609" s="143">
        <f ca="1">(PRODUCT($O$5:$O5609)-1)*36000/_xlfn.DAYS(L5609, $C$2)</f>
        <v>11.751867000239036</v>
      </c>
      <c r="O5609" s="149">
        <f t="shared" ca="1" si="186"/>
        <v>1.000173611111111</v>
      </c>
    </row>
    <row r="5610" spans="12:15" x14ac:dyDescent="0.25">
      <c r="L5610" s="147">
        <f ca="1"/>
        <v>50849</v>
      </c>
      <c r="M5610" s="92">
        <f t="shared" ca="1" si="185"/>
        <v>6.25</v>
      </c>
      <c r="N5610" s="143">
        <f ca="1">(PRODUCT($O$5:$O5610)-1)*36000/_xlfn.DAYS(L5610, $C$2)</f>
        <v>11.75292546626177</v>
      </c>
      <c r="O5610" s="149">
        <f t="shared" ca="1" si="186"/>
        <v>1.000173611111111</v>
      </c>
    </row>
    <row r="5611" spans="12:15" x14ac:dyDescent="0.25">
      <c r="L5611" s="147">
        <f ca="1"/>
        <v>50850</v>
      </c>
      <c r="M5611" s="92">
        <f t="shared" ca="1" si="185"/>
        <v>6.25</v>
      </c>
      <c r="N5611" s="143">
        <f ca="1">(PRODUCT($O$5:$O5611)-1)*36000/_xlfn.DAYS(L5611, $C$2)</f>
        <v>11.753984102337894</v>
      </c>
      <c r="O5611" s="149">
        <f t="shared" ca="1" si="186"/>
        <v>1.000173611111111</v>
      </c>
    </row>
    <row r="5612" spans="12:15" x14ac:dyDescent="0.25">
      <c r="L5612" s="147">
        <f ca="1"/>
        <v>50851</v>
      </c>
      <c r="M5612" s="92">
        <f t="shared" ca="1" si="185"/>
        <v>6.25</v>
      </c>
      <c r="N5612" s="143">
        <f ca="1">(PRODUCT($O$5:$O5612)-1)*36000/_xlfn.DAYS(L5612, $C$2)</f>
        <v>11.755042908471504</v>
      </c>
      <c r="O5612" s="149">
        <f t="shared" ca="1" si="186"/>
        <v>1.000173611111111</v>
      </c>
    </row>
    <row r="5613" spans="12:15" x14ac:dyDescent="0.25">
      <c r="L5613" s="147">
        <f ca="1"/>
        <v>50852</v>
      </c>
      <c r="M5613" s="92">
        <f t="shared" ca="1" si="185"/>
        <v>6.25</v>
      </c>
      <c r="N5613" s="143">
        <f ca="1">(PRODUCT($O$5:$O5613)-1)*36000/_xlfn.DAYS(L5613, $C$2)</f>
        <v>11.756101884666691</v>
      </c>
      <c r="O5613" s="149">
        <f t="shared" ca="1" si="186"/>
        <v>1.000173611111111</v>
      </c>
    </row>
    <row r="5614" spans="12:15" x14ac:dyDescent="0.25">
      <c r="L5614" s="147">
        <f ca="1"/>
        <v>50853</v>
      </c>
      <c r="M5614" s="92">
        <f t="shared" ca="1" si="185"/>
        <v>6.25</v>
      </c>
      <c r="N5614" s="143">
        <f ca="1">(PRODUCT($O$5:$O5614)-1)*36000/_xlfn.DAYS(L5614, $C$2)</f>
        <v>11.757161030927566</v>
      </c>
      <c r="O5614" s="149">
        <f t="shared" ca="1" si="186"/>
        <v>1.000173611111111</v>
      </c>
    </row>
    <row r="5615" spans="12:15" x14ac:dyDescent="0.25">
      <c r="L5615" s="147">
        <f ca="1"/>
        <v>50854</v>
      </c>
      <c r="M5615" s="92">
        <f t="shared" ca="1" si="185"/>
        <v>6.25</v>
      </c>
      <c r="N5615" s="143">
        <f ca="1">(PRODUCT($O$5:$O5615)-1)*36000/_xlfn.DAYS(L5615, $C$2)</f>
        <v>11.758220347258254</v>
      </c>
      <c r="O5615" s="149">
        <f t="shared" ca="1" si="186"/>
        <v>1.000173611111111</v>
      </c>
    </row>
    <row r="5616" spans="12:15" x14ac:dyDescent="0.25">
      <c r="L5616" s="147">
        <f ca="1"/>
        <v>50855</v>
      </c>
      <c r="M5616" s="92">
        <f t="shared" ca="1" si="185"/>
        <v>6.25</v>
      </c>
      <c r="N5616" s="143">
        <f ca="1">(PRODUCT($O$5:$O5616)-1)*36000/_xlfn.DAYS(L5616, $C$2)</f>
        <v>11.759279833662887</v>
      </c>
      <c r="O5616" s="149">
        <f t="shared" ca="1" si="186"/>
        <v>1.000173611111111</v>
      </c>
    </row>
    <row r="5617" spans="12:15" x14ac:dyDescent="0.25">
      <c r="L5617" s="147">
        <f ca="1"/>
        <v>50856</v>
      </c>
      <c r="M5617" s="92">
        <f t="shared" ca="1" si="185"/>
        <v>6.25</v>
      </c>
      <c r="N5617" s="143">
        <f ca="1">(PRODUCT($O$5:$O5617)-1)*36000/_xlfn.DAYS(L5617, $C$2)</f>
        <v>11.760339490145624</v>
      </c>
      <c r="O5617" s="149">
        <f t="shared" ca="1" si="186"/>
        <v>1.000173611111111</v>
      </c>
    </row>
    <row r="5618" spans="12:15" x14ac:dyDescent="0.25">
      <c r="L5618" s="147">
        <f ca="1"/>
        <v>50857</v>
      </c>
      <c r="M5618" s="92">
        <f t="shared" ca="1" si="185"/>
        <v>6.25</v>
      </c>
      <c r="N5618" s="143">
        <f ca="1">(PRODUCT($O$5:$O5618)-1)*36000/_xlfn.DAYS(L5618, $C$2)</f>
        <v>11.761399316710627</v>
      </c>
      <c r="O5618" s="149">
        <f t="shared" ca="1" si="186"/>
        <v>1.000173611111111</v>
      </c>
    </row>
    <row r="5619" spans="12:15" x14ac:dyDescent="0.25">
      <c r="L5619" s="147">
        <f ca="1"/>
        <v>50858</v>
      </c>
      <c r="M5619" s="92">
        <f t="shared" ca="1" si="185"/>
        <v>6.25</v>
      </c>
      <c r="N5619" s="143">
        <f ca="1">(PRODUCT($O$5:$O5619)-1)*36000/_xlfn.DAYS(L5619, $C$2)</f>
        <v>11.762459313362072</v>
      </c>
      <c r="O5619" s="149">
        <f t="shared" ca="1" si="186"/>
        <v>1.000173611111111</v>
      </c>
    </row>
    <row r="5620" spans="12:15" x14ac:dyDescent="0.25">
      <c r="L5620" s="147">
        <f ca="1"/>
        <v>50859</v>
      </c>
      <c r="M5620" s="92">
        <f t="shared" ca="1" si="185"/>
        <v>6.25</v>
      </c>
      <c r="N5620" s="143">
        <f ca="1">(PRODUCT($O$5:$O5620)-1)*36000/_xlfn.DAYS(L5620, $C$2)</f>
        <v>11.763519480104151</v>
      </c>
      <c r="O5620" s="149">
        <f t="shared" ca="1" si="186"/>
        <v>1.000173611111111</v>
      </c>
    </row>
    <row r="5621" spans="12:15" x14ac:dyDescent="0.25">
      <c r="L5621" s="147">
        <f ca="1"/>
        <v>50860</v>
      </c>
      <c r="M5621" s="92">
        <f t="shared" ca="1" si="185"/>
        <v>6.25</v>
      </c>
      <c r="N5621" s="143">
        <f ca="1">(PRODUCT($O$5:$O5621)-1)*36000/_xlfn.DAYS(L5621, $C$2)</f>
        <v>11.764579816941072</v>
      </c>
      <c r="O5621" s="149">
        <f t="shared" ca="1" si="186"/>
        <v>1.000173611111111</v>
      </c>
    </row>
    <row r="5622" spans="12:15" x14ac:dyDescent="0.25">
      <c r="L5622" s="147">
        <f ca="1"/>
        <v>50861</v>
      </c>
      <c r="M5622" s="92">
        <f t="shared" ca="1" si="185"/>
        <v>6.25</v>
      </c>
      <c r="N5622" s="143">
        <f ca="1">(PRODUCT($O$5:$O5622)-1)*36000/_xlfn.DAYS(L5622, $C$2)</f>
        <v>11.765640323877054</v>
      </c>
      <c r="O5622" s="149">
        <f t="shared" ca="1" si="186"/>
        <v>1.000173611111111</v>
      </c>
    </row>
    <row r="5623" spans="12:15" x14ac:dyDescent="0.25">
      <c r="L5623" s="147">
        <f ca="1"/>
        <v>50862</v>
      </c>
      <c r="M5623" s="92">
        <f t="shared" ca="1" si="185"/>
        <v>6.25</v>
      </c>
      <c r="N5623" s="143">
        <f ca="1">(PRODUCT($O$5:$O5623)-1)*36000/_xlfn.DAYS(L5623, $C$2)</f>
        <v>11.766701000916328</v>
      </c>
      <c r="O5623" s="149">
        <f t="shared" ca="1" si="186"/>
        <v>1.000173611111111</v>
      </c>
    </row>
    <row r="5624" spans="12:15" x14ac:dyDescent="0.25">
      <c r="L5624" s="147">
        <f ca="1"/>
        <v>50863</v>
      </c>
      <c r="M5624" s="92">
        <f t="shared" ca="1" si="185"/>
        <v>6.25</v>
      </c>
      <c r="N5624" s="143">
        <f ca="1">(PRODUCT($O$5:$O5624)-1)*36000/_xlfn.DAYS(L5624, $C$2)</f>
        <v>11.767761848063138</v>
      </c>
      <c r="O5624" s="149">
        <f t="shared" ca="1" si="186"/>
        <v>1.000173611111111</v>
      </c>
    </row>
    <row r="5625" spans="12:15" x14ac:dyDescent="0.25">
      <c r="L5625" s="147">
        <f ca="1"/>
        <v>50864</v>
      </c>
      <c r="M5625" s="92">
        <f t="shared" ca="1" si="185"/>
        <v>6.25</v>
      </c>
      <c r="N5625" s="143">
        <f ca="1">(PRODUCT($O$5:$O5625)-1)*36000/_xlfn.DAYS(L5625, $C$2)</f>
        <v>11.768822865321745</v>
      </c>
      <c r="O5625" s="149">
        <f t="shared" ca="1" si="186"/>
        <v>1.000173611111111</v>
      </c>
    </row>
    <row r="5626" spans="12:15" x14ac:dyDescent="0.25">
      <c r="L5626" s="147">
        <f ca="1"/>
        <v>50865</v>
      </c>
      <c r="M5626" s="92">
        <f t="shared" ca="1" si="185"/>
        <v>6.25</v>
      </c>
      <c r="N5626" s="143">
        <f ca="1">(PRODUCT($O$5:$O5626)-1)*36000/_xlfn.DAYS(L5626, $C$2)</f>
        <v>11.769884052696423</v>
      </c>
      <c r="O5626" s="149">
        <f t="shared" ca="1" si="186"/>
        <v>1.000173611111111</v>
      </c>
    </row>
    <row r="5627" spans="12:15" x14ac:dyDescent="0.25">
      <c r="L5627" s="147">
        <f ca="1"/>
        <v>50866</v>
      </c>
      <c r="M5627" s="92">
        <f t="shared" ca="1" si="185"/>
        <v>6.25</v>
      </c>
      <c r="N5627" s="143">
        <f ca="1">(PRODUCT($O$5:$O5627)-1)*36000/_xlfn.DAYS(L5627, $C$2)</f>
        <v>11.770945410191453</v>
      </c>
      <c r="O5627" s="149">
        <f t="shared" ca="1" si="186"/>
        <v>1.000173611111111</v>
      </c>
    </row>
    <row r="5628" spans="12:15" x14ac:dyDescent="0.25">
      <c r="L5628" s="147">
        <f ca="1"/>
        <v>50867</v>
      </c>
      <c r="M5628" s="92">
        <f t="shared" ca="1" si="185"/>
        <v>6.25</v>
      </c>
      <c r="N5628" s="143">
        <f ca="1">(PRODUCT($O$5:$O5628)-1)*36000/_xlfn.DAYS(L5628, $C$2)</f>
        <v>11.772006937811138</v>
      </c>
      <c r="O5628" s="149">
        <f t="shared" ca="1" si="186"/>
        <v>1.000173611111111</v>
      </c>
    </row>
    <row r="5629" spans="12:15" x14ac:dyDescent="0.25">
      <c r="L5629" s="147">
        <f ca="1"/>
        <v>50868</v>
      </c>
      <c r="M5629" s="92">
        <f t="shared" ca="1" si="185"/>
        <v>6.25</v>
      </c>
      <c r="N5629" s="143">
        <f ca="1">(PRODUCT($O$5:$O5629)-1)*36000/_xlfn.DAYS(L5629, $C$2)</f>
        <v>11.773068635559795</v>
      </c>
      <c r="O5629" s="149">
        <f t="shared" ca="1" si="186"/>
        <v>1.000173611111111</v>
      </c>
    </row>
    <row r="5630" spans="12:15" x14ac:dyDescent="0.25">
      <c r="L5630" s="147">
        <f ca="1"/>
        <v>50869</v>
      </c>
      <c r="M5630" s="92">
        <f t="shared" ca="1" si="185"/>
        <v>6.25</v>
      </c>
      <c r="N5630" s="143">
        <f ca="1">(PRODUCT($O$5:$O5630)-1)*36000/_xlfn.DAYS(L5630, $C$2)</f>
        <v>11.774130503441743</v>
      </c>
      <c r="O5630" s="149">
        <f t="shared" ca="1" si="186"/>
        <v>1.000173611111111</v>
      </c>
    </row>
    <row r="5631" spans="12:15" x14ac:dyDescent="0.25">
      <c r="L5631" s="147">
        <f ca="1"/>
        <v>50870</v>
      </c>
      <c r="M5631" s="92">
        <f t="shared" ca="1" si="185"/>
        <v>6.25</v>
      </c>
      <c r="N5631" s="143">
        <f ca="1">(PRODUCT($O$5:$O5631)-1)*36000/_xlfn.DAYS(L5631, $C$2)</f>
        <v>11.775192541461328</v>
      </c>
      <c r="O5631" s="149">
        <f t="shared" ca="1" si="186"/>
        <v>1.000173611111111</v>
      </c>
    </row>
    <row r="5632" spans="12:15" x14ac:dyDescent="0.25">
      <c r="L5632" s="147">
        <f ca="1"/>
        <v>50871</v>
      </c>
      <c r="M5632" s="92">
        <f t="shared" ca="1" si="185"/>
        <v>6.25</v>
      </c>
      <c r="N5632" s="143">
        <f ca="1">(PRODUCT($O$5:$O5632)-1)*36000/_xlfn.DAYS(L5632, $C$2)</f>
        <v>11.7762547496229</v>
      </c>
      <c r="O5632" s="149">
        <f t="shared" ca="1" si="186"/>
        <v>1.000173611111111</v>
      </c>
    </row>
    <row r="5633" spans="12:15" x14ac:dyDescent="0.25">
      <c r="L5633" s="147">
        <f ca="1"/>
        <v>50872</v>
      </c>
      <c r="M5633" s="92">
        <f t="shared" ca="1" si="185"/>
        <v>6.25</v>
      </c>
      <c r="N5633" s="143">
        <f ca="1">(PRODUCT($O$5:$O5633)-1)*36000/_xlfn.DAYS(L5633, $C$2)</f>
        <v>11.777317127930825</v>
      </c>
      <c r="O5633" s="149">
        <f t="shared" ca="1" si="186"/>
        <v>1.000173611111111</v>
      </c>
    </row>
    <row r="5634" spans="12:15" x14ac:dyDescent="0.25">
      <c r="L5634" s="147">
        <f ca="1"/>
        <v>50873</v>
      </c>
      <c r="M5634" s="92">
        <f t="shared" ca="1" si="185"/>
        <v>6.25</v>
      </c>
      <c r="N5634" s="143">
        <f ca="1">(PRODUCT($O$5:$O5634)-1)*36000/_xlfn.DAYS(L5634, $C$2)</f>
        <v>11.778379676389484</v>
      </c>
      <c r="O5634" s="149">
        <f t="shared" ca="1" si="186"/>
        <v>1.000173611111111</v>
      </c>
    </row>
    <row r="5635" spans="12:15" x14ac:dyDescent="0.25">
      <c r="L5635" s="147">
        <f ca="1"/>
        <v>50874</v>
      </c>
      <c r="M5635" s="92">
        <f t="shared" ca="1" si="185"/>
        <v>6.25</v>
      </c>
      <c r="N5635" s="143">
        <f ca="1">(PRODUCT($O$5:$O5635)-1)*36000/_xlfn.DAYS(L5635, $C$2)</f>
        <v>11.779442395003272</v>
      </c>
      <c r="O5635" s="149">
        <f t="shared" ca="1" si="186"/>
        <v>1.000173611111111</v>
      </c>
    </row>
    <row r="5636" spans="12:15" x14ac:dyDescent="0.25">
      <c r="L5636" s="147">
        <f ca="1"/>
        <v>50875</v>
      </c>
      <c r="M5636" s="92">
        <f t="shared" ca="1" si="185"/>
        <v>6.25</v>
      </c>
      <c r="N5636" s="143">
        <f ca="1">(PRODUCT($O$5:$O5636)-1)*36000/_xlfn.DAYS(L5636, $C$2)</f>
        <v>11.780505283776593</v>
      </c>
      <c r="O5636" s="149">
        <f t="shared" ca="1" si="186"/>
        <v>1.000173611111111</v>
      </c>
    </row>
    <row r="5637" spans="12:15" x14ac:dyDescent="0.25">
      <c r="L5637" s="147">
        <f ca="1"/>
        <v>50876</v>
      </c>
      <c r="M5637" s="92">
        <f t="shared" ref="M5637:M5700" ca="1" si="187">IFERROR(INDEX($E$27:$H$47, MATCH(L5637, $F$27:$F$47, 0), 4), IF(ISNUMBER(M5636), M5636, $C$5))</f>
        <v>6.25</v>
      </c>
      <c r="N5637" s="143">
        <f ca="1">(PRODUCT($O$5:$O5637)-1)*36000/_xlfn.DAYS(L5637, $C$2)</f>
        <v>11.781568342713873</v>
      </c>
      <c r="O5637" s="149">
        <f t="shared" ca="1" si="186"/>
        <v>1.000173611111111</v>
      </c>
    </row>
    <row r="5638" spans="12:15" x14ac:dyDescent="0.25">
      <c r="L5638" s="147">
        <f ca="1"/>
        <v>50877</v>
      </c>
      <c r="M5638" s="92">
        <f t="shared" ca="1" si="187"/>
        <v>6.25</v>
      </c>
      <c r="N5638" s="143">
        <f ca="1">(PRODUCT($O$5:$O5638)-1)*36000/_xlfn.DAYS(L5638, $C$2)</f>
        <v>11.782631571819538</v>
      </c>
      <c r="O5638" s="149">
        <f t="shared" ref="O5638:O5701" ca="1" si="188">1+M5638*IFERROR(_xlfn.DAYS(L5638, L5637), _xlfn.DAYS(L5638, $C$2))/36000</f>
        <v>1.000173611111111</v>
      </c>
    </row>
    <row r="5639" spans="12:15" x14ac:dyDescent="0.25">
      <c r="L5639" s="147">
        <f ca="1"/>
        <v>50878</v>
      </c>
      <c r="M5639" s="92">
        <f t="shared" ca="1" si="187"/>
        <v>6.25</v>
      </c>
      <c r="N5639" s="143">
        <f ca="1">(PRODUCT($O$5:$O5639)-1)*36000/_xlfn.DAYS(L5639, $C$2)</f>
        <v>11.78369497109804</v>
      </c>
      <c r="O5639" s="149">
        <f t="shared" ca="1" si="188"/>
        <v>1.000173611111111</v>
      </c>
    </row>
    <row r="5640" spans="12:15" x14ac:dyDescent="0.25">
      <c r="L5640" s="147">
        <f ca="1"/>
        <v>50879</v>
      </c>
      <c r="M5640" s="92">
        <f t="shared" ca="1" si="187"/>
        <v>6.25</v>
      </c>
      <c r="N5640" s="143">
        <f ca="1">(PRODUCT($O$5:$O5640)-1)*36000/_xlfn.DAYS(L5640, $C$2)</f>
        <v>11.784758540553836</v>
      </c>
      <c r="O5640" s="149">
        <f t="shared" ca="1" si="188"/>
        <v>1.000173611111111</v>
      </c>
    </row>
    <row r="5641" spans="12:15" x14ac:dyDescent="0.25">
      <c r="L5641" s="147">
        <f ca="1"/>
        <v>50880</v>
      </c>
      <c r="M5641" s="92">
        <f t="shared" ca="1" si="187"/>
        <v>6.25</v>
      </c>
      <c r="N5641" s="143">
        <f ca="1">(PRODUCT($O$5:$O5641)-1)*36000/_xlfn.DAYS(L5641, $C$2)</f>
        <v>11.785822280191406</v>
      </c>
      <c r="O5641" s="149">
        <f t="shared" ca="1" si="188"/>
        <v>1.000173611111111</v>
      </c>
    </row>
    <row r="5642" spans="12:15" x14ac:dyDescent="0.25">
      <c r="L5642" s="147">
        <f ca="1"/>
        <v>50881</v>
      </c>
      <c r="M5642" s="92">
        <f t="shared" ca="1" si="187"/>
        <v>6.25</v>
      </c>
      <c r="N5642" s="143">
        <f ca="1">(PRODUCT($O$5:$O5642)-1)*36000/_xlfn.DAYS(L5642, $C$2)</f>
        <v>11.786886190015229</v>
      </c>
      <c r="O5642" s="149">
        <f t="shared" ca="1" si="188"/>
        <v>1.000173611111111</v>
      </c>
    </row>
    <row r="5643" spans="12:15" x14ac:dyDescent="0.25">
      <c r="L5643" s="147">
        <f ca="1"/>
        <v>50882</v>
      </c>
      <c r="M5643" s="92">
        <f t="shared" ca="1" si="187"/>
        <v>6.25</v>
      </c>
      <c r="N5643" s="143">
        <f ca="1">(PRODUCT($O$5:$O5643)-1)*36000/_xlfn.DAYS(L5643, $C$2)</f>
        <v>11.787950270029809</v>
      </c>
      <c r="O5643" s="149">
        <f t="shared" ca="1" si="188"/>
        <v>1.000173611111111</v>
      </c>
    </row>
    <row r="5644" spans="12:15" x14ac:dyDescent="0.25">
      <c r="L5644" s="147">
        <f ca="1"/>
        <v>50883</v>
      </c>
      <c r="M5644" s="92">
        <f t="shared" ca="1" si="187"/>
        <v>6.25</v>
      </c>
      <c r="N5644" s="143">
        <f ca="1">(PRODUCT($O$5:$O5644)-1)*36000/_xlfn.DAYS(L5644, $C$2)</f>
        <v>11.789014520239661</v>
      </c>
      <c r="O5644" s="149">
        <f t="shared" ca="1" si="188"/>
        <v>1.000173611111111</v>
      </c>
    </row>
    <row r="5645" spans="12:15" x14ac:dyDescent="0.25">
      <c r="L5645" s="147">
        <f ca="1"/>
        <v>50884</v>
      </c>
      <c r="M5645" s="92">
        <f t="shared" ca="1" si="187"/>
        <v>6.25</v>
      </c>
      <c r="N5645" s="143">
        <f ca="1">(PRODUCT($O$5:$O5645)-1)*36000/_xlfn.DAYS(L5645, $C$2)</f>
        <v>11.790078940649307</v>
      </c>
      <c r="O5645" s="149">
        <f t="shared" ca="1" si="188"/>
        <v>1.000173611111111</v>
      </c>
    </row>
    <row r="5646" spans="12:15" x14ac:dyDescent="0.25">
      <c r="L5646" s="147">
        <f ca="1"/>
        <v>50885</v>
      </c>
      <c r="M5646" s="92">
        <f t="shared" ca="1" si="187"/>
        <v>6.25</v>
      </c>
      <c r="N5646" s="143">
        <f ca="1">(PRODUCT($O$5:$O5646)-1)*36000/_xlfn.DAYS(L5646, $C$2)</f>
        <v>11.791143531263293</v>
      </c>
      <c r="O5646" s="149">
        <f t="shared" ca="1" si="188"/>
        <v>1.000173611111111</v>
      </c>
    </row>
    <row r="5647" spans="12:15" x14ac:dyDescent="0.25">
      <c r="L5647" s="147">
        <f ca="1"/>
        <v>50886</v>
      </c>
      <c r="M5647" s="92">
        <f t="shared" ca="1" si="187"/>
        <v>6.25</v>
      </c>
      <c r="N5647" s="143">
        <f ca="1">(PRODUCT($O$5:$O5647)-1)*36000/_xlfn.DAYS(L5647, $C$2)</f>
        <v>11.792208292086167</v>
      </c>
      <c r="O5647" s="149">
        <f t="shared" ca="1" si="188"/>
        <v>1.000173611111111</v>
      </c>
    </row>
    <row r="5648" spans="12:15" x14ac:dyDescent="0.25">
      <c r="L5648" s="147">
        <f ca="1"/>
        <v>50887</v>
      </c>
      <c r="M5648" s="92">
        <f t="shared" ca="1" si="187"/>
        <v>6.25</v>
      </c>
      <c r="N5648" s="143">
        <f ca="1">(PRODUCT($O$5:$O5648)-1)*36000/_xlfn.DAYS(L5648, $C$2)</f>
        <v>11.793273223122497</v>
      </c>
      <c r="O5648" s="149">
        <f t="shared" ca="1" si="188"/>
        <v>1.000173611111111</v>
      </c>
    </row>
    <row r="5649" spans="12:15" x14ac:dyDescent="0.25">
      <c r="L5649" s="147">
        <f ca="1"/>
        <v>50888</v>
      </c>
      <c r="M5649" s="92">
        <f t="shared" ca="1" si="187"/>
        <v>6.25</v>
      </c>
      <c r="N5649" s="143">
        <f ca="1">(PRODUCT($O$5:$O5649)-1)*36000/_xlfn.DAYS(L5649, $C$2)</f>
        <v>11.794338324376866</v>
      </c>
      <c r="O5649" s="149">
        <f t="shared" ca="1" si="188"/>
        <v>1.000173611111111</v>
      </c>
    </row>
    <row r="5650" spans="12:15" x14ac:dyDescent="0.25">
      <c r="L5650" s="147">
        <f ca="1"/>
        <v>50889</v>
      </c>
      <c r="M5650" s="92">
        <f t="shared" ca="1" si="187"/>
        <v>6.25</v>
      </c>
      <c r="N5650" s="143">
        <f ca="1">(PRODUCT($O$5:$O5650)-1)*36000/_xlfn.DAYS(L5650, $C$2)</f>
        <v>11.795403595853868</v>
      </c>
      <c r="O5650" s="149">
        <f t="shared" ca="1" si="188"/>
        <v>1.000173611111111</v>
      </c>
    </row>
    <row r="5651" spans="12:15" x14ac:dyDescent="0.25">
      <c r="L5651" s="147">
        <f ca="1"/>
        <v>50890</v>
      </c>
      <c r="M5651" s="92">
        <f t="shared" ca="1" si="187"/>
        <v>6.25</v>
      </c>
      <c r="N5651" s="143">
        <f ca="1">(PRODUCT($O$5:$O5651)-1)*36000/_xlfn.DAYS(L5651, $C$2)</f>
        <v>11.796469037558104</v>
      </c>
      <c r="O5651" s="149">
        <f t="shared" ca="1" si="188"/>
        <v>1.000173611111111</v>
      </c>
    </row>
    <row r="5652" spans="12:15" x14ac:dyDescent="0.25">
      <c r="L5652" s="147">
        <f ca="1"/>
        <v>50891</v>
      </c>
      <c r="M5652" s="92">
        <f t="shared" ca="1" si="187"/>
        <v>6.25</v>
      </c>
      <c r="N5652" s="143">
        <f ca="1">(PRODUCT($O$5:$O5652)-1)*36000/_xlfn.DAYS(L5652, $C$2)</f>
        <v>11.797534649494198</v>
      </c>
      <c r="O5652" s="149">
        <f t="shared" ca="1" si="188"/>
        <v>1.000173611111111</v>
      </c>
    </row>
    <row r="5653" spans="12:15" x14ac:dyDescent="0.25">
      <c r="L5653" s="147">
        <f ca="1"/>
        <v>50892</v>
      </c>
      <c r="M5653" s="92">
        <f t="shared" ca="1" si="187"/>
        <v>6.25</v>
      </c>
      <c r="N5653" s="143">
        <f ca="1">(PRODUCT($O$5:$O5653)-1)*36000/_xlfn.DAYS(L5653, $C$2)</f>
        <v>11.798600431666783</v>
      </c>
      <c r="O5653" s="149">
        <f t="shared" ca="1" si="188"/>
        <v>1.000173611111111</v>
      </c>
    </row>
    <row r="5654" spans="12:15" x14ac:dyDescent="0.25">
      <c r="L5654" s="147">
        <f ca="1"/>
        <v>50893</v>
      </c>
      <c r="M5654" s="92">
        <f t="shared" ca="1" si="187"/>
        <v>6.25</v>
      </c>
      <c r="N5654" s="143">
        <f ca="1">(PRODUCT($O$5:$O5654)-1)*36000/_xlfn.DAYS(L5654, $C$2)</f>
        <v>11.799666384080501</v>
      </c>
      <c r="O5654" s="149">
        <f t="shared" ca="1" si="188"/>
        <v>1.000173611111111</v>
      </c>
    </row>
    <row r="5655" spans="12:15" x14ac:dyDescent="0.25">
      <c r="L5655" s="147">
        <f ca="1"/>
        <v>50894</v>
      </c>
      <c r="M5655" s="92">
        <f t="shared" ca="1" si="187"/>
        <v>6.25</v>
      </c>
      <c r="N5655" s="143">
        <f ca="1">(PRODUCT($O$5:$O5655)-1)*36000/_xlfn.DAYS(L5655, $C$2)</f>
        <v>11.800732506740014</v>
      </c>
      <c r="O5655" s="149">
        <f t="shared" ca="1" si="188"/>
        <v>1.000173611111111</v>
      </c>
    </row>
    <row r="5656" spans="12:15" x14ac:dyDescent="0.25">
      <c r="L5656" s="147">
        <f ca="1"/>
        <v>50895</v>
      </c>
      <c r="M5656" s="92">
        <f t="shared" ca="1" si="187"/>
        <v>6.25</v>
      </c>
      <c r="N5656" s="143">
        <f ca="1">(PRODUCT($O$5:$O5656)-1)*36000/_xlfn.DAYS(L5656, $C$2)</f>
        <v>11.801798799649992</v>
      </c>
      <c r="O5656" s="149">
        <f t="shared" ca="1" si="188"/>
        <v>1.000173611111111</v>
      </c>
    </row>
    <row r="5657" spans="12:15" x14ac:dyDescent="0.25">
      <c r="L5657" s="147">
        <f ca="1"/>
        <v>50896</v>
      </c>
      <c r="M5657" s="92">
        <f t="shared" ca="1" si="187"/>
        <v>6.25</v>
      </c>
      <c r="N5657" s="143">
        <f ca="1">(PRODUCT($O$5:$O5657)-1)*36000/_xlfn.DAYS(L5657, $C$2)</f>
        <v>11.802865262815127</v>
      </c>
      <c r="O5657" s="149">
        <f t="shared" ca="1" si="188"/>
        <v>1.000173611111111</v>
      </c>
    </row>
    <row r="5658" spans="12:15" x14ac:dyDescent="0.25">
      <c r="L5658" s="147">
        <f ca="1"/>
        <v>50897</v>
      </c>
      <c r="M5658" s="92">
        <f t="shared" ca="1" si="187"/>
        <v>6.25</v>
      </c>
      <c r="N5658" s="143">
        <f ca="1">(PRODUCT($O$5:$O5658)-1)*36000/_xlfn.DAYS(L5658, $C$2)</f>
        <v>11.803931896240112</v>
      </c>
      <c r="O5658" s="149">
        <f t="shared" ca="1" si="188"/>
        <v>1.000173611111111</v>
      </c>
    </row>
    <row r="5659" spans="12:15" x14ac:dyDescent="0.25">
      <c r="L5659" s="147">
        <f ca="1"/>
        <v>50898</v>
      </c>
      <c r="M5659" s="92">
        <f t="shared" ca="1" si="187"/>
        <v>6.25</v>
      </c>
      <c r="N5659" s="143">
        <f ca="1">(PRODUCT($O$5:$O5659)-1)*36000/_xlfn.DAYS(L5659, $C$2)</f>
        <v>11.804998699929662</v>
      </c>
      <c r="O5659" s="149">
        <f t="shared" ca="1" si="188"/>
        <v>1.000173611111111</v>
      </c>
    </row>
    <row r="5660" spans="12:15" x14ac:dyDescent="0.25">
      <c r="L5660" s="147">
        <f ca="1"/>
        <v>50899</v>
      </c>
      <c r="M5660" s="92">
        <f t="shared" ca="1" si="187"/>
        <v>6.25</v>
      </c>
      <c r="N5660" s="143">
        <f ca="1">(PRODUCT($O$5:$O5660)-1)*36000/_xlfn.DAYS(L5660, $C$2)</f>
        <v>11.806065673888499</v>
      </c>
      <c r="O5660" s="149">
        <f t="shared" ca="1" si="188"/>
        <v>1.000173611111111</v>
      </c>
    </row>
    <row r="5661" spans="12:15" x14ac:dyDescent="0.25">
      <c r="L5661" s="147">
        <f ca="1"/>
        <v>50900</v>
      </c>
      <c r="M5661" s="92">
        <f t="shared" ca="1" si="187"/>
        <v>6.25</v>
      </c>
      <c r="N5661" s="143">
        <f ca="1">(PRODUCT($O$5:$O5661)-1)*36000/_xlfn.DAYS(L5661, $C$2)</f>
        <v>11.807132818121364</v>
      </c>
      <c r="O5661" s="149">
        <f t="shared" ca="1" si="188"/>
        <v>1.000173611111111</v>
      </c>
    </row>
    <row r="5662" spans="12:15" x14ac:dyDescent="0.25">
      <c r="L5662" s="147">
        <f ca="1"/>
        <v>50901</v>
      </c>
      <c r="M5662" s="92">
        <f t="shared" ca="1" si="187"/>
        <v>6.25</v>
      </c>
      <c r="N5662" s="143">
        <f ca="1">(PRODUCT($O$5:$O5662)-1)*36000/_xlfn.DAYS(L5662, $C$2)</f>
        <v>11.80820013263301</v>
      </c>
      <c r="O5662" s="149">
        <f t="shared" ca="1" si="188"/>
        <v>1.000173611111111</v>
      </c>
    </row>
    <row r="5663" spans="12:15" x14ac:dyDescent="0.25">
      <c r="L5663" s="147">
        <f ca="1"/>
        <v>50902</v>
      </c>
      <c r="M5663" s="92">
        <f t="shared" ca="1" si="187"/>
        <v>6.25</v>
      </c>
      <c r="N5663" s="143">
        <f ca="1">(PRODUCT($O$5:$O5663)-1)*36000/_xlfn.DAYS(L5663, $C$2)</f>
        <v>11.809267617428198</v>
      </c>
      <c r="O5663" s="149">
        <f t="shared" ca="1" si="188"/>
        <v>1.000173611111111</v>
      </c>
    </row>
    <row r="5664" spans="12:15" x14ac:dyDescent="0.25">
      <c r="L5664" s="147">
        <f ca="1"/>
        <v>50903</v>
      </c>
      <c r="M5664" s="92">
        <f t="shared" ca="1" si="187"/>
        <v>6.25</v>
      </c>
      <c r="N5664" s="143">
        <f ca="1">(PRODUCT($O$5:$O5664)-1)*36000/_xlfn.DAYS(L5664, $C$2)</f>
        <v>11.810335272511709</v>
      </c>
      <c r="O5664" s="149">
        <f t="shared" ca="1" si="188"/>
        <v>1.000173611111111</v>
      </c>
    </row>
    <row r="5665" spans="12:15" x14ac:dyDescent="0.25">
      <c r="L5665" s="147">
        <f ca="1"/>
        <v>50904</v>
      </c>
      <c r="M5665" s="92">
        <f t="shared" ca="1" si="187"/>
        <v>6.25</v>
      </c>
      <c r="N5665" s="143">
        <f ca="1">(PRODUCT($O$5:$O5665)-1)*36000/_xlfn.DAYS(L5665, $C$2)</f>
        <v>11.811403097888334</v>
      </c>
      <c r="O5665" s="149">
        <f t="shared" ca="1" si="188"/>
        <v>1.000173611111111</v>
      </c>
    </row>
    <row r="5666" spans="12:15" x14ac:dyDescent="0.25">
      <c r="L5666" s="147">
        <f ca="1"/>
        <v>50905</v>
      </c>
      <c r="M5666" s="92">
        <f t="shared" ca="1" si="187"/>
        <v>6.25</v>
      </c>
      <c r="N5666" s="143">
        <f ca="1">(PRODUCT($O$5:$O5666)-1)*36000/_xlfn.DAYS(L5666, $C$2)</f>
        <v>11.812471093562873</v>
      </c>
      <c r="O5666" s="149">
        <f t="shared" ca="1" si="188"/>
        <v>1.000173611111111</v>
      </c>
    </row>
    <row r="5667" spans="12:15" x14ac:dyDescent="0.25">
      <c r="L5667" s="147">
        <f ca="1"/>
        <v>50906</v>
      </c>
      <c r="M5667" s="92">
        <f t="shared" ca="1" si="187"/>
        <v>6.25</v>
      </c>
      <c r="N5667" s="143">
        <f ca="1">(PRODUCT($O$5:$O5667)-1)*36000/_xlfn.DAYS(L5667, $C$2)</f>
        <v>11.813539259540146</v>
      </c>
      <c r="O5667" s="149">
        <f t="shared" ca="1" si="188"/>
        <v>1.000173611111111</v>
      </c>
    </row>
    <row r="5668" spans="12:15" x14ac:dyDescent="0.25">
      <c r="L5668" s="147">
        <f ca="1"/>
        <v>50907</v>
      </c>
      <c r="M5668" s="92">
        <f t="shared" ca="1" si="187"/>
        <v>6.25</v>
      </c>
      <c r="N5668" s="143">
        <f ca="1">(PRODUCT($O$5:$O5668)-1)*36000/_xlfn.DAYS(L5668, $C$2)</f>
        <v>11.814607595824985</v>
      </c>
      <c r="O5668" s="149">
        <f t="shared" ca="1" si="188"/>
        <v>1.000173611111111</v>
      </c>
    </row>
    <row r="5669" spans="12:15" x14ac:dyDescent="0.25">
      <c r="L5669" s="147">
        <f ca="1"/>
        <v>50908</v>
      </c>
      <c r="M5669" s="92">
        <f t="shared" ca="1" si="187"/>
        <v>6.25</v>
      </c>
      <c r="N5669" s="143">
        <f ca="1">(PRODUCT($O$5:$O5669)-1)*36000/_xlfn.DAYS(L5669, $C$2)</f>
        <v>11.815676102422231</v>
      </c>
      <c r="O5669" s="149">
        <f t="shared" ca="1" si="188"/>
        <v>1.000173611111111</v>
      </c>
    </row>
    <row r="5670" spans="12:15" x14ac:dyDescent="0.25">
      <c r="L5670" s="147">
        <f ca="1"/>
        <v>50909</v>
      </c>
      <c r="M5670" s="92">
        <f t="shared" ca="1" si="187"/>
        <v>6.25</v>
      </c>
      <c r="N5670" s="143">
        <f ca="1">(PRODUCT($O$5:$O5670)-1)*36000/_xlfn.DAYS(L5670, $C$2)</f>
        <v>11.816744779336739</v>
      </c>
      <c r="O5670" s="149">
        <f t="shared" ca="1" si="188"/>
        <v>1.000173611111111</v>
      </c>
    </row>
    <row r="5671" spans="12:15" x14ac:dyDescent="0.25">
      <c r="L5671" s="147">
        <f ca="1"/>
        <v>50910</v>
      </c>
      <c r="M5671" s="92">
        <f t="shared" ca="1" si="187"/>
        <v>6.25</v>
      </c>
      <c r="N5671" s="143">
        <f ca="1">(PRODUCT($O$5:$O5671)-1)*36000/_xlfn.DAYS(L5671, $C$2)</f>
        <v>11.817813626573379</v>
      </c>
      <c r="O5671" s="149">
        <f t="shared" ca="1" si="188"/>
        <v>1.000173611111111</v>
      </c>
    </row>
    <row r="5672" spans="12:15" x14ac:dyDescent="0.25">
      <c r="L5672" s="147">
        <f ca="1"/>
        <v>50911</v>
      </c>
      <c r="M5672" s="92">
        <f t="shared" ca="1" si="187"/>
        <v>6.25</v>
      </c>
      <c r="N5672" s="143">
        <f ca="1">(PRODUCT($O$5:$O5672)-1)*36000/_xlfn.DAYS(L5672, $C$2)</f>
        <v>11.818882644137041</v>
      </c>
      <c r="O5672" s="149">
        <f t="shared" ca="1" si="188"/>
        <v>1.000173611111111</v>
      </c>
    </row>
    <row r="5673" spans="12:15" x14ac:dyDescent="0.25">
      <c r="L5673" s="147">
        <f ca="1"/>
        <v>50912</v>
      </c>
      <c r="M5673" s="92">
        <f t="shared" ca="1" si="187"/>
        <v>6.25</v>
      </c>
      <c r="N5673" s="143">
        <f ca="1">(PRODUCT($O$5:$O5673)-1)*36000/_xlfn.DAYS(L5673, $C$2)</f>
        <v>11.81995183203261</v>
      </c>
      <c r="O5673" s="149">
        <f t="shared" ca="1" si="188"/>
        <v>1.000173611111111</v>
      </c>
    </row>
    <row r="5674" spans="12:15" x14ac:dyDescent="0.25">
      <c r="L5674" s="147">
        <f ca="1"/>
        <v>50913</v>
      </c>
      <c r="M5674" s="92">
        <f t="shared" ca="1" si="187"/>
        <v>6.25</v>
      </c>
      <c r="N5674" s="143">
        <f ca="1">(PRODUCT($O$5:$O5674)-1)*36000/_xlfn.DAYS(L5674, $C$2)</f>
        <v>11.821021190264997</v>
      </c>
      <c r="O5674" s="149">
        <f t="shared" ca="1" si="188"/>
        <v>1.000173611111111</v>
      </c>
    </row>
    <row r="5675" spans="12:15" x14ac:dyDescent="0.25">
      <c r="L5675" s="147">
        <f ca="1"/>
        <v>50914</v>
      </c>
      <c r="M5675" s="92">
        <f t="shared" ca="1" si="187"/>
        <v>6.25</v>
      </c>
      <c r="N5675" s="143">
        <f ca="1">(PRODUCT($O$5:$O5675)-1)*36000/_xlfn.DAYS(L5675, $C$2)</f>
        <v>11.82209071883913</v>
      </c>
      <c r="O5675" s="149">
        <f t="shared" ca="1" si="188"/>
        <v>1.000173611111111</v>
      </c>
    </row>
    <row r="5676" spans="12:15" x14ac:dyDescent="0.25">
      <c r="L5676" s="147">
        <f ca="1"/>
        <v>50915</v>
      </c>
      <c r="M5676" s="92">
        <f t="shared" ca="1" si="187"/>
        <v>6.25</v>
      </c>
      <c r="N5676" s="143">
        <f ca="1">(PRODUCT($O$5:$O5676)-1)*36000/_xlfn.DAYS(L5676, $C$2)</f>
        <v>11.823160417759935</v>
      </c>
      <c r="O5676" s="149">
        <f t="shared" ca="1" si="188"/>
        <v>1.000173611111111</v>
      </c>
    </row>
    <row r="5677" spans="12:15" x14ac:dyDescent="0.25">
      <c r="L5677" s="147">
        <f ca="1"/>
        <v>50916</v>
      </c>
      <c r="M5677" s="92">
        <f t="shared" ca="1" si="187"/>
        <v>6.25</v>
      </c>
      <c r="N5677" s="143">
        <f ca="1">(PRODUCT($O$5:$O5677)-1)*36000/_xlfn.DAYS(L5677, $C$2)</f>
        <v>11.824230287032366</v>
      </c>
      <c r="O5677" s="149">
        <f t="shared" ca="1" si="188"/>
        <v>1.000173611111111</v>
      </c>
    </row>
    <row r="5678" spans="12:15" x14ac:dyDescent="0.25">
      <c r="L5678" s="147">
        <f ca="1"/>
        <v>50917</v>
      </c>
      <c r="M5678" s="92">
        <f t="shared" ca="1" si="187"/>
        <v>6.25</v>
      </c>
      <c r="N5678" s="143">
        <f ca="1">(PRODUCT($O$5:$O5678)-1)*36000/_xlfn.DAYS(L5678, $C$2)</f>
        <v>11.825300326661381</v>
      </c>
      <c r="O5678" s="149">
        <f t="shared" ca="1" si="188"/>
        <v>1.000173611111111</v>
      </c>
    </row>
    <row r="5679" spans="12:15" x14ac:dyDescent="0.25">
      <c r="L5679" s="147">
        <f ca="1"/>
        <v>50918</v>
      </c>
      <c r="M5679" s="92">
        <f t="shared" ca="1" si="187"/>
        <v>6.25</v>
      </c>
      <c r="N5679" s="143">
        <f ca="1">(PRODUCT($O$5:$O5679)-1)*36000/_xlfn.DAYS(L5679, $C$2)</f>
        <v>11.826370536651956</v>
      </c>
      <c r="O5679" s="149">
        <f t="shared" ca="1" si="188"/>
        <v>1.000173611111111</v>
      </c>
    </row>
    <row r="5680" spans="12:15" x14ac:dyDescent="0.25">
      <c r="L5680" s="147">
        <f ca="1"/>
        <v>50919</v>
      </c>
      <c r="M5680" s="92">
        <f t="shared" ca="1" si="187"/>
        <v>6.25</v>
      </c>
      <c r="N5680" s="143">
        <f ca="1">(PRODUCT($O$5:$O5680)-1)*36000/_xlfn.DAYS(L5680, $C$2)</f>
        <v>11.827440917009072</v>
      </c>
      <c r="O5680" s="149">
        <f t="shared" ca="1" si="188"/>
        <v>1.000173611111111</v>
      </c>
    </row>
    <row r="5681" spans="12:15" x14ac:dyDescent="0.25">
      <c r="L5681" s="147">
        <f ca="1"/>
        <v>50920</v>
      </c>
      <c r="M5681" s="92">
        <f t="shared" ca="1" si="187"/>
        <v>6.25</v>
      </c>
      <c r="N5681" s="143">
        <f ca="1">(PRODUCT($O$5:$O5681)-1)*36000/_xlfn.DAYS(L5681, $C$2)</f>
        <v>11.828511467737735</v>
      </c>
      <c r="O5681" s="149">
        <f t="shared" ca="1" si="188"/>
        <v>1.000173611111111</v>
      </c>
    </row>
    <row r="5682" spans="12:15" x14ac:dyDescent="0.25">
      <c r="L5682" s="147">
        <f ca="1"/>
        <v>50921</v>
      </c>
      <c r="M5682" s="92">
        <f t="shared" ca="1" si="187"/>
        <v>6.25</v>
      </c>
      <c r="N5682" s="143">
        <f ca="1">(PRODUCT($O$5:$O5682)-1)*36000/_xlfn.DAYS(L5682, $C$2)</f>
        <v>11.829582188842956</v>
      </c>
      <c r="O5682" s="149">
        <f t="shared" ca="1" si="188"/>
        <v>1.000173611111111</v>
      </c>
    </row>
    <row r="5683" spans="12:15" x14ac:dyDescent="0.25">
      <c r="L5683" s="147">
        <f ca="1"/>
        <v>50922</v>
      </c>
      <c r="M5683" s="92">
        <f t="shared" ca="1" si="187"/>
        <v>6.25</v>
      </c>
      <c r="N5683" s="143">
        <f ca="1">(PRODUCT($O$5:$O5683)-1)*36000/_xlfn.DAYS(L5683, $C$2)</f>
        <v>11.830653080329757</v>
      </c>
      <c r="O5683" s="149">
        <f t="shared" ca="1" si="188"/>
        <v>1.000173611111111</v>
      </c>
    </row>
    <row r="5684" spans="12:15" x14ac:dyDescent="0.25">
      <c r="L5684" s="147">
        <f ca="1"/>
        <v>50923</v>
      </c>
      <c r="M5684" s="92">
        <f t="shared" ca="1" si="187"/>
        <v>6.25</v>
      </c>
      <c r="N5684" s="143">
        <f ca="1">(PRODUCT($O$5:$O5684)-1)*36000/_xlfn.DAYS(L5684, $C$2)</f>
        <v>11.831724142203178</v>
      </c>
      <c r="O5684" s="149">
        <f t="shared" ca="1" si="188"/>
        <v>1.000173611111111</v>
      </c>
    </row>
    <row r="5685" spans="12:15" x14ac:dyDescent="0.25">
      <c r="L5685" s="147">
        <f ca="1"/>
        <v>50924</v>
      </c>
      <c r="M5685" s="92">
        <f t="shared" ca="1" si="187"/>
        <v>6.25</v>
      </c>
      <c r="N5685" s="143">
        <f ca="1">(PRODUCT($O$5:$O5685)-1)*36000/_xlfn.DAYS(L5685, $C$2)</f>
        <v>11.832795374468278</v>
      </c>
      <c r="O5685" s="149">
        <f t="shared" ca="1" si="188"/>
        <v>1.000173611111111</v>
      </c>
    </row>
    <row r="5686" spans="12:15" x14ac:dyDescent="0.25">
      <c r="L5686" s="147">
        <f ca="1"/>
        <v>50925</v>
      </c>
      <c r="M5686" s="92">
        <f t="shared" ca="1" si="187"/>
        <v>6.25</v>
      </c>
      <c r="N5686" s="143">
        <f ca="1">(PRODUCT($O$5:$O5686)-1)*36000/_xlfn.DAYS(L5686, $C$2)</f>
        <v>11.83386677713011</v>
      </c>
      <c r="O5686" s="149">
        <f t="shared" ca="1" si="188"/>
        <v>1.000173611111111</v>
      </c>
    </row>
    <row r="5687" spans="12:15" x14ac:dyDescent="0.25">
      <c r="L5687" s="147">
        <f ca="1"/>
        <v>50926</v>
      </c>
      <c r="M5687" s="92">
        <f t="shared" ca="1" si="187"/>
        <v>6.25</v>
      </c>
      <c r="N5687" s="143">
        <f ca="1">(PRODUCT($O$5:$O5687)-1)*36000/_xlfn.DAYS(L5687, $C$2)</f>
        <v>11.83493835019376</v>
      </c>
      <c r="O5687" s="149">
        <f t="shared" ca="1" si="188"/>
        <v>1.000173611111111</v>
      </c>
    </row>
    <row r="5688" spans="12:15" x14ac:dyDescent="0.25">
      <c r="L5688" s="147">
        <f ca="1"/>
        <v>50927</v>
      </c>
      <c r="M5688" s="92">
        <f t="shared" ca="1" si="187"/>
        <v>6.25</v>
      </c>
      <c r="N5688" s="143">
        <f ca="1">(PRODUCT($O$5:$O5688)-1)*36000/_xlfn.DAYS(L5688, $C$2)</f>
        <v>11.83601009366431</v>
      </c>
      <c r="O5688" s="149">
        <f t="shared" ca="1" si="188"/>
        <v>1.000173611111111</v>
      </c>
    </row>
    <row r="5689" spans="12:15" x14ac:dyDescent="0.25">
      <c r="L5689" s="147">
        <f ca="1"/>
        <v>50928</v>
      </c>
      <c r="M5689" s="92">
        <f t="shared" ca="1" si="187"/>
        <v>6.25</v>
      </c>
      <c r="N5689" s="143">
        <f ca="1">(PRODUCT($O$5:$O5689)-1)*36000/_xlfn.DAYS(L5689, $C$2)</f>
        <v>11.837082007546874</v>
      </c>
      <c r="O5689" s="149">
        <f t="shared" ca="1" si="188"/>
        <v>1.000173611111111</v>
      </c>
    </row>
    <row r="5690" spans="12:15" x14ac:dyDescent="0.25">
      <c r="L5690" s="147">
        <f ca="1"/>
        <v>50929</v>
      </c>
      <c r="M5690" s="92">
        <f t="shared" ca="1" si="187"/>
        <v>6.25</v>
      </c>
      <c r="N5690" s="143">
        <f ca="1">(PRODUCT($O$5:$O5690)-1)*36000/_xlfn.DAYS(L5690, $C$2)</f>
        <v>11.838154091846558</v>
      </c>
      <c r="O5690" s="149">
        <f t="shared" ca="1" si="188"/>
        <v>1.000173611111111</v>
      </c>
    </row>
    <row r="5691" spans="12:15" x14ac:dyDescent="0.25">
      <c r="L5691" s="147">
        <f ca="1"/>
        <v>50930</v>
      </c>
      <c r="M5691" s="92">
        <f t="shared" ca="1" si="187"/>
        <v>6.25</v>
      </c>
      <c r="N5691" s="143">
        <f ca="1">(PRODUCT($O$5:$O5691)-1)*36000/_xlfn.DAYS(L5691, $C$2)</f>
        <v>11.839226346568498</v>
      </c>
      <c r="O5691" s="149">
        <f t="shared" ca="1" si="188"/>
        <v>1.000173611111111</v>
      </c>
    </row>
    <row r="5692" spans="12:15" x14ac:dyDescent="0.25">
      <c r="L5692" s="147">
        <f ca="1"/>
        <v>50931</v>
      </c>
      <c r="M5692" s="92">
        <f t="shared" ca="1" si="187"/>
        <v>6.25</v>
      </c>
      <c r="N5692" s="143">
        <f ca="1">(PRODUCT($O$5:$O5692)-1)*36000/_xlfn.DAYS(L5692, $C$2)</f>
        <v>11.840298771717833</v>
      </c>
      <c r="O5692" s="149">
        <f t="shared" ca="1" si="188"/>
        <v>1.000173611111111</v>
      </c>
    </row>
    <row r="5693" spans="12:15" x14ac:dyDescent="0.25">
      <c r="L5693" s="147">
        <f ca="1"/>
        <v>50932</v>
      </c>
      <c r="M5693" s="92">
        <f t="shared" ca="1" si="187"/>
        <v>6.25</v>
      </c>
      <c r="N5693" s="143">
        <f ca="1">(PRODUCT($O$5:$O5693)-1)*36000/_xlfn.DAYS(L5693, $C$2)</f>
        <v>11.841371367299718</v>
      </c>
      <c r="O5693" s="149">
        <f t="shared" ca="1" si="188"/>
        <v>1.000173611111111</v>
      </c>
    </row>
    <row r="5694" spans="12:15" x14ac:dyDescent="0.25">
      <c r="L5694" s="147">
        <f ca="1"/>
        <v>50933</v>
      </c>
      <c r="M5694" s="92">
        <f t="shared" ca="1" si="187"/>
        <v>6.25</v>
      </c>
      <c r="N5694" s="143">
        <f ca="1">(PRODUCT($O$5:$O5694)-1)*36000/_xlfn.DAYS(L5694, $C$2)</f>
        <v>11.842444133319322</v>
      </c>
      <c r="O5694" s="149">
        <f t="shared" ca="1" si="188"/>
        <v>1.000173611111111</v>
      </c>
    </row>
    <row r="5695" spans="12:15" x14ac:dyDescent="0.25">
      <c r="L5695" s="147">
        <f ca="1"/>
        <v>50934</v>
      </c>
      <c r="M5695" s="92">
        <f t="shared" ca="1" si="187"/>
        <v>6.25</v>
      </c>
      <c r="N5695" s="143">
        <f ca="1">(PRODUCT($O$5:$O5695)-1)*36000/_xlfn.DAYS(L5695, $C$2)</f>
        <v>11.843517069781822</v>
      </c>
      <c r="O5695" s="149">
        <f t="shared" ca="1" si="188"/>
        <v>1.000173611111111</v>
      </c>
    </row>
    <row r="5696" spans="12:15" x14ac:dyDescent="0.25">
      <c r="L5696" s="147">
        <f ca="1"/>
        <v>50935</v>
      </c>
      <c r="M5696" s="92">
        <f t="shared" ca="1" si="187"/>
        <v>6.25</v>
      </c>
      <c r="N5696" s="143">
        <f ca="1">(PRODUCT($O$5:$O5696)-1)*36000/_xlfn.DAYS(L5696, $C$2)</f>
        <v>11.844590176692417</v>
      </c>
      <c r="O5696" s="149">
        <f t="shared" ca="1" si="188"/>
        <v>1.000173611111111</v>
      </c>
    </row>
    <row r="5697" spans="12:15" x14ac:dyDescent="0.25">
      <c r="L5697" s="147">
        <f ca="1"/>
        <v>50936</v>
      </c>
      <c r="M5697" s="92">
        <f t="shared" ca="1" si="187"/>
        <v>6.25</v>
      </c>
      <c r="N5697" s="143">
        <f ca="1">(PRODUCT($O$5:$O5697)-1)*36000/_xlfn.DAYS(L5697, $C$2)</f>
        <v>11.845663454056307</v>
      </c>
      <c r="O5697" s="149">
        <f t="shared" ca="1" si="188"/>
        <v>1.000173611111111</v>
      </c>
    </row>
    <row r="5698" spans="12:15" x14ac:dyDescent="0.25">
      <c r="L5698" s="147">
        <f ca="1"/>
        <v>50937</v>
      </c>
      <c r="M5698" s="92">
        <f t="shared" ca="1" si="187"/>
        <v>6.25</v>
      </c>
      <c r="N5698" s="143">
        <f ca="1">(PRODUCT($O$5:$O5698)-1)*36000/_xlfn.DAYS(L5698, $C$2)</f>
        <v>11.846736901878714</v>
      </c>
      <c r="O5698" s="149">
        <f t="shared" ca="1" si="188"/>
        <v>1.000173611111111</v>
      </c>
    </row>
    <row r="5699" spans="12:15" x14ac:dyDescent="0.25">
      <c r="L5699" s="147">
        <f ca="1"/>
        <v>50938</v>
      </c>
      <c r="M5699" s="92">
        <f t="shared" ca="1" si="187"/>
        <v>6.25</v>
      </c>
      <c r="N5699" s="143">
        <f ca="1">(PRODUCT($O$5:$O5699)-1)*36000/_xlfn.DAYS(L5699, $C$2)</f>
        <v>11.847810520164872</v>
      </c>
      <c r="O5699" s="149">
        <f t="shared" ca="1" si="188"/>
        <v>1.000173611111111</v>
      </c>
    </row>
    <row r="5700" spans="12:15" x14ac:dyDescent="0.25">
      <c r="L5700" s="147">
        <f ca="1"/>
        <v>50939</v>
      </c>
      <c r="M5700" s="92">
        <f t="shared" ca="1" si="187"/>
        <v>6.25</v>
      </c>
      <c r="N5700" s="143">
        <f ca="1">(PRODUCT($O$5:$O5700)-1)*36000/_xlfn.DAYS(L5700, $C$2)</f>
        <v>11.848884308920018</v>
      </c>
      <c r="O5700" s="149">
        <f t="shared" ca="1" si="188"/>
        <v>1.000173611111111</v>
      </c>
    </row>
    <row r="5701" spans="12:15" x14ac:dyDescent="0.25">
      <c r="L5701" s="147">
        <f ca="1"/>
        <v>50940</v>
      </c>
      <c r="M5701" s="92">
        <f t="shared" ref="M5701:M5764" ca="1" si="189">IFERROR(INDEX($E$27:$H$47, MATCH(L5701, $F$27:$F$47, 0), 4), IF(ISNUMBER(M5700), M5700, $C$5))</f>
        <v>6.25</v>
      </c>
      <c r="N5701" s="143">
        <f ca="1">(PRODUCT($O$5:$O5701)-1)*36000/_xlfn.DAYS(L5701, $C$2)</f>
        <v>11.84995826814942</v>
      </c>
      <c r="O5701" s="149">
        <f t="shared" ca="1" si="188"/>
        <v>1.000173611111111</v>
      </c>
    </row>
    <row r="5702" spans="12:15" x14ac:dyDescent="0.25">
      <c r="L5702" s="147">
        <f ca="1"/>
        <v>50941</v>
      </c>
      <c r="M5702" s="92">
        <f t="shared" ca="1" si="189"/>
        <v>6.25</v>
      </c>
      <c r="N5702" s="143">
        <f ca="1">(PRODUCT($O$5:$O5702)-1)*36000/_xlfn.DAYS(L5702, $C$2)</f>
        <v>11.85103239785834</v>
      </c>
      <c r="O5702" s="149">
        <f t="shared" ref="O5702:O5765" ca="1" si="190">1+M5702*IFERROR(_xlfn.DAYS(L5702, L5701), _xlfn.DAYS(L5702, $C$2))/36000</f>
        <v>1.000173611111111</v>
      </c>
    </row>
    <row r="5703" spans="12:15" x14ac:dyDescent="0.25">
      <c r="L5703" s="147">
        <f ca="1"/>
        <v>50942</v>
      </c>
      <c r="M5703" s="92">
        <f t="shared" ca="1" si="189"/>
        <v>6.25</v>
      </c>
      <c r="N5703" s="143">
        <f ca="1">(PRODUCT($O$5:$O5703)-1)*36000/_xlfn.DAYS(L5703, $C$2)</f>
        <v>11.852106698052065</v>
      </c>
      <c r="O5703" s="149">
        <f t="shared" ca="1" si="190"/>
        <v>1.000173611111111</v>
      </c>
    </row>
    <row r="5704" spans="12:15" x14ac:dyDescent="0.25">
      <c r="L5704" s="147">
        <f ca="1"/>
        <v>50943</v>
      </c>
      <c r="M5704" s="92">
        <f t="shared" ca="1" si="189"/>
        <v>6.25</v>
      </c>
      <c r="N5704" s="143">
        <f ca="1">(PRODUCT($O$5:$O5704)-1)*36000/_xlfn.DAYS(L5704, $C$2)</f>
        <v>11.853181168735892</v>
      </c>
      <c r="O5704" s="149">
        <f t="shared" ca="1" si="190"/>
        <v>1.000173611111111</v>
      </c>
    </row>
    <row r="5705" spans="12:15" x14ac:dyDescent="0.25">
      <c r="L5705" s="147">
        <f ca="1"/>
        <v>50944</v>
      </c>
      <c r="M5705" s="92">
        <f t="shared" ca="1" si="189"/>
        <v>6.25</v>
      </c>
      <c r="N5705" s="143">
        <f ca="1">(PRODUCT($O$5:$O5705)-1)*36000/_xlfn.DAYS(L5705, $C$2)</f>
        <v>11.854255809915127</v>
      </c>
      <c r="O5705" s="149">
        <f t="shared" ca="1" si="190"/>
        <v>1.000173611111111</v>
      </c>
    </row>
    <row r="5706" spans="12:15" x14ac:dyDescent="0.25">
      <c r="L5706" s="147">
        <f ca="1"/>
        <v>50945</v>
      </c>
      <c r="M5706" s="92">
        <f t="shared" ca="1" si="189"/>
        <v>6.25</v>
      </c>
      <c r="N5706" s="143">
        <f ca="1">(PRODUCT($O$5:$O5706)-1)*36000/_xlfn.DAYS(L5706, $C$2)</f>
        <v>11.855330621595092</v>
      </c>
      <c r="O5706" s="149">
        <f t="shared" ca="1" si="190"/>
        <v>1.000173611111111</v>
      </c>
    </row>
    <row r="5707" spans="12:15" x14ac:dyDescent="0.25">
      <c r="L5707" s="147">
        <f ca="1"/>
        <v>50946</v>
      </c>
      <c r="M5707" s="92">
        <f t="shared" ca="1" si="189"/>
        <v>6.25</v>
      </c>
      <c r="N5707" s="143">
        <f ca="1">(PRODUCT($O$5:$O5707)-1)*36000/_xlfn.DAYS(L5707, $C$2)</f>
        <v>11.85640560378112</v>
      </c>
      <c r="O5707" s="149">
        <f t="shared" ca="1" si="190"/>
        <v>1.000173611111111</v>
      </c>
    </row>
    <row r="5708" spans="12:15" x14ac:dyDescent="0.25">
      <c r="L5708" s="147">
        <f ca="1"/>
        <v>50947</v>
      </c>
      <c r="M5708" s="92">
        <f t="shared" ca="1" si="189"/>
        <v>6.25</v>
      </c>
      <c r="N5708" s="143">
        <f ca="1">(PRODUCT($O$5:$O5708)-1)*36000/_xlfn.DAYS(L5708, $C$2)</f>
        <v>11.857480756478562</v>
      </c>
      <c r="O5708" s="149">
        <f t="shared" ca="1" si="190"/>
        <v>1.000173611111111</v>
      </c>
    </row>
    <row r="5709" spans="12:15" x14ac:dyDescent="0.25">
      <c r="L5709" s="147">
        <f ca="1"/>
        <v>50948</v>
      </c>
      <c r="M5709" s="92">
        <f t="shared" ca="1" si="189"/>
        <v>6.25</v>
      </c>
      <c r="N5709" s="143">
        <f ca="1">(PRODUCT($O$5:$O5709)-1)*36000/_xlfn.DAYS(L5709, $C$2)</f>
        <v>11.858556079692773</v>
      </c>
      <c r="O5709" s="149">
        <f t="shared" ca="1" si="190"/>
        <v>1.000173611111111</v>
      </c>
    </row>
    <row r="5710" spans="12:15" x14ac:dyDescent="0.25">
      <c r="L5710" s="147">
        <f ca="1"/>
        <v>50949</v>
      </c>
      <c r="M5710" s="92">
        <f t="shared" ca="1" si="189"/>
        <v>6.25</v>
      </c>
      <c r="N5710" s="143">
        <f ca="1">(PRODUCT($O$5:$O5710)-1)*36000/_xlfn.DAYS(L5710, $C$2)</f>
        <v>11.859631573429132</v>
      </c>
      <c r="O5710" s="149">
        <f t="shared" ca="1" si="190"/>
        <v>1.000173611111111</v>
      </c>
    </row>
    <row r="5711" spans="12:15" x14ac:dyDescent="0.25">
      <c r="L5711" s="147">
        <f ca="1"/>
        <v>50950</v>
      </c>
      <c r="M5711" s="92">
        <f t="shared" ca="1" si="189"/>
        <v>6.25</v>
      </c>
      <c r="N5711" s="143">
        <f ca="1">(PRODUCT($O$5:$O5711)-1)*36000/_xlfn.DAYS(L5711, $C$2)</f>
        <v>11.860707237693017</v>
      </c>
      <c r="O5711" s="149">
        <f t="shared" ca="1" si="190"/>
        <v>1.000173611111111</v>
      </c>
    </row>
    <row r="5712" spans="12:15" x14ac:dyDescent="0.25">
      <c r="L5712" s="147">
        <f ca="1"/>
        <v>50951</v>
      </c>
      <c r="M5712" s="92">
        <f t="shared" ca="1" si="189"/>
        <v>6.25</v>
      </c>
      <c r="N5712" s="143">
        <f ca="1">(PRODUCT($O$5:$O5712)-1)*36000/_xlfn.DAYS(L5712, $C$2)</f>
        <v>11.861783072489828</v>
      </c>
      <c r="O5712" s="149">
        <f t="shared" ca="1" si="190"/>
        <v>1.000173611111111</v>
      </c>
    </row>
    <row r="5713" spans="12:15" x14ac:dyDescent="0.25">
      <c r="L5713" s="147">
        <f ca="1"/>
        <v>50952</v>
      </c>
      <c r="M5713" s="92">
        <f t="shared" ca="1" si="189"/>
        <v>6.25</v>
      </c>
      <c r="N5713" s="143">
        <f ca="1">(PRODUCT($O$5:$O5713)-1)*36000/_xlfn.DAYS(L5713, $C$2)</f>
        <v>11.862859077824977</v>
      </c>
      <c r="O5713" s="149">
        <f t="shared" ca="1" si="190"/>
        <v>1.000173611111111</v>
      </c>
    </row>
    <row r="5714" spans="12:15" x14ac:dyDescent="0.25">
      <c r="L5714" s="147">
        <f ca="1"/>
        <v>50953</v>
      </c>
      <c r="M5714" s="92">
        <f t="shared" ca="1" si="189"/>
        <v>6.25</v>
      </c>
      <c r="N5714" s="143">
        <f ca="1">(PRODUCT($O$5:$O5714)-1)*36000/_xlfn.DAYS(L5714, $C$2)</f>
        <v>11.863935253703884</v>
      </c>
      <c r="O5714" s="149">
        <f t="shared" ca="1" si="190"/>
        <v>1.000173611111111</v>
      </c>
    </row>
    <row r="5715" spans="12:15" x14ac:dyDescent="0.25">
      <c r="L5715" s="147">
        <f ca="1"/>
        <v>50954</v>
      </c>
      <c r="M5715" s="92">
        <f t="shared" ca="1" si="189"/>
        <v>6.25</v>
      </c>
      <c r="N5715" s="143">
        <f ca="1">(PRODUCT($O$5:$O5715)-1)*36000/_xlfn.DAYS(L5715, $C$2)</f>
        <v>11.865011600131991</v>
      </c>
      <c r="O5715" s="149">
        <f t="shared" ca="1" si="190"/>
        <v>1.000173611111111</v>
      </c>
    </row>
    <row r="5716" spans="12:15" x14ac:dyDescent="0.25">
      <c r="L5716" s="147">
        <f ca="1"/>
        <v>50955</v>
      </c>
      <c r="M5716" s="92">
        <f t="shared" ca="1" si="189"/>
        <v>6.25</v>
      </c>
      <c r="N5716" s="143">
        <f ca="1">(PRODUCT($O$5:$O5716)-1)*36000/_xlfn.DAYS(L5716, $C$2)</f>
        <v>11.866088117114744</v>
      </c>
      <c r="O5716" s="149">
        <f t="shared" ca="1" si="190"/>
        <v>1.000173611111111</v>
      </c>
    </row>
    <row r="5717" spans="12:15" x14ac:dyDescent="0.25">
      <c r="L5717" s="147">
        <f ca="1"/>
        <v>50956</v>
      </c>
      <c r="M5717" s="92">
        <f t="shared" ca="1" si="189"/>
        <v>6.25</v>
      </c>
      <c r="N5717" s="143">
        <f ca="1">(PRODUCT($O$5:$O5717)-1)*36000/_xlfn.DAYS(L5717, $C$2)</f>
        <v>11.867164804657605</v>
      </c>
      <c r="O5717" s="149">
        <f t="shared" ca="1" si="190"/>
        <v>1.000173611111111</v>
      </c>
    </row>
    <row r="5718" spans="12:15" x14ac:dyDescent="0.25">
      <c r="L5718" s="147">
        <f ca="1"/>
        <v>50957</v>
      </c>
      <c r="M5718" s="92">
        <f t="shared" ca="1" si="189"/>
        <v>6.25</v>
      </c>
      <c r="N5718" s="143">
        <f ca="1">(PRODUCT($O$5:$O5718)-1)*36000/_xlfn.DAYS(L5718, $C$2)</f>
        <v>11.868241662766044</v>
      </c>
      <c r="O5718" s="149">
        <f t="shared" ca="1" si="190"/>
        <v>1.000173611111111</v>
      </c>
    </row>
    <row r="5719" spans="12:15" x14ac:dyDescent="0.25">
      <c r="L5719" s="147">
        <f ca="1"/>
        <v>50958</v>
      </c>
      <c r="M5719" s="92">
        <f t="shared" ca="1" si="189"/>
        <v>6.25</v>
      </c>
      <c r="N5719" s="143">
        <f ca="1">(PRODUCT($O$5:$O5719)-1)*36000/_xlfn.DAYS(L5719, $C$2)</f>
        <v>11.869318691445551</v>
      </c>
      <c r="O5719" s="149">
        <f t="shared" ca="1" si="190"/>
        <v>1.000173611111111</v>
      </c>
    </row>
    <row r="5720" spans="12:15" x14ac:dyDescent="0.25">
      <c r="L5720" s="147">
        <f ca="1"/>
        <v>50959</v>
      </c>
      <c r="M5720" s="92">
        <f t="shared" ca="1" si="189"/>
        <v>6.25</v>
      </c>
      <c r="N5720" s="143">
        <f ca="1">(PRODUCT($O$5:$O5720)-1)*36000/_xlfn.DAYS(L5720, $C$2)</f>
        <v>11.870395890701623</v>
      </c>
      <c r="O5720" s="149">
        <f t="shared" ca="1" si="190"/>
        <v>1.000173611111111</v>
      </c>
    </row>
    <row r="5721" spans="12:15" x14ac:dyDescent="0.25">
      <c r="L5721" s="147">
        <f ca="1"/>
        <v>50960</v>
      </c>
      <c r="M5721" s="92">
        <f t="shared" ca="1" si="189"/>
        <v>6.25</v>
      </c>
      <c r="N5721" s="143">
        <f ca="1">(PRODUCT($O$5:$O5721)-1)*36000/_xlfn.DAYS(L5721, $C$2)</f>
        <v>11.871473260539775</v>
      </c>
      <c r="O5721" s="149">
        <f t="shared" ca="1" si="190"/>
        <v>1.000173611111111</v>
      </c>
    </row>
    <row r="5722" spans="12:15" x14ac:dyDescent="0.25">
      <c r="L5722" s="147">
        <f ca="1"/>
        <v>50961</v>
      </c>
      <c r="M5722" s="92">
        <f t="shared" ca="1" si="189"/>
        <v>6.25</v>
      </c>
      <c r="N5722" s="143">
        <f ca="1">(PRODUCT($O$5:$O5722)-1)*36000/_xlfn.DAYS(L5722, $C$2)</f>
        <v>11.872550800965529</v>
      </c>
      <c r="O5722" s="149">
        <f t="shared" ca="1" si="190"/>
        <v>1.000173611111111</v>
      </c>
    </row>
    <row r="5723" spans="12:15" x14ac:dyDescent="0.25">
      <c r="L5723" s="147">
        <f ca="1"/>
        <v>50962</v>
      </c>
      <c r="M5723" s="92">
        <f t="shared" ca="1" si="189"/>
        <v>6.25</v>
      </c>
      <c r="N5723" s="143">
        <f ca="1">(PRODUCT($O$5:$O5723)-1)*36000/_xlfn.DAYS(L5723, $C$2)</f>
        <v>11.873628511984425</v>
      </c>
      <c r="O5723" s="149">
        <f t="shared" ca="1" si="190"/>
        <v>1.000173611111111</v>
      </c>
    </row>
    <row r="5724" spans="12:15" x14ac:dyDescent="0.25">
      <c r="L5724" s="147">
        <f ca="1"/>
        <v>50963</v>
      </c>
      <c r="M5724" s="92">
        <f t="shared" ca="1" si="189"/>
        <v>6.25</v>
      </c>
      <c r="N5724" s="143">
        <f ca="1">(PRODUCT($O$5:$O5724)-1)*36000/_xlfn.DAYS(L5724, $C$2)</f>
        <v>11.874706393602013</v>
      </c>
      <c r="O5724" s="149">
        <f t="shared" ca="1" si="190"/>
        <v>1.000173611111111</v>
      </c>
    </row>
    <row r="5725" spans="12:15" x14ac:dyDescent="0.25">
      <c r="L5725" s="147">
        <f ca="1"/>
        <v>50964</v>
      </c>
      <c r="M5725" s="92">
        <f t="shared" ca="1" si="189"/>
        <v>6.25</v>
      </c>
      <c r="N5725" s="143">
        <f ca="1">(PRODUCT($O$5:$O5725)-1)*36000/_xlfn.DAYS(L5725, $C$2)</f>
        <v>11.875784445823854</v>
      </c>
      <c r="O5725" s="149">
        <f t="shared" ca="1" si="190"/>
        <v>1.000173611111111</v>
      </c>
    </row>
    <row r="5726" spans="12:15" x14ac:dyDescent="0.25">
      <c r="L5726" s="147">
        <f ca="1"/>
        <v>50965</v>
      </c>
      <c r="M5726" s="92">
        <f t="shared" ca="1" si="189"/>
        <v>6.25</v>
      </c>
      <c r="N5726" s="143">
        <f ca="1">(PRODUCT($O$5:$O5726)-1)*36000/_xlfn.DAYS(L5726, $C$2)</f>
        <v>11.876862668655523</v>
      </c>
      <c r="O5726" s="149">
        <f t="shared" ca="1" si="190"/>
        <v>1.000173611111111</v>
      </c>
    </row>
    <row r="5727" spans="12:15" x14ac:dyDescent="0.25">
      <c r="L5727" s="147">
        <f ca="1"/>
        <v>50966</v>
      </c>
      <c r="M5727" s="92">
        <f t="shared" ca="1" si="189"/>
        <v>6.25</v>
      </c>
      <c r="N5727" s="143">
        <f ca="1">(PRODUCT($O$5:$O5727)-1)*36000/_xlfn.DAYS(L5727, $C$2)</f>
        <v>11.877941062102607</v>
      </c>
      <c r="O5727" s="149">
        <f t="shared" ca="1" si="190"/>
        <v>1.000173611111111</v>
      </c>
    </row>
    <row r="5728" spans="12:15" x14ac:dyDescent="0.25">
      <c r="L5728" s="147">
        <f ca="1"/>
        <v>50967</v>
      </c>
      <c r="M5728" s="92">
        <f t="shared" ca="1" si="189"/>
        <v>6.25</v>
      </c>
      <c r="N5728" s="143">
        <f ca="1">(PRODUCT($O$5:$O5728)-1)*36000/_xlfn.DAYS(L5728, $C$2)</f>
        <v>11.87901962617071</v>
      </c>
      <c r="O5728" s="149">
        <f t="shared" ca="1" si="190"/>
        <v>1.000173611111111</v>
      </c>
    </row>
    <row r="5729" spans="12:15" x14ac:dyDescent="0.25">
      <c r="L5729" s="147">
        <f ca="1"/>
        <v>50968</v>
      </c>
      <c r="M5729" s="92">
        <f t="shared" ca="1" si="189"/>
        <v>6.25</v>
      </c>
      <c r="N5729" s="143">
        <f ca="1">(PRODUCT($O$5:$O5729)-1)*36000/_xlfn.DAYS(L5729, $C$2)</f>
        <v>11.880098360865436</v>
      </c>
      <c r="O5729" s="149">
        <f t="shared" ca="1" si="190"/>
        <v>1.000173611111111</v>
      </c>
    </row>
    <row r="5730" spans="12:15" x14ac:dyDescent="0.25">
      <c r="L5730" s="147">
        <f ca="1"/>
        <v>50969</v>
      </c>
      <c r="M5730" s="92">
        <f t="shared" ca="1" si="189"/>
        <v>6.25</v>
      </c>
      <c r="N5730" s="143">
        <f ca="1">(PRODUCT($O$5:$O5730)-1)*36000/_xlfn.DAYS(L5730, $C$2)</f>
        <v>11.881177266192422</v>
      </c>
      <c r="O5730" s="149">
        <f t="shared" ca="1" si="190"/>
        <v>1.000173611111111</v>
      </c>
    </row>
    <row r="5731" spans="12:15" x14ac:dyDescent="0.25">
      <c r="L5731" s="147">
        <f ca="1"/>
        <v>50970</v>
      </c>
      <c r="M5731" s="92">
        <f t="shared" ca="1" si="189"/>
        <v>6.25</v>
      </c>
      <c r="N5731" s="143">
        <f ca="1">(PRODUCT($O$5:$O5731)-1)*36000/_xlfn.DAYS(L5731, $C$2)</f>
        <v>11.8822563421573</v>
      </c>
      <c r="O5731" s="149">
        <f t="shared" ca="1" si="190"/>
        <v>1.000173611111111</v>
      </c>
    </row>
    <row r="5732" spans="12:15" x14ac:dyDescent="0.25">
      <c r="L5732" s="147">
        <f ca="1"/>
        <v>50971</v>
      </c>
      <c r="M5732" s="92">
        <f t="shared" ca="1" si="189"/>
        <v>6.25</v>
      </c>
      <c r="N5732" s="143">
        <f ca="1">(PRODUCT($O$5:$O5732)-1)*36000/_xlfn.DAYS(L5732, $C$2)</f>
        <v>11.883335588765718</v>
      </c>
      <c r="O5732" s="149">
        <f t="shared" ca="1" si="190"/>
        <v>1.000173611111111</v>
      </c>
    </row>
    <row r="5733" spans="12:15" x14ac:dyDescent="0.25">
      <c r="L5733" s="147">
        <f ca="1"/>
        <v>50972</v>
      </c>
      <c r="M5733" s="92">
        <f t="shared" ca="1" si="189"/>
        <v>6.25</v>
      </c>
      <c r="N5733" s="143">
        <f ca="1">(PRODUCT($O$5:$O5733)-1)*36000/_xlfn.DAYS(L5733, $C$2)</f>
        <v>11.884415006023344</v>
      </c>
      <c r="O5733" s="149">
        <f t="shared" ca="1" si="190"/>
        <v>1.000173611111111</v>
      </c>
    </row>
    <row r="5734" spans="12:15" x14ac:dyDescent="0.25">
      <c r="L5734" s="147">
        <f ca="1"/>
        <v>50973</v>
      </c>
      <c r="M5734" s="92">
        <f t="shared" ca="1" si="189"/>
        <v>6.25</v>
      </c>
      <c r="N5734" s="143">
        <f ca="1">(PRODUCT($O$5:$O5734)-1)*36000/_xlfn.DAYS(L5734, $C$2)</f>
        <v>11.885494593935853</v>
      </c>
      <c r="O5734" s="149">
        <f t="shared" ca="1" si="190"/>
        <v>1.000173611111111</v>
      </c>
    </row>
    <row r="5735" spans="12:15" x14ac:dyDescent="0.25">
      <c r="L5735" s="147">
        <f ca="1"/>
        <v>50974</v>
      </c>
      <c r="M5735" s="92">
        <f t="shared" ca="1" si="189"/>
        <v>6.25</v>
      </c>
      <c r="N5735" s="143">
        <f ca="1">(PRODUCT($O$5:$O5735)-1)*36000/_xlfn.DAYS(L5735, $C$2)</f>
        <v>11.88657435250893</v>
      </c>
      <c r="O5735" s="149">
        <f t="shared" ca="1" si="190"/>
        <v>1.000173611111111</v>
      </c>
    </row>
    <row r="5736" spans="12:15" x14ac:dyDescent="0.25">
      <c r="L5736" s="147">
        <f ca="1"/>
        <v>50975</v>
      </c>
      <c r="M5736" s="92">
        <f t="shared" ca="1" si="189"/>
        <v>6.25</v>
      </c>
      <c r="N5736" s="143">
        <f ca="1">(PRODUCT($O$5:$O5736)-1)*36000/_xlfn.DAYS(L5736, $C$2)</f>
        <v>11.887654281748281</v>
      </c>
      <c r="O5736" s="149">
        <f t="shared" ca="1" si="190"/>
        <v>1.000173611111111</v>
      </c>
    </row>
    <row r="5737" spans="12:15" x14ac:dyDescent="0.25">
      <c r="L5737" s="147">
        <f ca="1"/>
        <v>50976</v>
      </c>
      <c r="M5737" s="92">
        <f t="shared" ca="1" si="189"/>
        <v>6.25</v>
      </c>
      <c r="N5737" s="143">
        <f ca="1">(PRODUCT($O$5:$O5737)-1)*36000/_xlfn.DAYS(L5737, $C$2)</f>
        <v>11.888734381659614</v>
      </c>
      <c r="O5737" s="149">
        <f t="shared" ca="1" si="190"/>
        <v>1.000173611111111</v>
      </c>
    </row>
    <row r="5738" spans="12:15" x14ac:dyDescent="0.25">
      <c r="L5738" s="147">
        <f ca="1"/>
        <v>50977</v>
      </c>
      <c r="M5738" s="92">
        <f t="shared" ca="1" si="189"/>
        <v>6.25</v>
      </c>
      <c r="N5738" s="143">
        <f ca="1">(PRODUCT($O$5:$O5738)-1)*36000/_xlfn.DAYS(L5738, $C$2)</f>
        <v>11.889814652248658</v>
      </c>
      <c r="O5738" s="149">
        <f t="shared" ca="1" si="190"/>
        <v>1.000173611111111</v>
      </c>
    </row>
    <row r="5739" spans="12:15" x14ac:dyDescent="0.25">
      <c r="L5739" s="147">
        <f ca="1"/>
        <v>50978</v>
      </c>
      <c r="M5739" s="92">
        <f t="shared" ca="1" si="189"/>
        <v>6.25</v>
      </c>
      <c r="N5739" s="143">
        <f ca="1">(PRODUCT($O$5:$O5739)-1)*36000/_xlfn.DAYS(L5739, $C$2)</f>
        <v>11.89089509352115</v>
      </c>
      <c r="O5739" s="149">
        <f t="shared" ca="1" si="190"/>
        <v>1.000173611111111</v>
      </c>
    </row>
    <row r="5740" spans="12:15" x14ac:dyDescent="0.25">
      <c r="L5740" s="147">
        <f ca="1"/>
        <v>50979</v>
      </c>
      <c r="M5740" s="92">
        <f t="shared" ca="1" si="189"/>
        <v>6.25</v>
      </c>
      <c r="N5740" s="143">
        <f ca="1">(PRODUCT($O$5:$O5740)-1)*36000/_xlfn.DAYS(L5740, $C$2)</f>
        <v>11.891975705482842</v>
      </c>
      <c r="O5740" s="149">
        <f t="shared" ca="1" si="190"/>
        <v>1.000173611111111</v>
      </c>
    </row>
    <row r="5741" spans="12:15" x14ac:dyDescent="0.25">
      <c r="L5741" s="147">
        <f ca="1"/>
        <v>50980</v>
      </c>
      <c r="M5741" s="92">
        <f t="shared" ca="1" si="189"/>
        <v>6.25</v>
      </c>
      <c r="N5741" s="143">
        <f ca="1">(PRODUCT($O$5:$O5741)-1)*36000/_xlfn.DAYS(L5741, $C$2)</f>
        <v>11.893056488139495</v>
      </c>
      <c r="O5741" s="149">
        <f t="shared" ca="1" si="190"/>
        <v>1.000173611111111</v>
      </c>
    </row>
    <row r="5742" spans="12:15" x14ac:dyDescent="0.25">
      <c r="L5742" s="147">
        <f ca="1"/>
        <v>50981</v>
      </c>
      <c r="M5742" s="92">
        <f t="shared" ca="1" si="189"/>
        <v>6.25</v>
      </c>
      <c r="N5742" s="143">
        <f ca="1">(PRODUCT($O$5:$O5742)-1)*36000/_xlfn.DAYS(L5742, $C$2)</f>
        <v>11.894137441496886</v>
      </c>
      <c r="O5742" s="149">
        <f t="shared" ca="1" si="190"/>
        <v>1.000173611111111</v>
      </c>
    </row>
    <row r="5743" spans="12:15" x14ac:dyDescent="0.25">
      <c r="L5743" s="147">
        <f ca="1"/>
        <v>50982</v>
      </c>
      <c r="M5743" s="92">
        <f t="shared" ca="1" si="189"/>
        <v>6.25</v>
      </c>
      <c r="N5743" s="143">
        <f ca="1">(PRODUCT($O$5:$O5743)-1)*36000/_xlfn.DAYS(L5743, $C$2)</f>
        <v>11.895218565560803</v>
      </c>
      <c r="O5743" s="149">
        <f t="shared" ca="1" si="190"/>
        <v>1.000173611111111</v>
      </c>
    </row>
    <row r="5744" spans="12:15" x14ac:dyDescent="0.25">
      <c r="L5744" s="147">
        <f ca="1"/>
        <v>50983</v>
      </c>
      <c r="M5744" s="92">
        <f t="shared" ca="1" si="189"/>
        <v>6.25</v>
      </c>
      <c r="N5744" s="143">
        <f ca="1">(PRODUCT($O$5:$O5744)-1)*36000/_xlfn.DAYS(L5744, $C$2)</f>
        <v>11.896299860337045</v>
      </c>
      <c r="O5744" s="149">
        <f t="shared" ca="1" si="190"/>
        <v>1.000173611111111</v>
      </c>
    </row>
    <row r="5745" spans="12:15" x14ac:dyDescent="0.25">
      <c r="L5745" s="147">
        <f ca="1"/>
        <v>50984</v>
      </c>
      <c r="M5745" s="92">
        <f t="shared" ca="1" si="189"/>
        <v>6.25</v>
      </c>
      <c r="N5745" s="143">
        <f ca="1">(PRODUCT($O$5:$O5745)-1)*36000/_xlfn.DAYS(L5745, $C$2)</f>
        <v>11.89738132583143</v>
      </c>
      <c r="O5745" s="149">
        <f t="shared" ca="1" si="190"/>
        <v>1.000173611111111</v>
      </c>
    </row>
    <row r="5746" spans="12:15" x14ac:dyDescent="0.25">
      <c r="L5746" s="147">
        <f ca="1"/>
        <v>50985</v>
      </c>
      <c r="M5746" s="92">
        <f t="shared" ca="1" si="189"/>
        <v>6.25</v>
      </c>
      <c r="N5746" s="143">
        <f ca="1">(PRODUCT($O$5:$O5746)-1)*36000/_xlfn.DAYS(L5746, $C$2)</f>
        <v>11.898462962049779</v>
      </c>
      <c r="O5746" s="149">
        <f t="shared" ca="1" si="190"/>
        <v>1.000173611111111</v>
      </c>
    </row>
    <row r="5747" spans="12:15" x14ac:dyDescent="0.25">
      <c r="L5747" s="147">
        <f ca="1"/>
        <v>50986</v>
      </c>
      <c r="M5747" s="92">
        <f t="shared" ca="1" si="189"/>
        <v>6.25</v>
      </c>
      <c r="N5747" s="143">
        <f ca="1">(PRODUCT($O$5:$O5747)-1)*36000/_xlfn.DAYS(L5747, $C$2)</f>
        <v>11.899544768997929</v>
      </c>
      <c r="O5747" s="149">
        <f t="shared" ca="1" si="190"/>
        <v>1.000173611111111</v>
      </c>
    </row>
    <row r="5748" spans="12:15" x14ac:dyDescent="0.25">
      <c r="L5748" s="147">
        <f ca="1"/>
        <v>50987</v>
      </c>
      <c r="M5748" s="92">
        <f t="shared" ca="1" si="189"/>
        <v>6.25</v>
      </c>
      <c r="N5748" s="143">
        <f ca="1">(PRODUCT($O$5:$O5748)-1)*36000/_xlfn.DAYS(L5748, $C$2)</f>
        <v>11.900626746681732</v>
      </c>
      <c r="O5748" s="149">
        <f t="shared" ca="1" si="190"/>
        <v>1.000173611111111</v>
      </c>
    </row>
    <row r="5749" spans="12:15" x14ac:dyDescent="0.25">
      <c r="L5749" s="147">
        <f ca="1"/>
        <v>50988</v>
      </c>
      <c r="M5749" s="92">
        <f t="shared" ca="1" si="189"/>
        <v>6.25</v>
      </c>
      <c r="N5749" s="143">
        <f ca="1">(PRODUCT($O$5:$O5749)-1)*36000/_xlfn.DAYS(L5749, $C$2)</f>
        <v>11.901708895107054</v>
      </c>
      <c r="O5749" s="149">
        <f t="shared" ca="1" si="190"/>
        <v>1.000173611111111</v>
      </c>
    </row>
    <row r="5750" spans="12:15" x14ac:dyDescent="0.25">
      <c r="L5750" s="147">
        <f ca="1"/>
        <v>50989</v>
      </c>
      <c r="M5750" s="92">
        <f t="shared" ca="1" si="189"/>
        <v>6.25</v>
      </c>
      <c r="N5750" s="143">
        <f ca="1">(PRODUCT($O$5:$O5750)-1)*36000/_xlfn.DAYS(L5750, $C$2)</f>
        <v>11.90279121427977</v>
      </c>
      <c r="O5750" s="149">
        <f t="shared" ca="1" si="190"/>
        <v>1.000173611111111</v>
      </c>
    </row>
    <row r="5751" spans="12:15" x14ac:dyDescent="0.25">
      <c r="L5751" s="147">
        <f ca="1"/>
        <v>50990</v>
      </c>
      <c r="M5751" s="92">
        <f t="shared" ca="1" si="189"/>
        <v>6.25</v>
      </c>
      <c r="N5751" s="143">
        <f ca="1">(PRODUCT($O$5:$O5751)-1)*36000/_xlfn.DAYS(L5751, $C$2)</f>
        <v>11.903873704205759</v>
      </c>
      <c r="O5751" s="149">
        <f t="shared" ca="1" si="190"/>
        <v>1.000173611111111</v>
      </c>
    </row>
    <row r="5752" spans="12:15" x14ac:dyDescent="0.25">
      <c r="L5752" s="147">
        <f ca="1"/>
        <v>50991</v>
      </c>
      <c r="M5752" s="92">
        <f t="shared" ca="1" si="189"/>
        <v>6.25</v>
      </c>
      <c r="N5752" s="143">
        <f ca="1">(PRODUCT($O$5:$O5752)-1)*36000/_xlfn.DAYS(L5752, $C$2)</f>
        <v>11.90495636489093</v>
      </c>
      <c r="O5752" s="149">
        <f t="shared" ca="1" si="190"/>
        <v>1.000173611111111</v>
      </c>
    </row>
    <row r="5753" spans="12:15" x14ac:dyDescent="0.25">
      <c r="L5753" s="147">
        <f ca="1"/>
        <v>50992</v>
      </c>
      <c r="M5753" s="92">
        <f t="shared" ca="1" si="189"/>
        <v>6.25</v>
      </c>
      <c r="N5753" s="143">
        <f ca="1">(PRODUCT($O$5:$O5753)-1)*36000/_xlfn.DAYS(L5753, $C$2)</f>
        <v>11.906039196341194</v>
      </c>
      <c r="O5753" s="149">
        <f t="shared" ca="1" si="190"/>
        <v>1.000173611111111</v>
      </c>
    </row>
    <row r="5754" spans="12:15" x14ac:dyDescent="0.25">
      <c r="L5754" s="147">
        <f ca="1"/>
        <v>50993</v>
      </c>
      <c r="M5754" s="92">
        <f t="shared" ca="1" si="189"/>
        <v>6.25</v>
      </c>
      <c r="N5754" s="143">
        <f ca="1">(PRODUCT($O$5:$O5754)-1)*36000/_xlfn.DAYS(L5754, $C$2)</f>
        <v>11.907122198562474</v>
      </c>
      <c r="O5754" s="149">
        <f t="shared" ca="1" si="190"/>
        <v>1.000173611111111</v>
      </c>
    </row>
    <row r="5755" spans="12:15" x14ac:dyDescent="0.25">
      <c r="L5755" s="147">
        <f ca="1"/>
        <v>50994</v>
      </c>
      <c r="M5755" s="92">
        <f t="shared" ca="1" si="189"/>
        <v>6.25</v>
      </c>
      <c r="N5755" s="143">
        <f ca="1">(PRODUCT($O$5:$O5755)-1)*36000/_xlfn.DAYS(L5755, $C$2)</f>
        <v>11.908205371560708</v>
      </c>
      <c r="O5755" s="149">
        <f t="shared" ca="1" si="190"/>
        <v>1.000173611111111</v>
      </c>
    </row>
    <row r="5756" spans="12:15" x14ac:dyDescent="0.25">
      <c r="L5756" s="147">
        <f ca="1"/>
        <v>50995</v>
      </c>
      <c r="M5756" s="92">
        <f t="shared" ca="1" si="189"/>
        <v>6.25</v>
      </c>
      <c r="N5756" s="143">
        <f ca="1">(PRODUCT($O$5:$O5756)-1)*36000/_xlfn.DAYS(L5756, $C$2)</f>
        <v>11.909288715341843</v>
      </c>
      <c r="O5756" s="149">
        <f t="shared" ca="1" si="190"/>
        <v>1.000173611111111</v>
      </c>
    </row>
    <row r="5757" spans="12:15" x14ac:dyDescent="0.25">
      <c r="L5757" s="147">
        <f ca="1"/>
        <v>50996</v>
      </c>
      <c r="M5757" s="92">
        <f t="shared" ca="1" si="189"/>
        <v>6.25</v>
      </c>
      <c r="N5757" s="143">
        <f ca="1">(PRODUCT($O$5:$O5757)-1)*36000/_xlfn.DAYS(L5757, $C$2)</f>
        <v>11.910372229911847</v>
      </c>
      <c r="O5757" s="149">
        <f t="shared" ca="1" si="190"/>
        <v>1.000173611111111</v>
      </c>
    </row>
    <row r="5758" spans="12:15" x14ac:dyDescent="0.25">
      <c r="L5758" s="147">
        <f ca="1"/>
        <v>50997</v>
      </c>
      <c r="M5758" s="92">
        <f t="shared" ca="1" si="189"/>
        <v>6.25</v>
      </c>
      <c r="N5758" s="143">
        <f ca="1">(PRODUCT($O$5:$O5758)-1)*36000/_xlfn.DAYS(L5758, $C$2)</f>
        <v>11.911455915276688</v>
      </c>
      <c r="O5758" s="149">
        <f t="shared" ca="1" si="190"/>
        <v>1.000173611111111</v>
      </c>
    </row>
    <row r="5759" spans="12:15" x14ac:dyDescent="0.25">
      <c r="L5759" s="147">
        <f ca="1"/>
        <v>50998</v>
      </c>
      <c r="M5759" s="92">
        <f t="shared" ca="1" si="189"/>
        <v>6.25</v>
      </c>
      <c r="N5759" s="143">
        <f ca="1">(PRODUCT($O$5:$O5759)-1)*36000/_xlfn.DAYS(L5759, $C$2)</f>
        <v>11.912539771442356</v>
      </c>
      <c r="O5759" s="149">
        <f t="shared" ca="1" si="190"/>
        <v>1.000173611111111</v>
      </c>
    </row>
    <row r="5760" spans="12:15" x14ac:dyDescent="0.25">
      <c r="L5760" s="147">
        <f ca="1"/>
        <v>50999</v>
      </c>
      <c r="M5760" s="92">
        <f t="shared" ca="1" si="189"/>
        <v>6.25</v>
      </c>
      <c r="N5760" s="143">
        <f ca="1">(PRODUCT($O$5:$O5760)-1)*36000/_xlfn.DAYS(L5760, $C$2)</f>
        <v>11.913623798414845</v>
      </c>
      <c r="O5760" s="149">
        <f t="shared" ca="1" si="190"/>
        <v>1.000173611111111</v>
      </c>
    </row>
    <row r="5761" spans="12:15" x14ac:dyDescent="0.25">
      <c r="L5761" s="147">
        <f ca="1"/>
        <v>51000</v>
      </c>
      <c r="M5761" s="92">
        <f t="shared" ca="1" si="189"/>
        <v>6.25</v>
      </c>
      <c r="N5761" s="143">
        <f ca="1">(PRODUCT($O$5:$O5761)-1)*36000/_xlfn.DAYS(L5761, $C$2)</f>
        <v>11.914707996200173</v>
      </c>
      <c r="O5761" s="149">
        <f t="shared" ca="1" si="190"/>
        <v>1.000173611111111</v>
      </c>
    </row>
    <row r="5762" spans="12:15" x14ac:dyDescent="0.25">
      <c r="L5762" s="147">
        <f ca="1"/>
        <v>51001</v>
      </c>
      <c r="M5762" s="92">
        <f t="shared" ca="1" si="189"/>
        <v>6.25</v>
      </c>
      <c r="N5762" s="143">
        <f ca="1">(PRODUCT($O$5:$O5762)-1)*36000/_xlfn.DAYS(L5762, $C$2)</f>
        <v>11.915792364804362</v>
      </c>
      <c r="O5762" s="149">
        <f t="shared" ca="1" si="190"/>
        <v>1.000173611111111</v>
      </c>
    </row>
    <row r="5763" spans="12:15" x14ac:dyDescent="0.25">
      <c r="L5763" s="147">
        <f ca="1"/>
        <v>51002</v>
      </c>
      <c r="M5763" s="92">
        <f t="shared" ca="1" si="189"/>
        <v>6.25</v>
      </c>
      <c r="N5763" s="143">
        <f ca="1">(PRODUCT($O$5:$O5763)-1)*36000/_xlfn.DAYS(L5763, $C$2)</f>
        <v>11.916876904233444</v>
      </c>
      <c r="O5763" s="149">
        <f t="shared" ca="1" si="190"/>
        <v>1.000173611111111</v>
      </c>
    </row>
    <row r="5764" spans="12:15" x14ac:dyDescent="0.25">
      <c r="L5764" s="147">
        <f ca="1"/>
        <v>51003</v>
      </c>
      <c r="M5764" s="92">
        <f t="shared" ca="1" si="189"/>
        <v>6.25</v>
      </c>
      <c r="N5764" s="143">
        <f ca="1">(PRODUCT($O$5:$O5764)-1)*36000/_xlfn.DAYS(L5764, $C$2)</f>
        <v>11.917961614493473</v>
      </c>
      <c r="O5764" s="149">
        <f t="shared" ca="1" si="190"/>
        <v>1.000173611111111</v>
      </c>
    </row>
    <row r="5765" spans="12:15" x14ac:dyDescent="0.25">
      <c r="L5765" s="147">
        <f ca="1"/>
        <v>51004</v>
      </c>
      <c r="M5765" s="92">
        <f t="shared" ref="M5765:M5828" ca="1" si="191">IFERROR(INDEX($E$27:$H$47, MATCH(L5765, $F$27:$F$47, 0), 4), IF(ISNUMBER(M5764), M5764, $C$5))</f>
        <v>6.25</v>
      </c>
      <c r="N5765" s="143">
        <f ca="1">(PRODUCT($O$5:$O5765)-1)*36000/_xlfn.DAYS(L5765, $C$2)</f>
        <v>11.919046495590502</v>
      </c>
      <c r="O5765" s="149">
        <f t="shared" ca="1" si="190"/>
        <v>1.000173611111111</v>
      </c>
    </row>
    <row r="5766" spans="12:15" x14ac:dyDescent="0.25">
      <c r="L5766" s="147">
        <f ca="1"/>
        <v>51005</v>
      </c>
      <c r="M5766" s="92">
        <f t="shared" ca="1" si="191"/>
        <v>6.25</v>
      </c>
      <c r="N5766" s="143">
        <f ca="1">(PRODUCT($O$5:$O5766)-1)*36000/_xlfn.DAYS(L5766, $C$2)</f>
        <v>11.920131547530607</v>
      </c>
      <c r="O5766" s="149">
        <f t="shared" ref="O5766:O5829" ca="1" si="192">1+M5766*IFERROR(_xlfn.DAYS(L5766, L5765), _xlfn.DAYS(L5766, $C$2))/36000</f>
        <v>1.000173611111111</v>
      </c>
    </row>
    <row r="5767" spans="12:15" x14ac:dyDescent="0.25">
      <c r="L5767" s="147">
        <f ca="1"/>
        <v>51006</v>
      </c>
      <c r="M5767" s="92">
        <f t="shared" ca="1" si="191"/>
        <v>6.25</v>
      </c>
      <c r="N5767" s="143">
        <f ca="1">(PRODUCT($O$5:$O5767)-1)*36000/_xlfn.DAYS(L5767, $C$2)</f>
        <v>11.921216770319877</v>
      </c>
      <c r="O5767" s="149">
        <f t="shared" ca="1" si="192"/>
        <v>1.000173611111111</v>
      </c>
    </row>
    <row r="5768" spans="12:15" x14ac:dyDescent="0.25">
      <c r="L5768" s="147">
        <f ca="1"/>
        <v>51007</v>
      </c>
      <c r="M5768" s="92">
        <f t="shared" ca="1" si="191"/>
        <v>6.25</v>
      </c>
      <c r="N5768" s="143">
        <f ca="1">(PRODUCT($O$5:$O5768)-1)*36000/_xlfn.DAYS(L5768, $C$2)</f>
        <v>11.922302163964401</v>
      </c>
      <c r="O5768" s="149">
        <f t="shared" ca="1" si="192"/>
        <v>1.000173611111111</v>
      </c>
    </row>
    <row r="5769" spans="12:15" x14ac:dyDescent="0.25">
      <c r="L5769" s="147">
        <f ca="1"/>
        <v>51008</v>
      </c>
      <c r="M5769" s="92">
        <f t="shared" ca="1" si="191"/>
        <v>6.25</v>
      </c>
      <c r="N5769" s="143">
        <f ca="1">(PRODUCT($O$5:$O5769)-1)*36000/_xlfn.DAYS(L5769, $C$2)</f>
        <v>11.923387728470299</v>
      </c>
      <c r="O5769" s="149">
        <f t="shared" ca="1" si="192"/>
        <v>1.000173611111111</v>
      </c>
    </row>
    <row r="5770" spans="12:15" x14ac:dyDescent="0.25">
      <c r="L5770" s="147">
        <f ca="1"/>
        <v>51009</v>
      </c>
      <c r="M5770" s="92">
        <f t="shared" ca="1" si="191"/>
        <v>6.25</v>
      </c>
      <c r="N5770" s="143">
        <f ca="1">(PRODUCT($O$5:$O5770)-1)*36000/_xlfn.DAYS(L5770, $C$2)</f>
        <v>11.924473463843686</v>
      </c>
      <c r="O5770" s="149">
        <f t="shared" ca="1" si="192"/>
        <v>1.000173611111111</v>
      </c>
    </row>
    <row r="5771" spans="12:15" x14ac:dyDescent="0.25">
      <c r="L5771" s="147">
        <f ca="1"/>
        <v>51010</v>
      </c>
      <c r="M5771" s="92">
        <f t="shared" ca="1" si="191"/>
        <v>6.25</v>
      </c>
      <c r="N5771" s="143">
        <f ca="1">(PRODUCT($O$5:$O5771)-1)*36000/_xlfn.DAYS(L5771, $C$2)</f>
        <v>11.925559370090697</v>
      </c>
      <c r="O5771" s="149">
        <f t="shared" ca="1" si="192"/>
        <v>1.000173611111111</v>
      </c>
    </row>
    <row r="5772" spans="12:15" x14ac:dyDescent="0.25">
      <c r="L5772" s="147">
        <f ca="1"/>
        <v>51011</v>
      </c>
      <c r="M5772" s="92">
        <f t="shared" ca="1" si="191"/>
        <v>6.25</v>
      </c>
      <c r="N5772" s="143">
        <f ca="1">(PRODUCT($O$5:$O5772)-1)*36000/_xlfn.DAYS(L5772, $C$2)</f>
        <v>11.926645447217481</v>
      </c>
      <c r="O5772" s="149">
        <f t="shared" ca="1" si="192"/>
        <v>1.000173611111111</v>
      </c>
    </row>
    <row r="5773" spans="12:15" x14ac:dyDescent="0.25">
      <c r="L5773" s="147">
        <f ca="1"/>
        <v>51012</v>
      </c>
      <c r="M5773" s="92">
        <f t="shared" ca="1" si="191"/>
        <v>6.25</v>
      </c>
      <c r="N5773" s="143">
        <f ca="1">(PRODUCT($O$5:$O5773)-1)*36000/_xlfn.DAYS(L5773, $C$2)</f>
        <v>11.927731695230193</v>
      </c>
      <c r="O5773" s="149">
        <f t="shared" ca="1" si="192"/>
        <v>1.000173611111111</v>
      </c>
    </row>
    <row r="5774" spans="12:15" x14ac:dyDescent="0.25">
      <c r="L5774" s="147">
        <f ca="1"/>
        <v>51013</v>
      </c>
      <c r="M5774" s="92">
        <f t="shared" ca="1" si="191"/>
        <v>6.25</v>
      </c>
      <c r="N5774" s="143">
        <f ca="1">(PRODUCT($O$5:$O5774)-1)*36000/_xlfn.DAYS(L5774, $C$2)</f>
        <v>11.928818114135005</v>
      </c>
      <c r="O5774" s="149">
        <f t="shared" ca="1" si="192"/>
        <v>1.000173611111111</v>
      </c>
    </row>
    <row r="5775" spans="12:15" x14ac:dyDescent="0.25">
      <c r="L5775" s="147">
        <f ca="1"/>
        <v>51014</v>
      </c>
      <c r="M5775" s="92">
        <f t="shared" ca="1" si="191"/>
        <v>6.25</v>
      </c>
      <c r="N5775" s="143">
        <f ca="1">(PRODUCT($O$5:$O5775)-1)*36000/_xlfn.DAYS(L5775, $C$2)</f>
        <v>11.929904703938103</v>
      </c>
      <c r="O5775" s="149">
        <f t="shared" ca="1" si="192"/>
        <v>1.000173611111111</v>
      </c>
    </row>
    <row r="5776" spans="12:15" x14ac:dyDescent="0.25">
      <c r="L5776" s="147">
        <f ca="1"/>
        <v>51015</v>
      </c>
      <c r="M5776" s="92">
        <f t="shared" ca="1" si="191"/>
        <v>6.25</v>
      </c>
      <c r="N5776" s="143">
        <f ca="1">(PRODUCT($O$5:$O5776)-1)*36000/_xlfn.DAYS(L5776, $C$2)</f>
        <v>11.930991464645675</v>
      </c>
      <c r="O5776" s="149">
        <f t="shared" ca="1" si="192"/>
        <v>1.000173611111111</v>
      </c>
    </row>
    <row r="5777" spans="12:15" x14ac:dyDescent="0.25">
      <c r="L5777" s="147">
        <f ca="1"/>
        <v>51016</v>
      </c>
      <c r="M5777" s="92">
        <f t="shared" ca="1" si="191"/>
        <v>6.25</v>
      </c>
      <c r="N5777" s="143">
        <f ca="1">(PRODUCT($O$5:$O5777)-1)*36000/_xlfn.DAYS(L5777, $C$2)</f>
        <v>11.932078396263934</v>
      </c>
      <c r="O5777" s="149">
        <f t="shared" ca="1" si="192"/>
        <v>1.000173611111111</v>
      </c>
    </row>
    <row r="5778" spans="12:15" x14ac:dyDescent="0.25">
      <c r="L5778" s="147">
        <f ca="1"/>
        <v>51017</v>
      </c>
      <c r="M5778" s="92">
        <f t="shared" ca="1" si="191"/>
        <v>6.25</v>
      </c>
      <c r="N5778" s="143">
        <f ca="1">(PRODUCT($O$5:$O5778)-1)*36000/_xlfn.DAYS(L5778, $C$2)</f>
        <v>11.933165498799099</v>
      </c>
      <c r="O5778" s="149">
        <f t="shared" ca="1" si="192"/>
        <v>1.000173611111111</v>
      </c>
    </row>
    <row r="5779" spans="12:15" x14ac:dyDescent="0.25">
      <c r="L5779" s="147">
        <f ca="1"/>
        <v>51018</v>
      </c>
      <c r="M5779" s="92">
        <f t="shared" ca="1" si="191"/>
        <v>6.25</v>
      </c>
      <c r="N5779" s="143">
        <f ca="1">(PRODUCT($O$5:$O5779)-1)*36000/_xlfn.DAYS(L5779, $C$2)</f>
        <v>11.934252772257402</v>
      </c>
      <c r="O5779" s="149">
        <f t="shared" ca="1" si="192"/>
        <v>1.000173611111111</v>
      </c>
    </row>
    <row r="5780" spans="12:15" x14ac:dyDescent="0.25">
      <c r="L5780" s="147">
        <f ca="1"/>
        <v>51019</v>
      </c>
      <c r="M5780" s="92">
        <f t="shared" ca="1" si="191"/>
        <v>6.25</v>
      </c>
      <c r="N5780" s="143">
        <f ca="1">(PRODUCT($O$5:$O5780)-1)*36000/_xlfn.DAYS(L5780, $C$2)</f>
        <v>11.935340216645084</v>
      </c>
      <c r="O5780" s="149">
        <f t="shared" ca="1" si="192"/>
        <v>1.000173611111111</v>
      </c>
    </row>
    <row r="5781" spans="12:15" x14ac:dyDescent="0.25">
      <c r="L5781" s="147">
        <f ca="1"/>
        <v>51020</v>
      </c>
      <c r="M5781" s="92">
        <f t="shared" ca="1" si="191"/>
        <v>6.25</v>
      </c>
      <c r="N5781" s="143">
        <f ca="1">(PRODUCT($O$5:$O5781)-1)*36000/_xlfn.DAYS(L5781, $C$2)</f>
        <v>11.936427831968402</v>
      </c>
      <c r="O5781" s="149">
        <f t="shared" ca="1" si="192"/>
        <v>1.000173611111111</v>
      </c>
    </row>
    <row r="5782" spans="12:15" x14ac:dyDescent="0.25">
      <c r="L5782" s="147">
        <f ca="1"/>
        <v>51021</v>
      </c>
      <c r="M5782" s="92">
        <f t="shared" ca="1" si="191"/>
        <v>6.25</v>
      </c>
      <c r="N5782" s="143">
        <f ca="1">(PRODUCT($O$5:$O5782)-1)*36000/_xlfn.DAYS(L5782, $C$2)</f>
        <v>11.937515618233626</v>
      </c>
      <c r="O5782" s="149">
        <f t="shared" ca="1" si="192"/>
        <v>1.000173611111111</v>
      </c>
    </row>
    <row r="5783" spans="12:15" x14ac:dyDescent="0.25">
      <c r="L5783" s="147">
        <f ca="1"/>
        <v>51022</v>
      </c>
      <c r="M5783" s="92">
        <f t="shared" ca="1" si="191"/>
        <v>6.25</v>
      </c>
      <c r="N5783" s="143">
        <f ca="1">(PRODUCT($O$5:$O5783)-1)*36000/_xlfn.DAYS(L5783, $C$2)</f>
        <v>11.938603575447036</v>
      </c>
      <c r="O5783" s="149">
        <f t="shared" ca="1" si="192"/>
        <v>1.000173611111111</v>
      </c>
    </row>
    <row r="5784" spans="12:15" x14ac:dyDescent="0.25">
      <c r="L5784" s="147">
        <f ca="1"/>
        <v>51023</v>
      </c>
      <c r="M5784" s="92">
        <f t="shared" ca="1" si="191"/>
        <v>6.25</v>
      </c>
      <c r="N5784" s="143">
        <f ca="1">(PRODUCT($O$5:$O5784)-1)*36000/_xlfn.DAYS(L5784, $C$2)</f>
        <v>11.939691703614923</v>
      </c>
      <c r="O5784" s="149">
        <f t="shared" ca="1" si="192"/>
        <v>1.000173611111111</v>
      </c>
    </row>
    <row r="5785" spans="12:15" x14ac:dyDescent="0.25">
      <c r="L5785" s="147">
        <f ca="1"/>
        <v>51024</v>
      </c>
      <c r="M5785" s="92">
        <f t="shared" ca="1" si="191"/>
        <v>6.25</v>
      </c>
      <c r="N5785" s="143">
        <f ca="1">(PRODUCT($O$5:$O5785)-1)*36000/_xlfn.DAYS(L5785, $C$2)</f>
        <v>11.940780002743596</v>
      </c>
      <c r="O5785" s="149">
        <f t="shared" ca="1" si="192"/>
        <v>1.000173611111111</v>
      </c>
    </row>
    <row r="5786" spans="12:15" x14ac:dyDescent="0.25">
      <c r="L5786" s="147">
        <f ca="1"/>
        <v>51025</v>
      </c>
      <c r="M5786" s="92">
        <f t="shared" ca="1" si="191"/>
        <v>6.25</v>
      </c>
      <c r="N5786" s="143">
        <f ca="1">(PRODUCT($O$5:$O5786)-1)*36000/_xlfn.DAYS(L5786, $C$2)</f>
        <v>11.941868472839369</v>
      </c>
      <c r="O5786" s="149">
        <f t="shared" ca="1" si="192"/>
        <v>1.000173611111111</v>
      </c>
    </row>
    <row r="5787" spans="12:15" x14ac:dyDescent="0.25">
      <c r="L5787" s="147">
        <f ca="1"/>
        <v>51026</v>
      </c>
      <c r="M5787" s="92">
        <f t="shared" ca="1" si="191"/>
        <v>6.25</v>
      </c>
      <c r="N5787" s="143">
        <f ca="1">(PRODUCT($O$5:$O5787)-1)*36000/_xlfn.DAYS(L5787, $C$2)</f>
        <v>11.942957113908568</v>
      </c>
      <c r="O5787" s="149">
        <f t="shared" ca="1" si="192"/>
        <v>1.000173611111111</v>
      </c>
    </row>
    <row r="5788" spans="12:15" x14ac:dyDescent="0.25">
      <c r="L5788" s="147">
        <f ca="1"/>
        <v>51027</v>
      </c>
      <c r="M5788" s="92">
        <f t="shared" ca="1" si="191"/>
        <v>6.25</v>
      </c>
      <c r="N5788" s="143">
        <f ca="1">(PRODUCT($O$5:$O5788)-1)*36000/_xlfn.DAYS(L5788, $C$2)</f>
        <v>11.944045925957541</v>
      </c>
      <c r="O5788" s="149">
        <f t="shared" ca="1" si="192"/>
        <v>1.000173611111111</v>
      </c>
    </row>
    <row r="5789" spans="12:15" x14ac:dyDescent="0.25">
      <c r="L5789" s="147">
        <f ca="1"/>
        <v>51028</v>
      </c>
      <c r="M5789" s="92">
        <f t="shared" ca="1" si="191"/>
        <v>6.25</v>
      </c>
      <c r="N5789" s="143">
        <f ca="1">(PRODUCT($O$5:$O5789)-1)*36000/_xlfn.DAYS(L5789, $C$2)</f>
        <v>11.945134908992634</v>
      </c>
      <c r="O5789" s="149">
        <f t="shared" ca="1" si="192"/>
        <v>1.000173611111111</v>
      </c>
    </row>
    <row r="5790" spans="12:15" x14ac:dyDescent="0.25">
      <c r="L5790" s="147">
        <f ca="1"/>
        <v>51029</v>
      </c>
      <c r="M5790" s="92">
        <f t="shared" ca="1" si="191"/>
        <v>6.25</v>
      </c>
      <c r="N5790" s="143">
        <f ca="1">(PRODUCT($O$5:$O5790)-1)*36000/_xlfn.DAYS(L5790, $C$2)</f>
        <v>11.946224063020214</v>
      </c>
      <c r="O5790" s="149">
        <f t="shared" ca="1" si="192"/>
        <v>1.000173611111111</v>
      </c>
    </row>
    <row r="5791" spans="12:15" x14ac:dyDescent="0.25">
      <c r="L5791" s="147">
        <f ca="1"/>
        <v>51030</v>
      </c>
      <c r="M5791" s="92">
        <f t="shared" ca="1" si="191"/>
        <v>6.25</v>
      </c>
      <c r="N5791" s="143">
        <f ca="1">(PRODUCT($O$5:$O5791)-1)*36000/_xlfn.DAYS(L5791, $C$2)</f>
        <v>11.947313388046661</v>
      </c>
      <c r="O5791" s="149">
        <f t="shared" ca="1" si="192"/>
        <v>1.000173611111111</v>
      </c>
    </row>
    <row r="5792" spans="12:15" x14ac:dyDescent="0.25">
      <c r="L5792" s="147">
        <f ca="1"/>
        <v>51031</v>
      </c>
      <c r="M5792" s="92">
        <f t="shared" ca="1" si="191"/>
        <v>6.25</v>
      </c>
      <c r="N5792" s="143">
        <f ca="1">(PRODUCT($O$5:$O5792)-1)*36000/_xlfn.DAYS(L5792, $C$2)</f>
        <v>11.948402884078366</v>
      </c>
      <c r="O5792" s="149">
        <f t="shared" ca="1" si="192"/>
        <v>1.000173611111111</v>
      </c>
    </row>
    <row r="5793" spans="12:15" x14ac:dyDescent="0.25">
      <c r="L5793" s="147">
        <f ca="1"/>
        <v>51032</v>
      </c>
      <c r="M5793" s="92">
        <f t="shared" ca="1" si="191"/>
        <v>6.25</v>
      </c>
      <c r="N5793" s="143">
        <f ca="1">(PRODUCT($O$5:$O5793)-1)*36000/_xlfn.DAYS(L5793, $C$2)</f>
        <v>11.949492551121727</v>
      </c>
      <c r="O5793" s="149">
        <f t="shared" ca="1" si="192"/>
        <v>1.000173611111111</v>
      </c>
    </row>
    <row r="5794" spans="12:15" x14ac:dyDescent="0.25">
      <c r="L5794" s="147">
        <f ca="1"/>
        <v>51033</v>
      </c>
      <c r="M5794" s="92">
        <f t="shared" ca="1" si="191"/>
        <v>6.25</v>
      </c>
      <c r="N5794" s="143">
        <f ca="1">(PRODUCT($O$5:$O5794)-1)*36000/_xlfn.DAYS(L5794, $C$2)</f>
        <v>11.950582389183156</v>
      </c>
      <c r="O5794" s="149">
        <f t="shared" ca="1" si="192"/>
        <v>1.000173611111111</v>
      </c>
    </row>
    <row r="5795" spans="12:15" x14ac:dyDescent="0.25">
      <c r="L5795" s="147">
        <f ca="1"/>
        <v>51034</v>
      </c>
      <c r="M5795" s="92">
        <f t="shared" ca="1" si="191"/>
        <v>6.25</v>
      </c>
      <c r="N5795" s="143">
        <f ca="1">(PRODUCT($O$5:$O5795)-1)*36000/_xlfn.DAYS(L5795, $C$2)</f>
        <v>11.95167239826908</v>
      </c>
      <c r="O5795" s="149">
        <f t="shared" ca="1" si="192"/>
        <v>1.000173611111111</v>
      </c>
    </row>
    <row r="5796" spans="12:15" x14ac:dyDescent="0.25">
      <c r="L5796" s="147">
        <f ca="1"/>
        <v>51035</v>
      </c>
      <c r="M5796" s="92">
        <f t="shared" ca="1" si="191"/>
        <v>6.25</v>
      </c>
      <c r="N5796" s="143">
        <f ca="1">(PRODUCT($O$5:$O5796)-1)*36000/_xlfn.DAYS(L5796, $C$2)</f>
        <v>11.952762578385942</v>
      </c>
      <c r="O5796" s="149">
        <f t="shared" ca="1" si="192"/>
        <v>1.000173611111111</v>
      </c>
    </row>
    <row r="5797" spans="12:15" x14ac:dyDescent="0.25">
      <c r="L5797" s="147">
        <f ca="1"/>
        <v>51036</v>
      </c>
      <c r="M5797" s="92">
        <f t="shared" ca="1" si="191"/>
        <v>6.25</v>
      </c>
      <c r="N5797" s="143">
        <f ca="1">(PRODUCT($O$5:$O5797)-1)*36000/_xlfn.DAYS(L5797, $C$2)</f>
        <v>11.953852929540185</v>
      </c>
      <c r="O5797" s="149">
        <f t="shared" ca="1" si="192"/>
        <v>1.000173611111111</v>
      </c>
    </row>
    <row r="5798" spans="12:15" x14ac:dyDescent="0.25">
      <c r="L5798" s="147">
        <f ca="1"/>
        <v>51037</v>
      </c>
      <c r="M5798" s="92">
        <f t="shared" ca="1" si="191"/>
        <v>6.25</v>
      </c>
      <c r="N5798" s="143">
        <f ca="1">(PRODUCT($O$5:$O5798)-1)*36000/_xlfn.DAYS(L5798, $C$2)</f>
        <v>11.954943451738277</v>
      </c>
      <c r="O5798" s="149">
        <f t="shared" ca="1" si="192"/>
        <v>1.000173611111111</v>
      </c>
    </row>
    <row r="5799" spans="12:15" x14ac:dyDescent="0.25">
      <c r="L5799" s="147">
        <f ca="1"/>
        <v>51038</v>
      </c>
      <c r="M5799" s="92">
        <f t="shared" ca="1" si="191"/>
        <v>6.25</v>
      </c>
      <c r="N5799" s="143">
        <f ca="1">(PRODUCT($O$5:$O5799)-1)*36000/_xlfn.DAYS(L5799, $C$2)</f>
        <v>11.956034144986685</v>
      </c>
      <c r="O5799" s="149">
        <f t="shared" ca="1" si="192"/>
        <v>1.000173611111111</v>
      </c>
    </row>
    <row r="5800" spans="12:15" x14ac:dyDescent="0.25">
      <c r="L5800" s="147">
        <f ca="1"/>
        <v>51039</v>
      </c>
      <c r="M5800" s="92">
        <f t="shared" ca="1" si="191"/>
        <v>6.25</v>
      </c>
      <c r="N5800" s="143">
        <f ca="1">(PRODUCT($O$5:$O5800)-1)*36000/_xlfn.DAYS(L5800, $C$2)</f>
        <v>11.957125009291902</v>
      </c>
      <c r="O5800" s="149">
        <f t="shared" ca="1" si="192"/>
        <v>1.000173611111111</v>
      </c>
    </row>
    <row r="5801" spans="12:15" x14ac:dyDescent="0.25">
      <c r="L5801" s="147">
        <f ca="1"/>
        <v>51040</v>
      </c>
      <c r="M5801" s="92">
        <f t="shared" ca="1" si="191"/>
        <v>6.25</v>
      </c>
      <c r="N5801" s="143">
        <f ca="1">(PRODUCT($O$5:$O5801)-1)*36000/_xlfn.DAYS(L5801, $C$2)</f>
        <v>11.958216044660418</v>
      </c>
      <c r="O5801" s="149">
        <f t="shared" ca="1" si="192"/>
        <v>1.000173611111111</v>
      </c>
    </row>
    <row r="5802" spans="12:15" x14ac:dyDescent="0.25">
      <c r="L5802" s="147">
        <f ca="1"/>
        <v>51041</v>
      </c>
      <c r="M5802" s="92">
        <f t="shared" ca="1" si="191"/>
        <v>6.25</v>
      </c>
      <c r="N5802" s="143">
        <f ca="1">(PRODUCT($O$5:$O5802)-1)*36000/_xlfn.DAYS(L5802, $C$2)</f>
        <v>11.959307251098751</v>
      </c>
      <c r="O5802" s="149">
        <f t="shared" ca="1" si="192"/>
        <v>1.000173611111111</v>
      </c>
    </row>
    <row r="5803" spans="12:15" x14ac:dyDescent="0.25">
      <c r="L5803" s="147">
        <f ca="1"/>
        <v>51042</v>
      </c>
      <c r="M5803" s="92">
        <f t="shared" ca="1" si="191"/>
        <v>6.25</v>
      </c>
      <c r="N5803" s="143">
        <f ca="1">(PRODUCT($O$5:$O5803)-1)*36000/_xlfn.DAYS(L5803, $C$2)</f>
        <v>11.960398628613419</v>
      </c>
      <c r="O5803" s="149">
        <f t="shared" ca="1" si="192"/>
        <v>1.000173611111111</v>
      </c>
    </row>
    <row r="5804" spans="12:15" x14ac:dyDescent="0.25">
      <c r="L5804" s="147">
        <f ca="1"/>
        <v>51043</v>
      </c>
      <c r="M5804" s="92">
        <f t="shared" ca="1" si="191"/>
        <v>6.25</v>
      </c>
      <c r="N5804" s="143">
        <f ca="1">(PRODUCT($O$5:$O5804)-1)*36000/_xlfn.DAYS(L5804, $C$2)</f>
        <v>11.961490177210955</v>
      </c>
      <c r="O5804" s="149">
        <f t="shared" ca="1" si="192"/>
        <v>1.000173611111111</v>
      </c>
    </row>
    <row r="5805" spans="12:15" x14ac:dyDescent="0.25">
      <c r="L5805" s="147">
        <f ca="1"/>
        <v>51044</v>
      </c>
      <c r="M5805" s="92">
        <f t="shared" ca="1" si="191"/>
        <v>6.25</v>
      </c>
      <c r="N5805" s="143">
        <f ca="1">(PRODUCT($O$5:$O5805)-1)*36000/_xlfn.DAYS(L5805, $C$2)</f>
        <v>11.962581896897904</v>
      </c>
      <c r="O5805" s="149">
        <f t="shared" ca="1" si="192"/>
        <v>1.000173611111111</v>
      </c>
    </row>
    <row r="5806" spans="12:15" x14ac:dyDescent="0.25">
      <c r="L5806" s="147">
        <f ca="1"/>
        <v>51045</v>
      </c>
      <c r="M5806" s="92">
        <f t="shared" ca="1" si="191"/>
        <v>6.25</v>
      </c>
      <c r="N5806" s="143">
        <f ca="1">(PRODUCT($O$5:$O5806)-1)*36000/_xlfn.DAYS(L5806, $C$2)</f>
        <v>11.963673787680825</v>
      </c>
      <c r="O5806" s="149">
        <f t="shared" ca="1" si="192"/>
        <v>1.000173611111111</v>
      </c>
    </row>
    <row r="5807" spans="12:15" x14ac:dyDescent="0.25">
      <c r="L5807" s="147">
        <f ca="1"/>
        <v>51046</v>
      </c>
      <c r="M5807" s="92">
        <f t="shared" ca="1" si="191"/>
        <v>6.25</v>
      </c>
      <c r="N5807" s="143">
        <f ca="1">(PRODUCT($O$5:$O5807)-1)*36000/_xlfn.DAYS(L5807, $C$2)</f>
        <v>11.964765849566293</v>
      </c>
      <c r="O5807" s="149">
        <f t="shared" ca="1" si="192"/>
        <v>1.000173611111111</v>
      </c>
    </row>
    <row r="5808" spans="12:15" x14ac:dyDescent="0.25">
      <c r="L5808" s="147">
        <f ca="1"/>
        <v>51047</v>
      </c>
      <c r="M5808" s="92">
        <f t="shared" ca="1" si="191"/>
        <v>6.25</v>
      </c>
      <c r="N5808" s="143">
        <f ca="1">(PRODUCT($O$5:$O5808)-1)*36000/_xlfn.DAYS(L5808, $C$2)</f>
        <v>11.965858082560882</v>
      </c>
      <c r="O5808" s="149">
        <f t="shared" ca="1" si="192"/>
        <v>1.000173611111111</v>
      </c>
    </row>
    <row r="5809" spans="12:15" x14ac:dyDescent="0.25">
      <c r="L5809" s="147">
        <f ca="1"/>
        <v>51048</v>
      </c>
      <c r="M5809" s="92">
        <f t="shared" ca="1" si="191"/>
        <v>6.25</v>
      </c>
      <c r="N5809" s="143">
        <f ca="1">(PRODUCT($O$5:$O5809)-1)*36000/_xlfn.DAYS(L5809, $C$2)</f>
        <v>11.966950486671193</v>
      </c>
      <c r="O5809" s="149">
        <f t="shared" ca="1" si="192"/>
        <v>1.000173611111111</v>
      </c>
    </row>
    <row r="5810" spans="12:15" x14ac:dyDescent="0.25">
      <c r="L5810" s="147">
        <f ca="1"/>
        <v>51049</v>
      </c>
      <c r="M5810" s="92">
        <f t="shared" ca="1" si="191"/>
        <v>6.25</v>
      </c>
      <c r="N5810" s="143">
        <f ca="1">(PRODUCT($O$5:$O5810)-1)*36000/_xlfn.DAYS(L5810, $C$2)</f>
        <v>11.968043061903824</v>
      </c>
      <c r="O5810" s="149">
        <f t="shared" ca="1" si="192"/>
        <v>1.000173611111111</v>
      </c>
    </row>
    <row r="5811" spans="12:15" x14ac:dyDescent="0.25">
      <c r="L5811" s="147">
        <f ca="1"/>
        <v>51050</v>
      </c>
      <c r="M5811" s="92">
        <f t="shared" ca="1" si="191"/>
        <v>6.25</v>
      </c>
      <c r="N5811" s="143">
        <f ca="1">(PRODUCT($O$5:$O5811)-1)*36000/_xlfn.DAYS(L5811, $C$2)</f>
        <v>11.969135808265401</v>
      </c>
      <c r="O5811" s="149">
        <f t="shared" ca="1" si="192"/>
        <v>1.000173611111111</v>
      </c>
    </row>
    <row r="5812" spans="12:15" x14ac:dyDescent="0.25">
      <c r="L5812" s="147">
        <f ca="1"/>
        <v>51051</v>
      </c>
      <c r="M5812" s="92">
        <f t="shared" ca="1" si="191"/>
        <v>6.25</v>
      </c>
      <c r="N5812" s="143">
        <f ca="1">(PRODUCT($O$5:$O5812)-1)*36000/_xlfn.DAYS(L5812, $C$2)</f>
        <v>11.970228725762547</v>
      </c>
      <c r="O5812" s="149">
        <f t="shared" ca="1" si="192"/>
        <v>1.000173611111111</v>
      </c>
    </row>
    <row r="5813" spans="12:15" x14ac:dyDescent="0.25">
      <c r="L5813" s="147">
        <f ca="1"/>
        <v>51052</v>
      </c>
      <c r="M5813" s="92">
        <f t="shared" ca="1" si="191"/>
        <v>6.25</v>
      </c>
      <c r="N5813" s="143">
        <f ca="1">(PRODUCT($O$5:$O5813)-1)*36000/_xlfn.DAYS(L5813, $C$2)</f>
        <v>11.971321814401906</v>
      </c>
      <c r="O5813" s="149">
        <f t="shared" ca="1" si="192"/>
        <v>1.000173611111111</v>
      </c>
    </row>
    <row r="5814" spans="12:15" x14ac:dyDescent="0.25">
      <c r="L5814" s="147">
        <f ca="1"/>
        <v>51053</v>
      </c>
      <c r="M5814" s="92">
        <f t="shared" ca="1" si="191"/>
        <v>6.25</v>
      </c>
      <c r="N5814" s="143">
        <f ca="1">(PRODUCT($O$5:$O5814)-1)*36000/_xlfn.DAYS(L5814, $C$2)</f>
        <v>11.972415074190133</v>
      </c>
      <c r="O5814" s="149">
        <f t="shared" ca="1" si="192"/>
        <v>1.000173611111111</v>
      </c>
    </row>
    <row r="5815" spans="12:15" x14ac:dyDescent="0.25">
      <c r="L5815" s="147">
        <f ca="1"/>
        <v>51054</v>
      </c>
      <c r="M5815" s="92">
        <f t="shared" ca="1" si="191"/>
        <v>6.25</v>
      </c>
      <c r="N5815" s="143">
        <f ca="1">(PRODUCT($O$5:$O5815)-1)*36000/_xlfn.DAYS(L5815, $C$2)</f>
        <v>11.973508505133891</v>
      </c>
      <c r="O5815" s="149">
        <f t="shared" ca="1" si="192"/>
        <v>1.000173611111111</v>
      </c>
    </row>
    <row r="5816" spans="12:15" x14ac:dyDescent="0.25">
      <c r="L5816" s="147">
        <f ca="1"/>
        <v>51055</v>
      </c>
      <c r="M5816" s="92">
        <f t="shared" ca="1" si="191"/>
        <v>6.25</v>
      </c>
      <c r="N5816" s="143">
        <f ca="1">(PRODUCT($O$5:$O5816)-1)*36000/_xlfn.DAYS(L5816, $C$2)</f>
        <v>11.974602107239857</v>
      </c>
      <c r="O5816" s="149">
        <f t="shared" ca="1" si="192"/>
        <v>1.000173611111111</v>
      </c>
    </row>
    <row r="5817" spans="12:15" x14ac:dyDescent="0.25">
      <c r="L5817" s="147">
        <f ca="1"/>
        <v>51056</v>
      </c>
      <c r="M5817" s="92">
        <f t="shared" ca="1" si="191"/>
        <v>6.25</v>
      </c>
      <c r="N5817" s="143">
        <f ca="1">(PRODUCT($O$5:$O5817)-1)*36000/_xlfn.DAYS(L5817, $C$2)</f>
        <v>11.975695880514722</v>
      </c>
      <c r="O5817" s="149">
        <f t="shared" ca="1" si="192"/>
        <v>1.000173611111111</v>
      </c>
    </row>
    <row r="5818" spans="12:15" x14ac:dyDescent="0.25">
      <c r="L5818" s="147">
        <f ca="1"/>
        <v>51057</v>
      </c>
      <c r="M5818" s="92">
        <f t="shared" ca="1" si="191"/>
        <v>6.25</v>
      </c>
      <c r="N5818" s="143">
        <f ca="1">(PRODUCT($O$5:$O5818)-1)*36000/_xlfn.DAYS(L5818, $C$2)</f>
        <v>11.976789824965188</v>
      </c>
      <c r="O5818" s="149">
        <f t="shared" ca="1" si="192"/>
        <v>1.000173611111111</v>
      </c>
    </row>
    <row r="5819" spans="12:15" x14ac:dyDescent="0.25">
      <c r="L5819" s="147">
        <f ca="1"/>
        <v>51058</v>
      </c>
      <c r="M5819" s="92">
        <f t="shared" ca="1" si="191"/>
        <v>6.25</v>
      </c>
      <c r="N5819" s="143">
        <f ca="1">(PRODUCT($O$5:$O5819)-1)*36000/_xlfn.DAYS(L5819, $C$2)</f>
        <v>11.977883940597964</v>
      </c>
      <c r="O5819" s="149">
        <f t="shared" ca="1" si="192"/>
        <v>1.000173611111111</v>
      </c>
    </row>
    <row r="5820" spans="12:15" x14ac:dyDescent="0.25">
      <c r="L5820" s="147">
        <f ca="1"/>
        <v>51059</v>
      </c>
      <c r="M5820" s="92">
        <f t="shared" ca="1" si="191"/>
        <v>6.25</v>
      </c>
      <c r="N5820" s="143">
        <f ca="1">(PRODUCT($O$5:$O5820)-1)*36000/_xlfn.DAYS(L5820, $C$2)</f>
        <v>11.978978227419779</v>
      </c>
      <c r="O5820" s="149">
        <f t="shared" ca="1" si="192"/>
        <v>1.000173611111111</v>
      </c>
    </row>
    <row r="5821" spans="12:15" x14ac:dyDescent="0.25">
      <c r="L5821" s="147">
        <f ca="1"/>
        <v>51060</v>
      </c>
      <c r="M5821" s="92">
        <f t="shared" ca="1" si="191"/>
        <v>6.25</v>
      </c>
      <c r="N5821" s="143">
        <f ca="1">(PRODUCT($O$5:$O5821)-1)*36000/_xlfn.DAYS(L5821, $C$2)</f>
        <v>11.980072685437367</v>
      </c>
      <c r="O5821" s="149">
        <f t="shared" ca="1" si="192"/>
        <v>1.000173611111111</v>
      </c>
    </row>
    <row r="5822" spans="12:15" x14ac:dyDescent="0.25">
      <c r="L5822" s="147">
        <f ca="1"/>
        <v>51061</v>
      </c>
      <c r="M5822" s="92">
        <f t="shared" ca="1" si="191"/>
        <v>6.25</v>
      </c>
      <c r="N5822" s="143">
        <f ca="1">(PRODUCT($O$5:$O5822)-1)*36000/_xlfn.DAYS(L5822, $C$2)</f>
        <v>11.98116731465748</v>
      </c>
      <c r="O5822" s="149">
        <f t="shared" ca="1" si="192"/>
        <v>1.000173611111111</v>
      </c>
    </row>
    <row r="5823" spans="12:15" x14ac:dyDescent="0.25">
      <c r="L5823" s="147">
        <f ca="1"/>
        <v>51062</v>
      </c>
      <c r="M5823" s="92">
        <f t="shared" ca="1" si="191"/>
        <v>6.25</v>
      </c>
      <c r="N5823" s="143">
        <f ca="1">(PRODUCT($O$5:$O5823)-1)*36000/_xlfn.DAYS(L5823, $C$2)</f>
        <v>11.982262115086874</v>
      </c>
      <c r="O5823" s="149">
        <f t="shared" ca="1" si="192"/>
        <v>1.000173611111111</v>
      </c>
    </row>
    <row r="5824" spans="12:15" x14ac:dyDescent="0.25">
      <c r="L5824" s="147">
        <f ca="1"/>
        <v>51063</v>
      </c>
      <c r="M5824" s="92">
        <f t="shared" ca="1" si="191"/>
        <v>6.25</v>
      </c>
      <c r="N5824" s="143">
        <f ca="1">(PRODUCT($O$5:$O5824)-1)*36000/_xlfn.DAYS(L5824, $C$2)</f>
        <v>11.983357086732324</v>
      </c>
      <c r="O5824" s="149">
        <f t="shared" ca="1" si="192"/>
        <v>1.000173611111111</v>
      </c>
    </row>
    <row r="5825" spans="12:15" x14ac:dyDescent="0.25">
      <c r="L5825" s="147">
        <f ca="1"/>
        <v>51064</v>
      </c>
      <c r="M5825" s="92">
        <f t="shared" ca="1" si="191"/>
        <v>6.25</v>
      </c>
      <c r="N5825" s="143">
        <f ca="1">(PRODUCT($O$5:$O5825)-1)*36000/_xlfn.DAYS(L5825, $C$2)</f>
        <v>11.98445222960061</v>
      </c>
      <c r="O5825" s="149">
        <f t="shared" ca="1" si="192"/>
        <v>1.000173611111111</v>
      </c>
    </row>
    <row r="5826" spans="12:15" x14ac:dyDescent="0.25">
      <c r="L5826" s="147">
        <f ca="1"/>
        <v>51065</v>
      </c>
      <c r="M5826" s="92">
        <f t="shared" ca="1" si="191"/>
        <v>6.25</v>
      </c>
      <c r="N5826" s="143">
        <f ca="1">(PRODUCT($O$5:$O5826)-1)*36000/_xlfn.DAYS(L5826, $C$2)</f>
        <v>11.985547543698535</v>
      </c>
      <c r="O5826" s="149">
        <f t="shared" ca="1" si="192"/>
        <v>1.000173611111111</v>
      </c>
    </row>
    <row r="5827" spans="12:15" x14ac:dyDescent="0.25">
      <c r="L5827" s="147">
        <f ca="1"/>
        <v>51066</v>
      </c>
      <c r="M5827" s="92">
        <f t="shared" ca="1" si="191"/>
        <v>6.25</v>
      </c>
      <c r="N5827" s="143">
        <f ca="1">(PRODUCT($O$5:$O5827)-1)*36000/_xlfn.DAYS(L5827, $C$2)</f>
        <v>11.986643029032903</v>
      </c>
      <c r="O5827" s="149">
        <f t="shared" ca="1" si="192"/>
        <v>1.000173611111111</v>
      </c>
    </row>
    <row r="5828" spans="12:15" x14ac:dyDescent="0.25">
      <c r="L5828" s="147">
        <f ca="1"/>
        <v>51067</v>
      </c>
      <c r="M5828" s="92">
        <f t="shared" ca="1" si="191"/>
        <v>6.25</v>
      </c>
      <c r="N5828" s="143">
        <f ca="1">(PRODUCT($O$5:$O5828)-1)*36000/_xlfn.DAYS(L5828, $C$2)</f>
        <v>11.987738685610534</v>
      </c>
      <c r="O5828" s="149">
        <f t="shared" ca="1" si="192"/>
        <v>1.000173611111111</v>
      </c>
    </row>
    <row r="5829" spans="12:15" x14ac:dyDescent="0.25">
      <c r="L5829" s="147">
        <f ca="1"/>
        <v>51068</v>
      </c>
      <c r="M5829" s="92">
        <f t="shared" ref="M5829:M5892" ca="1" si="193">IFERROR(INDEX($E$27:$H$47, MATCH(L5829, $F$27:$F$47, 0), 4), IF(ISNUMBER(M5828), M5828, $C$5))</f>
        <v>6.25</v>
      </c>
      <c r="N5829" s="143">
        <f ca="1">(PRODUCT($O$5:$O5829)-1)*36000/_xlfn.DAYS(L5829, $C$2)</f>
        <v>11.98883451343826</v>
      </c>
      <c r="O5829" s="149">
        <f t="shared" ca="1" si="192"/>
        <v>1.000173611111111</v>
      </c>
    </row>
    <row r="5830" spans="12:15" x14ac:dyDescent="0.25">
      <c r="L5830" s="147">
        <f ca="1"/>
        <v>51069</v>
      </c>
      <c r="M5830" s="92">
        <f t="shared" ca="1" si="193"/>
        <v>6.25</v>
      </c>
      <c r="N5830" s="143">
        <f ca="1">(PRODUCT($O$5:$O5830)-1)*36000/_xlfn.DAYS(L5830, $C$2)</f>
        <v>11.989930512522923</v>
      </c>
      <c r="O5830" s="149">
        <f t="shared" ref="O5830:O5893" ca="1" si="194">1+M5830*IFERROR(_xlfn.DAYS(L5830, L5829), _xlfn.DAYS(L5830, $C$2))/36000</f>
        <v>1.000173611111111</v>
      </c>
    </row>
    <row r="5831" spans="12:15" x14ac:dyDescent="0.25">
      <c r="L5831" s="147">
        <f ca="1"/>
        <v>51070</v>
      </c>
      <c r="M5831" s="92">
        <f t="shared" ca="1" si="193"/>
        <v>6.25</v>
      </c>
      <c r="N5831" s="143">
        <f ca="1">(PRODUCT($O$5:$O5831)-1)*36000/_xlfn.DAYS(L5831, $C$2)</f>
        <v>11.991026682871377</v>
      </c>
      <c r="O5831" s="149">
        <f t="shared" ca="1" si="194"/>
        <v>1.000173611111111</v>
      </c>
    </row>
    <row r="5832" spans="12:15" x14ac:dyDescent="0.25">
      <c r="L5832" s="147">
        <f ca="1"/>
        <v>51071</v>
      </c>
      <c r="M5832" s="92">
        <f t="shared" ca="1" si="193"/>
        <v>6.25</v>
      </c>
      <c r="N5832" s="143">
        <f ca="1">(PRODUCT($O$5:$O5832)-1)*36000/_xlfn.DAYS(L5832, $C$2)</f>
        <v>11.992123024490491</v>
      </c>
      <c r="O5832" s="149">
        <f t="shared" ca="1" si="194"/>
        <v>1.000173611111111</v>
      </c>
    </row>
    <row r="5833" spans="12:15" x14ac:dyDescent="0.25">
      <c r="L5833" s="147">
        <f ca="1"/>
        <v>51072</v>
      </c>
      <c r="M5833" s="92">
        <f t="shared" ca="1" si="193"/>
        <v>6.25</v>
      </c>
      <c r="N5833" s="143">
        <f ca="1">(PRODUCT($O$5:$O5833)-1)*36000/_xlfn.DAYS(L5833, $C$2)</f>
        <v>11.993219537387141</v>
      </c>
      <c r="O5833" s="149">
        <f t="shared" ca="1" si="194"/>
        <v>1.000173611111111</v>
      </c>
    </row>
    <row r="5834" spans="12:15" x14ac:dyDescent="0.25">
      <c r="L5834" s="147">
        <f ca="1"/>
        <v>51073</v>
      </c>
      <c r="M5834" s="92">
        <f t="shared" ca="1" si="193"/>
        <v>6.25</v>
      </c>
      <c r="N5834" s="143">
        <f ca="1">(PRODUCT($O$5:$O5834)-1)*36000/_xlfn.DAYS(L5834, $C$2)</f>
        <v>11.994316221568223</v>
      </c>
      <c r="O5834" s="149">
        <f t="shared" ca="1" si="194"/>
        <v>1.000173611111111</v>
      </c>
    </row>
    <row r="5835" spans="12:15" x14ac:dyDescent="0.25">
      <c r="L5835" s="147">
        <f ca="1"/>
        <v>51074</v>
      </c>
      <c r="M5835" s="92">
        <f t="shared" ca="1" si="193"/>
        <v>6.25</v>
      </c>
      <c r="N5835" s="143">
        <f ca="1">(PRODUCT($O$5:$O5835)-1)*36000/_xlfn.DAYS(L5835, $C$2)</f>
        <v>11.995413077040634</v>
      </c>
      <c r="O5835" s="149">
        <f t="shared" ca="1" si="194"/>
        <v>1.000173611111111</v>
      </c>
    </row>
    <row r="5836" spans="12:15" x14ac:dyDescent="0.25">
      <c r="L5836" s="147">
        <f ca="1"/>
        <v>51075</v>
      </c>
      <c r="M5836" s="92">
        <f t="shared" ca="1" si="193"/>
        <v>6.25</v>
      </c>
      <c r="N5836" s="143">
        <f ca="1">(PRODUCT($O$5:$O5836)-1)*36000/_xlfn.DAYS(L5836, $C$2)</f>
        <v>11.996510103811289</v>
      </c>
      <c r="O5836" s="149">
        <f t="shared" ca="1" si="194"/>
        <v>1.000173611111111</v>
      </c>
    </row>
    <row r="5837" spans="12:15" x14ac:dyDescent="0.25">
      <c r="L5837" s="147">
        <f ca="1"/>
        <v>51076</v>
      </c>
      <c r="M5837" s="92">
        <f t="shared" ca="1" si="193"/>
        <v>6.25</v>
      </c>
      <c r="N5837" s="143">
        <f ca="1">(PRODUCT($O$5:$O5837)-1)*36000/_xlfn.DAYS(L5837, $C$2)</f>
        <v>11.997607301887115</v>
      </c>
      <c r="O5837" s="149">
        <f t="shared" ca="1" si="194"/>
        <v>1.000173611111111</v>
      </c>
    </row>
    <row r="5838" spans="12:15" x14ac:dyDescent="0.25">
      <c r="L5838" s="147">
        <f ca="1"/>
        <v>51077</v>
      </c>
      <c r="M5838" s="92">
        <f t="shared" ca="1" si="193"/>
        <v>6.25</v>
      </c>
      <c r="N5838" s="143">
        <f ca="1">(PRODUCT($O$5:$O5838)-1)*36000/_xlfn.DAYS(L5838, $C$2)</f>
        <v>11.998704671275048</v>
      </c>
      <c r="O5838" s="149">
        <f t="shared" ca="1" si="194"/>
        <v>1.000173611111111</v>
      </c>
    </row>
    <row r="5839" spans="12:15" x14ac:dyDescent="0.25">
      <c r="L5839" s="147">
        <f ca="1"/>
        <v>51078</v>
      </c>
      <c r="M5839" s="92">
        <f t="shared" ca="1" si="193"/>
        <v>6.25</v>
      </c>
      <c r="N5839" s="143">
        <f ca="1">(PRODUCT($O$5:$O5839)-1)*36000/_xlfn.DAYS(L5839, $C$2)</f>
        <v>11.999802211982038</v>
      </c>
      <c r="O5839" s="149">
        <f t="shared" ca="1" si="194"/>
        <v>1.000173611111111</v>
      </c>
    </row>
    <row r="5840" spans="12:15" x14ac:dyDescent="0.25">
      <c r="L5840" s="147">
        <f ca="1"/>
        <v>51079</v>
      </c>
      <c r="M5840" s="92">
        <f t="shared" ca="1" si="193"/>
        <v>6.25</v>
      </c>
      <c r="N5840" s="143">
        <f ca="1">(PRODUCT($O$5:$O5840)-1)*36000/_xlfn.DAYS(L5840, $C$2)</f>
        <v>12.000899924015043</v>
      </c>
      <c r="O5840" s="149">
        <f t="shared" ca="1" si="194"/>
        <v>1.000173611111111</v>
      </c>
    </row>
    <row r="5841" spans="12:15" x14ac:dyDescent="0.25">
      <c r="L5841" s="147">
        <f ca="1"/>
        <v>51080</v>
      </c>
      <c r="M5841" s="92">
        <f t="shared" ca="1" si="193"/>
        <v>6.25</v>
      </c>
      <c r="N5841" s="143">
        <f ca="1">(PRODUCT($O$5:$O5841)-1)*36000/_xlfn.DAYS(L5841, $C$2)</f>
        <v>12.001997807381041</v>
      </c>
      <c r="O5841" s="149">
        <f t="shared" ca="1" si="194"/>
        <v>1.000173611111111</v>
      </c>
    </row>
    <row r="5842" spans="12:15" x14ac:dyDescent="0.25">
      <c r="L5842" s="147">
        <f ca="1"/>
        <v>51081</v>
      </c>
      <c r="M5842" s="92">
        <f t="shared" ca="1" si="193"/>
        <v>6.25</v>
      </c>
      <c r="N5842" s="143">
        <f ca="1">(PRODUCT($O$5:$O5842)-1)*36000/_xlfn.DAYS(L5842, $C$2)</f>
        <v>12.003095862087013</v>
      </c>
      <c r="O5842" s="149">
        <f t="shared" ca="1" si="194"/>
        <v>1.000173611111111</v>
      </c>
    </row>
    <row r="5843" spans="12:15" x14ac:dyDescent="0.25">
      <c r="L5843" s="147">
        <f ca="1"/>
        <v>51082</v>
      </c>
      <c r="M5843" s="92">
        <f t="shared" ca="1" si="193"/>
        <v>6.25</v>
      </c>
      <c r="N5843" s="143">
        <f ca="1">(PRODUCT($O$5:$O5843)-1)*36000/_xlfn.DAYS(L5843, $C$2)</f>
        <v>12.004194088139952</v>
      </c>
      <c r="O5843" s="149">
        <f t="shared" ca="1" si="194"/>
        <v>1.000173611111111</v>
      </c>
    </row>
    <row r="5844" spans="12:15" x14ac:dyDescent="0.25">
      <c r="L5844" s="147">
        <f ca="1"/>
        <v>51083</v>
      </c>
      <c r="M5844" s="92">
        <f t="shared" ca="1" si="193"/>
        <v>6.25</v>
      </c>
      <c r="N5844" s="143">
        <f ca="1">(PRODUCT($O$5:$O5844)-1)*36000/_xlfn.DAYS(L5844, $C$2)</f>
        <v>12.005292485546869</v>
      </c>
      <c r="O5844" s="149">
        <f t="shared" ca="1" si="194"/>
        <v>1.000173611111111</v>
      </c>
    </row>
    <row r="5845" spans="12:15" x14ac:dyDescent="0.25">
      <c r="L5845" s="147">
        <f ca="1"/>
        <v>51084</v>
      </c>
      <c r="M5845" s="92">
        <f t="shared" ca="1" si="193"/>
        <v>6.25</v>
      </c>
      <c r="N5845" s="143">
        <f ca="1">(PRODUCT($O$5:$O5845)-1)*36000/_xlfn.DAYS(L5845, $C$2)</f>
        <v>12.006391054314788</v>
      </c>
      <c r="O5845" s="149">
        <f t="shared" ca="1" si="194"/>
        <v>1.000173611111111</v>
      </c>
    </row>
    <row r="5846" spans="12:15" x14ac:dyDescent="0.25">
      <c r="L5846" s="147">
        <f ca="1"/>
        <v>51085</v>
      </c>
      <c r="M5846" s="92">
        <f t="shared" ca="1" si="193"/>
        <v>6.25</v>
      </c>
      <c r="N5846" s="143">
        <f ca="1">(PRODUCT($O$5:$O5846)-1)*36000/_xlfn.DAYS(L5846, $C$2)</f>
        <v>12.007489794450732</v>
      </c>
      <c r="O5846" s="149">
        <f t="shared" ca="1" si="194"/>
        <v>1.000173611111111</v>
      </c>
    </row>
    <row r="5847" spans="12:15" x14ac:dyDescent="0.25">
      <c r="L5847" s="147">
        <f ca="1"/>
        <v>51086</v>
      </c>
      <c r="M5847" s="92">
        <f t="shared" ca="1" si="193"/>
        <v>6.25</v>
      </c>
      <c r="N5847" s="143">
        <f ca="1">(PRODUCT($O$5:$O5847)-1)*36000/_xlfn.DAYS(L5847, $C$2)</f>
        <v>12.008588705961751</v>
      </c>
      <c r="O5847" s="149">
        <f t="shared" ca="1" si="194"/>
        <v>1.000173611111111</v>
      </c>
    </row>
    <row r="5848" spans="12:15" x14ac:dyDescent="0.25">
      <c r="L5848" s="147">
        <f ca="1"/>
        <v>51087</v>
      </c>
      <c r="M5848" s="92">
        <f t="shared" ca="1" si="193"/>
        <v>6.25</v>
      </c>
      <c r="N5848" s="143">
        <f ca="1">(PRODUCT($O$5:$O5848)-1)*36000/_xlfn.DAYS(L5848, $C$2)</f>
        <v>12.009687788854894</v>
      </c>
      <c r="O5848" s="149">
        <f t="shared" ca="1" si="194"/>
        <v>1.000173611111111</v>
      </c>
    </row>
    <row r="5849" spans="12:15" x14ac:dyDescent="0.25">
      <c r="L5849" s="147">
        <f ca="1"/>
        <v>51088</v>
      </c>
      <c r="M5849" s="92">
        <f t="shared" ca="1" si="193"/>
        <v>6.25</v>
      </c>
      <c r="N5849" s="143">
        <f ca="1">(PRODUCT($O$5:$O5849)-1)*36000/_xlfn.DAYS(L5849, $C$2)</f>
        <v>12.010787043137228</v>
      </c>
      <c r="O5849" s="149">
        <f t="shared" ca="1" si="194"/>
        <v>1.000173611111111</v>
      </c>
    </row>
    <row r="5850" spans="12:15" x14ac:dyDescent="0.25">
      <c r="L5850" s="147">
        <f ca="1"/>
        <v>51089</v>
      </c>
      <c r="M5850" s="92">
        <f t="shared" ca="1" si="193"/>
        <v>6.25</v>
      </c>
      <c r="N5850" s="143">
        <f ca="1">(PRODUCT($O$5:$O5850)-1)*36000/_xlfn.DAYS(L5850, $C$2)</f>
        <v>12.011886468815831</v>
      </c>
      <c r="O5850" s="149">
        <f t="shared" ca="1" si="194"/>
        <v>1.000173611111111</v>
      </c>
    </row>
    <row r="5851" spans="12:15" x14ac:dyDescent="0.25">
      <c r="L5851" s="147">
        <f ca="1"/>
        <v>51090</v>
      </c>
      <c r="M5851" s="92">
        <f t="shared" ca="1" si="193"/>
        <v>6.25</v>
      </c>
      <c r="N5851" s="143">
        <f ca="1">(PRODUCT($O$5:$O5851)-1)*36000/_xlfn.DAYS(L5851, $C$2)</f>
        <v>12.012986065897794</v>
      </c>
      <c r="O5851" s="149">
        <f t="shared" ca="1" si="194"/>
        <v>1.000173611111111</v>
      </c>
    </row>
    <row r="5852" spans="12:15" x14ac:dyDescent="0.25">
      <c r="L5852" s="147">
        <f ca="1"/>
        <v>51091</v>
      </c>
      <c r="M5852" s="92">
        <f t="shared" ca="1" si="193"/>
        <v>6.25</v>
      </c>
      <c r="N5852" s="143">
        <f ca="1">(PRODUCT($O$5:$O5852)-1)*36000/_xlfn.DAYS(L5852, $C$2)</f>
        <v>12.014085834390217</v>
      </c>
      <c r="O5852" s="149">
        <f t="shared" ca="1" si="194"/>
        <v>1.000173611111111</v>
      </c>
    </row>
    <row r="5853" spans="12:15" x14ac:dyDescent="0.25">
      <c r="L5853" s="147">
        <f ca="1"/>
        <v>51092</v>
      </c>
      <c r="M5853" s="92">
        <f t="shared" ca="1" si="193"/>
        <v>6.25</v>
      </c>
      <c r="N5853" s="143">
        <f ca="1">(PRODUCT($O$5:$O5853)-1)*36000/_xlfn.DAYS(L5853, $C$2)</f>
        <v>12.015185774300216</v>
      </c>
      <c r="O5853" s="149">
        <f t="shared" ca="1" si="194"/>
        <v>1.000173611111111</v>
      </c>
    </row>
    <row r="5854" spans="12:15" x14ac:dyDescent="0.25">
      <c r="L5854" s="147">
        <f ca="1"/>
        <v>51093</v>
      </c>
      <c r="M5854" s="92">
        <f t="shared" ca="1" si="193"/>
        <v>6.25</v>
      </c>
      <c r="N5854" s="143">
        <f ca="1">(PRODUCT($O$5:$O5854)-1)*36000/_xlfn.DAYS(L5854, $C$2)</f>
        <v>12.016285885634909</v>
      </c>
      <c r="O5854" s="149">
        <f t="shared" ca="1" si="194"/>
        <v>1.000173611111111</v>
      </c>
    </row>
    <row r="5855" spans="12:15" x14ac:dyDescent="0.25">
      <c r="L5855" s="147">
        <f ca="1"/>
        <v>51094</v>
      </c>
      <c r="M5855" s="92">
        <f t="shared" ca="1" si="193"/>
        <v>6.25</v>
      </c>
      <c r="N5855" s="143">
        <f ca="1">(PRODUCT($O$5:$O5855)-1)*36000/_xlfn.DAYS(L5855, $C$2)</f>
        <v>12.017386168401437</v>
      </c>
      <c r="O5855" s="149">
        <f t="shared" ca="1" si="194"/>
        <v>1.000173611111111</v>
      </c>
    </row>
    <row r="5856" spans="12:15" x14ac:dyDescent="0.25">
      <c r="L5856" s="147">
        <f ca="1"/>
        <v>51095</v>
      </c>
      <c r="M5856" s="92">
        <f t="shared" ca="1" si="193"/>
        <v>6.25</v>
      </c>
      <c r="N5856" s="143">
        <f ca="1">(PRODUCT($O$5:$O5856)-1)*36000/_xlfn.DAYS(L5856, $C$2)</f>
        <v>12.018486622606947</v>
      </c>
      <c r="O5856" s="149">
        <f t="shared" ca="1" si="194"/>
        <v>1.000173611111111</v>
      </c>
    </row>
    <row r="5857" spans="12:15" x14ac:dyDescent="0.25">
      <c r="L5857" s="147">
        <f ca="1"/>
        <v>51096</v>
      </c>
      <c r="M5857" s="92">
        <f t="shared" ca="1" si="193"/>
        <v>6.25</v>
      </c>
      <c r="N5857" s="143">
        <f ca="1">(PRODUCT($O$5:$O5857)-1)*36000/_xlfn.DAYS(L5857, $C$2)</f>
        <v>12.019587248258597</v>
      </c>
      <c r="O5857" s="149">
        <f t="shared" ca="1" si="194"/>
        <v>1.000173611111111</v>
      </c>
    </row>
    <row r="5858" spans="12:15" x14ac:dyDescent="0.25">
      <c r="L5858" s="147">
        <f ca="1"/>
        <v>51097</v>
      </c>
      <c r="M5858" s="92">
        <f t="shared" ca="1" si="193"/>
        <v>6.25</v>
      </c>
      <c r="N5858" s="143">
        <f ca="1">(PRODUCT($O$5:$O5858)-1)*36000/_xlfn.DAYS(L5858, $C$2)</f>
        <v>12.020688045363558</v>
      </c>
      <c r="O5858" s="149">
        <f t="shared" ca="1" si="194"/>
        <v>1.000173611111111</v>
      </c>
    </row>
    <row r="5859" spans="12:15" x14ac:dyDescent="0.25">
      <c r="L5859" s="147">
        <f ca="1"/>
        <v>51098</v>
      </c>
      <c r="M5859" s="92">
        <f t="shared" ca="1" si="193"/>
        <v>6.25</v>
      </c>
      <c r="N5859" s="143">
        <f ca="1">(PRODUCT($O$5:$O5859)-1)*36000/_xlfn.DAYS(L5859, $C$2)</f>
        <v>12.021789013929011</v>
      </c>
      <c r="O5859" s="149">
        <f t="shared" ca="1" si="194"/>
        <v>1.000173611111111</v>
      </c>
    </row>
    <row r="5860" spans="12:15" x14ac:dyDescent="0.25">
      <c r="L5860" s="147">
        <f ca="1"/>
        <v>51099</v>
      </c>
      <c r="M5860" s="92">
        <f t="shared" ca="1" si="193"/>
        <v>6.25</v>
      </c>
      <c r="N5860" s="143">
        <f ca="1">(PRODUCT($O$5:$O5860)-1)*36000/_xlfn.DAYS(L5860, $C$2)</f>
        <v>12.02289015396215</v>
      </c>
      <c r="O5860" s="149">
        <f t="shared" ca="1" si="194"/>
        <v>1.000173611111111</v>
      </c>
    </row>
    <row r="5861" spans="12:15" x14ac:dyDescent="0.25">
      <c r="L5861" s="147">
        <f ca="1"/>
        <v>51100</v>
      </c>
      <c r="M5861" s="92">
        <f t="shared" ca="1" si="193"/>
        <v>6.25</v>
      </c>
      <c r="N5861" s="143">
        <f ca="1">(PRODUCT($O$5:$O5861)-1)*36000/_xlfn.DAYS(L5861, $C$2)</f>
        <v>12.023991465470187</v>
      </c>
      <c r="O5861" s="149">
        <f t="shared" ca="1" si="194"/>
        <v>1.000173611111111</v>
      </c>
    </row>
    <row r="5862" spans="12:15" x14ac:dyDescent="0.25">
      <c r="L5862" s="147">
        <f ca="1"/>
        <v>51101</v>
      </c>
      <c r="M5862" s="92">
        <f t="shared" ca="1" si="193"/>
        <v>6.25</v>
      </c>
      <c r="N5862" s="143">
        <f ca="1">(PRODUCT($O$5:$O5862)-1)*36000/_xlfn.DAYS(L5862, $C$2)</f>
        <v>12.02509294846033</v>
      </c>
      <c r="O5862" s="149">
        <f t="shared" ca="1" si="194"/>
        <v>1.000173611111111</v>
      </c>
    </row>
    <row r="5863" spans="12:15" x14ac:dyDescent="0.25">
      <c r="L5863" s="147">
        <f ca="1"/>
        <v>51102</v>
      </c>
      <c r="M5863" s="92">
        <f t="shared" ca="1" si="193"/>
        <v>6.25</v>
      </c>
      <c r="N5863" s="143">
        <f ca="1">(PRODUCT($O$5:$O5863)-1)*36000/_xlfn.DAYS(L5863, $C$2)</f>
        <v>12.026194602939814</v>
      </c>
      <c r="O5863" s="149">
        <f t="shared" ca="1" si="194"/>
        <v>1.000173611111111</v>
      </c>
    </row>
    <row r="5864" spans="12:15" x14ac:dyDescent="0.25">
      <c r="L5864" s="147">
        <f ca="1"/>
        <v>51103</v>
      </c>
      <c r="M5864" s="92">
        <f t="shared" ca="1" si="193"/>
        <v>6.25</v>
      </c>
      <c r="N5864" s="143">
        <f ca="1">(PRODUCT($O$5:$O5864)-1)*36000/_xlfn.DAYS(L5864, $C$2)</f>
        <v>12.027296428915875</v>
      </c>
      <c r="O5864" s="149">
        <f t="shared" ca="1" si="194"/>
        <v>1.000173611111111</v>
      </c>
    </row>
    <row r="5865" spans="12:15" x14ac:dyDescent="0.25">
      <c r="L5865" s="147">
        <f ca="1"/>
        <v>51104</v>
      </c>
      <c r="M5865" s="92">
        <f t="shared" ca="1" si="193"/>
        <v>6.25</v>
      </c>
      <c r="N5865" s="143">
        <f ca="1">(PRODUCT($O$5:$O5865)-1)*36000/_xlfn.DAYS(L5865, $C$2)</f>
        <v>12.028398426395771</v>
      </c>
      <c r="O5865" s="149">
        <f t="shared" ca="1" si="194"/>
        <v>1.000173611111111</v>
      </c>
    </row>
    <row r="5866" spans="12:15" x14ac:dyDescent="0.25">
      <c r="L5866" s="147">
        <f ca="1"/>
        <v>51105</v>
      </c>
      <c r="M5866" s="92">
        <f t="shared" ca="1" si="193"/>
        <v>6.25</v>
      </c>
      <c r="N5866" s="143">
        <f ca="1">(PRODUCT($O$5:$O5866)-1)*36000/_xlfn.DAYS(L5866, $C$2)</f>
        <v>12.029500595386759</v>
      </c>
      <c r="O5866" s="149">
        <f t="shared" ca="1" si="194"/>
        <v>1.000173611111111</v>
      </c>
    </row>
    <row r="5867" spans="12:15" x14ac:dyDescent="0.25">
      <c r="L5867" s="147">
        <f ca="1"/>
        <v>51106</v>
      </c>
      <c r="M5867" s="92">
        <f t="shared" ca="1" si="193"/>
        <v>6.25</v>
      </c>
      <c r="N5867" s="143">
        <f ca="1">(PRODUCT($O$5:$O5867)-1)*36000/_xlfn.DAYS(L5867, $C$2)</f>
        <v>12.030602935896118</v>
      </c>
      <c r="O5867" s="149">
        <f t="shared" ca="1" si="194"/>
        <v>1.000173611111111</v>
      </c>
    </row>
    <row r="5868" spans="12:15" x14ac:dyDescent="0.25">
      <c r="L5868" s="147">
        <f ca="1"/>
        <v>51107</v>
      </c>
      <c r="M5868" s="92">
        <f t="shared" ca="1" si="193"/>
        <v>6.25</v>
      </c>
      <c r="N5868" s="143">
        <f ca="1">(PRODUCT($O$5:$O5868)-1)*36000/_xlfn.DAYS(L5868, $C$2)</f>
        <v>12.031705447931131</v>
      </c>
      <c r="O5868" s="149">
        <f t="shared" ca="1" si="194"/>
        <v>1.000173611111111</v>
      </c>
    </row>
    <row r="5869" spans="12:15" x14ac:dyDescent="0.25">
      <c r="L5869" s="147">
        <f ca="1"/>
        <v>51108</v>
      </c>
      <c r="M5869" s="92">
        <f t="shared" ca="1" si="193"/>
        <v>6.25</v>
      </c>
      <c r="N5869" s="143">
        <f ca="1">(PRODUCT($O$5:$O5869)-1)*36000/_xlfn.DAYS(L5869, $C$2)</f>
        <v>12.032808131499099</v>
      </c>
      <c r="O5869" s="149">
        <f t="shared" ca="1" si="194"/>
        <v>1.000173611111111</v>
      </c>
    </row>
    <row r="5870" spans="12:15" x14ac:dyDescent="0.25">
      <c r="L5870" s="147">
        <f ca="1"/>
        <v>51109</v>
      </c>
      <c r="M5870" s="92">
        <f t="shared" ca="1" si="193"/>
        <v>6.25</v>
      </c>
      <c r="N5870" s="143">
        <f ca="1">(PRODUCT($O$5:$O5870)-1)*36000/_xlfn.DAYS(L5870, $C$2)</f>
        <v>12.033910986607333</v>
      </c>
      <c r="O5870" s="149">
        <f t="shared" ca="1" si="194"/>
        <v>1.000173611111111</v>
      </c>
    </row>
    <row r="5871" spans="12:15" x14ac:dyDescent="0.25">
      <c r="L5871" s="147">
        <f ca="1"/>
        <v>51110</v>
      </c>
      <c r="M5871" s="92">
        <f t="shared" ca="1" si="193"/>
        <v>6.25</v>
      </c>
      <c r="N5871" s="143">
        <f ca="1">(PRODUCT($O$5:$O5871)-1)*36000/_xlfn.DAYS(L5871, $C$2)</f>
        <v>12.035014013263149</v>
      </c>
      <c r="O5871" s="149">
        <f t="shared" ca="1" si="194"/>
        <v>1.000173611111111</v>
      </c>
    </row>
    <row r="5872" spans="12:15" x14ac:dyDescent="0.25">
      <c r="L5872" s="147">
        <f ca="1"/>
        <v>51111</v>
      </c>
      <c r="M5872" s="92">
        <f t="shared" ca="1" si="193"/>
        <v>6.25</v>
      </c>
      <c r="N5872" s="143">
        <f ca="1">(PRODUCT($O$5:$O5872)-1)*36000/_xlfn.DAYS(L5872, $C$2)</f>
        <v>12.036117211473885</v>
      </c>
      <c r="O5872" s="149">
        <f t="shared" ca="1" si="194"/>
        <v>1.000173611111111</v>
      </c>
    </row>
    <row r="5873" spans="12:15" x14ac:dyDescent="0.25">
      <c r="L5873" s="147">
        <f ca="1"/>
        <v>51112</v>
      </c>
      <c r="M5873" s="92">
        <f t="shared" ca="1" si="193"/>
        <v>6.25</v>
      </c>
      <c r="N5873" s="143">
        <f ca="1">(PRODUCT($O$5:$O5873)-1)*36000/_xlfn.DAYS(L5873, $C$2)</f>
        <v>12.037220581246878</v>
      </c>
      <c r="O5873" s="149">
        <f t="shared" ca="1" si="194"/>
        <v>1.000173611111111</v>
      </c>
    </row>
    <row r="5874" spans="12:15" x14ac:dyDescent="0.25">
      <c r="L5874" s="147">
        <f ca="1"/>
        <v>51113</v>
      </c>
      <c r="M5874" s="92">
        <f t="shared" ca="1" si="193"/>
        <v>6.25</v>
      </c>
      <c r="N5874" s="143">
        <f ca="1">(PRODUCT($O$5:$O5874)-1)*36000/_xlfn.DAYS(L5874, $C$2)</f>
        <v>12.038324122589492</v>
      </c>
      <c r="O5874" s="149">
        <f t="shared" ca="1" si="194"/>
        <v>1.000173611111111</v>
      </c>
    </row>
    <row r="5875" spans="12:15" x14ac:dyDescent="0.25">
      <c r="L5875" s="147">
        <f ca="1"/>
        <v>51114</v>
      </c>
      <c r="M5875" s="92">
        <f t="shared" ca="1" si="193"/>
        <v>6.25</v>
      </c>
      <c r="N5875" s="143">
        <f ca="1">(PRODUCT($O$5:$O5875)-1)*36000/_xlfn.DAYS(L5875, $C$2)</f>
        <v>12.039427835509084</v>
      </c>
      <c r="O5875" s="149">
        <f t="shared" ca="1" si="194"/>
        <v>1.000173611111111</v>
      </c>
    </row>
    <row r="5876" spans="12:15" x14ac:dyDescent="0.25">
      <c r="L5876" s="147">
        <f ca="1"/>
        <v>51115</v>
      </c>
      <c r="M5876" s="92">
        <f t="shared" ca="1" si="193"/>
        <v>6.25</v>
      </c>
      <c r="N5876" s="143">
        <f ca="1">(PRODUCT($O$5:$O5876)-1)*36000/_xlfn.DAYS(L5876, $C$2)</f>
        <v>12.040531720013044</v>
      </c>
      <c r="O5876" s="149">
        <f t="shared" ca="1" si="194"/>
        <v>1.000173611111111</v>
      </c>
    </row>
    <row r="5877" spans="12:15" x14ac:dyDescent="0.25">
      <c r="L5877" s="147">
        <f ca="1"/>
        <v>51116</v>
      </c>
      <c r="M5877" s="92">
        <f t="shared" ca="1" si="193"/>
        <v>6.25</v>
      </c>
      <c r="N5877" s="143">
        <f ca="1">(PRODUCT($O$5:$O5877)-1)*36000/_xlfn.DAYS(L5877, $C$2)</f>
        <v>12.041635776108754</v>
      </c>
      <c r="O5877" s="149">
        <f t="shared" ca="1" si="194"/>
        <v>1.000173611111111</v>
      </c>
    </row>
    <row r="5878" spans="12:15" x14ac:dyDescent="0.25">
      <c r="L5878" s="147">
        <f ca="1"/>
        <v>51117</v>
      </c>
      <c r="M5878" s="92">
        <f t="shared" ca="1" si="193"/>
        <v>6.25</v>
      </c>
      <c r="N5878" s="143">
        <f ca="1">(PRODUCT($O$5:$O5878)-1)*36000/_xlfn.DAYS(L5878, $C$2)</f>
        <v>12.042740003803615</v>
      </c>
      <c r="O5878" s="149">
        <f t="shared" ca="1" si="194"/>
        <v>1.000173611111111</v>
      </c>
    </row>
    <row r="5879" spans="12:15" x14ac:dyDescent="0.25">
      <c r="L5879" s="147">
        <f ca="1"/>
        <v>51118</v>
      </c>
      <c r="M5879" s="92">
        <f t="shared" ca="1" si="193"/>
        <v>6.25</v>
      </c>
      <c r="N5879" s="143">
        <f ca="1">(PRODUCT($O$5:$O5879)-1)*36000/_xlfn.DAYS(L5879, $C$2)</f>
        <v>12.043844403105044</v>
      </c>
      <c r="O5879" s="149">
        <f t="shared" ca="1" si="194"/>
        <v>1.000173611111111</v>
      </c>
    </row>
    <row r="5880" spans="12:15" x14ac:dyDescent="0.25">
      <c r="L5880" s="147">
        <f ca="1"/>
        <v>51119</v>
      </c>
      <c r="M5880" s="92">
        <f t="shared" ca="1" si="193"/>
        <v>6.25</v>
      </c>
      <c r="N5880" s="143">
        <f ca="1">(PRODUCT($O$5:$O5880)-1)*36000/_xlfn.DAYS(L5880, $C$2)</f>
        <v>12.044948974020466</v>
      </c>
      <c r="O5880" s="149">
        <f t="shared" ca="1" si="194"/>
        <v>1.000173611111111</v>
      </c>
    </row>
    <row r="5881" spans="12:15" x14ac:dyDescent="0.25">
      <c r="L5881" s="147">
        <f ca="1"/>
        <v>51120</v>
      </c>
      <c r="M5881" s="92">
        <f t="shared" ca="1" si="193"/>
        <v>6.25</v>
      </c>
      <c r="N5881" s="143">
        <f ca="1">(PRODUCT($O$5:$O5881)-1)*36000/_xlfn.DAYS(L5881, $C$2)</f>
        <v>12.046053716557314</v>
      </c>
      <c r="O5881" s="149">
        <f t="shared" ca="1" si="194"/>
        <v>1.000173611111111</v>
      </c>
    </row>
    <row r="5882" spans="12:15" x14ac:dyDescent="0.25">
      <c r="L5882" s="147">
        <f ca="1"/>
        <v>51121</v>
      </c>
      <c r="M5882" s="92">
        <f t="shared" ca="1" si="193"/>
        <v>6.25</v>
      </c>
      <c r="N5882" s="143">
        <f ca="1">(PRODUCT($O$5:$O5882)-1)*36000/_xlfn.DAYS(L5882, $C$2)</f>
        <v>12.047158630723036</v>
      </c>
      <c r="O5882" s="149">
        <f t="shared" ca="1" si="194"/>
        <v>1.000173611111111</v>
      </c>
    </row>
    <row r="5883" spans="12:15" x14ac:dyDescent="0.25">
      <c r="L5883" s="147">
        <f ca="1"/>
        <v>51122</v>
      </c>
      <c r="M5883" s="92">
        <f t="shared" ca="1" si="193"/>
        <v>6.25</v>
      </c>
      <c r="N5883" s="143">
        <f ca="1">(PRODUCT($O$5:$O5883)-1)*36000/_xlfn.DAYS(L5883, $C$2)</f>
        <v>12.048263716525089</v>
      </c>
      <c r="O5883" s="149">
        <f t="shared" ca="1" si="194"/>
        <v>1.000173611111111</v>
      </c>
    </row>
    <row r="5884" spans="12:15" x14ac:dyDescent="0.25">
      <c r="L5884" s="147">
        <f ca="1"/>
        <v>51123</v>
      </c>
      <c r="M5884" s="92">
        <f t="shared" ca="1" si="193"/>
        <v>6.25</v>
      </c>
      <c r="N5884" s="143">
        <f ca="1">(PRODUCT($O$5:$O5884)-1)*36000/_xlfn.DAYS(L5884, $C$2)</f>
        <v>12.049368973970948</v>
      </c>
      <c r="O5884" s="149">
        <f t="shared" ca="1" si="194"/>
        <v>1.000173611111111</v>
      </c>
    </row>
    <row r="5885" spans="12:15" x14ac:dyDescent="0.25">
      <c r="L5885" s="147">
        <f ca="1"/>
        <v>51124</v>
      </c>
      <c r="M5885" s="92">
        <f t="shared" ca="1" si="193"/>
        <v>6.25</v>
      </c>
      <c r="N5885" s="143">
        <f ca="1">(PRODUCT($O$5:$O5885)-1)*36000/_xlfn.DAYS(L5885, $C$2)</f>
        <v>12.050474403068089</v>
      </c>
      <c r="O5885" s="149">
        <f t="shared" ca="1" si="194"/>
        <v>1.000173611111111</v>
      </c>
    </row>
    <row r="5886" spans="12:15" x14ac:dyDescent="0.25">
      <c r="L5886" s="147">
        <f ca="1"/>
        <v>51125</v>
      </c>
      <c r="M5886" s="92">
        <f t="shared" ca="1" si="193"/>
        <v>6.25</v>
      </c>
      <c r="N5886" s="143">
        <f ca="1">(PRODUCT($O$5:$O5886)-1)*36000/_xlfn.DAYS(L5886, $C$2)</f>
        <v>12.051580003824006</v>
      </c>
      <c r="O5886" s="149">
        <f t="shared" ca="1" si="194"/>
        <v>1.000173611111111</v>
      </c>
    </row>
    <row r="5887" spans="12:15" x14ac:dyDescent="0.25">
      <c r="L5887" s="147">
        <f ca="1"/>
        <v>51126</v>
      </c>
      <c r="M5887" s="92">
        <f t="shared" ca="1" si="193"/>
        <v>6.25</v>
      </c>
      <c r="N5887" s="143">
        <f ca="1">(PRODUCT($O$5:$O5887)-1)*36000/_xlfn.DAYS(L5887, $C$2)</f>
        <v>12.052685776246205</v>
      </c>
      <c r="O5887" s="149">
        <f t="shared" ca="1" si="194"/>
        <v>1.000173611111111</v>
      </c>
    </row>
    <row r="5888" spans="12:15" x14ac:dyDescent="0.25">
      <c r="L5888" s="147">
        <f ca="1"/>
        <v>51127</v>
      </c>
      <c r="M5888" s="92">
        <f t="shared" ca="1" si="193"/>
        <v>6.25</v>
      </c>
      <c r="N5888" s="143">
        <f ca="1">(PRODUCT($O$5:$O5888)-1)*36000/_xlfn.DAYS(L5888, $C$2)</f>
        <v>12.0537917203422</v>
      </c>
      <c r="O5888" s="149">
        <f t="shared" ca="1" si="194"/>
        <v>1.000173611111111</v>
      </c>
    </row>
    <row r="5889" spans="12:15" x14ac:dyDescent="0.25">
      <c r="L5889" s="147">
        <f ca="1"/>
        <v>51128</v>
      </c>
      <c r="M5889" s="92">
        <f t="shared" ca="1" si="193"/>
        <v>6.25</v>
      </c>
      <c r="N5889" s="143">
        <f ca="1">(PRODUCT($O$5:$O5889)-1)*36000/_xlfn.DAYS(L5889, $C$2)</f>
        <v>12.054897836119522</v>
      </c>
      <c r="O5889" s="149">
        <f t="shared" ca="1" si="194"/>
        <v>1.000173611111111</v>
      </c>
    </row>
    <row r="5890" spans="12:15" x14ac:dyDescent="0.25">
      <c r="L5890" s="147">
        <f ca="1"/>
        <v>51129</v>
      </c>
      <c r="M5890" s="92">
        <f t="shared" ca="1" si="193"/>
        <v>6.25</v>
      </c>
      <c r="N5890" s="143">
        <f ca="1">(PRODUCT($O$5:$O5890)-1)*36000/_xlfn.DAYS(L5890, $C$2)</f>
        <v>12.056004123585703</v>
      </c>
      <c r="O5890" s="149">
        <f t="shared" ca="1" si="194"/>
        <v>1.000173611111111</v>
      </c>
    </row>
    <row r="5891" spans="12:15" x14ac:dyDescent="0.25">
      <c r="L5891" s="147">
        <f ca="1"/>
        <v>51130</v>
      </c>
      <c r="M5891" s="92">
        <f t="shared" ca="1" si="193"/>
        <v>6.25</v>
      </c>
      <c r="N5891" s="143">
        <f ca="1">(PRODUCT($O$5:$O5891)-1)*36000/_xlfn.DAYS(L5891, $C$2)</f>
        <v>12.057110582748297</v>
      </c>
      <c r="O5891" s="149">
        <f t="shared" ca="1" si="194"/>
        <v>1.000173611111111</v>
      </c>
    </row>
    <row r="5892" spans="12:15" x14ac:dyDescent="0.25">
      <c r="L5892" s="147">
        <f ca="1"/>
        <v>51131</v>
      </c>
      <c r="M5892" s="92">
        <f t="shared" ca="1" si="193"/>
        <v>6.25</v>
      </c>
      <c r="N5892" s="143">
        <f ca="1">(PRODUCT($O$5:$O5892)-1)*36000/_xlfn.DAYS(L5892, $C$2)</f>
        <v>12.058217213614865</v>
      </c>
      <c r="O5892" s="149">
        <f t="shared" ca="1" si="194"/>
        <v>1.000173611111111</v>
      </c>
    </row>
    <row r="5893" spans="12:15" x14ac:dyDescent="0.25">
      <c r="L5893" s="147">
        <f ca="1"/>
        <v>51132</v>
      </c>
      <c r="M5893" s="92">
        <f t="shared" ref="M5893:M5956" ca="1" si="195">IFERROR(INDEX($E$27:$H$47, MATCH(L5893, $F$27:$F$47, 0), 4), IF(ISNUMBER(M5892), M5892, $C$5))</f>
        <v>6.25</v>
      </c>
      <c r="N5893" s="143">
        <f ca="1">(PRODUCT($O$5:$O5893)-1)*36000/_xlfn.DAYS(L5893, $C$2)</f>
        <v>12.05932401619298</v>
      </c>
      <c r="O5893" s="149">
        <f t="shared" ca="1" si="194"/>
        <v>1.000173611111111</v>
      </c>
    </row>
    <row r="5894" spans="12:15" x14ac:dyDescent="0.25">
      <c r="L5894" s="147">
        <f ca="1"/>
        <v>51133</v>
      </c>
      <c r="M5894" s="92">
        <f t="shared" ca="1" si="195"/>
        <v>6.25</v>
      </c>
      <c r="N5894" s="143">
        <f ca="1">(PRODUCT($O$5:$O5894)-1)*36000/_xlfn.DAYS(L5894, $C$2)</f>
        <v>12.060430990490225</v>
      </c>
      <c r="O5894" s="149">
        <f t="shared" ref="O5894:O5957" ca="1" si="196">1+M5894*IFERROR(_xlfn.DAYS(L5894, L5893), _xlfn.DAYS(L5894, $C$2))/36000</f>
        <v>1.000173611111111</v>
      </c>
    </row>
    <row r="5895" spans="12:15" x14ac:dyDescent="0.25">
      <c r="L5895" s="147">
        <f ca="1"/>
        <v>51134</v>
      </c>
      <c r="M5895" s="92">
        <f t="shared" ca="1" si="195"/>
        <v>6.25</v>
      </c>
      <c r="N5895" s="143">
        <f ca="1">(PRODUCT($O$5:$O5895)-1)*36000/_xlfn.DAYS(L5895, $C$2)</f>
        <v>12.061538136514196</v>
      </c>
      <c r="O5895" s="149">
        <f t="shared" ca="1" si="196"/>
        <v>1.000173611111111</v>
      </c>
    </row>
    <row r="5896" spans="12:15" x14ac:dyDescent="0.25">
      <c r="L5896" s="147">
        <f ca="1"/>
        <v>51135</v>
      </c>
      <c r="M5896" s="92">
        <f t="shared" ca="1" si="195"/>
        <v>6.25</v>
      </c>
      <c r="N5896" s="143">
        <f ca="1">(PRODUCT($O$5:$O5896)-1)*36000/_xlfn.DAYS(L5896, $C$2)</f>
        <v>12.062645454272499</v>
      </c>
      <c r="O5896" s="149">
        <f t="shared" ca="1" si="196"/>
        <v>1.000173611111111</v>
      </c>
    </row>
    <row r="5897" spans="12:15" x14ac:dyDescent="0.25">
      <c r="L5897" s="147">
        <f ca="1"/>
        <v>51136</v>
      </c>
      <c r="M5897" s="92">
        <f t="shared" ca="1" si="195"/>
        <v>6.25</v>
      </c>
      <c r="N5897" s="143">
        <f ca="1">(PRODUCT($O$5:$O5897)-1)*36000/_xlfn.DAYS(L5897, $C$2)</f>
        <v>12.063752943772748</v>
      </c>
      <c r="O5897" s="149">
        <f t="shared" ca="1" si="196"/>
        <v>1.000173611111111</v>
      </c>
    </row>
    <row r="5898" spans="12:15" x14ac:dyDescent="0.25">
      <c r="L5898" s="147">
        <f ca="1"/>
        <v>51137</v>
      </c>
      <c r="M5898" s="92">
        <f t="shared" ca="1" si="195"/>
        <v>6.25</v>
      </c>
      <c r="N5898" s="143">
        <f ca="1">(PRODUCT($O$5:$O5898)-1)*36000/_xlfn.DAYS(L5898, $C$2)</f>
        <v>12.064860605022579</v>
      </c>
      <c r="O5898" s="149">
        <f t="shared" ca="1" si="196"/>
        <v>1.000173611111111</v>
      </c>
    </row>
    <row r="5899" spans="12:15" x14ac:dyDescent="0.25">
      <c r="L5899" s="147">
        <f ca="1"/>
        <v>51138</v>
      </c>
      <c r="M5899" s="92">
        <f t="shared" ca="1" si="195"/>
        <v>6.25</v>
      </c>
      <c r="N5899" s="143">
        <f ca="1">(PRODUCT($O$5:$O5899)-1)*36000/_xlfn.DAYS(L5899, $C$2)</f>
        <v>12.065968438029632</v>
      </c>
      <c r="O5899" s="149">
        <f t="shared" ca="1" si="196"/>
        <v>1.000173611111111</v>
      </c>
    </row>
    <row r="5900" spans="12:15" x14ac:dyDescent="0.25">
      <c r="L5900" s="147">
        <f ca="1"/>
        <v>51139</v>
      </c>
      <c r="M5900" s="92">
        <f t="shared" ca="1" si="195"/>
        <v>6.25</v>
      </c>
      <c r="N5900" s="143">
        <f ca="1">(PRODUCT($O$5:$O5900)-1)*36000/_xlfn.DAYS(L5900, $C$2)</f>
        <v>12.067076442801554</v>
      </c>
      <c r="O5900" s="149">
        <f t="shared" ca="1" si="196"/>
        <v>1.000173611111111</v>
      </c>
    </row>
    <row r="5901" spans="12:15" x14ac:dyDescent="0.25">
      <c r="L5901" s="147">
        <f ca="1"/>
        <v>51140</v>
      </c>
      <c r="M5901" s="92">
        <f t="shared" ca="1" si="195"/>
        <v>6.25</v>
      </c>
      <c r="N5901" s="143">
        <f ca="1">(PRODUCT($O$5:$O5901)-1)*36000/_xlfn.DAYS(L5901, $C$2)</f>
        <v>12.068184619346011</v>
      </c>
      <c r="O5901" s="149">
        <f t="shared" ca="1" si="196"/>
        <v>1.000173611111111</v>
      </c>
    </row>
    <row r="5902" spans="12:15" x14ac:dyDescent="0.25">
      <c r="L5902" s="147">
        <f ca="1"/>
        <v>51141</v>
      </c>
      <c r="M5902" s="92">
        <f t="shared" ca="1" si="195"/>
        <v>6.25</v>
      </c>
      <c r="N5902" s="143">
        <f ca="1">(PRODUCT($O$5:$O5902)-1)*36000/_xlfn.DAYS(L5902, $C$2)</f>
        <v>12.06929296767068</v>
      </c>
      <c r="O5902" s="149">
        <f t="shared" ca="1" si="196"/>
        <v>1.000173611111111</v>
      </c>
    </row>
    <row r="5903" spans="12:15" x14ac:dyDescent="0.25">
      <c r="L5903" s="147">
        <f ca="1"/>
        <v>51142</v>
      </c>
      <c r="M5903" s="92">
        <f t="shared" ca="1" si="195"/>
        <v>6.25</v>
      </c>
      <c r="N5903" s="143">
        <f ca="1">(PRODUCT($O$5:$O5903)-1)*36000/_xlfn.DAYS(L5903, $C$2)</f>
        <v>12.070401487783242</v>
      </c>
      <c r="O5903" s="149">
        <f t="shared" ca="1" si="196"/>
        <v>1.000173611111111</v>
      </c>
    </row>
    <row r="5904" spans="12:15" x14ac:dyDescent="0.25">
      <c r="L5904" s="147">
        <f ca="1"/>
        <v>51143</v>
      </c>
      <c r="M5904" s="92">
        <f t="shared" ca="1" si="195"/>
        <v>6.25</v>
      </c>
      <c r="N5904" s="143">
        <f ca="1">(PRODUCT($O$5:$O5904)-1)*36000/_xlfn.DAYS(L5904, $C$2)</f>
        <v>12.071510179691398</v>
      </c>
      <c r="O5904" s="149">
        <f t="shared" ca="1" si="196"/>
        <v>1.000173611111111</v>
      </c>
    </row>
    <row r="5905" spans="12:15" x14ac:dyDescent="0.25">
      <c r="L5905" s="147">
        <f ca="1"/>
        <v>51144</v>
      </c>
      <c r="M5905" s="92">
        <f t="shared" ca="1" si="195"/>
        <v>6.25</v>
      </c>
      <c r="N5905" s="143">
        <f ca="1">(PRODUCT($O$5:$O5905)-1)*36000/_xlfn.DAYS(L5905, $C$2)</f>
        <v>12.072619043402852</v>
      </c>
      <c r="O5905" s="149">
        <f t="shared" ca="1" si="196"/>
        <v>1.000173611111111</v>
      </c>
    </row>
    <row r="5906" spans="12:15" x14ac:dyDescent="0.25">
      <c r="L5906" s="147">
        <f ca="1"/>
        <v>51145</v>
      </c>
      <c r="M5906" s="92">
        <f t="shared" ca="1" si="195"/>
        <v>6.25</v>
      </c>
      <c r="N5906" s="143">
        <f ca="1">(PRODUCT($O$5:$O5906)-1)*36000/_xlfn.DAYS(L5906, $C$2)</f>
        <v>12.073728078925329</v>
      </c>
      <c r="O5906" s="149">
        <f t="shared" ca="1" si="196"/>
        <v>1.000173611111111</v>
      </c>
    </row>
    <row r="5907" spans="12:15" x14ac:dyDescent="0.25">
      <c r="L5907" s="147">
        <f ca="1"/>
        <v>51146</v>
      </c>
      <c r="M5907" s="92">
        <f t="shared" ca="1" si="195"/>
        <v>6.25</v>
      </c>
      <c r="N5907" s="143">
        <f ca="1">(PRODUCT($O$5:$O5907)-1)*36000/_xlfn.DAYS(L5907, $C$2)</f>
        <v>12.074837286266559</v>
      </c>
      <c r="O5907" s="149">
        <f t="shared" ca="1" si="196"/>
        <v>1.000173611111111</v>
      </c>
    </row>
    <row r="5908" spans="12:15" x14ac:dyDescent="0.25">
      <c r="L5908" s="147">
        <f ca="1"/>
        <v>51147</v>
      </c>
      <c r="M5908" s="92">
        <f t="shared" ca="1" si="195"/>
        <v>6.25</v>
      </c>
      <c r="N5908" s="143">
        <f ca="1">(PRODUCT($O$5:$O5908)-1)*36000/_xlfn.DAYS(L5908, $C$2)</f>
        <v>12.075946665434282</v>
      </c>
      <c r="O5908" s="149">
        <f t="shared" ca="1" si="196"/>
        <v>1.000173611111111</v>
      </c>
    </row>
    <row r="5909" spans="12:15" x14ac:dyDescent="0.25">
      <c r="L5909" s="147">
        <f ca="1"/>
        <v>51148</v>
      </c>
      <c r="M5909" s="92">
        <f t="shared" ca="1" si="195"/>
        <v>6.25</v>
      </c>
      <c r="N5909" s="143">
        <f ca="1">(PRODUCT($O$5:$O5909)-1)*36000/_xlfn.DAYS(L5909, $C$2)</f>
        <v>12.077056216436251</v>
      </c>
      <c r="O5909" s="149">
        <f t="shared" ca="1" si="196"/>
        <v>1.000173611111111</v>
      </c>
    </row>
    <row r="5910" spans="12:15" x14ac:dyDescent="0.25">
      <c r="L5910" s="147">
        <f ca="1"/>
        <v>51149</v>
      </c>
      <c r="M5910" s="92">
        <f t="shared" ca="1" si="195"/>
        <v>6.25</v>
      </c>
      <c r="N5910" s="143">
        <f ca="1">(PRODUCT($O$5:$O5910)-1)*36000/_xlfn.DAYS(L5910, $C$2)</f>
        <v>12.078165939280233</v>
      </c>
      <c r="O5910" s="149">
        <f t="shared" ca="1" si="196"/>
        <v>1.000173611111111</v>
      </c>
    </row>
    <row r="5911" spans="12:15" x14ac:dyDescent="0.25">
      <c r="L5911" s="147">
        <f ca="1"/>
        <v>51150</v>
      </c>
      <c r="M5911" s="92">
        <f t="shared" ca="1" si="195"/>
        <v>6.25</v>
      </c>
      <c r="N5911" s="143">
        <f ca="1">(PRODUCT($O$5:$O5911)-1)*36000/_xlfn.DAYS(L5911, $C$2)</f>
        <v>12.079275833974</v>
      </c>
      <c r="O5911" s="149">
        <f t="shared" ca="1" si="196"/>
        <v>1.000173611111111</v>
      </c>
    </row>
    <row r="5912" spans="12:15" x14ac:dyDescent="0.25">
      <c r="L5912" s="147">
        <f ca="1"/>
        <v>51151</v>
      </c>
      <c r="M5912" s="92">
        <f t="shared" ca="1" si="195"/>
        <v>6.25</v>
      </c>
      <c r="N5912" s="143">
        <f ca="1">(PRODUCT($O$5:$O5912)-1)*36000/_xlfn.DAYS(L5912, $C$2)</f>
        <v>12.080385900525345</v>
      </c>
      <c r="O5912" s="149">
        <f t="shared" ca="1" si="196"/>
        <v>1.000173611111111</v>
      </c>
    </row>
    <row r="5913" spans="12:15" x14ac:dyDescent="0.25">
      <c r="L5913" s="147">
        <f ca="1"/>
        <v>51152</v>
      </c>
      <c r="M5913" s="92">
        <f t="shared" ca="1" si="195"/>
        <v>6.25</v>
      </c>
      <c r="N5913" s="143">
        <f ca="1">(PRODUCT($O$5:$O5913)-1)*36000/_xlfn.DAYS(L5913, $C$2)</f>
        <v>12.081496138942061</v>
      </c>
      <c r="O5913" s="149">
        <f t="shared" ca="1" si="196"/>
        <v>1.000173611111111</v>
      </c>
    </row>
    <row r="5914" spans="12:15" x14ac:dyDescent="0.25">
      <c r="L5914" s="147">
        <f ca="1"/>
        <v>51153</v>
      </c>
      <c r="M5914" s="92">
        <f t="shared" ca="1" si="195"/>
        <v>6.25</v>
      </c>
      <c r="N5914" s="143">
        <f ca="1">(PRODUCT($O$5:$O5914)-1)*36000/_xlfn.DAYS(L5914, $C$2)</f>
        <v>12.082606549231961</v>
      </c>
      <c r="O5914" s="149">
        <f t="shared" ca="1" si="196"/>
        <v>1.000173611111111</v>
      </c>
    </row>
    <row r="5915" spans="12:15" x14ac:dyDescent="0.25">
      <c r="L5915" s="147">
        <f ca="1"/>
        <v>51154</v>
      </c>
      <c r="M5915" s="92">
        <f t="shared" ca="1" si="195"/>
        <v>6.25</v>
      </c>
      <c r="N5915" s="143">
        <f ca="1">(PRODUCT($O$5:$O5915)-1)*36000/_xlfn.DAYS(L5915, $C$2)</f>
        <v>12.083717131402866</v>
      </c>
      <c r="O5915" s="149">
        <f t="shared" ca="1" si="196"/>
        <v>1.000173611111111</v>
      </c>
    </row>
    <row r="5916" spans="12:15" x14ac:dyDescent="0.25">
      <c r="L5916" s="147">
        <f ca="1"/>
        <v>51155</v>
      </c>
      <c r="M5916" s="92">
        <f t="shared" ca="1" si="195"/>
        <v>6.25</v>
      </c>
      <c r="N5916" s="143">
        <f ca="1">(PRODUCT($O$5:$O5916)-1)*36000/_xlfn.DAYS(L5916, $C$2)</f>
        <v>12.084827885462603</v>
      </c>
      <c r="O5916" s="149">
        <f t="shared" ca="1" si="196"/>
        <v>1.000173611111111</v>
      </c>
    </row>
    <row r="5917" spans="12:15" x14ac:dyDescent="0.25">
      <c r="L5917" s="147">
        <f ca="1"/>
        <v>51156</v>
      </c>
      <c r="M5917" s="92">
        <f t="shared" ca="1" si="195"/>
        <v>6.25</v>
      </c>
      <c r="N5917" s="143">
        <f ca="1">(PRODUCT($O$5:$O5917)-1)*36000/_xlfn.DAYS(L5917, $C$2)</f>
        <v>12.085938811419023</v>
      </c>
      <c r="O5917" s="149">
        <f t="shared" ca="1" si="196"/>
        <v>1.000173611111111</v>
      </c>
    </row>
    <row r="5918" spans="12:15" x14ac:dyDescent="0.25">
      <c r="L5918" s="147">
        <f ca="1"/>
        <v>51157</v>
      </c>
      <c r="M5918" s="92">
        <f t="shared" ca="1" si="195"/>
        <v>6.25</v>
      </c>
      <c r="N5918" s="143">
        <f ca="1">(PRODUCT($O$5:$O5918)-1)*36000/_xlfn.DAYS(L5918, $C$2)</f>
        <v>12.087049909279976</v>
      </c>
      <c r="O5918" s="149">
        <f t="shared" ca="1" si="196"/>
        <v>1.000173611111111</v>
      </c>
    </row>
    <row r="5919" spans="12:15" x14ac:dyDescent="0.25">
      <c r="L5919" s="147">
        <f ca="1"/>
        <v>51158</v>
      </c>
      <c r="M5919" s="92">
        <f t="shared" ca="1" si="195"/>
        <v>6.25</v>
      </c>
      <c r="N5919" s="143">
        <f ca="1">(PRODUCT($O$5:$O5919)-1)*36000/_xlfn.DAYS(L5919, $C$2)</f>
        <v>12.088161179053325</v>
      </c>
      <c r="O5919" s="149">
        <f t="shared" ca="1" si="196"/>
        <v>1.000173611111111</v>
      </c>
    </row>
    <row r="5920" spans="12:15" x14ac:dyDescent="0.25">
      <c r="L5920" s="147">
        <f ca="1"/>
        <v>51159</v>
      </c>
      <c r="M5920" s="92">
        <f t="shared" ca="1" si="195"/>
        <v>6.25</v>
      </c>
      <c r="N5920" s="143">
        <f ca="1">(PRODUCT($O$5:$O5920)-1)*36000/_xlfn.DAYS(L5920, $C$2)</f>
        <v>12.089272620746954</v>
      </c>
      <c r="O5920" s="149">
        <f t="shared" ca="1" si="196"/>
        <v>1.000173611111111</v>
      </c>
    </row>
    <row r="5921" spans="12:15" x14ac:dyDescent="0.25">
      <c r="L5921" s="147">
        <f ca="1"/>
        <v>51160</v>
      </c>
      <c r="M5921" s="92">
        <f t="shared" ca="1" si="195"/>
        <v>6.25</v>
      </c>
      <c r="N5921" s="143">
        <f ca="1">(PRODUCT($O$5:$O5921)-1)*36000/_xlfn.DAYS(L5921, $C$2)</f>
        <v>12.090384234368742</v>
      </c>
      <c r="O5921" s="149">
        <f t="shared" ca="1" si="196"/>
        <v>1.000173611111111</v>
      </c>
    </row>
    <row r="5922" spans="12:15" x14ac:dyDescent="0.25">
      <c r="L5922" s="147">
        <f ca="1"/>
        <v>51161</v>
      </c>
      <c r="M5922" s="92">
        <f t="shared" ca="1" si="195"/>
        <v>6.25</v>
      </c>
      <c r="N5922" s="143">
        <f ca="1">(PRODUCT($O$5:$O5922)-1)*36000/_xlfn.DAYS(L5922, $C$2)</f>
        <v>12.091496019926595</v>
      </c>
      <c r="O5922" s="149">
        <f t="shared" ca="1" si="196"/>
        <v>1.000173611111111</v>
      </c>
    </row>
    <row r="5923" spans="12:15" x14ac:dyDescent="0.25">
      <c r="L5923" s="147">
        <f ca="1"/>
        <v>51162</v>
      </c>
      <c r="M5923" s="92">
        <f t="shared" ca="1" si="195"/>
        <v>6.25</v>
      </c>
      <c r="N5923" s="143">
        <f ca="1">(PRODUCT($O$5:$O5923)-1)*36000/_xlfn.DAYS(L5923, $C$2)</f>
        <v>12.092607977428424</v>
      </c>
      <c r="O5923" s="149">
        <f t="shared" ca="1" si="196"/>
        <v>1.000173611111111</v>
      </c>
    </row>
    <row r="5924" spans="12:15" x14ac:dyDescent="0.25">
      <c r="L5924" s="147">
        <f ca="1"/>
        <v>51163</v>
      </c>
      <c r="M5924" s="92">
        <f t="shared" ca="1" si="195"/>
        <v>6.25</v>
      </c>
      <c r="N5924" s="143">
        <f ca="1">(PRODUCT($O$5:$O5924)-1)*36000/_xlfn.DAYS(L5924, $C$2)</f>
        <v>12.093720106882147</v>
      </c>
      <c r="O5924" s="149">
        <f t="shared" ca="1" si="196"/>
        <v>1.000173611111111</v>
      </c>
    </row>
    <row r="5925" spans="12:15" x14ac:dyDescent="0.25">
      <c r="L5925" s="147">
        <f ca="1"/>
        <v>51164</v>
      </c>
      <c r="M5925" s="92">
        <f t="shared" ca="1" si="195"/>
        <v>6.25</v>
      </c>
      <c r="N5925" s="143">
        <f ca="1">(PRODUCT($O$5:$O5925)-1)*36000/_xlfn.DAYS(L5925, $C$2)</f>
        <v>12.094832408295696</v>
      </c>
      <c r="O5925" s="149">
        <f t="shared" ca="1" si="196"/>
        <v>1.000173611111111</v>
      </c>
    </row>
    <row r="5926" spans="12:15" x14ac:dyDescent="0.25">
      <c r="L5926" s="147">
        <f ca="1"/>
        <v>51165</v>
      </c>
      <c r="M5926" s="92">
        <f t="shared" ca="1" si="195"/>
        <v>6.25</v>
      </c>
      <c r="N5926" s="143">
        <f ca="1">(PRODUCT($O$5:$O5926)-1)*36000/_xlfn.DAYS(L5926, $C$2)</f>
        <v>12.095944881677019</v>
      </c>
      <c r="O5926" s="149">
        <f t="shared" ca="1" si="196"/>
        <v>1.000173611111111</v>
      </c>
    </row>
    <row r="5927" spans="12:15" x14ac:dyDescent="0.25">
      <c r="L5927" s="147">
        <f ca="1"/>
        <v>51166</v>
      </c>
      <c r="M5927" s="92">
        <f t="shared" ca="1" si="195"/>
        <v>6.25</v>
      </c>
      <c r="N5927" s="143">
        <f ca="1">(PRODUCT($O$5:$O5927)-1)*36000/_xlfn.DAYS(L5927, $C$2)</f>
        <v>12.097057527034064</v>
      </c>
      <c r="O5927" s="149">
        <f t="shared" ca="1" si="196"/>
        <v>1.000173611111111</v>
      </c>
    </row>
    <row r="5928" spans="12:15" x14ac:dyDescent="0.25">
      <c r="L5928" s="147">
        <f ca="1"/>
        <v>51167</v>
      </c>
      <c r="M5928" s="92">
        <f t="shared" ca="1" si="195"/>
        <v>6.25</v>
      </c>
      <c r="N5928" s="143">
        <f ca="1">(PRODUCT($O$5:$O5928)-1)*36000/_xlfn.DAYS(L5928, $C$2)</f>
        <v>12.098170344374806</v>
      </c>
      <c r="O5928" s="149">
        <f t="shared" ca="1" si="196"/>
        <v>1.000173611111111</v>
      </c>
    </row>
    <row r="5929" spans="12:15" x14ac:dyDescent="0.25">
      <c r="L5929" s="147">
        <f ca="1"/>
        <v>51168</v>
      </c>
      <c r="M5929" s="92">
        <f t="shared" ca="1" si="195"/>
        <v>6.25</v>
      </c>
      <c r="N5929" s="143">
        <f ca="1">(PRODUCT($O$5:$O5929)-1)*36000/_xlfn.DAYS(L5929, $C$2)</f>
        <v>12.099283333707215</v>
      </c>
      <c r="O5929" s="149">
        <f t="shared" ca="1" si="196"/>
        <v>1.000173611111111</v>
      </c>
    </row>
    <row r="5930" spans="12:15" x14ac:dyDescent="0.25">
      <c r="L5930" s="147">
        <f ca="1"/>
        <v>51169</v>
      </c>
      <c r="M5930" s="92">
        <f t="shared" ca="1" si="195"/>
        <v>6.25</v>
      </c>
      <c r="N5930" s="143">
        <f ca="1">(PRODUCT($O$5:$O5930)-1)*36000/_xlfn.DAYS(L5930, $C$2)</f>
        <v>12.100396495039279</v>
      </c>
      <c r="O5930" s="149">
        <f t="shared" ca="1" si="196"/>
        <v>1.000173611111111</v>
      </c>
    </row>
    <row r="5931" spans="12:15" x14ac:dyDescent="0.25">
      <c r="L5931" s="147">
        <f ca="1"/>
        <v>51170</v>
      </c>
      <c r="M5931" s="92">
        <f t="shared" ca="1" si="195"/>
        <v>6.25</v>
      </c>
      <c r="N5931" s="143">
        <f ca="1">(PRODUCT($O$5:$O5931)-1)*36000/_xlfn.DAYS(L5931, $C$2)</f>
        <v>12.101509828379001</v>
      </c>
      <c r="O5931" s="149">
        <f t="shared" ca="1" si="196"/>
        <v>1.000173611111111</v>
      </c>
    </row>
    <row r="5932" spans="12:15" x14ac:dyDescent="0.25">
      <c r="L5932" s="147">
        <f ca="1"/>
        <v>51171</v>
      </c>
      <c r="M5932" s="92">
        <f t="shared" ca="1" si="195"/>
        <v>6.25</v>
      </c>
      <c r="N5932" s="143">
        <f ca="1">(PRODUCT($O$5:$O5932)-1)*36000/_xlfn.DAYS(L5932, $C$2)</f>
        <v>12.102623333734394</v>
      </c>
      <c r="O5932" s="149">
        <f t="shared" ca="1" si="196"/>
        <v>1.000173611111111</v>
      </c>
    </row>
    <row r="5933" spans="12:15" x14ac:dyDescent="0.25">
      <c r="L5933" s="147">
        <f ca="1"/>
        <v>51172</v>
      </c>
      <c r="M5933" s="92">
        <f t="shared" ca="1" si="195"/>
        <v>6.25</v>
      </c>
      <c r="N5933" s="143">
        <f ca="1">(PRODUCT($O$5:$O5933)-1)*36000/_xlfn.DAYS(L5933, $C$2)</f>
        <v>12.103737011113472</v>
      </c>
      <c r="O5933" s="149">
        <f t="shared" ca="1" si="196"/>
        <v>1.000173611111111</v>
      </c>
    </row>
    <row r="5934" spans="12:15" x14ac:dyDescent="0.25">
      <c r="L5934" s="147">
        <f ca="1"/>
        <v>51173</v>
      </c>
      <c r="M5934" s="92">
        <f t="shared" ca="1" si="195"/>
        <v>6.25</v>
      </c>
      <c r="N5934" s="143">
        <f ca="1">(PRODUCT($O$5:$O5934)-1)*36000/_xlfn.DAYS(L5934, $C$2)</f>
        <v>12.104850860524271</v>
      </c>
      <c r="O5934" s="149">
        <f t="shared" ca="1" si="196"/>
        <v>1.000173611111111</v>
      </c>
    </row>
    <row r="5935" spans="12:15" x14ac:dyDescent="0.25">
      <c r="L5935" s="147">
        <f ca="1"/>
        <v>51174</v>
      </c>
      <c r="M5935" s="92">
        <f t="shared" ca="1" si="195"/>
        <v>6.25</v>
      </c>
      <c r="N5935" s="143">
        <f ca="1">(PRODUCT($O$5:$O5935)-1)*36000/_xlfn.DAYS(L5935, $C$2)</f>
        <v>12.105964881974838</v>
      </c>
      <c r="O5935" s="149">
        <f t="shared" ca="1" si="196"/>
        <v>1.000173611111111</v>
      </c>
    </row>
    <row r="5936" spans="12:15" x14ac:dyDescent="0.25">
      <c r="L5936" s="147">
        <f ca="1"/>
        <v>51175</v>
      </c>
      <c r="M5936" s="92">
        <f t="shared" ca="1" si="195"/>
        <v>6.25</v>
      </c>
      <c r="N5936" s="143">
        <f ca="1">(PRODUCT($O$5:$O5936)-1)*36000/_xlfn.DAYS(L5936, $C$2)</f>
        <v>12.107079075473225</v>
      </c>
      <c r="O5936" s="149">
        <f t="shared" ca="1" si="196"/>
        <v>1.000173611111111</v>
      </c>
    </row>
    <row r="5937" spans="12:15" x14ac:dyDescent="0.25">
      <c r="L5937" s="147">
        <f ca="1"/>
        <v>51176</v>
      </c>
      <c r="M5937" s="92">
        <f t="shared" ca="1" si="195"/>
        <v>6.25</v>
      </c>
      <c r="N5937" s="143">
        <f ca="1">(PRODUCT($O$5:$O5937)-1)*36000/_xlfn.DAYS(L5937, $C$2)</f>
        <v>12.108193441027495</v>
      </c>
      <c r="O5937" s="149">
        <f t="shared" ca="1" si="196"/>
        <v>1.000173611111111</v>
      </c>
    </row>
    <row r="5938" spans="12:15" x14ac:dyDescent="0.25">
      <c r="L5938" s="147">
        <f ca="1"/>
        <v>51177</v>
      </c>
      <c r="M5938" s="92">
        <f t="shared" ca="1" si="195"/>
        <v>6.25</v>
      </c>
      <c r="N5938" s="143">
        <f ca="1">(PRODUCT($O$5:$O5938)-1)*36000/_xlfn.DAYS(L5938, $C$2)</f>
        <v>12.109307978645729</v>
      </c>
      <c r="O5938" s="149">
        <f t="shared" ca="1" si="196"/>
        <v>1.000173611111111</v>
      </c>
    </row>
    <row r="5939" spans="12:15" x14ac:dyDescent="0.25">
      <c r="L5939" s="147">
        <f ca="1"/>
        <v>51178</v>
      </c>
      <c r="M5939" s="92">
        <f t="shared" ca="1" si="195"/>
        <v>6.25</v>
      </c>
      <c r="N5939" s="143">
        <f ca="1">(PRODUCT($O$5:$O5939)-1)*36000/_xlfn.DAYS(L5939, $C$2)</f>
        <v>12.110422688336016</v>
      </c>
      <c r="O5939" s="149">
        <f t="shared" ca="1" si="196"/>
        <v>1.000173611111111</v>
      </c>
    </row>
    <row r="5940" spans="12:15" x14ac:dyDescent="0.25">
      <c r="L5940" s="147">
        <f ca="1"/>
        <v>51179</v>
      </c>
      <c r="M5940" s="92">
        <f t="shared" ca="1" si="195"/>
        <v>6.25</v>
      </c>
      <c r="N5940" s="143">
        <f ca="1">(PRODUCT($O$5:$O5940)-1)*36000/_xlfn.DAYS(L5940, $C$2)</f>
        <v>12.111537570106451</v>
      </c>
      <c r="O5940" s="149">
        <f t="shared" ca="1" si="196"/>
        <v>1.000173611111111</v>
      </c>
    </row>
    <row r="5941" spans="12:15" x14ac:dyDescent="0.25">
      <c r="L5941" s="147">
        <f ca="1"/>
        <v>51180</v>
      </c>
      <c r="M5941" s="92">
        <f t="shared" ca="1" si="195"/>
        <v>6.25</v>
      </c>
      <c r="N5941" s="143">
        <f ca="1">(PRODUCT($O$5:$O5941)-1)*36000/_xlfn.DAYS(L5941, $C$2)</f>
        <v>12.112652623965147</v>
      </c>
      <c r="O5941" s="149">
        <f t="shared" ca="1" si="196"/>
        <v>1.000173611111111</v>
      </c>
    </row>
    <row r="5942" spans="12:15" x14ac:dyDescent="0.25">
      <c r="L5942" s="147">
        <f ca="1"/>
        <v>51181</v>
      </c>
      <c r="M5942" s="92">
        <f t="shared" ca="1" si="195"/>
        <v>6.25</v>
      </c>
      <c r="N5942" s="143">
        <f ca="1">(PRODUCT($O$5:$O5942)-1)*36000/_xlfn.DAYS(L5942, $C$2)</f>
        <v>12.113767849920224</v>
      </c>
      <c r="O5942" s="149">
        <f t="shared" ca="1" si="196"/>
        <v>1.000173611111111</v>
      </c>
    </row>
    <row r="5943" spans="12:15" x14ac:dyDescent="0.25">
      <c r="L5943" s="147">
        <f ca="1"/>
        <v>51182</v>
      </c>
      <c r="M5943" s="92">
        <f t="shared" ca="1" si="195"/>
        <v>6.25</v>
      </c>
      <c r="N5943" s="143">
        <f ca="1">(PRODUCT($O$5:$O5943)-1)*36000/_xlfn.DAYS(L5943, $C$2)</f>
        <v>12.114883247979813</v>
      </c>
      <c r="O5943" s="149">
        <f t="shared" ca="1" si="196"/>
        <v>1.000173611111111</v>
      </c>
    </row>
    <row r="5944" spans="12:15" x14ac:dyDescent="0.25">
      <c r="L5944" s="147">
        <f ca="1"/>
        <v>51183</v>
      </c>
      <c r="M5944" s="92">
        <f t="shared" ca="1" si="195"/>
        <v>6.25</v>
      </c>
      <c r="N5944" s="143">
        <f ca="1">(PRODUCT($O$5:$O5944)-1)*36000/_xlfn.DAYS(L5944, $C$2)</f>
        <v>12.115998818152061</v>
      </c>
      <c r="O5944" s="149">
        <f t="shared" ca="1" si="196"/>
        <v>1.000173611111111</v>
      </c>
    </row>
    <row r="5945" spans="12:15" x14ac:dyDescent="0.25">
      <c r="L5945" s="147">
        <f ca="1"/>
        <v>51184</v>
      </c>
      <c r="M5945" s="92">
        <f t="shared" ca="1" si="195"/>
        <v>6.25</v>
      </c>
      <c r="N5945" s="143">
        <f ca="1">(PRODUCT($O$5:$O5945)-1)*36000/_xlfn.DAYS(L5945, $C$2)</f>
        <v>12.117114560445122</v>
      </c>
      <c r="O5945" s="149">
        <f t="shared" ca="1" si="196"/>
        <v>1.000173611111111</v>
      </c>
    </row>
    <row r="5946" spans="12:15" x14ac:dyDescent="0.25">
      <c r="L5946" s="147">
        <f ca="1"/>
        <v>51185</v>
      </c>
      <c r="M5946" s="92">
        <f t="shared" ca="1" si="195"/>
        <v>6.25</v>
      </c>
      <c r="N5946" s="143">
        <f ca="1">(PRODUCT($O$5:$O5946)-1)*36000/_xlfn.DAYS(L5946, $C$2)</f>
        <v>12.118230474867158</v>
      </c>
      <c r="O5946" s="149">
        <f t="shared" ca="1" si="196"/>
        <v>1.000173611111111</v>
      </c>
    </row>
    <row r="5947" spans="12:15" x14ac:dyDescent="0.25">
      <c r="L5947" s="147">
        <f ca="1"/>
        <v>51186</v>
      </c>
      <c r="M5947" s="92">
        <f t="shared" ca="1" si="195"/>
        <v>6.25</v>
      </c>
      <c r="N5947" s="143">
        <f ca="1">(PRODUCT($O$5:$O5947)-1)*36000/_xlfn.DAYS(L5947, $C$2)</f>
        <v>12.119346561426344</v>
      </c>
      <c r="O5947" s="149">
        <f t="shared" ca="1" si="196"/>
        <v>1.000173611111111</v>
      </c>
    </row>
    <row r="5948" spans="12:15" x14ac:dyDescent="0.25">
      <c r="L5948" s="147">
        <f ca="1"/>
        <v>51187</v>
      </c>
      <c r="M5948" s="92">
        <f t="shared" ca="1" si="195"/>
        <v>6.25</v>
      </c>
      <c r="N5948" s="143">
        <f ca="1">(PRODUCT($O$5:$O5948)-1)*36000/_xlfn.DAYS(L5948, $C$2)</f>
        <v>12.120462820130868</v>
      </c>
      <c r="O5948" s="149">
        <f t="shared" ca="1" si="196"/>
        <v>1.000173611111111</v>
      </c>
    </row>
    <row r="5949" spans="12:15" x14ac:dyDescent="0.25">
      <c r="L5949" s="147">
        <f ca="1"/>
        <v>51188</v>
      </c>
      <c r="M5949" s="92">
        <f t="shared" ca="1" si="195"/>
        <v>6.25</v>
      </c>
      <c r="N5949" s="143">
        <f ca="1">(PRODUCT($O$5:$O5949)-1)*36000/_xlfn.DAYS(L5949, $C$2)</f>
        <v>12.121579250988935</v>
      </c>
      <c r="O5949" s="149">
        <f t="shared" ca="1" si="196"/>
        <v>1.000173611111111</v>
      </c>
    </row>
    <row r="5950" spans="12:15" x14ac:dyDescent="0.25">
      <c r="L5950" s="147">
        <f ca="1"/>
        <v>51189</v>
      </c>
      <c r="M5950" s="92">
        <f t="shared" ca="1" si="195"/>
        <v>6.25</v>
      </c>
      <c r="N5950" s="143">
        <f ca="1">(PRODUCT($O$5:$O5950)-1)*36000/_xlfn.DAYS(L5950, $C$2)</f>
        <v>12.122695854008745</v>
      </c>
      <c r="O5950" s="149">
        <f t="shared" ca="1" si="196"/>
        <v>1.000173611111111</v>
      </c>
    </row>
    <row r="5951" spans="12:15" x14ac:dyDescent="0.25">
      <c r="L5951" s="147">
        <f ca="1"/>
        <v>51190</v>
      </c>
      <c r="M5951" s="92">
        <f t="shared" ca="1" si="195"/>
        <v>6.25</v>
      </c>
      <c r="N5951" s="143">
        <f ca="1">(PRODUCT($O$5:$O5951)-1)*36000/_xlfn.DAYS(L5951, $C$2)</f>
        <v>12.123812629198522</v>
      </c>
      <c r="O5951" s="149">
        <f t="shared" ca="1" si="196"/>
        <v>1.000173611111111</v>
      </c>
    </row>
    <row r="5952" spans="12:15" x14ac:dyDescent="0.25">
      <c r="L5952" s="147">
        <f ca="1"/>
        <v>51191</v>
      </c>
      <c r="M5952" s="92">
        <f t="shared" ca="1" si="195"/>
        <v>6.25</v>
      </c>
      <c r="N5952" s="143">
        <f ca="1">(PRODUCT($O$5:$O5952)-1)*36000/_xlfn.DAYS(L5952, $C$2)</f>
        <v>12.124929576566499</v>
      </c>
      <c r="O5952" s="149">
        <f t="shared" ca="1" si="196"/>
        <v>1.000173611111111</v>
      </c>
    </row>
    <row r="5953" spans="12:15" x14ac:dyDescent="0.25">
      <c r="L5953" s="147">
        <f ca="1"/>
        <v>51192</v>
      </c>
      <c r="M5953" s="92">
        <f t="shared" ca="1" si="195"/>
        <v>6.25</v>
      </c>
      <c r="N5953" s="143">
        <f ca="1">(PRODUCT($O$5:$O5953)-1)*36000/_xlfn.DAYS(L5953, $C$2)</f>
        <v>12.126046696120914</v>
      </c>
      <c r="O5953" s="149">
        <f t="shared" ca="1" si="196"/>
        <v>1.000173611111111</v>
      </c>
    </row>
    <row r="5954" spans="12:15" x14ac:dyDescent="0.25">
      <c r="L5954" s="147">
        <f ca="1"/>
        <v>51193</v>
      </c>
      <c r="M5954" s="92">
        <f t="shared" ca="1" si="195"/>
        <v>6.25</v>
      </c>
      <c r="N5954" s="143">
        <f ca="1">(PRODUCT($O$5:$O5954)-1)*36000/_xlfn.DAYS(L5954, $C$2)</f>
        <v>12.127163987870023</v>
      </c>
      <c r="O5954" s="149">
        <f t="shared" ca="1" si="196"/>
        <v>1.000173611111111</v>
      </c>
    </row>
    <row r="5955" spans="12:15" x14ac:dyDescent="0.25">
      <c r="L5955" s="147">
        <f ca="1"/>
        <v>51194</v>
      </c>
      <c r="M5955" s="92">
        <f t="shared" ca="1" si="195"/>
        <v>6.25</v>
      </c>
      <c r="N5955" s="143">
        <f ca="1">(PRODUCT($O$5:$O5955)-1)*36000/_xlfn.DAYS(L5955, $C$2)</f>
        <v>12.128281451822092</v>
      </c>
      <c r="O5955" s="149">
        <f t="shared" ca="1" si="196"/>
        <v>1.000173611111111</v>
      </c>
    </row>
    <row r="5956" spans="12:15" x14ac:dyDescent="0.25">
      <c r="L5956" s="147">
        <f ca="1"/>
        <v>51195</v>
      </c>
      <c r="M5956" s="92">
        <f t="shared" ca="1" si="195"/>
        <v>6.25</v>
      </c>
      <c r="N5956" s="143">
        <f ca="1">(PRODUCT($O$5:$O5956)-1)*36000/_xlfn.DAYS(L5956, $C$2)</f>
        <v>12.129399087985393</v>
      </c>
      <c r="O5956" s="149">
        <f t="shared" ca="1" si="196"/>
        <v>1.000173611111111</v>
      </c>
    </row>
    <row r="5957" spans="12:15" x14ac:dyDescent="0.25">
      <c r="L5957" s="147">
        <f ca="1"/>
        <v>51196</v>
      </c>
      <c r="M5957" s="92">
        <f t="shared" ref="M5957:M6020" ca="1" si="197">IFERROR(INDEX($E$27:$H$47, MATCH(L5957, $F$27:$F$47, 0), 4), IF(ISNUMBER(M5956), M5956, $C$5))</f>
        <v>6.25</v>
      </c>
      <c r="N5957" s="143">
        <f ca="1">(PRODUCT($O$5:$O5957)-1)*36000/_xlfn.DAYS(L5957, $C$2)</f>
        <v>12.130516896368212</v>
      </c>
      <c r="O5957" s="149">
        <f t="shared" ca="1" si="196"/>
        <v>1.000173611111111</v>
      </c>
    </row>
    <row r="5958" spans="12:15" x14ac:dyDescent="0.25">
      <c r="L5958" s="147">
        <f ca="1"/>
        <v>51197</v>
      </c>
      <c r="M5958" s="92">
        <f t="shared" ca="1" si="197"/>
        <v>6.25</v>
      </c>
      <c r="N5958" s="143">
        <f ca="1">(PRODUCT($O$5:$O5958)-1)*36000/_xlfn.DAYS(L5958, $C$2)</f>
        <v>12.131634876978849</v>
      </c>
      <c r="O5958" s="149">
        <f t="shared" ref="O5958:O6021" ca="1" si="198">1+M5958*IFERROR(_xlfn.DAYS(L5958, L5957), _xlfn.DAYS(L5958, $C$2))/36000</f>
        <v>1.000173611111111</v>
      </c>
    </row>
    <row r="5959" spans="12:15" x14ac:dyDescent="0.25">
      <c r="L5959" s="147">
        <f ca="1"/>
        <v>51198</v>
      </c>
      <c r="M5959" s="92">
        <f t="shared" ca="1" si="197"/>
        <v>6.25</v>
      </c>
      <c r="N5959" s="143">
        <f ca="1">(PRODUCT($O$5:$O5959)-1)*36000/_xlfn.DAYS(L5959, $C$2)</f>
        <v>12.132753029825608</v>
      </c>
      <c r="O5959" s="149">
        <f t="shared" ca="1" si="198"/>
        <v>1.000173611111111</v>
      </c>
    </row>
    <row r="5960" spans="12:15" x14ac:dyDescent="0.25">
      <c r="L5960" s="147">
        <f ca="1"/>
        <v>51199</v>
      </c>
      <c r="M5960" s="92">
        <f t="shared" ca="1" si="197"/>
        <v>6.25</v>
      </c>
      <c r="N5960" s="143">
        <f ca="1">(PRODUCT($O$5:$O5960)-1)*36000/_xlfn.DAYS(L5960, $C$2)</f>
        <v>12.133871354916808</v>
      </c>
      <c r="O5960" s="149">
        <f t="shared" ca="1" si="198"/>
        <v>1.000173611111111</v>
      </c>
    </row>
    <row r="5961" spans="12:15" x14ac:dyDescent="0.25">
      <c r="L5961" s="147">
        <f ca="1"/>
        <v>51200</v>
      </c>
      <c r="M5961" s="92">
        <f t="shared" ca="1" si="197"/>
        <v>6.25</v>
      </c>
      <c r="N5961" s="143">
        <f ca="1">(PRODUCT($O$5:$O5961)-1)*36000/_xlfn.DAYS(L5961, $C$2)</f>
        <v>12.13498985226078</v>
      </c>
      <c r="O5961" s="149">
        <f t="shared" ca="1" si="198"/>
        <v>1.000173611111111</v>
      </c>
    </row>
    <row r="5962" spans="12:15" x14ac:dyDescent="0.25">
      <c r="L5962" s="147">
        <f ca="1"/>
        <v>51201</v>
      </c>
      <c r="M5962" s="92">
        <f t="shared" ca="1" si="197"/>
        <v>6.25</v>
      </c>
      <c r="N5962" s="143">
        <f ca="1">(PRODUCT($O$5:$O5962)-1)*36000/_xlfn.DAYS(L5962, $C$2)</f>
        <v>12.136108521865866</v>
      </c>
      <c r="O5962" s="149">
        <f t="shared" ca="1" si="198"/>
        <v>1.000173611111111</v>
      </c>
    </row>
    <row r="5963" spans="12:15" x14ac:dyDescent="0.25">
      <c r="L5963" s="147">
        <f ca="1"/>
        <v>51202</v>
      </c>
      <c r="M5963" s="92">
        <f t="shared" ca="1" si="197"/>
        <v>6.25</v>
      </c>
      <c r="N5963" s="143">
        <f ca="1">(PRODUCT($O$5:$O5963)-1)*36000/_xlfn.DAYS(L5963, $C$2)</f>
        <v>12.137227363740411</v>
      </c>
      <c r="O5963" s="149">
        <f t="shared" ca="1" si="198"/>
        <v>1.000173611111111</v>
      </c>
    </row>
    <row r="5964" spans="12:15" x14ac:dyDescent="0.25">
      <c r="L5964" s="147">
        <f ca="1"/>
        <v>51203</v>
      </c>
      <c r="M5964" s="92">
        <f t="shared" ca="1" si="197"/>
        <v>6.25</v>
      </c>
      <c r="N5964" s="143">
        <f ca="1">(PRODUCT($O$5:$O5964)-1)*36000/_xlfn.DAYS(L5964, $C$2)</f>
        <v>12.138346377892784</v>
      </c>
      <c r="O5964" s="149">
        <f t="shared" ca="1" si="198"/>
        <v>1.000173611111111</v>
      </c>
    </row>
    <row r="5965" spans="12:15" x14ac:dyDescent="0.25">
      <c r="L5965" s="147">
        <f ca="1"/>
        <v>51204</v>
      </c>
      <c r="M5965" s="92">
        <f t="shared" ca="1" si="197"/>
        <v>6.25</v>
      </c>
      <c r="N5965" s="143">
        <f ca="1">(PRODUCT($O$5:$O5965)-1)*36000/_xlfn.DAYS(L5965, $C$2)</f>
        <v>12.13946556433136</v>
      </c>
      <c r="O5965" s="149">
        <f t="shared" ca="1" si="198"/>
        <v>1.000173611111111</v>
      </c>
    </row>
    <row r="5966" spans="12:15" x14ac:dyDescent="0.25">
      <c r="L5966" s="147">
        <f ca="1"/>
        <v>51205</v>
      </c>
      <c r="M5966" s="92">
        <f t="shared" ca="1" si="197"/>
        <v>6.25</v>
      </c>
      <c r="N5966" s="143">
        <f ca="1">(PRODUCT($O$5:$O5966)-1)*36000/_xlfn.DAYS(L5966, $C$2)</f>
        <v>12.140584923064514</v>
      </c>
      <c r="O5966" s="149">
        <f t="shared" ca="1" si="198"/>
        <v>1.000173611111111</v>
      </c>
    </row>
    <row r="5967" spans="12:15" x14ac:dyDescent="0.25">
      <c r="L5967" s="147">
        <f ca="1"/>
        <v>51206</v>
      </c>
      <c r="M5967" s="92">
        <f t="shared" ca="1" si="197"/>
        <v>6.25</v>
      </c>
      <c r="N5967" s="143">
        <f ca="1">(PRODUCT($O$5:$O5967)-1)*36000/_xlfn.DAYS(L5967, $C$2)</f>
        <v>12.141704454100648</v>
      </c>
      <c r="O5967" s="149">
        <f t="shared" ca="1" si="198"/>
        <v>1.000173611111111</v>
      </c>
    </row>
    <row r="5968" spans="12:15" x14ac:dyDescent="0.25">
      <c r="L5968" s="147">
        <f ca="1"/>
        <v>51207</v>
      </c>
      <c r="M5968" s="92">
        <f t="shared" ca="1" si="197"/>
        <v>6.25</v>
      </c>
      <c r="N5968" s="143">
        <f ca="1">(PRODUCT($O$5:$O5968)-1)*36000/_xlfn.DAYS(L5968, $C$2)</f>
        <v>12.142824157448169</v>
      </c>
      <c r="O5968" s="149">
        <f t="shared" ca="1" si="198"/>
        <v>1.000173611111111</v>
      </c>
    </row>
    <row r="5969" spans="12:15" x14ac:dyDescent="0.25">
      <c r="L5969" s="147">
        <f ca="1"/>
        <v>51208</v>
      </c>
      <c r="M5969" s="92">
        <f t="shared" ca="1" si="197"/>
        <v>6.25</v>
      </c>
      <c r="N5969" s="143">
        <f ca="1">(PRODUCT($O$5:$O5969)-1)*36000/_xlfn.DAYS(L5969, $C$2)</f>
        <v>12.14394403311549</v>
      </c>
      <c r="O5969" s="149">
        <f t="shared" ca="1" si="198"/>
        <v>1.000173611111111</v>
      </c>
    </row>
    <row r="5970" spans="12:15" x14ac:dyDescent="0.25">
      <c r="L5970" s="147">
        <f ca="1"/>
        <v>51209</v>
      </c>
      <c r="M5970" s="92">
        <f t="shared" ca="1" si="197"/>
        <v>6.25</v>
      </c>
      <c r="N5970" s="143">
        <f ca="1">(PRODUCT($O$5:$O5970)-1)*36000/_xlfn.DAYS(L5970, $C$2)</f>
        <v>12.145064081111039</v>
      </c>
      <c r="O5970" s="149">
        <f t="shared" ca="1" si="198"/>
        <v>1.000173611111111</v>
      </c>
    </row>
    <row r="5971" spans="12:15" x14ac:dyDescent="0.25">
      <c r="L5971" s="147">
        <f ca="1"/>
        <v>51210</v>
      </c>
      <c r="M5971" s="92">
        <f t="shared" ca="1" si="197"/>
        <v>6.25</v>
      </c>
      <c r="N5971" s="143">
        <f ca="1">(PRODUCT($O$5:$O5971)-1)*36000/_xlfn.DAYS(L5971, $C$2)</f>
        <v>12.146184301443256</v>
      </c>
      <c r="O5971" s="149">
        <f t="shared" ca="1" si="198"/>
        <v>1.000173611111111</v>
      </c>
    </row>
    <row r="5972" spans="12:15" x14ac:dyDescent="0.25">
      <c r="L5972" s="147">
        <f ca="1"/>
        <v>51211</v>
      </c>
      <c r="M5972" s="92">
        <f t="shared" ca="1" si="197"/>
        <v>6.25</v>
      </c>
      <c r="N5972" s="143">
        <f ca="1">(PRODUCT($O$5:$O5972)-1)*36000/_xlfn.DAYS(L5972, $C$2)</f>
        <v>12.14730469412059</v>
      </c>
      <c r="O5972" s="149">
        <f t="shared" ca="1" si="198"/>
        <v>1.000173611111111</v>
      </c>
    </row>
    <row r="5973" spans="12:15" x14ac:dyDescent="0.25">
      <c r="L5973" s="147">
        <f ca="1"/>
        <v>51212</v>
      </c>
      <c r="M5973" s="92">
        <f t="shared" ca="1" si="197"/>
        <v>6.25</v>
      </c>
      <c r="N5973" s="143">
        <f ca="1">(PRODUCT($O$5:$O5973)-1)*36000/_xlfn.DAYS(L5973, $C$2)</f>
        <v>12.148425259151502</v>
      </c>
      <c r="O5973" s="149">
        <f t="shared" ca="1" si="198"/>
        <v>1.000173611111111</v>
      </c>
    </row>
    <row r="5974" spans="12:15" x14ac:dyDescent="0.25">
      <c r="L5974" s="147">
        <f ca="1"/>
        <v>51213</v>
      </c>
      <c r="M5974" s="92">
        <f t="shared" ca="1" si="197"/>
        <v>6.25</v>
      </c>
      <c r="N5974" s="143">
        <f ca="1">(PRODUCT($O$5:$O5974)-1)*36000/_xlfn.DAYS(L5974, $C$2)</f>
        <v>12.149545996544457</v>
      </c>
      <c r="O5974" s="149">
        <f t="shared" ca="1" si="198"/>
        <v>1.000173611111111</v>
      </c>
    </row>
    <row r="5975" spans="12:15" x14ac:dyDescent="0.25">
      <c r="L5975" s="147">
        <f ca="1"/>
        <v>51214</v>
      </c>
      <c r="M5975" s="92">
        <f t="shared" ca="1" si="197"/>
        <v>6.25</v>
      </c>
      <c r="N5975" s="143">
        <f ca="1">(PRODUCT($O$5:$O5975)-1)*36000/_xlfn.DAYS(L5975, $C$2)</f>
        <v>12.150666906307945</v>
      </c>
      <c r="O5975" s="149">
        <f t="shared" ca="1" si="198"/>
        <v>1.000173611111111</v>
      </c>
    </row>
    <row r="5976" spans="12:15" x14ac:dyDescent="0.25">
      <c r="L5976" s="147">
        <f ca="1"/>
        <v>51215</v>
      </c>
      <c r="M5976" s="92">
        <f t="shared" ca="1" si="197"/>
        <v>6.25</v>
      </c>
      <c r="N5976" s="143">
        <f ca="1">(PRODUCT($O$5:$O5976)-1)*36000/_xlfn.DAYS(L5976, $C$2)</f>
        <v>12.151787988450453</v>
      </c>
      <c r="O5976" s="149">
        <f t="shared" ca="1" si="198"/>
        <v>1.000173611111111</v>
      </c>
    </row>
    <row r="5977" spans="12:15" x14ac:dyDescent="0.25">
      <c r="L5977" s="147">
        <f ca="1"/>
        <v>51216</v>
      </c>
      <c r="M5977" s="92">
        <f t="shared" ca="1" si="197"/>
        <v>6.25</v>
      </c>
      <c r="N5977" s="143">
        <f ca="1">(PRODUCT($O$5:$O5977)-1)*36000/_xlfn.DAYS(L5977, $C$2)</f>
        <v>12.152909242980487</v>
      </c>
      <c r="O5977" s="149">
        <f t="shared" ca="1" si="198"/>
        <v>1.000173611111111</v>
      </c>
    </row>
    <row r="5978" spans="12:15" x14ac:dyDescent="0.25">
      <c r="L5978" s="147">
        <f ca="1"/>
        <v>51217</v>
      </c>
      <c r="M5978" s="92">
        <f t="shared" ca="1" si="197"/>
        <v>6.25</v>
      </c>
      <c r="N5978" s="143">
        <f ca="1">(PRODUCT($O$5:$O5978)-1)*36000/_xlfn.DAYS(L5978, $C$2)</f>
        <v>12.154030669906563</v>
      </c>
      <c r="O5978" s="149">
        <f t="shared" ca="1" si="198"/>
        <v>1.000173611111111</v>
      </c>
    </row>
    <row r="5979" spans="12:15" x14ac:dyDescent="0.25">
      <c r="L5979" s="147">
        <f ca="1"/>
        <v>51218</v>
      </c>
      <c r="M5979" s="92">
        <f t="shared" ca="1" si="197"/>
        <v>6.25</v>
      </c>
      <c r="N5979" s="143">
        <f ca="1">(PRODUCT($O$5:$O5979)-1)*36000/_xlfn.DAYS(L5979, $C$2)</f>
        <v>12.155152269237201</v>
      </c>
      <c r="O5979" s="149">
        <f t="shared" ca="1" si="198"/>
        <v>1.000173611111111</v>
      </c>
    </row>
    <row r="5980" spans="12:15" x14ac:dyDescent="0.25">
      <c r="L5980" s="147">
        <f ca="1"/>
        <v>51219</v>
      </c>
      <c r="M5980" s="92">
        <f t="shared" ca="1" si="197"/>
        <v>6.25</v>
      </c>
      <c r="N5980" s="143">
        <f ca="1">(PRODUCT($O$5:$O5980)-1)*36000/_xlfn.DAYS(L5980, $C$2)</f>
        <v>12.156274040980945</v>
      </c>
      <c r="O5980" s="149">
        <f t="shared" ca="1" si="198"/>
        <v>1.000173611111111</v>
      </c>
    </row>
    <row r="5981" spans="12:15" x14ac:dyDescent="0.25">
      <c r="L5981" s="147">
        <f ca="1"/>
        <v>51220</v>
      </c>
      <c r="M5981" s="92">
        <f t="shared" ca="1" si="197"/>
        <v>6.25</v>
      </c>
      <c r="N5981" s="143">
        <f ca="1">(PRODUCT($O$5:$O5981)-1)*36000/_xlfn.DAYS(L5981, $C$2)</f>
        <v>12.157395985146332</v>
      </c>
      <c r="O5981" s="149">
        <f t="shared" ca="1" si="198"/>
        <v>1.000173611111111</v>
      </c>
    </row>
    <row r="5982" spans="12:15" x14ac:dyDescent="0.25">
      <c r="L5982" s="147">
        <f ca="1"/>
        <v>51221</v>
      </c>
      <c r="M5982" s="92">
        <f t="shared" ca="1" si="197"/>
        <v>6.25</v>
      </c>
      <c r="N5982" s="143">
        <f ca="1">(PRODUCT($O$5:$O5982)-1)*36000/_xlfn.DAYS(L5982, $C$2)</f>
        <v>12.158518101741928</v>
      </c>
      <c r="O5982" s="149">
        <f t="shared" ca="1" si="198"/>
        <v>1.000173611111111</v>
      </c>
    </row>
    <row r="5983" spans="12:15" x14ac:dyDescent="0.25">
      <c r="L5983" s="147">
        <f ca="1"/>
        <v>51222</v>
      </c>
      <c r="M5983" s="92">
        <f t="shared" ca="1" si="197"/>
        <v>6.25</v>
      </c>
      <c r="N5983" s="143">
        <f ca="1">(PRODUCT($O$5:$O5983)-1)*36000/_xlfn.DAYS(L5983, $C$2)</f>
        <v>12.159640390776293</v>
      </c>
      <c r="O5983" s="149">
        <f t="shared" ca="1" si="198"/>
        <v>1.000173611111111</v>
      </c>
    </row>
    <row r="5984" spans="12:15" x14ac:dyDescent="0.25">
      <c r="L5984" s="147">
        <f ca="1"/>
        <v>51223</v>
      </c>
      <c r="M5984" s="92">
        <f t="shared" ca="1" si="197"/>
        <v>6.25</v>
      </c>
      <c r="N5984" s="143">
        <f ca="1">(PRODUCT($O$5:$O5984)-1)*36000/_xlfn.DAYS(L5984, $C$2)</f>
        <v>12.160762852258015</v>
      </c>
      <c r="O5984" s="149">
        <f t="shared" ca="1" si="198"/>
        <v>1.000173611111111</v>
      </c>
    </row>
    <row r="5985" spans="12:15" x14ac:dyDescent="0.25">
      <c r="L5985" s="147">
        <f ca="1"/>
        <v>51224</v>
      </c>
      <c r="M5985" s="92">
        <f t="shared" ca="1" si="197"/>
        <v>6.25</v>
      </c>
      <c r="N5985" s="143">
        <f ca="1">(PRODUCT($O$5:$O5985)-1)*36000/_xlfn.DAYS(L5985, $C$2)</f>
        <v>12.161885486195676</v>
      </c>
      <c r="O5985" s="149">
        <f t="shared" ca="1" si="198"/>
        <v>1.000173611111111</v>
      </c>
    </row>
    <row r="5986" spans="12:15" x14ac:dyDescent="0.25">
      <c r="L5986" s="147">
        <f ca="1"/>
        <v>51225</v>
      </c>
      <c r="M5986" s="92">
        <f t="shared" ca="1" si="197"/>
        <v>6.25</v>
      </c>
      <c r="N5986" s="143">
        <f ca="1">(PRODUCT($O$5:$O5986)-1)*36000/_xlfn.DAYS(L5986, $C$2)</f>
        <v>12.16300829259788</v>
      </c>
      <c r="O5986" s="149">
        <f t="shared" ca="1" si="198"/>
        <v>1.000173611111111</v>
      </c>
    </row>
    <row r="5987" spans="12:15" x14ac:dyDescent="0.25">
      <c r="L5987" s="147">
        <f ca="1"/>
        <v>51226</v>
      </c>
      <c r="M5987" s="92">
        <f t="shared" ca="1" si="197"/>
        <v>6.25</v>
      </c>
      <c r="N5987" s="143">
        <f ca="1">(PRODUCT($O$5:$O5987)-1)*36000/_xlfn.DAYS(L5987, $C$2)</f>
        <v>12.16413127147324</v>
      </c>
      <c r="O5987" s="149">
        <f t="shared" ca="1" si="198"/>
        <v>1.000173611111111</v>
      </c>
    </row>
    <row r="5988" spans="12:15" x14ac:dyDescent="0.25">
      <c r="L5988" s="147">
        <f ca="1"/>
        <v>51227</v>
      </c>
      <c r="M5988" s="92">
        <f t="shared" ca="1" si="197"/>
        <v>6.25</v>
      </c>
      <c r="N5988" s="143">
        <f ca="1">(PRODUCT($O$5:$O5988)-1)*36000/_xlfn.DAYS(L5988, $C$2)</f>
        <v>12.165254422830373</v>
      </c>
      <c r="O5988" s="149">
        <f t="shared" ca="1" si="198"/>
        <v>1.000173611111111</v>
      </c>
    </row>
    <row r="5989" spans="12:15" x14ac:dyDescent="0.25">
      <c r="L5989" s="147">
        <f ca="1"/>
        <v>51228</v>
      </c>
      <c r="M5989" s="92">
        <f t="shared" ca="1" si="197"/>
        <v>6.25</v>
      </c>
      <c r="N5989" s="143">
        <f ca="1">(PRODUCT($O$5:$O5989)-1)*36000/_xlfn.DAYS(L5989, $C$2)</f>
        <v>12.166377746677917</v>
      </c>
      <c r="O5989" s="149">
        <f t="shared" ca="1" si="198"/>
        <v>1.000173611111111</v>
      </c>
    </row>
    <row r="5990" spans="12:15" x14ac:dyDescent="0.25">
      <c r="L5990" s="147">
        <f ca="1"/>
        <v>51229</v>
      </c>
      <c r="M5990" s="92">
        <f t="shared" ca="1" si="197"/>
        <v>6.25</v>
      </c>
      <c r="N5990" s="143">
        <f ca="1">(PRODUCT($O$5:$O5990)-1)*36000/_xlfn.DAYS(L5990, $C$2)</f>
        <v>12.16750124302451</v>
      </c>
      <c r="O5990" s="149">
        <f t="shared" ca="1" si="198"/>
        <v>1.000173611111111</v>
      </c>
    </row>
    <row r="5991" spans="12:15" x14ac:dyDescent="0.25">
      <c r="L5991" s="147">
        <f ca="1"/>
        <v>51230</v>
      </c>
      <c r="M5991" s="92">
        <f t="shared" ca="1" si="197"/>
        <v>6.25</v>
      </c>
      <c r="N5991" s="143">
        <f ca="1">(PRODUCT($O$5:$O5991)-1)*36000/_xlfn.DAYS(L5991, $C$2)</f>
        <v>12.168624911878812</v>
      </c>
      <c r="O5991" s="149">
        <f t="shared" ca="1" si="198"/>
        <v>1.000173611111111</v>
      </c>
    </row>
    <row r="5992" spans="12:15" x14ac:dyDescent="0.25">
      <c r="L5992" s="147">
        <f ca="1"/>
        <v>51231</v>
      </c>
      <c r="M5992" s="92">
        <f t="shared" ca="1" si="197"/>
        <v>6.25</v>
      </c>
      <c r="N5992" s="143">
        <f ca="1">(PRODUCT($O$5:$O5992)-1)*36000/_xlfn.DAYS(L5992, $C$2)</f>
        <v>12.169748753249484</v>
      </c>
      <c r="O5992" s="149">
        <f t="shared" ca="1" si="198"/>
        <v>1.000173611111111</v>
      </c>
    </row>
    <row r="5993" spans="12:15" x14ac:dyDescent="0.25">
      <c r="L5993" s="147">
        <f ca="1"/>
        <v>51232</v>
      </c>
      <c r="M5993" s="92">
        <f t="shared" ca="1" si="197"/>
        <v>6.25</v>
      </c>
      <c r="N5993" s="143">
        <f ca="1">(PRODUCT($O$5:$O5993)-1)*36000/_xlfn.DAYS(L5993, $C$2)</f>
        <v>12.170872767145207</v>
      </c>
      <c r="O5993" s="149">
        <f t="shared" ca="1" si="198"/>
        <v>1.000173611111111</v>
      </c>
    </row>
    <row r="5994" spans="12:15" x14ac:dyDescent="0.25">
      <c r="L5994" s="147">
        <f ca="1"/>
        <v>51233</v>
      </c>
      <c r="M5994" s="92">
        <f t="shared" ca="1" si="197"/>
        <v>6.25</v>
      </c>
      <c r="N5994" s="143">
        <f ca="1">(PRODUCT($O$5:$O5994)-1)*36000/_xlfn.DAYS(L5994, $C$2)</f>
        <v>12.171996953574663</v>
      </c>
      <c r="O5994" s="149">
        <f t="shared" ca="1" si="198"/>
        <v>1.000173611111111</v>
      </c>
    </row>
    <row r="5995" spans="12:15" x14ac:dyDescent="0.25">
      <c r="L5995" s="147">
        <f ca="1"/>
        <v>51234</v>
      </c>
      <c r="M5995" s="92">
        <f t="shared" ca="1" si="197"/>
        <v>6.25</v>
      </c>
      <c r="N5995" s="143">
        <f ca="1">(PRODUCT($O$5:$O5995)-1)*36000/_xlfn.DAYS(L5995, $C$2)</f>
        <v>12.173121312546547</v>
      </c>
      <c r="O5995" s="149">
        <f t="shared" ca="1" si="198"/>
        <v>1.000173611111111</v>
      </c>
    </row>
    <row r="5996" spans="12:15" x14ac:dyDescent="0.25">
      <c r="L5996" s="147">
        <f ca="1"/>
        <v>51235</v>
      </c>
      <c r="M5996" s="92">
        <f t="shared" ca="1" si="197"/>
        <v>6.25</v>
      </c>
      <c r="N5996" s="143">
        <f ca="1">(PRODUCT($O$5:$O5996)-1)*36000/_xlfn.DAYS(L5996, $C$2)</f>
        <v>12.174245844069572</v>
      </c>
      <c r="O5996" s="149">
        <f t="shared" ca="1" si="198"/>
        <v>1.000173611111111</v>
      </c>
    </row>
    <row r="5997" spans="12:15" x14ac:dyDescent="0.25">
      <c r="L5997" s="147">
        <f ca="1"/>
        <v>51236</v>
      </c>
      <c r="M5997" s="92">
        <f t="shared" ca="1" si="197"/>
        <v>6.25</v>
      </c>
      <c r="N5997" s="143">
        <f ca="1">(PRODUCT($O$5:$O5997)-1)*36000/_xlfn.DAYS(L5997, $C$2)</f>
        <v>12.175370548152456</v>
      </c>
      <c r="O5997" s="149">
        <f t="shared" ca="1" si="198"/>
        <v>1.000173611111111</v>
      </c>
    </row>
    <row r="5998" spans="12:15" x14ac:dyDescent="0.25">
      <c r="L5998" s="147">
        <f ca="1"/>
        <v>51237</v>
      </c>
      <c r="M5998" s="92">
        <f t="shared" ca="1" si="197"/>
        <v>6.25</v>
      </c>
      <c r="N5998" s="143">
        <f ca="1">(PRODUCT($O$5:$O5998)-1)*36000/_xlfn.DAYS(L5998, $C$2)</f>
        <v>12.176495424803923</v>
      </c>
      <c r="O5998" s="149">
        <f t="shared" ca="1" si="198"/>
        <v>1.000173611111111</v>
      </c>
    </row>
    <row r="5999" spans="12:15" x14ac:dyDescent="0.25">
      <c r="L5999" s="147">
        <f ca="1"/>
        <v>51238</v>
      </c>
      <c r="M5999" s="92">
        <f t="shared" ca="1" si="197"/>
        <v>6.25</v>
      </c>
      <c r="N5999" s="143">
        <f ca="1">(PRODUCT($O$5:$O5999)-1)*36000/_xlfn.DAYS(L5999, $C$2)</f>
        <v>12.17762047403272</v>
      </c>
      <c r="O5999" s="149">
        <f t="shared" ca="1" si="198"/>
        <v>1.000173611111111</v>
      </c>
    </row>
    <row r="6000" spans="12:15" x14ac:dyDescent="0.25">
      <c r="L6000" s="147">
        <f ca="1"/>
        <v>51239</v>
      </c>
      <c r="M6000" s="92">
        <f t="shared" ca="1" si="197"/>
        <v>6.25</v>
      </c>
      <c r="N6000" s="143">
        <f ca="1">(PRODUCT($O$5:$O6000)-1)*36000/_xlfn.DAYS(L6000, $C$2)</f>
        <v>12.17874569584759</v>
      </c>
      <c r="O6000" s="149">
        <f t="shared" ca="1" si="198"/>
        <v>1.000173611111111</v>
      </c>
    </row>
    <row r="6001" spans="12:15" x14ac:dyDescent="0.25">
      <c r="L6001" s="147">
        <f ca="1"/>
        <v>51240</v>
      </c>
      <c r="M6001" s="92">
        <f t="shared" ca="1" si="197"/>
        <v>6.25</v>
      </c>
      <c r="N6001" s="143">
        <f ca="1">(PRODUCT($O$5:$O6001)-1)*36000/_xlfn.DAYS(L6001, $C$2)</f>
        <v>12.179871090257301</v>
      </c>
      <c r="O6001" s="149">
        <f t="shared" ca="1" si="198"/>
        <v>1.000173611111111</v>
      </c>
    </row>
    <row r="6002" spans="12:15" x14ac:dyDescent="0.25">
      <c r="L6002" s="147">
        <f ca="1"/>
        <v>51241</v>
      </c>
      <c r="M6002" s="92">
        <f t="shared" ca="1" si="197"/>
        <v>6.25</v>
      </c>
      <c r="N6002" s="143">
        <f ca="1">(PRODUCT($O$5:$O6002)-1)*36000/_xlfn.DAYS(L6002, $C$2)</f>
        <v>12.180996657270619</v>
      </c>
      <c r="O6002" s="149">
        <f t="shared" ca="1" si="198"/>
        <v>1.000173611111111</v>
      </c>
    </row>
    <row r="6003" spans="12:15" x14ac:dyDescent="0.25">
      <c r="L6003" s="147">
        <f ca="1"/>
        <v>51242</v>
      </c>
      <c r="M6003" s="92">
        <f t="shared" ca="1" si="197"/>
        <v>6.25</v>
      </c>
      <c r="N6003" s="143">
        <f ca="1">(PRODUCT($O$5:$O6003)-1)*36000/_xlfn.DAYS(L6003, $C$2)</f>
        <v>12.182122396896332</v>
      </c>
      <c r="O6003" s="149">
        <f t="shared" ca="1" si="198"/>
        <v>1.000173611111111</v>
      </c>
    </row>
    <row r="6004" spans="12:15" x14ac:dyDescent="0.25">
      <c r="L6004" s="147">
        <f ca="1"/>
        <v>51243</v>
      </c>
      <c r="M6004" s="92">
        <f t="shared" ca="1" si="197"/>
        <v>6.25</v>
      </c>
      <c r="N6004" s="143">
        <f ca="1">(PRODUCT($O$5:$O6004)-1)*36000/_xlfn.DAYS(L6004, $C$2)</f>
        <v>12.183248309143233</v>
      </c>
      <c r="O6004" s="149">
        <f t="shared" ca="1" si="198"/>
        <v>1.000173611111111</v>
      </c>
    </row>
    <row r="6005" spans="12:15" x14ac:dyDescent="0.25">
      <c r="L6005" s="147">
        <f ca="1"/>
        <v>51244</v>
      </c>
      <c r="M6005" s="92">
        <f t="shared" ca="1" si="197"/>
        <v>6.25</v>
      </c>
      <c r="N6005" s="143">
        <f ca="1">(PRODUCT($O$5:$O6005)-1)*36000/_xlfn.DAYS(L6005, $C$2)</f>
        <v>12.184374394020118</v>
      </c>
      <c r="O6005" s="149">
        <f t="shared" ca="1" si="198"/>
        <v>1.000173611111111</v>
      </c>
    </row>
    <row r="6006" spans="12:15" x14ac:dyDescent="0.25">
      <c r="L6006" s="147">
        <f ca="1"/>
        <v>51245</v>
      </c>
      <c r="M6006" s="92">
        <f t="shared" ca="1" si="197"/>
        <v>6.25</v>
      </c>
      <c r="N6006" s="143">
        <f ca="1">(PRODUCT($O$5:$O6006)-1)*36000/_xlfn.DAYS(L6006, $C$2)</f>
        <v>12.185500651535813</v>
      </c>
      <c r="O6006" s="149">
        <f t="shared" ca="1" si="198"/>
        <v>1.000173611111111</v>
      </c>
    </row>
    <row r="6007" spans="12:15" x14ac:dyDescent="0.25">
      <c r="L6007" s="147">
        <f ca="1"/>
        <v>51246</v>
      </c>
      <c r="M6007" s="92">
        <f t="shared" ca="1" si="197"/>
        <v>6.25</v>
      </c>
      <c r="N6007" s="143">
        <f ca="1">(PRODUCT($O$5:$O6007)-1)*36000/_xlfn.DAYS(L6007, $C$2)</f>
        <v>12.186627081699132</v>
      </c>
      <c r="O6007" s="149">
        <f t="shared" ca="1" si="198"/>
        <v>1.000173611111111</v>
      </c>
    </row>
    <row r="6008" spans="12:15" x14ac:dyDescent="0.25">
      <c r="L6008" s="147">
        <f ca="1"/>
        <v>51247</v>
      </c>
      <c r="M6008" s="92">
        <f t="shared" ca="1" si="197"/>
        <v>6.25</v>
      </c>
      <c r="N6008" s="143">
        <f ca="1">(PRODUCT($O$5:$O6008)-1)*36000/_xlfn.DAYS(L6008, $C$2)</f>
        <v>12.187753684518919</v>
      </c>
      <c r="O6008" s="149">
        <f t="shared" ca="1" si="198"/>
        <v>1.000173611111111</v>
      </c>
    </row>
    <row r="6009" spans="12:15" x14ac:dyDescent="0.25">
      <c r="L6009" s="147">
        <f ca="1"/>
        <v>51248</v>
      </c>
      <c r="M6009" s="92">
        <f t="shared" ca="1" si="197"/>
        <v>6.25</v>
      </c>
      <c r="N6009" s="143">
        <f ca="1">(PRODUCT($O$5:$O6009)-1)*36000/_xlfn.DAYS(L6009, $C$2)</f>
        <v>12.188880460004018</v>
      </c>
      <c r="O6009" s="149">
        <f t="shared" ca="1" si="198"/>
        <v>1.000173611111111</v>
      </c>
    </row>
    <row r="6010" spans="12:15" x14ac:dyDescent="0.25">
      <c r="L6010" s="147">
        <f ca="1"/>
        <v>51249</v>
      </c>
      <c r="M6010" s="92">
        <f t="shared" ca="1" si="197"/>
        <v>6.25</v>
      </c>
      <c r="N6010" s="143">
        <f ca="1">(PRODUCT($O$5:$O6010)-1)*36000/_xlfn.DAYS(L6010, $C$2)</f>
        <v>12.190007408163282</v>
      </c>
      <c r="O6010" s="149">
        <f t="shared" ca="1" si="198"/>
        <v>1.000173611111111</v>
      </c>
    </row>
    <row r="6011" spans="12:15" x14ac:dyDescent="0.25">
      <c r="L6011" s="147">
        <f ca="1"/>
        <v>51250</v>
      </c>
      <c r="M6011" s="92">
        <f t="shared" ca="1" si="197"/>
        <v>6.25</v>
      </c>
      <c r="N6011" s="143">
        <f ca="1">(PRODUCT($O$5:$O6011)-1)*36000/_xlfn.DAYS(L6011, $C$2)</f>
        <v>12.191134529005588</v>
      </c>
      <c r="O6011" s="149">
        <f t="shared" ca="1" si="198"/>
        <v>1.000173611111111</v>
      </c>
    </row>
    <row r="6012" spans="12:15" x14ac:dyDescent="0.25">
      <c r="L6012" s="147">
        <f ca="1"/>
        <v>51251</v>
      </c>
      <c r="M6012" s="92">
        <f t="shared" ca="1" si="197"/>
        <v>6.25</v>
      </c>
      <c r="N6012" s="143">
        <f ca="1">(PRODUCT($O$5:$O6012)-1)*36000/_xlfn.DAYS(L6012, $C$2)</f>
        <v>12.192261822539805</v>
      </c>
      <c r="O6012" s="149">
        <f t="shared" ca="1" si="198"/>
        <v>1.000173611111111</v>
      </c>
    </row>
    <row r="6013" spans="12:15" x14ac:dyDescent="0.25">
      <c r="L6013" s="147">
        <f ca="1"/>
        <v>51252</v>
      </c>
      <c r="M6013" s="92">
        <f t="shared" ca="1" si="197"/>
        <v>6.25</v>
      </c>
      <c r="N6013" s="143">
        <f ca="1">(PRODUCT($O$5:$O6013)-1)*36000/_xlfn.DAYS(L6013, $C$2)</f>
        <v>12.193389288774826</v>
      </c>
      <c r="O6013" s="149">
        <f t="shared" ca="1" si="198"/>
        <v>1.000173611111111</v>
      </c>
    </row>
    <row r="6014" spans="12:15" x14ac:dyDescent="0.25">
      <c r="L6014" s="147">
        <f ca="1"/>
        <v>51253</v>
      </c>
      <c r="M6014" s="92">
        <f t="shared" ca="1" si="197"/>
        <v>6.25</v>
      </c>
      <c r="N6014" s="143">
        <f ca="1">(PRODUCT($O$5:$O6014)-1)*36000/_xlfn.DAYS(L6014, $C$2)</f>
        <v>12.194516927719548</v>
      </c>
      <c r="O6014" s="149">
        <f t="shared" ca="1" si="198"/>
        <v>1.000173611111111</v>
      </c>
    </row>
    <row r="6015" spans="12:15" x14ac:dyDescent="0.25">
      <c r="L6015" s="147">
        <f ca="1"/>
        <v>51254</v>
      </c>
      <c r="M6015" s="92">
        <f t="shared" ca="1" si="197"/>
        <v>6.25</v>
      </c>
      <c r="N6015" s="143">
        <f ca="1">(PRODUCT($O$5:$O6015)-1)*36000/_xlfn.DAYS(L6015, $C$2)</f>
        <v>12.195644739382885</v>
      </c>
      <c r="O6015" s="149">
        <f t="shared" ca="1" si="198"/>
        <v>1.000173611111111</v>
      </c>
    </row>
    <row r="6016" spans="12:15" x14ac:dyDescent="0.25">
      <c r="L6016" s="147">
        <f ca="1"/>
        <v>51255</v>
      </c>
      <c r="M6016" s="92">
        <f t="shared" ca="1" si="197"/>
        <v>6.25</v>
      </c>
      <c r="N6016" s="143">
        <f ca="1">(PRODUCT($O$5:$O6016)-1)*36000/_xlfn.DAYS(L6016, $C$2)</f>
        <v>12.196772723773755</v>
      </c>
      <c r="O6016" s="149">
        <f t="shared" ca="1" si="198"/>
        <v>1.000173611111111</v>
      </c>
    </row>
    <row r="6017" spans="12:15" x14ac:dyDescent="0.25">
      <c r="L6017" s="147">
        <f ca="1"/>
        <v>51256</v>
      </c>
      <c r="M6017" s="92">
        <f t="shared" ca="1" si="197"/>
        <v>6.25</v>
      </c>
      <c r="N6017" s="143">
        <f ca="1">(PRODUCT($O$5:$O6017)-1)*36000/_xlfn.DAYS(L6017, $C$2)</f>
        <v>12.197900880901086</v>
      </c>
      <c r="O6017" s="149">
        <f t="shared" ca="1" si="198"/>
        <v>1.000173611111111</v>
      </c>
    </row>
    <row r="6018" spans="12:15" x14ac:dyDescent="0.25">
      <c r="L6018" s="147">
        <f ca="1"/>
        <v>51257</v>
      </c>
      <c r="M6018" s="92">
        <f t="shared" ca="1" si="197"/>
        <v>6.25</v>
      </c>
      <c r="N6018" s="143">
        <f ca="1">(PRODUCT($O$5:$O6018)-1)*36000/_xlfn.DAYS(L6018, $C$2)</f>
        <v>12.199029210773828</v>
      </c>
      <c r="O6018" s="149">
        <f t="shared" ca="1" si="198"/>
        <v>1.000173611111111</v>
      </c>
    </row>
    <row r="6019" spans="12:15" x14ac:dyDescent="0.25">
      <c r="L6019" s="147">
        <f ca="1"/>
        <v>51258</v>
      </c>
      <c r="M6019" s="92">
        <f t="shared" ca="1" si="197"/>
        <v>6.25</v>
      </c>
      <c r="N6019" s="143">
        <f ca="1">(PRODUCT($O$5:$O6019)-1)*36000/_xlfn.DAYS(L6019, $C$2)</f>
        <v>12.200157713400923</v>
      </c>
      <c r="O6019" s="149">
        <f t="shared" ca="1" si="198"/>
        <v>1.000173611111111</v>
      </c>
    </row>
    <row r="6020" spans="12:15" x14ac:dyDescent="0.25">
      <c r="L6020" s="147">
        <f ca="1"/>
        <v>51259</v>
      </c>
      <c r="M6020" s="92">
        <f t="shared" ca="1" si="197"/>
        <v>6.25</v>
      </c>
      <c r="N6020" s="143">
        <f ca="1">(PRODUCT($O$5:$O6020)-1)*36000/_xlfn.DAYS(L6020, $C$2)</f>
        <v>12.201286388791344</v>
      </c>
      <c r="O6020" s="149">
        <f t="shared" ca="1" si="198"/>
        <v>1.000173611111111</v>
      </c>
    </row>
    <row r="6021" spans="12:15" x14ac:dyDescent="0.25">
      <c r="L6021" s="147">
        <f ca="1"/>
        <v>51260</v>
      </c>
      <c r="M6021" s="92">
        <f t="shared" ref="M6021:M6084" ca="1" si="199">IFERROR(INDEX($E$27:$H$47, MATCH(L6021, $F$27:$F$47, 0), 4), IF(ISNUMBER(M6020), M6020, $C$5))</f>
        <v>6.25</v>
      </c>
      <c r="N6021" s="143">
        <f ca="1">(PRODUCT($O$5:$O6021)-1)*36000/_xlfn.DAYS(L6021, $C$2)</f>
        <v>12.202415236954058</v>
      </c>
      <c r="O6021" s="149">
        <f t="shared" ca="1" si="198"/>
        <v>1.000173611111111</v>
      </c>
    </row>
    <row r="6022" spans="12:15" x14ac:dyDescent="0.25">
      <c r="L6022" s="147">
        <f ca="1"/>
        <v>51261</v>
      </c>
      <c r="M6022" s="92">
        <f t="shared" ca="1" si="199"/>
        <v>6.25</v>
      </c>
      <c r="N6022" s="143">
        <f ca="1">(PRODUCT($O$5:$O6022)-1)*36000/_xlfn.DAYS(L6022, $C$2)</f>
        <v>12.203544257898052</v>
      </c>
      <c r="O6022" s="149">
        <f t="shared" ref="O6022:O6085" ca="1" si="200">1+M6022*IFERROR(_xlfn.DAYS(L6022, L6021), _xlfn.DAYS(L6022, $C$2))/36000</f>
        <v>1.000173611111111</v>
      </c>
    </row>
    <row r="6023" spans="12:15" x14ac:dyDescent="0.25">
      <c r="L6023" s="147">
        <f ca="1"/>
        <v>51262</v>
      </c>
      <c r="M6023" s="92">
        <f t="shared" ca="1" si="199"/>
        <v>6.25</v>
      </c>
      <c r="N6023" s="143">
        <f ca="1">(PRODUCT($O$5:$O6023)-1)*36000/_xlfn.DAYS(L6023, $C$2)</f>
        <v>12.204673451632315</v>
      </c>
      <c r="O6023" s="149">
        <f t="shared" ca="1" si="200"/>
        <v>1.000173611111111</v>
      </c>
    </row>
    <row r="6024" spans="12:15" x14ac:dyDescent="0.25">
      <c r="L6024" s="147">
        <f ca="1"/>
        <v>51263</v>
      </c>
      <c r="M6024" s="92">
        <f t="shared" ca="1" si="199"/>
        <v>6.25</v>
      </c>
      <c r="N6024" s="143">
        <f ca="1">(PRODUCT($O$5:$O6024)-1)*36000/_xlfn.DAYS(L6024, $C$2)</f>
        <v>12.205802818165859</v>
      </c>
      <c r="O6024" s="149">
        <f t="shared" ca="1" si="200"/>
        <v>1.000173611111111</v>
      </c>
    </row>
    <row r="6025" spans="12:15" x14ac:dyDescent="0.25">
      <c r="L6025" s="147">
        <f ca="1"/>
        <v>51264</v>
      </c>
      <c r="M6025" s="92">
        <f t="shared" ca="1" si="199"/>
        <v>6.25</v>
      </c>
      <c r="N6025" s="143">
        <f ca="1">(PRODUCT($O$5:$O6025)-1)*36000/_xlfn.DAYS(L6025, $C$2)</f>
        <v>12.206932357507695</v>
      </c>
      <c r="O6025" s="149">
        <f t="shared" ca="1" si="200"/>
        <v>1.000173611111111</v>
      </c>
    </row>
    <row r="6026" spans="12:15" x14ac:dyDescent="0.25">
      <c r="L6026" s="147">
        <f ca="1"/>
        <v>51265</v>
      </c>
      <c r="M6026" s="92">
        <f t="shared" ca="1" si="199"/>
        <v>6.25</v>
      </c>
      <c r="N6026" s="143">
        <f ca="1">(PRODUCT($O$5:$O6026)-1)*36000/_xlfn.DAYS(L6026, $C$2)</f>
        <v>12.208062069666852</v>
      </c>
      <c r="O6026" s="149">
        <f t="shared" ca="1" si="200"/>
        <v>1.000173611111111</v>
      </c>
    </row>
    <row r="6027" spans="12:15" x14ac:dyDescent="0.25">
      <c r="L6027" s="147">
        <f ca="1"/>
        <v>51266</v>
      </c>
      <c r="M6027" s="92">
        <f t="shared" ca="1" si="199"/>
        <v>6.25</v>
      </c>
      <c r="N6027" s="143">
        <f ca="1">(PRODUCT($O$5:$O6027)-1)*36000/_xlfn.DAYS(L6027, $C$2)</f>
        <v>12.209191954652363</v>
      </c>
      <c r="O6027" s="149">
        <f t="shared" ca="1" si="200"/>
        <v>1.000173611111111</v>
      </c>
    </row>
    <row r="6028" spans="12:15" x14ac:dyDescent="0.25">
      <c r="L6028" s="147">
        <f ca="1"/>
        <v>51267</v>
      </c>
      <c r="M6028" s="92">
        <f t="shared" ca="1" si="199"/>
        <v>6.25</v>
      </c>
      <c r="N6028" s="143">
        <f ca="1">(PRODUCT($O$5:$O6028)-1)*36000/_xlfn.DAYS(L6028, $C$2)</f>
        <v>12.210322012473281</v>
      </c>
      <c r="O6028" s="149">
        <f t="shared" ca="1" si="200"/>
        <v>1.000173611111111</v>
      </c>
    </row>
    <row r="6029" spans="12:15" x14ac:dyDescent="0.25">
      <c r="L6029" s="147">
        <f ca="1"/>
        <v>51268</v>
      </c>
      <c r="M6029" s="92">
        <f t="shared" ca="1" si="199"/>
        <v>6.25</v>
      </c>
      <c r="N6029" s="143">
        <f ca="1">(PRODUCT($O$5:$O6029)-1)*36000/_xlfn.DAYS(L6029, $C$2)</f>
        <v>12.211452243138657</v>
      </c>
      <c r="O6029" s="149">
        <f t="shared" ca="1" si="200"/>
        <v>1.000173611111111</v>
      </c>
    </row>
    <row r="6030" spans="12:15" x14ac:dyDescent="0.25">
      <c r="L6030" s="147">
        <f ca="1"/>
        <v>51269</v>
      </c>
      <c r="M6030" s="92">
        <f t="shared" ca="1" si="199"/>
        <v>6.25</v>
      </c>
      <c r="N6030" s="143">
        <f ca="1">(PRODUCT($O$5:$O6030)-1)*36000/_xlfn.DAYS(L6030, $C$2)</f>
        <v>12.212582646657562</v>
      </c>
      <c r="O6030" s="149">
        <f t="shared" ca="1" si="200"/>
        <v>1.000173611111111</v>
      </c>
    </row>
    <row r="6031" spans="12:15" x14ac:dyDescent="0.25">
      <c r="L6031" s="147">
        <f ca="1"/>
        <v>51270</v>
      </c>
      <c r="M6031" s="92">
        <f t="shared" ca="1" si="199"/>
        <v>6.25</v>
      </c>
      <c r="N6031" s="143">
        <f ca="1">(PRODUCT($O$5:$O6031)-1)*36000/_xlfn.DAYS(L6031, $C$2)</f>
        <v>12.213713223039074</v>
      </c>
      <c r="O6031" s="149">
        <f t="shared" ca="1" si="200"/>
        <v>1.000173611111111</v>
      </c>
    </row>
    <row r="6032" spans="12:15" x14ac:dyDescent="0.25">
      <c r="L6032" s="147">
        <f ca="1"/>
        <v>51271</v>
      </c>
      <c r="M6032" s="92">
        <f t="shared" ca="1" si="199"/>
        <v>6.25</v>
      </c>
      <c r="N6032" s="143">
        <f ca="1">(PRODUCT($O$5:$O6032)-1)*36000/_xlfn.DAYS(L6032, $C$2)</f>
        <v>12.214843972292286</v>
      </c>
      <c r="O6032" s="149">
        <f t="shared" ca="1" si="200"/>
        <v>1.000173611111111</v>
      </c>
    </row>
    <row r="6033" spans="12:15" x14ac:dyDescent="0.25">
      <c r="L6033" s="147">
        <f ca="1"/>
        <v>51272</v>
      </c>
      <c r="M6033" s="92">
        <f t="shared" ca="1" si="199"/>
        <v>6.25</v>
      </c>
      <c r="N6033" s="143">
        <f ca="1">(PRODUCT($O$5:$O6033)-1)*36000/_xlfn.DAYS(L6033, $C$2)</f>
        <v>12.21597489442629</v>
      </c>
      <c r="O6033" s="149">
        <f t="shared" ca="1" si="200"/>
        <v>1.000173611111111</v>
      </c>
    </row>
    <row r="6034" spans="12:15" x14ac:dyDescent="0.25">
      <c r="L6034" s="147">
        <f ca="1"/>
        <v>51273</v>
      </c>
      <c r="M6034" s="92">
        <f t="shared" ca="1" si="199"/>
        <v>6.25</v>
      </c>
      <c r="N6034" s="143">
        <f ca="1">(PRODUCT($O$5:$O6034)-1)*36000/_xlfn.DAYS(L6034, $C$2)</f>
        <v>12.217105989450205</v>
      </c>
      <c r="O6034" s="149">
        <f t="shared" ca="1" si="200"/>
        <v>1.000173611111111</v>
      </c>
    </row>
    <row r="6035" spans="12:15" x14ac:dyDescent="0.25">
      <c r="L6035" s="147">
        <f ca="1"/>
        <v>51274</v>
      </c>
      <c r="M6035" s="92">
        <f t="shared" ca="1" si="199"/>
        <v>6.25</v>
      </c>
      <c r="N6035" s="143">
        <f ca="1">(PRODUCT($O$5:$O6035)-1)*36000/_xlfn.DAYS(L6035, $C$2)</f>
        <v>12.218237257373145</v>
      </c>
      <c r="O6035" s="149">
        <f t="shared" ca="1" si="200"/>
        <v>1.000173611111111</v>
      </c>
    </row>
    <row r="6036" spans="12:15" x14ac:dyDescent="0.25">
      <c r="L6036" s="147">
        <f ca="1"/>
        <v>51275</v>
      </c>
      <c r="M6036" s="92">
        <f t="shared" ca="1" si="199"/>
        <v>6.25</v>
      </c>
      <c r="N6036" s="143">
        <f ca="1">(PRODUCT($O$5:$O6036)-1)*36000/_xlfn.DAYS(L6036, $C$2)</f>
        <v>12.21936869820424</v>
      </c>
      <c r="O6036" s="149">
        <f t="shared" ca="1" si="200"/>
        <v>1.000173611111111</v>
      </c>
    </row>
    <row r="6037" spans="12:15" x14ac:dyDescent="0.25">
      <c r="L6037" s="147">
        <f ca="1"/>
        <v>51276</v>
      </c>
      <c r="M6037" s="92">
        <f t="shared" ca="1" si="199"/>
        <v>6.25</v>
      </c>
      <c r="N6037" s="143">
        <f ca="1">(PRODUCT($O$5:$O6037)-1)*36000/_xlfn.DAYS(L6037, $C$2)</f>
        <v>12.220500311952637</v>
      </c>
      <c r="O6037" s="149">
        <f t="shared" ca="1" si="200"/>
        <v>1.000173611111111</v>
      </c>
    </row>
    <row r="6038" spans="12:15" x14ac:dyDescent="0.25">
      <c r="L6038" s="147">
        <f ca="1"/>
        <v>51277</v>
      </c>
      <c r="M6038" s="92">
        <f t="shared" ca="1" si="199"/>
        <v>6.25</v>
      </c>
      <c r="N6038" s="143">
        <f ca="1">(PRODUCT($O$5:$O6038)-1)*36000/_xlfn.DAYS(L6038, $C$2)</f>
        <v>12.221632098627483</v>
      </c>
      <c r="O6038" s="149">
        <f t="shared" ca="1" si="200"/>
        <v>1.000173611111111</v>
      </c>
    </row>
    <row r="6039" spans="12:15" x14ac:dyDescent="0.25">
      <c r="L6039" s="147">
        <f ca="1"/>
        <v>51278</v>
      </c>
      <c r="M6039" s="92">
        <f t="shared" ca="1" si="199"/>
        <v>6.25</v>
      </c>
      <c r="N6039" s="143">
        <f ca="1">(PRODUCT($O$5:$O6039)-1)*36000/_xlfn.DAYS(L6039, $C$2)</f>
        <v>12.222764058237946</v>
      </c>
      <c r="O6039" s="149">
        <f t="shared" ca="1" si="200"/>
        <v>1.000173611111111</v>
      </c>
    </row>
    <row r="6040" spans="12:15" x14ac:dyDescent="0.25">
      <c r="L6040" s="147">
        <f ca="1"/>
        <v>51279</v>
      </c>
      <c r="M6040" s="92">
        <f t="shared" ca="1" si="199"/>
        <v>6.25</v>
      </c>
      <c r="N6040" s="143">
        <f ca="1">(PRODUCT($O$5:$O6040)-1)*36000/_xlfn.DAYS(L6040, $C$2)</f>
        <v>12.223896190793191</v>
      </c>
      <c r="O6040" s="149">
        <f t="shared" ca="1" si="200"/>
        <v>1.000173611111111</v>
      </c>
    </row>
    <row r="6041" spans="12:15" x14ac:dyDescent="0.25">
      <c r="L6041" s="147">
        <f ca="1"/>
        <v>51280</v>
      </c>
      <c r="M6041" s="92">
        <f t="shared" ca="1" si="199"/>
        <v>6.25</v>
      </c>
      <c r="N6041" s="143">
        <f ca="1">(PRODUCT($O$5:$O6041)-1)*36000/_xlfn.DAYS(L6041, $C$2)</f>
        <v>12.225028496302407</v>
      </c>
      <c r="O6041" s="149">
        <f t="shared" ca="1" si="200"/>
        <v>1.000173611111111</v>
      </c>
    </row>
    <row r="6042" spans="12:15" x14ac:dyDescent="0.25">
      <c r="L6042" s="147">
        <f ca="1"/>
        <v>51281</v>
      </c>
      <c r="M6042" s="92">
        <f t="shared" ca="1" si="199"/>
        <v>6.25</v>
      </c>
      <c r="N6042" s="143">
        <f ca="1">(PRODUCT($O$5:$O6042)-1)*36000/_xlfn.DAYS(L6042, $C$2)</f>
        <v>12.226160974774787</v>
      </c>
      <c r="O6042" s="149">
        <f t="shared" ca="1" si="200"/>
        <v>1.000173611111111</v>
      </c>
    </row>
    <row r="6043" spans="12:15" x14ac:dyDescent="0.25">
      <c r="L6043" s="147">
        <f ca="1"/>
        <v>51282</v>
      </c>
      <c r="M6043" s="92">
        <f t="shared" ca="1" si="199"/>
        <v>6.25</v>
      </c>
      <c r="N6043" s="143">
        <f ca="1">(PRODUCT($O$5:$O6043)-1)*36000/_xlfn.DAYS(L6043, $C$2)</f>
        <v>12.227293626219531</v>
      </c>
      <c r="O6043" s="149">
        <f t="shared" ca="1" si="200"/>
        <v>1.000173611111111</v>
      </c>
    </row>
    <row r="6044" spans="12:15" x14ac:dyDescent="0.25">
      <c r="L6044" s="147">
        <f ca="1"/>
        <v>51283</v>
      </c>
      <c r="M6044" s="92">
        <f t="shared" ca="1" si="199"/>
        <v>6.25</v>
      </c>
      <c r="N6044" s="143">
        <f ca="1">(PRODUCT($O$5:$O6044)-1)*36000/_xlfn.DAYS(L6044, $C$2)</f>
        <v>12.228426450645856</v>
      </c>
      <c r="O6044" s="149">
        <f t="shared" ca="1" si="200"/>
        <v>1.000173611111111</v>
      </c>
    </row>
    <row r="6045" spans="12:15" x14ac:dyDescent="0.25">
      <c r="L6045" s="147">
        <f ca="1"/>
        <v>51284</v>
      </c>
      <c r="M6045" s="92">
        <f t="shared" ca="1" si="199"/>
        <v>6.25</v>
      </c>
      <c r="N6045" s="143">
        <f ca="1">(PRODUCT($O$5:$O6045)-1)*36000/_xlfn.DAYS(L6045, $C$2)</f>
        <v>12.229559448062989</v>
      </c>
      <c r="O6045" s="149">
        <f t="shared" ca="1" si="200"/>
        <v>1.000173611111111</v>
      </c>
    </row>
    <row r="6046" spans="12:15" x14ac:dyDescent="0.25">
      <c r="L6046" s="147">
        <f ca="1"/>
        <v>51285</v>
      </c>
      <c r="M6046" s="92">
        <f t="shared" ca="1" si="199"/>
        <v>6.25</v>
      </c>
      <c r="N6046" s="143">
        <f ca="1">(PRODUCT($O$5:$O6046)-1)*36000/_xlfn.DAYS(L6046, $C$2)</f>
        <v>12.230692618480163</v>
      </c>
      <c r="O6046" s="149">
        <f t="shared" ca="1" si="200"/>
        <v>1.000173611111111</v>
      </c>
    </row>
    <row r="6047" spans="12:15" x14ac:dyDescent="0.25">
      <c r="L6047" s="147">
        <f ca="1"/>
        <v>51286</v>
      </c>
      <c r="M6047" s="92">
        <f t="shared" ca="1" si="199"/>
        <v>6.25</v>
      </c>
      <c r="N6047" s="143">
        <f ca="1">(PRODUCT($O$5:$O6047)-1)*36000/_xlfn.DAYS(L6047, $C$2)</f>
        <v>12.231825961906626</v>
      </c>
      <c r="O6047" s="149">
        <f t="shared" ca="1" si="200"/>
        <v>1.000173611111111</v>
      </c>
    </row>
    <row r="6048" spans="12:15" x14ac:dyDescent="0.25">
      <c r="L6048" s="147">
        <f ca="1"/>
        <v>51287</v>
      </c>
      <c r="M6048" s="92">
        <f t="shared" ca="1" si="199"/>
        <v>6.25</v>
      </c>
      <c r="N6048" s="143">
        <f ca="1">(PRODUCT($O$5:$O6048)-1)*36000/_xlfn.DAYS(L6048, $C$2)</f>
        <v>12.23295947835163</v>
      </c>
      <c r="O6048" s="149">
        <f t="shared" ca="1" si="200"/>
        <v>1.000173611111111</v>
      </c>
    </row>
    <row r="6049" spans="12:15" x14ac:dyDescent="0.25">
      <c r="L6049" s="147">
        <f ca="1"/>
        <v>51288</v>
      </c>
      <c r="M6049" s="92">
        <f t="shared" ca="1" si="199"/>
        <v>6.25</v>
      </c>
      <c r="N6049" s="143">
        <f ca="1">(PRODUCT($O$5:$O6049)-1)*36000/_xlfn.DAYS(L6049, $C$2)</f>
        <v>12.234093167824444</v>
      </c>
      <c r="O6049" s="149">
        <f t="shared" ca="1" si="200"/>
        <v>1.000173611111111</v>
      </c>
    </row>
    <row r="6050" spans="12:15" x14ac:dyDescent="0.25">
      <c r="L6050" s="147">
        <f ca="1"/>
        <v>51289</v>
      </c>
      <c r="M6050" s="92">
        <f t="shared" ca="1" si="199"/>
        <v>6.25</v>
      </c>
      <c r="N6050" s="143">
        <f ca="1">(PRODUCT($O$5:$O6050)-1)*36000/_xlfn.DAYS(L6050, $C$2)</f>
        <v>12.235227030334345</v>
      </c>
      <c r="O6050" s="149">
        <f t="shared" ca="1" si="200"/>
        <v>1.000173611111111</v>
      </c>
    </row>
    <row r="6051" spans="12:15" x14ac:dyDescent="0.25">
      <c r="L6051" s="147">
        <f ca="1"/>
        <v>51290</v>
      </c>
      <c r="M6051" s="92">
        <f t="shared" ca="1" si="199"/>
        <v>6.25</v>
      </c>
      <c r="N6051" s="143">
        <f ca="1">(PRODUCT($O$5:$O6051)-1)*36000/_xlfn.DAYS(L6051, $C$2)</f>
        <v>12.236361065890616</v>
      </c>
      <c r="O6051" s="149">
        <f t="shared" ca="1" si="200"/>
        <v>1.000173611111111</v>
      </c>
    </row>
    <row r="6052" spans="12:15" x14ac:dyDescent="0.25">
      <c r="L6052" s="147">
        <f ca="1"/>
        <v>51291</v>
      </c>
      <c r="M6052" s="92">
        <f t="shared" ca="1" si="199"/>
        <v>6.25</v>
      </c>
      <c r="N6052" s="143">
        <f ca="1">(PRODUCT($O$5:$O6052)-1)*36000/_xlfn.DAYS(L6052, $C$2)</f>
        <v>12.23749527450256</v>
      </c>
      <c r="O6052" s="149">
        <f t="shared" ca="1" si="200"/>
        <v>1.000173611111111</v>
      </c>
    </row>
    <row r="6053" spans="12:15" x14ac:dyDescent="0.25">
      <c r="L6053" s="147">
        <f ca="1"/>
        <v>51292</v>
      </c>
      <c r="M6053" s="92">
        <f t="shared" ca="1" si="199"/>
        <v>6.25</v>
      </c>
      <c r="N6053" s="143">
        <f ca="1">(PRODUCT($O$5:$O6053)-1)*36000/_xlfn.DAYS(L6053, $C$2)</f>
        <v>12.238629656179484</v>
      </c>
      <c r="O6053" s="149">
        <f t="shared" ca="1" si="200"/>
        <v>1.000173611111111</v>
      </c>
    </row>
    <row r="6054" spans="12:15" x14ac:dyDescent="0.25">
      <c r="L6054" s="147">
        <f ca="1"/>
        <v>51293</v>
      </c>
      <c r="M6054" s="92">
        <f t="shared" ca="1" si="199"/>
        <v>6.25</v>
      </c>
      <c r="N6054" s="143">
        <f ca="1">(PRODUCT($O$5:$O6054)-1)*36000/_xlfn.DAYS(L6054, $C$2)</f>
        <v>12.239764210930705</v>
      </c>
      <c r="O6054" s="149">
        <f t="shared" ca="1" si="200"/>
        <v>1.000173611111111</v>
      </c>
    </row>
    <row r="6055" spans="12:15" x14ac:dyDescent="0.25">
      <c r="L6055" s="147">
        <f ca="1"/>
        <v>51294</v>
      </c>
      <c r="M6055" s="92">
        <f t="shared" ca="1" si="199"/>
        <v>6.25</v>
      </c>
      <c r="N6055" s="143">
        <f ca="1">(PRODUCT($O$5:$O6055)-1)*36000/_xlfn.DAYS(L6055, $C$2)</f>
        <v>12.240898938765554</v>
      </c>
      <c r="O6055" s="149">
        <f t="shared" ca="1" si="200"/>
        <v>1.000173611111111</v>
      </c>
    </row>
    <row r="6056" spans="12:15" x14ac:dyDescent="0.25">
      <c r="L6056" s="147">
        <f ca="1"/>
        <v>51295</v>
      </c>
      <c r="M6056" s="92">
        <f t="shared" ca="1" si="199"/>
        <v>6.25</v>
      </c>
      <c r="N6056" s="143">
        <f ca="1">(PRODUCT($O$5:$O6056)-1)*36000/_xlfn.DAYS(L6056, $C$2)</f>
        <v>12.242033839693367</v>
      </c>
      <c r="O6056" s="149">
        <f t="shared" ca="1" si="200"/>
        <v>1.000173611111111</v>
      </c>
    </row>
    <row r="6057" spans="12:15" x14ac:dyDescent="0.25">
      <c r="L6057" s="147">
        <f ca="1"/>
        <v>51296</v>
      </c>
      <c r="M6057" s="92">
        <f t="shared" ca="1" si="199"/>
        <v>6.25</v>
      </c>
      <c r="N6057" s="143">
        <f ca="1">(PRODUCT($O$5:$O6057)-1)*36000/_xlfn.DAYS(L6057, $C$2)</f>
        <v>12.243168913723494</v>
      </c>
      <c r="O6057" s="149">
        <f t="shared" ca="1" si="200"/>
        <v>1.000173611111111</v>
      </c>
    </row>
    <row r="6058" spans="12:15" x14ac:dyDescent="0.25">
      <c r="L6058" s="147">
        <f ca="1"/>
        <v>51297</v>
      </c>
      <c r="M6058" s="92">
        <f t="shared" ca="1" si="199"/>
        <v>6.25</v>
      </c>
      <c r="N6058" s="143">
        <f ca="1">(PRODUCT($O$5:$O6058)-1)*36000/_xlfn.DAYS(L6058, $C$2)</f>
        <v>12.244304160865296</v>
      </c>
      <c r="O6058" s="149">
        <f t="shared" ca="1" si="200"/>
        <v>1.000173611111111</v>
      </c>
    </row>
    <row r="6059" spans="12:15" x14ac:dyDescent="0.25">
      <c r="L6059" s="147">
        <f ca="1"/>
        <v>51298</v>
      </c>
      <c r="M6059" s="92">
        <f t="shared" ca="1" si="199"/>
        <v>6.25</v>
      </c>
      <c r="N6059" s="143">
        <f ca="1">(PRODUCT($O$5:$O6059)-1)*36000/_xlfn.DAYS(L6059, $C$2)</f>
        <v>12.245439581128144</v>
      </c>
      <c r="O6059" s="149">
        <f t="shared" ca="1" si="200"/>
        <v>1.000173611111111</v>
      </c>
    </row>
    <row r="6060" spans="12:15" x14ac:dyDescent="0.25">
      <c r="L6060" s="147">
        <f ca="1"/>
        <v>51299</v>
      </c>
      <c r="M6060" s="92">
        <f t="shared" ca="1" si="199"/>
        <v>6.25</v>
      </c>
      <c r="N6060" s="143">
        <f ca="1">(PRODUCT($O$5:$O6060)-1)*36000/_xlfn.DAYS(L6060, $C$2)</f>
        <v>12.246575174521416</v>
      </c>
      <c r="O6060" s="149">
        <f t="shared" ca="1" si="200"/>
        <v>1.000173611111111</v>
      </c>
    </row>
    <row r="6061" spans="12:15" x14ac:dyDescent="0.25">
      <c r="L6061" s="147">
        <f ca="1"/>
        <v>51300</v>
      </c>
      <c r="M6061" s="92">
        <f t="shared" ca="1" si="199"/>
        <v>6.25</v>
      </c>
      <c r="N6061" s="143">
        <f ca="1">(PRODUCT($O$5:$O6061)-1)*36000/_xlfn.DAYS(L6061, $C$2)</f>
        <v>12.247710941054503</v>
      </c>
      <c r="O6061" s="149">
        <f t="shared" ca="1" si="200"/>
        <v>1.000173611111111</v>
      </c>
    </row>
    <row r="6062" spans="12:15" x14ac:dyDescent="0.25">
      <c r="L6062" s="147">
        <f ca="1"/>
        <v>51301</v>
      </c>
      <c r="M6062" s="92">
        <f t="shared" ca="1" si="199"/>
        <v>6.25</v>
      </c>
      <c r="N6062" s="143">
        <f ca="1">(PRODUCT($O$5:$O6062)-1)*36000/_xlfn.DAYS(L6062, $C$2)</f>
        <v>12.248846880736805</v>
      </c>
      <c r="O6062" s="149">
        <f t="shared" ca="1" si="200"/>
        <v>1.000173611111111</v>
      </c>
    </row>
    <row r="6063" spans="12:15" x14ac:dyDescent="0.25">
      <c r="L6063" s="147">
        <f ca="1"/>
        <v>51302</v>
      </c>
      <c r="M6063" s="92">
        <f t="shared" ca="1" si="199"/>
        <v>6.25</v>
      </c>
      <c r="N6063" s="143">
        <f ca="1">(PRODUCT($O$5:$O6063)-1)*36000/_xlfn.DAYS(L6063, $C$2)</f>
        <v>12.249982993577735</v>
      </c>
      <c r="O6063" s="149">
        <f t="shared" ca="1" si="200"/>
        <v>1.000173611111111</v>
      </c>
    </row>
    <row r="6064" spans="12:15" x14ac:dyDescent="0.25">
      <c r="L6064" s="147">
        <f ca="1"/>
        <v>51303</v>
      </c>
      <c r="M6064" s="92">
        <f t="shared" ca="1" si="199"/>
        <v>6.25</v>
      </c>
      <c r="N6064" s="143">
        <f ca="1">(PRODUCT($O$5:$O6064)-1)*36000/_xlfn.DAYS(L6064, $C$2)</f>
        <v>12.251119279586714</v>
      </c>
      <c r="O6064" s="149">
        <f t="shared" ca="1" si="200"/>
        <v>1.000173611111111</v>
      </c>
    </row>
    <row r="6065" spans="12:15" x14ac:dyDescent="0.25">
      <c r="L6065" s="147">
        <f ca="1"/>
        <v>51304</v>
      </c>
      <c r="M6065" s="92">
        <f t="shared" ca="1" si="199"/>
        <v>6.25</v>
      </c>
      <c r="N6065" s="143">
        <f ca="1">(PRODUCT($O$5:$O6065)-1)*36000/_xlfn.DAYS(L6065, $C$2)</f>
        <v>12.252255738773172</v>
      </c>
      <c r="O6065" s="149">
        <f t="shared" ca="1" si="200"/>
        <v>1.000173611111111</v>
      </c>
    </row>
    <row r="6066" spans="12:15" x14ac:dyDescent="0.25">
      <c r="L6066" s="147">
        <f ca="1"/>
        <v>51305</v>
      </c>
      <c r="M6066" s="92">
        <f t="shared" ca="1" si="199"/>
        <v>6.25</v>
      </c>
      <c r="N6066" s="143">
        <f ca="1">(PRODUCT($O$5:$O6066)-1)*36000/_xlfn.DAYS(L6066, $C$2)</f>
        <v>12.253392371146559</v>
      </c>
      <c r="O6066" s="149">
        <f t="shared" ca="1" si="200"/>
        <v>1.000173611111111</v>
      </c>
    </row>
    <row r="6067" spans="12:15" x14ac:dyDescent="0.25">
      <c r="L6067" s="147">
        <f ca="1"/>
        <v>51306</v>
      </c>
      <c r="M6067" s="92">
        <f t="shared" ca="1" si="199"/>
        <v>6.25</v>
      </c>
      <c r="N6067" s="143">
        <f ca="1">(PRODUCT($O$5:$O6067)-1)*36000/_xlfn.DAYS(L6067, $C$2)</f>
        <v>12.254529176716318</v>
      </c>
      <c r="O6067" s="149">
        <f t="shared" ca="1" si="200"/>
        <v>1.000173611111111</v>
      </c>
    </row>
    <row r="6068" spans="12:15" x14ac:dyDescent="0.25">
      <c r="L6068" s="147">
        <f ca="1"/>
        <v>51307</v>
      </c>
      <c r="M6068" s="92">
        <f t="shared" ca="1" si="199"/>
        <v>6.25</v>
      </c>
      <c r="N6068" s="143">
        <f ca="1">(PRODUCT($O$5:$O6068)-1)*36000/_xlfn.DAYS(L6068, $C$2)</f>
        <v>12.255666155491916</v>
      </c>
      <c r="O6068" s="149">
        <f t="shared" ca="1" si="200"/>
        <v>1.000173611111111</v>
      </c>
    </row>
    <row r="6069" spans="12:15" x14ac:dyDescent="0.25">
      <c r="L6069" s="147">
        <f ca="1"/>
        <v>51308</v>
      </c>
      <c r="M6069" s="92">
        <f t="shared" ca="1" si="199"/>
        <v>6.25</v>
      </c>
      <c r="N6069" s="143">
        <f ca="1">(PRODUCT($O$5:$O6069)-1)*36000/_xlfn.DAYS(L6069, $C$2)</f>
        <v>12.256803307482823</v>
      </c>
      <c r="O6069" s="149">
        <f t="shared" ca="1" si="200"/>
        <v>1.000173611111111</v>
      </c>
    </row>
    <row r="6070" spans="12:15" x14ac:dyDescent="0.25">
      <c r="L6070" s="147">
        <f ca="1"/>
        <v>51309</v>
      </c>
      <c r="M6070" s="92">
        <f t="shared" ca="1" si="199"/>
        <v>6.25</v>
      </c>
      <c r="N6070" s="143">
        <f ca="1">(PRODUCT($O$5:$O6070)-1)*36000/_xlfn.DAYS(L6070, $C$2)</f>
        <v>12.25794063269853</v>
      </c>
      <c r="O6070" s="149">
        <f t="shared" ca="1" si="200"/>
        <v>1.000173611111111</v>
      </c>
    </row>
    <row r="6071" spans="12:15" x14ac:dyDescent="0.25">
      <c r="L6071" s="147">
        <f ca="1"/>
        <v>51310</v>
      </c>
      <c r="M6071" s="92">
        <f t="shared" ca="1" si="199"/>
        <v>6.25</v>
      </c>
      <c r="N6071" s="143">
        <f ca="1">(PRODUCT($O$5:$O6071)-1)*36000/_xlfn.DAYS(L6071, $C$2)</f>
        <v>12.259078131148518</v>
      </c>
      <c r="O6071" s="149">
        <f t="shared" ca="1" si="200"/>
        <v>1.000173611111111</v>
      </c>
    </row>
    <row r="6072" spans="12:15" x14ac:dyDescent="0.25">
      <c r="L6072" s="147">
        <f ca="1"/>
        <v>51311</v>
      </c>
      <c r="M6072" s="92">
        <f t="shared" ca="1" si="199"/>
        <v>6.25</v>
      </c>
      <c r="N6072" s="143">
        <f ca="1">(PRODUCT($O$5:$O6072)-1)*36000/_xlfn.DAYS(L6072, $C$2)</f>
        <v>12.260215802842303</v>
      </c>
      <c r="O6072" s="149">
        <f t="shared" ca="1" si="200"/>
        <v>1.000173611111111</v>
      </c>
    </row>
    <row r="6073" spans="12:15" x14ac:dyDescent="0.25">
      <c r="L6073" s="147">
        <f ca="1"/>
        <v>51312</v>
      </c>
      <c r="M6073" s="92">
        <f t="shared" ca="1" si="199"/>
        <v>6.25</v>
      </c>
      <c r="N6073" s="143">
        <f ca="1">(PRODUCT($O$5:$O6073)-1)*36000/_xlfn.DAYS(L6073, $C$2)</f>
        <v>12.261353647789393</v>
      </c>
      <c r="O6073" s="149">
        <f t="shared" ca="1" si="200"/>
        <v>1.000173611111111</v>
      </c>
    </row>
    <row r="6074" spans="12:15" x14ac:dyDescent="0.25">
      <c r="L6074" s="147">
        <f ca="1"/>
        <v>51313</v>
      </c>
      <c r="M6074" s="92">
        <f t="shared" ca="1" si="199"/>
        <v>6.25</v>
      </c>
      <c r="N6074" s="143">
        <f ca="1">(PRODUCT($O$5:$O6074)-1)*36000/_xlfn.DAYS(L6074, $C$2)</f>
        <v>12.262491665999315</v>
      </c>
      <c r="O6074" s="149">
        <f t="shared" ca="1" si="200"/>
        <v>1.000173611111111</v>
      </c>
    </row>
    <row r="6075" spans="12:15" x14ac:dyDescent="0.25">
      <c r="L6075" s="147">
        <f ca="1"/>
        <v>51314</v>
      </c>
      <c r="M6075" s="92">
        <f t="shared" ca="1" si="199"/>
        <v>6.25</v>
      </c>
      <c r="N6075" s="143">
        <f ca="1">(PRODUCT($O$5:$O6075)-1)*36000/_xlfn.DAYS(L6075, $C$2)</f>
        <v>12.263629857481602</v>
      </c>
      <c r="O6075" s="149">
        <f t="shared" ca="1" si="200"/>
        <v>1.000173611111111</v>
      </c>
    </row>
    <row r="6076" spans="12:15" x14ac:dyDescent="0.25">
      <c r="L6076" s="147">
        <f ca="1"/>
        <v>51315</v>
      </c>
      <c r="M6076" s="92">
        <f t="shared" ca="1" si="199"/>
        <v>6.25</v>
      </c>
      <c r="N6076" s="143">
        <f ca="1">(PRODUCT($O$5:$O6076)-1)*36000/_xlfn.DAYS(L6076, $C$2)</f>
        <v>12.264768222245795</v>
      </c>
      <c r="O6076" s="149">
        <f t="shared" ca="1" si="200"/>
        <v>1.000173611111111</v>
      </c>
    </row>
    <row r="6077" spans="12:15" x14ac:dyDescent="0.25">
      <c r="L6077" s="147">
        <f ca="1"/>
        <v>51316</v>
      </c>
      <c r="M6077" s="92">
        <f t="shared" ca="1" si="199"/>
        <v>6.25</v>
      </c>
      <c r="N6077" s="143">
        <f ca="1">(PRODUCT($O$5:$O6077)-1)*36000/_xlfn.DAYS(L6077, $C$2)</f>
        <v>12.265906760301458</v>
      </c>
      <c r="O6077" s="149">
        <f t="shared" ca="1" si="200"/>
        <v>1.000173611111111</v>
      </c>
    </row>
    <row r="6078" spans="12:15" x14ac:dyDescent="0.25">
      <c r="L6078" s="147">
        <f ca="1"/>
        <v>51317</v>
      </c>
      <c r="M6078" s="92">
        <f t="shared" ca="1" si="199"/>
        <v>6.25</v>
      </c>
      <c r="N6078" s="143">
        <f ca="1">(PRODUCT($O$5:$O6078)-1)*36000/_xlfn.DAYS(L6078, $C$2)</f>
        <v>12.26704547165815</v>
      </c>
      <c r="O6078" s="149">
        <f t="shared" ca="1" si="200"/>
        <v>1.000173611111111</v>
      </c>
    </row>
    <row r="6079" spans="12:15" x14ac:dyDescent="0.25">
      <c r="L6079" s="147">
        <f ca="1"/>
        <v>51318</v>
      </c>
      <c r="M6079" s="92">
        <f t="shared" ca="1" si="199"/>
        <v>6.25</v>
      </c>
      <c r="N6079" s="143">
        <f ca="1">(PRODUCT($O$5:$O6079)-1)*36000/_xlfn.DAYS(L6079, $C$2)</f>
        <v>12.268184356325447</v>
      </c>
      <c r="O6079" s="149">
        <f t="shared" ca="1" si="200"/>
        <v>1.000173611111111</v>
      </c>
    </row>
    <row r="6080" spans="12:15" x14ac:dyDescent="0.25">
      <c r="L6080" s="147">
        <f ca="1"/>
        <v>51319</v>
      </c>
      <c r="M6080" s="92">
        <f t="shared" ca="1" si="199"/>
        <v>6.25</v>
      </c>
      <c r="N6080" s="143">
        <f ca="1">(PRODUCT($O$5:$O6080)-1)*36000/_xlfn.DAYS(L6080, $C$2)</f>
        <v>12.269323414312934</v>
      </c>
      <c r="O6080" s="149">
        <f t="shared" ca="1" si="200"/>
        <v>1.000173611111111</v>
      </c>
    </row>
    <row r="6081" spans="12:15" x14ac:dyDescent="0.25">
      <c r="L6081" s="147">
        <f ca="1"/>
        <v>51320</v>
      </c>
      <c r="M6081" s="92">
        <f t="shared" ca="1" si="199"/>
        <v>6.25</v>
      </c>
      <c r="N6081" s="143">
        <f ca="1">(PRODUCT($O$5:$O6081)-1)*36000/_xlfn.DAYS(L6081, $C$2)</f>
        <v>12.270462645630211</v>
      </c>
      <c r="O6081" s="149">
        <f t="shared" ca="1" si="200"/>
        <v>1.000173611111111</v>
      </c>
    </row>
    <row r="6082" spans="12:15" x14ac:dyDescent="0.25">
      <c r="L6082" s="147">
        <f ca="1"/>
        <v>51321</v>
      </c>
      <c r="M6082" s="92">
        <f t="shared" ca="1" si="199"/>
        <v>6.25</v>
      </c>
      <c r="N6082" s="143">
        <f ca="1">(PRODUCT($O$5:$O6082)-1)*36000/_xlfn.DAYS(L6082, $C$2)</f>
        <v>12.271602050286878</v>
      </c>
      <c r="O6082" s="149">
        <f t="shared" ca="1" si="200"/>
        <v>1.000173611111111</v>
      </c>
    </row>
    <row r="6083" spans="12:15" x14ac:dyDescent="0.25">
      <c r="L6083" s="147">
        <f ca="1"/>
        <v>51322</v>
      </c>
      <c r="M6083" s="92">
        <f t="shared" ca="1" si="199"/>
        <v>6.25</v>
      </c>
      <c r="N6083" s="143">
        <f ca="1">(PRODUCT($O$5:$O6083)-1)*36000/_xlfn.DAYS(L6083, $C$2)</f>
        <v>12.272741628292556</v>
      </c>
      <c r="O6083" s="149">
        <f t="shared" ca="1" si="200"/>
        <v>1.000173611111111</v>
      </c>
    </row>
    <row r="6084" spans="12:15" x14ac:dyDescent="0.25">
      <c r="L6084" s="147">
        <f ca="1"/>
        <v>51323</v>
      </c>
      <c r="M6084" s="92">
        <f t="shared" ca="1" si="199"/>
        <v>6.25</v>
      </c>
      <c r="N6084" s="143">
        <f ca="1">(PRODUCT($O$5:$O6084)-1)*36000/_xlfn.DAYS(L6084, $C$2)</f>
        <v>12.273881379656869</v>
      </c>
      <c r="O6084" s="149">
        <f t="shared" ca="1" si="200"/>
        <v>1.000173611111111</v>
      </c>
    </row>
    <row r="6085" spans="12:15" x14ac:dyDescent="0.25">
      <c r="L6085" s="147">
        <f ca="1"/>
        <v>51324</v>
      </c>
      <c r="M6085" s="92">
        <f t="shared" ref="M6085:M6148" ca="1" si="201">IFERROR(INDEX($E$27:$H$47, MATCH(L6085, $F$27:$F$47, 0), 4), IF(ISNUMBER(M6084), M6084, $C$5))</f>
        <v>6.25</v>
      </c>
      <c r="N6085" s="143">
        <f ca="1">(PRODUCT($O$5:$O6085)-1)*36000/_xlfn.DAYS(L6085, $C$2)</f>
        <v>12.275021304389456</v>
      </c>
      <c r="O6085" s="149">
        <f t="shared" ca="1" si="200"/>
        <v>1.000173611111111</v>
      </c>
    </row>
    <row r="6086" spans="12:15" x14ac:dyDescent="0.25">
      <c r="L6086" s="147">
        <f ca="1"/>
        <v>51325</v>
      </c>
      <c r="M6086" s="92">
        <f t="shared" ca="1" si="201"/>
        <v>6.25</v>
      </c>
      <c r="N6086" s="143">
        <f ca="1">(PRODUCT($O$5:$O6086)-1)*36000/_xlfn.DAYS(L6086, $C$2)</f>
        <v>12.276161402499962</v>
      </c>
      <c r="O6086" s="149">
        <f t="shared" ref="O6086:O6149" ca="1" si="202">1+M6086*IFERROR(_xlfn.DAYS(L6086, L6085), _xlfn.DAYS(L6086, $C$2))/36000</f>
        <v>1.000173611111111</v>
      </c>
    </row>
    <row r="6087" spans="12:15" x14ac:dyDescent="0.25">
      <c r="L6087" s="147">
        <f ca="1"/>
        <v>51326</v>
      </c>
      <c r="M6087" s="92">
        <f t="shared" ca="1" si="201"/>
        <v>6.25</v>
      </c>
      <c r="N6087" s="143">
        <f ca="1">(PRODUCT($O$5:$O6087)-1)*36000/_xlfn.DAYS(L6087, $C$2)</f>
        <v>12.277301673998046</v>
      </c>
      <c r="O6087" s="149">
        <f t="shared" ca="1" si="202"/>
        <v>1.000173611111111</v>
      </c>
    </row>
    <row r="6088" spans="12:15" x14ac:dyDescent="0.25">
      <c r="L6088" s="147">
        <f ca="1"/>
        <v>51327</v>
      </c>
      <c r="M6088" s="92">
        <f t="shared" ca="1" si="201"/>
        <v>6.25</v>
      </c>
      <c r="N6088" s="143">
        <f ca="1">(PRODUCT($O$5:$O6088)-1)*36000/_xlfn.DAYS(L6088, $C$2)</f>
        <v>12.278442118893372</v>
      </c>
      <c r="O6088" s="149">
        <f t="shared" ca="1" si="202"/>
        <v>1.000173611111111</v>
      </c>
    </row>
    <row r="6089" spans="12:15" x14ac:dyDescent="0.25">
      <c r="L6089" s="147">
        <f ca="1"/>
        <v>51328</v>
      </c>
      <c r="M6089" s="92">
        <f t="shared" ca="1" si="201"/>
        <v>6.25</v>
      </c>
      <c r="N6089" s="143">
        <f ca="1">(PRODUCT($O$5:$O6089)-1)*36000/_xlfn.DAYS(L6089, $C$2)</f>
        <v>12.27958273719562</v>
      </c>
      <c r="O6089" s="149">
        <f t="shared" ca="1" si="202"/>
        <v>1.000173611111111</v>
      </c>
    </row>
    <row r="6090" spans="12:15" x14ac:dyDescent="0.25">
      <c r="L6090" s="147">
        <f ca="1"/>
        <v>51329</v>
      </c>
      <c r="M6090" s="92">
        <f t="shared" ca="1" si="201"/>
        <v>6.25</v>
      </c>
      <c r="N6090" s="143">
        <f ca="1">(PRODUCT($O$5:$O6090)-1)*36000/_xlfn.DAYS(L6090, $C$2)</f>
        <v>12.280723528914477</v>
      </c>
      <c r="O6090" s="149">
        <f t="shared" ca="1" si="202"/>
        <v>1.000173611111111</v>
      </c>
    </row>
    <row r="6091" spans="12:15" x14ac:dyDescent="0.25">
      <c r="L6091" s="147">
        <f ca="1"/>
        <v>51330</v>
      </c>
      <c r="M6091" s="92">
        <f t="shared" ca="1" si="201"/>
        <v>6.25</v>
      </c>
      <c r="N6091" s="143">
        <f ca="1">(PRODUCT($O$5:$O6091)-1)*36000/_xlfn.DAYS(L6091, $C$2)</f>
        <v>12.281864494059638</v>
      </c>
      <c r="O6091" s="149">
        <f t="shared" ca="1" si="202"/>
        <v>1.000173611111111</v>
      </c>
    </row>
    <row r="6092" spans="12:15" x14ac:dyDescent="0.25">
      <c r="L6092" s="147">
        <f ca="1"/>
        <v>51331</v>
      </c>
      <c r="M6092" s="92">
        <f t="shared" ca="1" si="201"/>
        <v>6.25</v>
      </c>
      <c r="N6092" s="143">
        <f ca="1">(PRODUCT($O$5:$O6092)-1)*36000/_xlfn.DAYS(L6092, $C$2)</f>
        <v>12.283005632640817</v>
      </c>
      <c r="O6092" s="149">
        <f t="shared" ca="1" si="202"/>
        <v>1.000173611111111</v>
      </c>
    </row>
    <row r="6093" spans="12:15" x14ac:dyDescent="0.25">
      <c r="L6093" s="147">
        <f ca="1"/>
        <v>51332</v>
      </c>
      <c r="M6093" s="92">
        <f t="shared" ca="1" si="201"/>
        <v>6.25</v>
      </c>
      <c r="N6093" s="143">
        <f ca="1">(PRODUCT($O$5:$O6093)-1)*36000/_xlfn.DAYS(L6093, $C$2)</f>
        <v>12.284146944667727</v>
      </c>
      <c r="O6093" s="149">
        <f t="shared" ca="1" si="202"/>
        <v>1.000173611111111</v>
      </c>
    </row>
    <row r="6094" spans="12:15" x14ac:dyDescent="0.25">
      <c r="L6094" s="147">
        <f ca="1"/>
        <v>51333</v>
      </c>
      <c r="M6094" s="92">
        <f t="shared" ca="1" si="201"/>
        <v>6.25</v>
      </c>
      <c r="N6094" s="143">
        <f ca="1">(PRODUCT($O$5:$O6094)-1)*36000/_xlfn.DAYS(L6094, $C$2)</f>
        <v>12.285288430150095</v>
      </c>
      <c r="O6094" s="149">
        <f t="shared" ca="1" si="202"/>
        <v>1.000173611111111</v>
      </c>
    </row>
    <row r="6095" spans="12:15" x14ac:dyDescent="0.25">
      <c r="L6095" s="147">
        <f ca="1"/>
        <v>51334</v>
      </c>
      <c r="M6095" s="92">
        <f t="shared" ca="1" si="201"/>
        <v>6.25</v>
      </c>
      <c r="N6095" s="143">
        <f ca="1">(PRODUCT($O$5:$O6095)-1)*36000/_xlfn.DAYS(L6095, $C$2)</f>
        <v>12.286430089097662</v>
      </c>
      <c r="O6095" s="149">
        <f t="shared" ca="1" si="202"/>
        <v>1.000173611111111</v>
      </c>
    </row>
    <row r="6096" spans="12:15" x14ac:dyDescent="0.25">
      <c r="L6096" s="147">
        <f ca="1"/>
        <v>51335</v>
      </c>
      <c r="M6096" s="92">
        <f t="shared" ca="1" si="201"/>
        <v>6.25</v>
      </c>
      <c r="N6096" s="143">
        <f ca="1">(PRODUCT($O$5:$O6096)-1)*36000/_xlfn.DAYS(L6096, $C$2)</f>
        <v>12.287571921520176</v>
      </c>
      <c r="O6096" s="149">
        <f t="shared" ca="1" si="202"/>
        <v>1.000173611111111</v>
      </c>
    </row>
    <row r="6097" spans="12:15" x14ac:dyDescent="0.25">
      <c r="L6097" s="147">
        <f ca="1"/>
        <v>51336</v>
      </c>
      <c r="M6097" s="92">
        <f t="shared" ca="1" si="201"/>
        <v>6.25</v>
      </c>
      <c r="N6097" s="143">
        <f ca="1">(PRODUCT($O$5:$O6097)-1)*36000/_xlfn.DAYS(L6097, $C$2)</f>
        <v>12.288713927427397</v>
      </c>
      <c r="O6097" s="149">
        <f t="shared" ca="1" si="202"/>
        <v>1.000173611111111</v>
      </c>
    </row>
    <row r="6098" spans="12:15" x14ac:dyDescent="0.25">
      <c r="L6098" s="147">
        <f ca="1"/>
        <v>51337</v>
      </c>
      <c r="M6098" s="92">
        <f t="shared" ca="1" si="201"/>
        <v>6.25</v>
      </c>
      <c r="N6098" s="143">
        <f ca="1">(PRODUCT($O$5:$O6098)-1)*36000/_xlfn.DAYS(L6098, $C$2)</f>
        <v>12.28985610682909</v>
      </c>
      <c r="O6098" s="149">
        <f t="shared" ca="1" si="202"/>
        <v>1.000173611111111</v>
      </c>
    </row>
    <row r="6099" spans="12:15" x14ac:dyDescent="0.25">
      <c r="L6099" s="147">
        <f ca="1"/>
        <v>51338</v>
      </c>
      <c r="M6099" s="92">
        <f t="shared" ca="1" si="201"/>
        <v>6.25</v>
      </c>
      <c r="N6099" s="143">
        <f ca="1">(PRODUCT($O$5:$O6099)-1)*36000/_xlfn.DAYS(L6099, $C$2)</f>
        <v>12.290998459735036</v>
      </c>
      <c r="O6099" s="149">
        <f t="shared" ca="1" si="202"/>
        <v>1.000173611111111</v>
      </c>
    </row>
    <row r="6100" spans="12:15" x14ac:dyDescent="0.25">
      <c r="L6100" s="147">
        <f ca="1"/>
        <v>51339</v>
      </c>
      <c r="M6100" s="92">
        <f t="shared" ca="1" si="201"/>
        <v>6.25</v>
      </c>
      <c r="N6100" s="143">
        <f ca="1">(PRODUCT($O$5:$O6100)-1)*36000/_xlfn.DAYS(L6100, $C$2)</f>
        <v>12.292140986155024</v>
      </c>
      <c r="O6100" s="149">
        <f t="shared" ca="1" si="202"/>
        <v>1.000173611111111</v>
      </c>
    </row>
    <row r="6101" spans="12:15" x14ac:dyDescent="0.25">
      <c r="L6101" s="147">
        <f ca="1"/>
        <v>51340</v>
      </c>
      <c r="M6101" s="92">
        <f t="shared" ca="1" si="201"/>
        <v>6.25</v>
      </c>
      <c r="N6101" s="143">
        <f ca="1">(PRODUCT($O$5:$O6101)-1)*36000/_xlfn.DAYS(L6101, $C$2)</f>
        <v>12.293283686098851</v>
      </c>
      <c r="O6101" s="149">
        <f t="shared" ca="1" si="202"/>
        <v>1.000173611111111</v>
      </c>
    </row>
    <row r="6102" spans="12:15" x14ac:dyDescent="0.25">
      <c r="L6102" s="147">
        <f ca="1"/>
        <v>51341</v>
      </c>
      <c r="M6102" s="92">
        <f t="shared" ca="1" si="201"/>
        <v>6.25</v>
      </c>
      <c r="N6102" s="143">
        <f ca="1">(PRODUCT($O$5:$O6102)-1)*36000/_xlfn.DAYS(L6102, $C$2)</f>
        <v>12.294426559576328</v>
      </c>
      <c r="O6102" s="149">
        <f t="shared" ca="1" si="202"/>
        <v>1.000173611111111</v>
      </c>
    </row>
    <row r="6103" spans="12:15" x14ac:dyDescent="0.25">
      <c r="L6103" s="147">
        <f ca="1"/>
        <v>51342</v>
      </c>
      <c r="M6103" s="92">
        <f t="shared" ca="1" si="201"/>
        <v>6.25</v>
      </c>
      <c r="N6103" s="143">
        <f ca="1">(PRODUCT($O$5:$O6103)-1)*36000/_xlfn.DAYS(L6103, $C$2)</f>
        <v>12.295569606597272</v>
      </c>
      <c r="O6103" s="149">
        <f t="shared" ca="1" si="202"/>
        <v>1.000173611111111</v>
      </c>
    </row>
    <row r="6104" spans="12:15" x14ac:dyDescent="0.25">
      <c r="L6104" s="147">
        <f ca="1"/>
        <v>51343</v>
      </c>
      <c r="M6104" s="92">
        <f t="shared" ca="1" si="201"/>
        <v>6.25</v>
      </c>
      <c r="N6104" s="143">
        <f ca="1">(PRODUCT($O$5:$O6104)-1)*36000/_xlfn.DAYS(L6104, $C$2)</f>
        <v>12.296712827171515</v>
      </c>
      <c r="O6104" s="149">
        <f t="shared" ca="1" si="202"/>
        <v>1.000173611111111</v>
      </c>
    </row>
    <row r="6105" spans="12:15" x14ac:dyDescent="0.25">
      <c r="L6105" s="147">
        <f ca="1"/>
        <v>51344</v>
      </c>
      <c r="M6105" s="92">
        <f t="shared" ca="1" si="201"/>
        <v>6.25</v>
      </c>
      <c r="N6105" s="143">
        <f ca="1">(PRODUCT($O$5:$O6105)-1)*36000/_xlfn.DAYS(L6105, $C$2)</f>
        <v>12.297856221308892</v>
      </c>
      <c r="O6105" s="149">
        <f t="shared" ca="1" si="202"/>
        <v>1.000173611111111</v>
      </c>
    </row>
    <row r="6106" spans="12:15" x14ac:dyDescent="0.25">
      <c r="L6106" s="147">
        <f ca="1"/>
        <v>51345</v>
      </c>
      <c r="M6106" s="92">
        <f t="shared" ca="1" si="201"/>
        <v>6.25</v>
      </c>
      <c r="N6106" s="143">
        <f ca="1">(PRODUCT($O$5:$O6106)-1)*36000/_xlfn.DAYS(L6106, $C$2)</f>
        <v>12.298999789019259</v>
      </c>
      <c r="O6106" s="149">
        <f t="shared" ca="1" si="202"/>
        <v>1.000173611111111</v>
      </c>
    </row>
    <row r="6107" spans="12:15" x14ac:dyDescent="0.25">
      <c r="L6107" s="147">
        <f ca="1"/>
        <v>51346</v>
      </c>
      <c r="M6107" s="92">
        <f t="shared" ca="1" si="201"/>
        <v>6.25</v>
      </c>
      <c r="N6107" s="143">
        <f ca="1">(PRODUCT($O$5:$O6107)-1)*36000/_xlfn.DAYS(L6107, $C$2)</f>
        <v>12.30014353031247</v>
      </c>
      <c r="O6107" s="149">
        <f t="shared" ca="1" si="202"/>
        <v>1.000173611111111</v>
      </c>
    </row>
    <row r="6108" spans="12:15" x14ac:dyDescent="0.25">
      <c r="L6108" s="147">
        <f ca="1"/>
        <v>51347</v>
      </c>
      <c r="M6108" s="92">
        <f t="shared" ca="1" si="201"/>
        <v>6.25</v>
      </c>
      <c r="N6108" s="143">
        <f ca="1">(PRODUCT($O$5:$O6108)-1)*36000/_xlfn.DAYS(L6108, $C$2)</f>
        <v>12.301287445198394</v>
      </c>
      <c r="O6108" s="149">
        <f t="shared" ca="1" si="202"/>
        <v>1.000173611111111</v>
      </c>
    </row>
    <row r="6109" spans="12:15" x14ac:dyDescent="0.25">
      <c r="L6109" s="147">
        <f ca="1"/>
        <v>51348</v>
      </c>
      <c r="M6109" s="92">
        <f t="shared" ca="1" si="201"/>
        <v>6.25</v>
      </c>
      <c r="N6109" s="143">
        <f ca="1">(PRODUCT($O$5:$O6109)-1)*36000/_xlfn.DAYS(L6109, $C$2)</f>
        <v>12.302431533686914</v>
      </c>
      <c r="O6109" s="149">
        <f t="shared" ca="1" si="202"/>
        <v>1.000173611111111</v>
      </c>
    </row>
    <row r="6110" spans="12:15" x14ac:dyDescent="0.25">
      <c r="L6110" s="147">
        <f ca="1"/>
        <v>51349</v>
      </c>
      <c r="M6110" s="92">
        <f t="shared" ca="1" si="201"/>
        <v>6.25</v>
      </c>
      <c r="N6110" s="143">
        <f ca="1">(PRODUCT($O$5:$O6110)-1)*36000/_xlfn.DAYS(L6110, $C$2)</f>
        <v>12.303575795787916</v>
      </c>
      <c r="O6110" s="149">
        <f t="shared" ca="1" si="202"/>
        <v>1.000173611111111</v>
      </c>
    </row>
    <row r="6111" spans="12:15" x14ac:dyDescent="0.25">
      <c r="L6111" s="147">
        <f ca="1"/>
        <v>51350</v>
      </c>
      <c r="M6111" s="92">
        <f t="shared" ca="1" si="201"/>
        <v>6.25</v>
      </c>
      <c r="N6111" s="143">
        <f ca="1">(PRODUCT($O$5:$O6111)-1)*36000/_xlfn.DAYS(L6111, $C$2)</f>
        <v>12.304720231511304</v>
      </c>
      <c r="O6111" s="149">
        <f t="shared" ca="1" si="202"/>
        <v>1.000173611111111</v>
      </c>
    </row>
    <row r="6112" spans="12:15" x14ac:dyDescent="0.25">
      <c r="L6112" s="147">
        <f ca="1"/>
        <v>51351</v>
      </c>
      <c r="M6112" s="92">
        <f t="shared" ca="1" si="201"/>
        <v>6.25</v>
      </c>
      <c r="N6112" s="143">
        <f ca="1">(PRODUCT($O$5:$O6112)-1)*36000/_xlfn.DAYS(L6112, $C$2)</f>
        <v>12.305864840866985</v>
      </c>
      <c r="O6112" s="149">
        <f t="shared" ca="1" si="202"/>
        <v>1.000173611111111</v>
      </c>
    </row>
    <row r="6113" spans="12:15" x14ac:dyDescent="0.25">
      <c r="L6113" s="147">
        <f ca="1"/>
        <v>51352</v>
      </c>
      <c r="M6113" s="92">
        <f t="shared" ca="1" si="201"/>
        <v>6.25</v>
      </c>
      <c r="N6113" s="143">
        <f ca="1">(PRODUCT($O$5:$O6113)-1)*36000/_xlfn.DAYS(L6113, $C$2)</f>
        <v>12.307009623864875</v>
      </c>
      <c r="O6113" s="149">
        <f t="shared" ca="1" si="202"/>
        <v>1.000173611111111</v>
      </c>
    </row>
    <row r="6114" spans="12:15" x14ac:dyDescent="0.25">
      <c r="L6114" s="147">
        <f ca="1"/>
        <v>51353</v>
      </c>
      <c r="M6114" s="92">
        <f t="shared" ca="1" si="201"/>
        <v>6.25</v>
      </c>
      <c r="N6114" s="143">
        <f ca="1">(PRODUCT($O$5:$O6114)-1)*36000/_xlfn.DAYS(L6114, $C$2)</f>
        <v>12.308154580514911</v>
      </c>
      <c r="O6114" s="149">
        <f t="shared" ca="1" si="202"/>
        <v>1.000173611111111</v>
      </c>
    </row>
    <row r="6115" spans="12:15" x14ac:dyDescent="0.25">
      <c r="L6115" s="147">
        <f ca="1"/>
        <v>51354</v>
      </c>
      <c r="M6115" s="92">
        <f t="shared" ca="1" si="201"/>
        <v>6.25</v>
      </c>
      <c r="N6115" s="143">
        <f ca="1">(PRODUCT($O$5:$O6115)-1)*36000/_xlfn.DAYS(L6115, $C$2)</f>
        <v>12.309299710827029</v>
      </c>
      <c r="O6115" s="149">
        <f t="shared" ca="1" si="202"/>
        <v>1.000173611111111</v>
      </c>
    </row>
    <row r="6116" spans="12:15" x14ac:dyDescent="0.25">
      <c r="L6116" s="147">
        <f ca="1"/>
        <v>51355</v>
      </c>
      <c r="M6116" s="92">
        <f t="shared" ca="1" si="201"/>
        <v>6.25</v>
      </c>
      <c r="N6116" s="143">
        <f ca="1">(PRODUCT($O$5:$O6116)-1)*36000/_xlfn.DAYS(L6116, $C$2)</f>
        <v>12.310445014811179</v>
      </c>
      <c r="O6116" s="149">
        <f t="shared" ca="1" si="202"/>
        <v>1.000173611111111</v>
      </c>
    </row>
    <row r="6117" spans="12:15" x14ac:dyDescent="0.25">
      <c r="L6117" s="147">
        <f ca="1"/>
        <v>51356</v>
      </c>
      <c r="M6117" s="92">
        <f t="shared" ca="1" si="201"/>
        <v>6.25</v>
      </c>
      <c r="N6117" s="143">
        <f ca="1">(PRODUCT($O$5:$O6117)-1)*36000/_xlfn.DAYS(L6117, $C$2)</f>
        <v>12.31159049247732</v>
      </c>
      <c r="O6117" s="149">
        <f t="shared" ca="1" si="202"/>
        <v>1.000173611111111</v>
      </c>
    </row>
    <row r="6118" spans="12:15" x14ac:dyDescent="0.25">
      <c r="L6118" s="147">
        <f ca="1"/>
        <v>51357</v>
      </c>
      <c r="M6118" s="92">
        <f t="shared" ca="1" si="201"/>
        <v>6.25</v>
      </c>
      <c r="N6118" s="143">
        <f ca="1">(PRODUCT($O$5:$O6118)-1)*36000/_xlfn.DAYS(L6118, $C$2)</f>
        <v>12.312736143835426</v>
      </c>
      <c r="O6118" s="149">
        <f t="shared" ca="1" si="202"/>
        <v>1.000173611111111</v>
      </c>
    </row>
    <row r="6119" spans="12:15" x14ac:dyDescent="0.25">
      <c r="L6119" s="147">
        <f ca="1"/>
        <v>51358</v>
      </c>
      <c r="M6119" s="92">
        <f t="shared" ca="1" si="201"/>
        <v>6.25</v>
      </c>
      <c r="N6119" s="143">
        <f ca="1">(PRODUCT($O$5:$O6119)-1)*36000/_xlfn.DAYS(L6119, $C$2)</f>
        <v>12.313881968895467</v>
      </c>
      <c r="O6119" s="149">
        <f t="shared" ca="1" si="202"/>
        <v>1.000173611111111</v>
      </c>
    </row>
    <row r="6120" spans="12:15" x14ac:dyDescent="0.25">
      <c r="L6120" s="147">
        <f ca="1"/>
        <v>51359</v>
      </c>
      <c r="M6120" s="92">
        <f t="shared" ca="1" si="201"/>
        <v>6.25</v>
      </c>
      <c r="N6120" s="143">
        <f ca="1">(PRODUCT($O$5:$O6120)-1)*36000/_xlfn.DAYS(L6120, $C$2)</f>
        <v>12.31502796766744</v>
      </c>
      <c r="O6120" s="149">
        <f t="shared" ca="1" si="202"/>
        <v>1.000173611111111</v>
      </c>
    </row>
    <row r="6121" spans="12:15" x14ac:dyDescent="0.25">
      <c r="L6121" s="147">
        <f ca="1"/>
        <v>51360</v>
      </c>
      <c r="M6121" s="92">
        <f t="shared" ca="1" si="201"/>
        <v>6.25</v>
      </c>
      <c r="N6121" s="143">
        <f ca="1">(PRODUCT($O$5:$O6121)-1)*36000/_xlfn.DAYS(L6121, $C$2)</f>
        <v>12.316174140161344</v>
      </c>
      <c r="O6121" s="149">
        <f t="shared" ca="1" si="202"/>
        <v>1.000173611111111</v>
      </c>
    </row>
    <row r="6122" spans="12:15" x14ac:dyDescent="0.25">
      <c r="L6122" s="147">
        <f ca="1"/>
        <v>51361</v>
      </c>
      <c r="M6122" s="92">
        <f t="shared" ca="1" si="201"/>
        <v>6.25</v>
      </c>
      <c r="N6122" s="143">
        <f ca="1">(PRODUCT($O$5:$O6122)-1)*36000/_xlfn.DAYS(L6122, $C$2)</f>
        <v>12.317320486387191</v>
      </c>
      <c r="O6122" s="149">
        <f t="shared" ca="1" si="202"/>
        <v>1.000173611111111</v>
      </c>
    </row>
    <row r="6123" spans="12:15" x14ac:dyDescent="0.25">
      <c r="L6123" s="147">
        <f ca="1"/>
        <v>51362</v>
      </c>
      <c r="M6123" s="92">
        <f t="shared" ca="1" si="201"/>
        <v>6.25</v>
      </c>
      <c r="N6123" s="143">
        <f ca="1">(PRODUCT($O$5:$O6123)-1)*36000/_xlfn.DAYS(L6123, $C$2)</f>
        <v>12.318467006354995</v>
      </c>
      <c r="O6123" s="149">
        <f t="shared" ca="1" si="202"/>
        <v>1.000173611111111</v>
      </c>
    </row>
    <row r="6124" spans="12:15" x14ac:dyDescent="0.25">
      <c r="L6124" s="147">
        <f ca="1"/>
        <v>51363</v>
      </c>
      <c r="M6124" s="92">
        <f t="shared" ca="1" si="201"/>
        <v>6.25</v>
      </c>
      <c r="N6124" s="143">
        <f ca="1">(PRODUCT($O$5:$O6124)-1)*36000/_xlfn.DAYS(L6124, $C$2)</f>
        <v>12.31961370007479</v>
      </c>
      <c r="O6124" s="149">
        <f t="shared" ca="1" si="202"/>
        <v>1.000173611111111</v>
      </c>
    </row>
    <row r="6125" spans="12:15" x14ac:dyDescent="0.25">
      <c r="L6125" s="147">
        <f ca="1"/>
        <v>51364</v>
      </c>
      <c r="M6125" s="92">
        <f t="shared" ca="1" si="201"/>
        <v>6.25</v>
      </c>
      <c r="N6125" s="143">
        <f ca="1">(PRODUCT($O$5:$O6125)-1)*36000/_xlfn.DAYS(L6125, $C$2)</f>
        <v>12.320760567556615</v>
      </c>
      <c r="O6125" s="149">
        <f t="shared" ca="1" si="202"/>
        <v>1.000173611111111</v>
      </c>
    </row>
    <row r="6126" spans="12:15" x14ac:dyDescent="0.25">
      <c r="L6126" s="147">
        <f ca="1"/>
        <v>51365</v>
      </c>
      <c r="M6126" s="92">
        <f t="shared" ca="1" si="201"/>
        <v>6.25</v>
      </c>
      <c r="N6126" s="143">
        <f ca="1">(PRODUCT($O$5:$O6126)-1)*36000/_xlfn.DAYS(L6126, $C$2)</f>
        <v>12.321907608810516</v>
      </c>
      <c r="O6126" s="149">
        <f t="shared" ca="1" si="202"/>
        <v>1.000173611111111</v>
      </c>
    </row>
    <row r="6127" spans="12:15" x14ac:dyDescent="0.25">
      <c r="L6127" s="147">
        <f ca="1"/>
        <v>51366</v>
      </c>
      <c r="M6127" s="92">
        <f t="shared" ca="1" si="201"/>
        <v>6.25</v>
      </c>
      <c r="N6127" s="143">
        <f ca="1">(PRODUCT($O$5:$O6127)-1)*36000/_xlfn.DAYS(L6127, $C$2)</f>
        <v>12.32305482384656</v>
      </c>
      <c r="O6127" s="149">
        <f t="shared" ca="1" si="202"/>
        <v>1.000173611111111</v>
      </c>
    </row>
    <row r="6128" spans="12:15" x14ac:dyDescent="0.25">
      <c r="L6128" s="147">
        <f ca="1"/>
        <v>51367</v>
      </c>
      <c r="M6128" s="92">
        <f t="shared" ca="1" si="201"/>
        <v>6.25</v>
      </c>
      <c r="N6128" s="143">
        <f ca="1">(PRODUCT($O$5:$O6128)-1)*36000/_xlfn.DAYS(L6128, $C$2)</f>
        <v>12.324202212674811</v>
      </c>
      <c r="O6128" s="149">
        <f t="shared" ca="1" si="202"/>
        <v>1.000173611111111</v>
      </c>
    </row>
    <row r="6129" spans="12:15" x14ac:dyDescent="0.25">
      <c r="L6129" s="147">
        <f ca="1"/>
        <v>51368</v>
      </c>
      <c r="M6129" s="92">
        <f t="shared" ca="1" si="201"/>
        <v>6.25</v>
      </c>
      <c r="N6129" s="143">
        <f ca="1">(PRODUCT($O$5:$O6129)-1)*36000/_xlfn.DAYS(L6129, $C$2)</f>
        <v>12.325349775305348</v>
      </c>
      <c r="O6129" s="149">
        <f t="shared" ca="1" si="202"/>
        <v>1.000173611111111</v>
      </c>
    </row>
    <row r="6130" spans="12:15" x14ac:dyDescent="0.25">
      <c r="L6130" s="147">
        <f ca="1"/>
        <v>51369</v>
      </c>
      <c r="M6130" s="92">
        <f t="shared" ca="1" si="201"/>
        <v>6.25</v>
      </c>
      <c r="N6130" s="143">
        <f ca="1">(PRODUCT($O$5:$O6130)-1)*36000/_xlfn.DAYS(L6130, $C$2)</f>
        <v>12.32649751174826</v>
      </c>
      <c r="O6130" s="149">
        <f t="shared" ca="1" si="202"/>
        <v>1.000173611111111</v>
      </c>
    </row>
    <row r="6131" spans="12:15" x14ac:dyDescent="0.25">
      <c r="L6131" s="147">
        <f ca="1"/>
        <v>51370</v>
      </c>
      <c r="M6131" s="92">
        <f t="shared" ca="1" si="201"/>
        <v>6.25</v>
      </c>
      <c r="N6131" s="143">
        <f ca="1">(PRODUCT($O$5:$O6131)-1)*36000/_xlfn.DAYS(L6131, $C$2)</f>
        <v>12.327645422013651</v>
      </c>
      <c r="O6131" s="149">
        <f t="shared" ca="1" si="202"/>
        <v>1.000173611111111</v>
      </c>
    </row>
    <row r="6132" spans="12:15" x14ac:dyDescent="0.25">
      <c r="L6132" s="147">
        <f ca="1"/>
        <v>51371</v>
      </c>
      <c r="M6132" s="92">
        <f t="shared" ca="1" si="201"/>
        <v>6.25</v>
      </c>
      <c r="N6132" s="143">
        <f ca="1">(PRODUCT($O$5:$O6132)-1)*36000/_xlfn.DAYS(L6132, $C$2)</f>
        <v>12.328793506111628</v>
      </c>
      <c r="O6132" s="149">
        <f t="shared" ca="1" si="202"/>
        <v>1.000173611111111</v>
      </c>
    </row>
    <row r="6133" spans="12:15" x14ac:dyDescent="0.25">
      <c r="L6133" s="147">
        <f ca="1"/>
        <v>51372</v>
      </c>
      <c r="M6133" s="92">
        <f t="shared" ca="1" si="201"/>
        <v>6.25</v>
      </c>
      <c r="N6133" s="143">
        <f ca="1">(PRODUCT($O$5:$O6133)-1)*36000/_xlfn.DAYS(L6133, $C$2)</f>
        <v>12.329941764052309</v>
      </c>
      <c r="O6133" s="149">
        <f t="shared" ca="1" si="202"/>
        <v>1.000173611111111</v>
      </c>
    </row>
    <row r="6134" spans="12:15" x14ac:dyDescent="0.25">
      <c r="L6134" s="147">
        <f ca="1"/>
        <v>51373</v>
      </c>
      <c r="M6134" s="92">
        <f t="shared" ca="1" si="201"/>
        <v>6.25</v>
      </c>
      <c r="N6134" s="143">
        <f ca="1">(PRODUCT($O$5:$O6134)-1)*36000/_xlfn.DAYS(L6134, $C$2)</f>
        <v>12.331090195845825</v>
      </c>
      <c r="O6134" s="149">
        <f t="shared" ca="1" si="202"/>
        <v>1.000173611111111</v>
      </c>
    </row>
    <row r="6135" spans="12:15" x14ac:dyDescent="0.25">
      <c r="L6135" s="147">
        <f ca="1"/>
        <v>51374</v>
      </c>
      <c r="M6135" s="92">
        <f t="shared" ca="1" si="201"/>
        <v>6.25</v>
      </c>
      <c r="N6135" s="143">
        <f ca="1">(PRODUCT($O$5:$O6135)-1)*36000/_xlfn.DAYS(L6135, $C$2)</f>
        <v>12.332238801502314</v>
      </c>
      <c r="O6135" s="149">
        <f t="shared" ca="1" si="202"/>
        <v>1.000173611111111</v>
      </c>
    </row>
    <row r="6136" spans="12:15" x14ac:dyDescent="0.25">
      <c r="L6136" s="147">
        <f ca="1"/>
        <v>51375</v>
      </c>
      <c r="M6136" s="92">
        <f t="shared" ca="1" si="201"/>
        <v>6.25</v>
      </c>
      <c r="N6136" s="143">
        <f ca="1">(PRODUCT($O$5:$O6136)-1)*36000/_xlfn.DAYS(L6136, $C$2)</f>
        <v>12.333387581031925</v>
      </c>
      <c r="O6136" s="149">
        <f t="shared" ca="1" si="202"/>
        <v>1.000173611111111</v>
      </c>
    </row>
    <row r="6137" spans="12:15" x14ac:dyDescent="0.25">
      <c r="L6137" s="147">
        <f ca="1"/>
        <v>51376</v>
      </c>
      <c r="M6137" s="92">
        <f t="shared" ca="1" si="201"/>
        <v>6.25</v>
      </c>
      <c r="N6137" s="143">
        <f ca="1">(PRODUCT($O$5:$O6137)-1)*36000/_xlfn.DAYS(L6137, $C$2)</f>
        <v>12.334536534444815</v>
      </c>
      <c r="O6137" s="149">
        <f t="shared" ca="1" si="202"/>
        <v>1.000173611111111</v>
      </c>
    </row>
    <row r="6138" spans="12:15" x14ac:dyDescent="0.25">
      <c r="L6138" s="147">
        <f ca="1"/>
        <v>51377</v>
      </c>
      <c r="M6138" s="92">
        <f t="shared" ca="1" si="201"/>
        <v>6.25</v>
      </c>
      <c r="N6138" s="143">
        <f ca="1">(PRODUCT($O$5:$O6138)-1)*36000/_xlfn.DAYS(L6138, $C$2)</f>
        <v>12.33568566175116</v>
      </c>
      <c r="O6138" s="149">
        <f t="shared" ca="1" si="202"/>
        <v>1.000173611111111</v>
      </c>
    </row>
    <row r="6139" spans="12:15" x14ac:dyDescent="0.25">
      <c r="L6139" s="147">
        <f ca="1"/>
        <v>51378</v>
      </c>
      <c r="M6139" s="92">
        <f t="shared" ca="1" si="201"/>
        <v>6.25</v>
      </c>
      <c r="N6139" s="143">
        <f ca="1">(PRODUCT($O$5:$O6139)-1)*36000/_xlfn.DAYS(L6139, $C$2)</f>
        <v>12.336834962961129</v>
      </c>
      <c r="O6139" s="149">
        <f t="shared" ca="1" si="202"/>
        <v>1.000173611111111</v>
      </c>
    </row>
    <row r="6140" spans="12:15" x14ac:dyDescent="0.25">
      <c r="L6140" s="147">
        <f ca="1"/>
        <v>51379</v>
      </c>
      <c r="M6140" s="92">
        <f t="shared" ca="1" si="201"/>
        <v>6.25</v>
      </c>
      <c r="N6140" s="143">
        <f ca="1">(PRODUCT($O$5:$O6140)-1)*36000/_xlfn.DAYS(L6140, $C$2)</f>
        <v>12.337984438084916</v>
      </c>
      <c r="O6140" s="149">
        <f t="shared" ca="1" si="202"/>
        <v>1.000173611111111</v>
      </c>
    </row>
    <row r="6141" spans="12:15" x14ac:dyDescent="0.25">
      <c r="L6141" s="147">
        <f ca="1"/>
        <v>51380</v>
      </c>
      <c r="M6141" s="92">
        <f t="shared" ca="1" si="201"/>
        <v>6.25</v>
      </c>
      <c r="N6141" s="143">
        <f ca="1">(PRODUCT($O$5:$O6141)-1)*36000/_xlfn.DAYS(L6141, $C$2)</f>
        <v>12.33913408713272</v>
      </c>
      <c r="O6141" s="149">
        <f t="shared" ca="1" si="202"/>
        <v>1.000173611111111</v>
      </c>
    </row>
    <row r="6142" spans="12:15" x14ac:dyDescent="0.25">
      <c r="L6142" s="147">
        <f ca="1"/>
        <v>51381</v>
      </c>
      <c r="M6142" s="92">
        <f t="shared" ca="1" si="201"/>
        <v>6.25</v>
      </c>
      <c r="N6142" s="143">
        <f ca="1">(PRODUCT($O$5:$O6142)-1)*36000/_xlfn.DAYS(L6142, $C$2)</f>
        <v>12.340283910114746</v>
      </c>
      <c r="O6142" s="149">
        <f t="shared" ca="1" si="202"/>
        <v>1.000173611111111</v>
      </c>
    </row>
    <row r="6143" spans="12:15" x14ac:dyDescent="0.25">
      <c r="L6143" s="147">
        <f ca="1"/>
        <v>51382</v>
      </c>
      <c r="M6143" s="92">
        <f t="shared" ca="1" si="201"/>
        <v>6.25</v>
      </c>
      <c r="N6143" s="143">
        <f ca="1">(PRODUCT($O$5:$O6143)-1)*36000/_xlfn.DAYS(L6143, $C$2)</f>
        <v>12.341433907041214</v>
      </c>
      <c r="O6143" s="149">
        <f t="shared" ca="1" si="202"/>
        <v>1.000173611111111</v>
      </c>
    </row>
    <row r="6144" spans="12:15" x14ac:dyDescent="0.25">
      <c r="L6144" s="147">
        <f ca="1"/>
        <v>51383</v>
      </c>
      <c r="M6144" s="92">
        <f t="shared" ca="1" si="201"/>
        <v>6.25</v>
      </c>
      <c r="N6144" s="143">
        <f ca="1">(PRODUCT($O$5:$O6144)-1)*36000/_xlfn.DAYS(L6144, $C$2)</f>
        <v>12.342584077922353</v>
      </c>
      <c r="O6144" s="149">
        <f t="shared" ca="1" si="202"/>
        <v>1.000173611111111</v>
      </c>
    </row>
    <row r="6145" spans="12:15" x14ac:dyDescent="0.25">
      <c r="L6145" s="147">
        <f ca="1"/>
        <v>51384</v>
      </c>
      <c r="M6145" s="92">
        <f t="shared" ca="1" si="201"/>
        <v>6.25</v>
      </c>
      <c r="N6145" s="143">
        <f ca="1">(PRODUCT($O$5:$O6145)-1)*36000/_xlfn.DAYS(L6145, $C$2)</f>
        <v>12.343734422768401</v>
      </c>
      <c r="O6145" s="149">
        <f t="shared" ca="1" si="202"/>
        <v>1.000173611111111</v>
      </c>
    </row>
    <row r="6146" spans="12:15" x14ac:dyDescent="0.25">
      <c r="L6146" s="147">
        <f ca="1"/>
        <v>51385</v>
      </c>
      <c r="M6146" s="92">
        <f t="shared" ca="1" si="201"/>
        <v>6.25</v>
      </c>
      <c r="N6146" s="143">
        <f ca="1">(PRODUCT($O$5:$O6146)-1)*36000/_xlfn.DAYS(L6146, $C$2)</f>
        <v>12.344884941589603</v>
      </c>
      <c r="O6146" s="149">
        <f t="shared" ca="1" si="202"/>
        <v>1.000173611111111</v>
      </c>
    </row>
    <row r="6147" spans="12:15" x14ac:dyDescent="0.25">
      <c r="L6147" s="147">
        <f ca="1"/>
        <v>51386</v>
      </c>
      <c r="M6147" s="92">
        <f t="shared" ca="1" si="201"/>
        <v>6.25</v>
      </c>
      <c r="N6147" s="143">
        <f ca="1">(PRODUCT($O$5:$O6147)-1)*36000/_xlfn.DAYS(L6147, $C$2)</f>
        <v>12.34603563439622</v>
      </c>
      <c r="O6147" s="149">
        <f t="shared" ca="1" si="202"/>
        <v>1.000173611111111</v>
      </c>
    </row>
    <row r="6148" spans="12:15" x14ac:dyDescent="0.25">
      <c r="L6148" s="147">
        <f ca="1"/>
        <v>51387</v>
      </c>
      <c r="M6148" s="92">
        <f t="shared" ca="1" si="201"/>
        <v>6.25</v>
      </c>
      <c r="N6148" s="143">
        <f ca="1">(PRODUCT($O$5:$O6148)-1)*36000/_xlfn.DAYS(L6148, $C$2)</f>
        <v>12.34718650119852</v>
      </c>
      <c r="O6148" s="149">
        <f t="shared" ca="1" si="202"/>
        <v>1.000173611111111</v>
      </c>
    </row>
    <row r="6149" spans="12:15" x14ac:dyDescent="0.25">
      <c r="L6149" s="147">
        <f ca="1"/>
        <v>51388</v>
      </c>
      <c r="M6149" s="92">
        <f t="shared" ref="M6149:M6212" ca="1" si="203">IFERROR(INDEX($E$27:$H$47, MATCH(L6149, $F$27:$F$47, 0), 4), IF(ISNUMBER(M6148), M6148, $C$5))</f>
        <v>6.25</v>
      </c>
      <c r="N6149" s="143">
        <f ca="1">(PRODUCT($O$5:$O6149)-1)*36000/_xlfn.DAYS(L6149, $C$2)</f>
        <v>12.348337542006774</v>
      </c>
      <c r="O6149" s="149">
        <f t="shared" ca="1" si="202"/>
        <v>1.000173611111111</v>
      </c>
    </row>
    <row r="6150" spans="12:15" x14ac:dyDescent="0.25">
      <c r="L6150" s="147">
        <f ca="1"/>
        <v>51389</v>
      </c>
      <c r="M6150" s="92">
        <f t="shared" ca="1" si="203"/>
        <v>6.25</v>
      </c>
      <c r="N6150" s="143">
        <f ca="1">(PRODUCT($O$5:$O6150)-1)*36000/_xlfn.DAYS(L6150, $C$2)</f>
        <v>12.349488756831278</v>
      </c>
      <c r="O6150" s="149">
        <f t="shared" ref="O6150:O6213" ca="1" si="204">1+M6150*IFERROR(_xlfn.DAYS(L6150, L6149), _xlfn.DAYS(L6150, $C$2))/36000</f>
        <v>1.000173611111111</v>
      </c>
    </row>
    <row r="6151" spans="12:15" x14ac:dyDescent="0.25">
      <c r="L6151" s="147">
        <f ca="1"/>
        <v>51390</v>
      </c>
      <c r="M6151" s="92">
        <f t="shared" ca="1" si="203"/>
        <v>6.25</v>
      </c>
      <c r="N6151" s="143">
        <f ca="1">(PRODUCT($O$5:$O6151)-1)*36000/_xlfn.DAYS(L6151, $C$2)</f>
        <v>12.35064014568232</v>
      </c>
      <c r="O6151" s="149">
        <f t="shared" ca="1" si="204"/>
        <v>1.000173611111111</v>
      </c>
    </row>
    <row r="6152" spans="12:15" x14ac:dyDescent="0.25">
      <c r="L6152" s="147">
        <f ca="1"/>
        <v>51391</v>
      </c>
      <c r="M6152" s="92">
        <f t="shared" ca="1" si="203"/>
        <v>6.25</v>
      </c>
      <c r="N6152" s="143">
        <f ca="1">(PRODUCT($O$5:$O6152)-1)*36000/_xlfn.DAYS(L6152, $C$2)</f>
        <v>12.351791708570216</v>
      </c>
      <c r="O6152" s="149">
        <f t="shared" ca="1" si="204"/>
        <v>1.000173611111111</v>
      </c>
    </row>
    <row r="6153" spans="12:15" x14ac:dyDescent="0.25">
      <c r="L6153" s="147">
        <f ca="1"/>
        <v>51392</v>
      </c>
      <c r="M6153" s="92">
        <f t="shared" ca="1" si="203"/>
        <v>6.25</v>
      </c>
      <c r="N6153" s="143">
        <f ca="1">(PRODUCT($O$5:$O6153)-1)*36000/_xlfn.DAYS(L6153, $C$2)</f>
        <v>12.352943445505279</v>
      </c>
      <c r="O6153" s="149">
        <f t="shared" ca="1" si="204"/>
        <v>1.000173611111111</v>
      </c>
    </row>
    <row r="6154" spans="12:15" x14ac:dyDescent="0.25">
      <c r="L6154" s="147">
        <f ca="1"/>
        <v>51393</v>
      </c>
      <c r="M6154" s="92">
        <f t="shared" ca="1" si="203"/>
        <v>6.25</v>
      </c>
      <c r="N6154" s="143">
        <f ca="1">(PRODUCT($O$5:$O6154)-1)*36000/_xlfn.DAYS(L6154, $C$2)</f>
        <v>12.354095356497831</v>
      </c>
      <c r="O6154" s="149">
        <f t="shared" ca="1" si="204"/>
        <v>1.000173611111111</v>
      </c>
    </row>
    <row r="6155" spans="12:15" x14ac:dyDescent="0.25">
      <c r="L6155" s="147">
        <f ca="1"/>
        <v>51394</v>
      </c>
      <c r="M6155" s="92">
        <f t="shared" ca="1" si="203"/>
        <v>6.25</v>
      </c>
      <c r="N6155" s="143">
        <f ca="1">(PRODUCT($O$5:$O6155)-1)*36000/_xlfn.DAYS(L6155, $C$2)</f>
        <v>12.355247441558218</v>
      </c>
      <c r="O6155" s="149">
        <f t="shared" ca="1" si="204"/>
        <v>1.000173611111111</v>
      </c>
    </row>
    <row r="6156" spans="12:15" x14ac:dyDescent="0.25">
      <c r="L6156" s="147">
        <f ca="1"/>
        <v>51395</v>
      </c>
      <c r="M6156" s="92">
        <f t="shared" ca="1" si="203"/>
        <v>6.25</v>
      </c>
      <c r="N6156" s="143">
        <f ca="1">(PRODUCT($O$5:$O6156)-1)*36000/_xlfn.DAYS(L6156, $C$2)</f>
        <v>12.356399700696777</v>
      </c>
      <c r="O6156" s="149">
        <f t="shared" ca="1" si="204"/>
        <v>1.000173611111111</v>
      </c>
    </row>
    <row r="6157" spans="12:15" x14ac:dyDescent="0.25">
      <c r="L6157" s="147">
        <f ca="1"/>
        <v>51396</v>
      </c>
      <c r="M6157" s="92">
        <f t="shared" ca="1" si="203"/>
        <v>6.25</v>
      </c>
      <c r="N6157" s="143">
        <f ca="1">(PRODUCT($O$5:$O6157)-1)*36000/_xlfn.DAYS(L6157, $C$2)</f>
        <v>12.357552133923866</v>
      </c>
      <c r="O6157" s="149">
        <f t="shared" ca="1" si="204"/>
        <v>1.000173611111111</v>
      </c>
    </row>
    <row r="6158" spans="12:15" x14ac:dyDescent="0.25">
      <c r="L6158" s="147">
        <f ca="1"/>
        <v>51397</v>
      </c>
      <c r="M6158" s="92">
        <f t="shared" ca="1" si="203"/>
        <v>6.25</v>
      </c>
      <c r="N6158" s="143">
        <f ca="1">(PRODUCT($O$5:$O6158)-1)*36000/_xlfn.DAYS(L6158, $C$2)</f>
        <v>12.358704741249854</v>
      </c>
      <c r="O6158" s="149">
        <f t="shared" ca="1" si="204"/>
        <v>1.000173611111111</v>
      </c>
    </row>
    <row r="6159" spans="12:15" x14ac:dyDescent="0.25">
      <c r="L6159" s="147">
        <f ca="1"/>
        <v>51398</v>
      </c>
      <c r="M6159" s="92">
        <f t="shared" ca="1" si="203"/>
        <v>6.25</v>
      </c>
      <c r="N6159" s="143">
        <f ca="1">(PRODUCT($O$5:$O6159)-1)*36000/_xlfn.DAYS(L6159, $C$2)</f>
        <v>12.359857522685116</v>
      </c>
      <c r="O6159" s="149">
        <f t="shared" ca="1" si="204"/>
        <v>1.000173611111111</v>
      </c>
    </row>
    <row r="6160" spans="12:15" x14ac:dyDescent="0.25">
      <c r="L6160" s="147">
        <f ca="1"/>
        <v>51399</v>
      </c>
      <c r="M6160" s="92">
        <f t="shared" ca="1" si="203"/>
        <v>6.25</v>
      </c>
      <c r="N6160" s="143">
        <f ca="1">(PRODUCT($O$5:$O6160)-1)*36000/_xlfn.DAYS(L6160, $C$2)</f>
        <v>12.361010478240031</v>
      </c>
      <c r="O6160" s="149">
        <f t="shared" ca="1" si="204"/>
        <v>1.000173611111111</v>
      </c>
    </row>
    <row r="6161" spans="12:15" x14ac:dyDescent="0.25">
      <c r="L6161" s="147">
        <f ca="1"/>
        <v>51400</v>
      </c>
      <c r="M6161" s="92">
        <f t="shared" ca="1" si="203"/>
        <v>6.25</v>
      </c>
      <c r="N6161" s="143">
        <f ca="1">(PRODUCT($O$5:$O6161)-1)*36000/_xlfn.DAYS(L6161, $C$2)</f>
        <v>12.362163607925003</v>
      </c>
      <c r="O6161" s="149">
        <f t="shared" ca="1" si="204"/>
        <v>1.000173611111111</v>
      </c>
    </row>
    <row r="6162" spans="12:15" x14ac:dyDescent="0.25">
      <c r="L6162" s="147">
        <f ca="1"/>
        <v>51401</v>
      </c>
      <c r="M6162" s="92">
        <f t="shared" ca="1" si="203"/>
        <v>6.25</v>
      </c>
      <c r="N6162" s="143">
        <f ca="1">(PRODUCT($O$5:$O6162)-1)*36000/_xlfn.DAYS(L6162, $C$2)</f>
        <v>12.363316911750436</v>
      </c>
      <c r="O6162" s="149">
        <f t="shared" ca="1" si="204"/>
        <v>1.000173611111111</v>
      </c>
    </row>
    <row r="6163" spans="12:15" x14ac:dyDescent="0.25">
      <c r="L6163" s="147">
        <f ca="1"/>
        <v>51402</v>
      </c>
      <c r="M6163" s="92">
        <f t="shared" ca="1" si="203"/>
        <v>6.25</v>
      </c>
      <c r="N6163" s="143">
        <f ca="1">(PRODUCT($O$5:$O6163)-1)*36000/_xlfn.DAYS(L6163, $C$2)</f>
        <v>12.364470389726739</v>
      </c>
      <c r="O6163" s="149">
        <f t="shared" ca="1" si="204"/>
        <v>1.000173611111111</v>
      </c>
    </row>
    <row r="6164" spans="12:15" x14ac:dyDescent="0.25">
      <c r="L6164" s="147">
        <f ca="1"/>
        <v>51403</v>
      </c>
      <c r="M6164" s="92">
        <f t="shared" ca="1" si="203"/>
        <v>6.25</v>
      </c>
      <c r="N6164" s="143">
        <f ca="1">(PRODUCT($O$5:$O6164)-1)*36000/_xlfn.DAYS(L6164, $C$2)</f>
        <v>12.365624041864336</v>
      </c>
      <c r="O6164" s="149">
        <f t="shared" ca="1" si="204"/>
        <v>1.000173611111111</v>
      </c>
    </row>
    <row r="6165" spans="12:15" x14ac:dyDescent="0.25">
      <c r="L6165" s="147">
        <f ca="1"/>
        <v>51404</v>
      </c>
      <c r="M6165" s="92">
        <f t="shared" ca="1" si="203"/>
        <v>6.25</v>
      </c>
      <c r="N6165" s="143">
        <f ca="1">(PRODUCT($O$5:$O6165)-1)*36000/_xlfn.DAYS(L6165, $C$2)</f>
        <v>12.366777868173669</v>
      </c>
      <c r="O6165" s="149">
        <f t="shared" ca="1" si="204"/>
        <v>1.000173611111111</v>
      </c>
    </row>
    <row r="6166" spans="12:15" x14ac:dyDescent="0.25">
      <c r="L6166" s="147">
        <f ca="1"/>
        <v>51405</v>
      </c>
      <c r="M6166" s="92">
        <f t="shared" ca="1" si="203"/>
        <v>6.25</v>
      </c>
      <c r="N6166" s="143">
        <f ca="1">(PRODUCT($O$5:$O6166)-1)*36000/_xlfn.DAYS(L6166, $C$2)</f>
        <v>12.367931868665174</v>
      </c>
      <c r="O6166" s="149">
        <f t="shared" ca="1" si="204"/>
        <v>1.000173611111111</v>
      </c>
    </row>
    <row r="6167" spans="12:15" x14ac:dyDescent="0.25">
      <c r="L6167" s="147">
        <f ca="1"/>
        <v>51406</v>
      </c>
      <c r="M6167" s="92">
        <f t="shared" ca="1" si="203"/>
        <v>6.25</v>
      </c>
      <c r="N6167" s="143">
        <f ca="1">(PRODUCT($O$5:$O6167)-1)*36000/_xlfn.DAYS(L6167, $C$2)</f>
        <v>12.369086043349308</v>
      </c>
      <c r="O6167" s="149">
        <f t="shared" ca="1" si="204"/>
        <v>1.000173611111111</v>
      </c>
    </row>
    <row r="6168" spans="12:15" x14ac:dyDescent="0.25">
      <c r="L6168" s="147">
        <f ca="1"/>
        <v>51407</v>
      </c>
      <c r="M6168" s="92">
        <f t="shared" ca="1" si="203"/>
        <v>6.25</v>
      </c>
      <c r="N6168" s="143">
        <f ca="1">(PRODUCT($O$5:$O6168)-1)*36000/_xlfn.DAYS(L6168, $C$2)</f>
        <v>12.370240392236536</v>
      </c>
      <c r="O6168" s="149">
        <f t="shared" ca="1" si="204"/>
        <v>1.000173611111111</v>
      </c>
    </row>
    <row r="6169" spans="12:15" x14ac:dyDescent="0.25">
      <c r="L6169" s="147">
        <f ca="1"/>
        <v>51408</v>
      </c>
      <c r="M6169" s="92">
        <f t="shared" ca="1" si="203"/>
        <v>6.25</v>
      </c>
      <c r="N6169" s="143">
        <f ca="1">(PRODUCT($O$5:$O6169)-1)*36000/_xlfn.DAYS(L6169, $C$2)</f>
        <v>12.37139491533733</v>
      </c>
      <c r="O6169" s="149">
        <f t="shared" ca="1" si="204"/>
        <v>1.000173611111111</v>
      </c>
    </row>
    <row r="6170" spans="12:15" x14ac:dyDescent="0.25">
      <c r="L6170" s="147">
        <f ca="1"/>
        <v>51409</v>
      </c>
      <c r="M6170" s="92">
        <f t="shared" ca="1" si="203"/>
        <v>6.25</v>
      </c>
      <c r="N6170" s="143">
        <f ca="1">(PRODUCT($O$5:$O6170)-1)*36000/_xlfn.DAYS(L6170, $C$2)</f>
        <v>12.372549612662171</v>
      </c>
      <c r="O6170" s="149">
        <f t="shared" ca="1" si="204"/>
        <v>1.000173611111111</v>
      </c>
    </row>
    <row r="6171" spans="12:15" x14ac:dyDescent="0.25">
      <c r="L6171" s="147">
        <f ca="1"/>
        <v>51410</v>
      </c>
      <c r="M6171" s="92">
        <f t="shared" ca="1" si="203"/>
        <v>6.25</v>
      </c>
      <c r="N6171" s="143">
        <f ca="1">(PRODUCT($O$5:$O6171)-1)*36000/_xlfn.DAYS(L6171, $C$2)</f>
        <v>12.373704484221554</v>
      </c>
      <c r="O6171" s="149">
        <f t="shared" ca="1" si="204"/>
        <v>1.000173611111111</v>
      </c>
    </row>
    <row r="6172" spans="12:15" x14ac:dyDescent="0.25">
      <c r="L6172" s="147">
        <f ca="1"/>
        <v>51411</v>
      </c>
      <c r="M6172" s="92">
        <f t="shared" ca="1" si="203"/>
        <v>6.25</v>
      </c>
      <c r="N6172" s="143">
        <f ca="1">(PRODUCT($O$5:$O6172)-1)*36000/_xlfn.DAYS(L6172, $C$2)</f>
        <v>12.374859530025979</v>
      </c>
      <c r="O6172" s="149">
        <f t="shared" ca="1" si="204"/>
        <v>1.000173611111111</v>
      </c>
    </row>
    <row r="6173" spans="12:15" x14ac:dyDescent="0.25">
      <c r="L6173" s="147">
        <f ca="1"/>
        <v>51412</v>
      </c>
      <c r="M6173" s="92">
        <f t="shared" ca="1" si="203"/>
        <v>6.25</v>
      </c>
      <c r="N6173" s="143">
        <f ca="1">(PRODUCT($O$5:$O6173)-1)*36000/_xlfn.DAYS(L6173, $C$2)</f>
        <v>12.376014750085961</v>
      </c>
      <c r="O6173" s="149">
        <f t="shared" ca="1" si="204"/>
        <v>1.000173611111111</v>
      </c>
    </row>
    <row r="6174" spans="12:15" x14ac:dyDescent="0.25">
      <c r="L6174" s="147">
        <f ca="1"/>
        <v>51413</v>
      </c>
      <c r="M6174" s="92">
        <f t="shared" ca="1" si="203"/>
        <v>6.25</v>
      </c>
      <c r="N6174" s="143">
        <f ca="1">(PRODUCT($O$5:$O6174)-1)*36000/_xlfn.DAYS(L6174, $C$2)</f>
        <v>12.377170144412021</v>
      </c>
      <c r="O6174" s="149">
        <f t="shared" ca="1" si="204"/>
        <v>1.000173611111111</v>
      </c>
    </row>
    <row r="6175" spans="12:15" x14ac:dyDescent="0.25">
      <c r="L6175" s="147">
        <f ca="1"/>
        <v>51414</v>
      </c>
      <c r="M6175" s="92">
        <f t="shared" ca="1" si="203"/>
        <v>6.25</v>
      </c>
      <c r="N6175" s="143">
        <f ca="1">(PRODUCT($O$5:$O6175)-1)*36000/_xlfn.DAYS(L6175, $C$2)</f>
        <v>12.378325713014691</v>
      </c>
      <c r="O6175" s="149">
        <f t="shared" ca="1" si="204"/>
        <v>1.000173611111111</v>
      </c>
    </row>
    <row r="6176" spans="12:15" x14ac:dyDescent="0.25">
      <c r="L6176" s="147">
        <f ca="1"/>
        <v>51415</v>
      </c>
      <c r="M6176" s="92">
        <f t="shared" ca="1" si="203"/>
        <v>6.25</v>
      </c>
      <c r="N6176" s="143">
        <f ca="1">(PRODUCT($O$5:$O6176)-1)*36000/_xlfn.DAYS(L6176, $C$2)</f>
        <v>12.379481455904514</v>
      </c>
      <c r="O6176" s="149">
        <f t="shared" ca="1" si="204"/>
        <v>1.000173611111111</v>
      </c>
    </row>
    <row r="6177" spans="12:15" x14ac:dyDescent="0.25">
      <c r="L6177" s="147">
        <f ca="1"/>
        <v>51416</v>
      </c>
      <c r="M6177" s="92">
        <f t="shared" ca="1" si="203"/>
        <v>6.25</v>
      </c>
      <c r="N6177" s="143">
        <f ca="1">(PRODUCT($O$5:$O6177)-1)*36000/_xlfn.DAYS(L6177, $C$2)</f>
        <v>12.380637373092037</v>
      </c>
      <c r="O6177" s="149">
        <f t="shared" ca="1" si="204"/>
        <v>1.000173611111111</v>
      </c>
    </row>
    <row r="6178" spans="12:15" x14ac:dyDescent="0.25">
      <c r="L6178" s="147">
        <f ca="1"/>
        <v>51417</v>
      </c>
      <c r="M6178" s="92">
        <f t="shared" ca="1" si="203"/>
        <v>6.25</v>
      </c>
      <c r="N6178" s="143">
        <f ca="1">(PRODUCT($O$5:$O6178)-1)*36000/_xlfn.DAYS(L6178, $C$2)</f>
        <v>12.381793464587821</v>
      </c>
      <c r="O6178" s="149">
        <f t="shared" ca="1" si="204"/>
        <v>1.000173611111111</v>
      </c>
    </row>
    <row r="6179" spans="12:15" x14ac:dyDescent="0.25">
      <c r="L6179" s="147">
        <f ca="1"/>
        <v>51418</v>
      </c>
      <c r="M6179" s="92">
        <f t="shared" ca="1" si="203"/>
        <v>6.25</v>
      </c>
      <c r="N6179" s="143">
        <f ca="1">(PRODUCT($O$5:$O6179)-1)*36000/_xlfn.DAYS(L6179, $C$2)</f>
        <v>12.382949730402437</v>
      </c>
      <c r="O6179" s="149">
        <f t="shared" ca="1" si="204"/>
        <v>1.000173611111111</v>
      </c>
    </row>
    <row r="6180" spans="12:15" x14ac:dyDescent="0.25">
      <c r="L6180" s="147">
        <f ca="1"/>
        <v>51419</v>
      </c>
      <c r="M6180" s="92">
        <f t="shared" ca="1" si="203"/>
        <v>6.25</v>
      </c>
      <c r="N6180" s="143">
        <f ca="1">(PRODUCT($O$5:$O6180)-1)*36000/_xlfn.DAYS(L6180, $C$2)</f>
        <v>12.384106170546467</v>
      </c>
      <c r="O6180" s="149">
        <f t="shared" ca="1" si="204"/>
        <v>1.000173611111111</v>
      </c>
    </row>
    <row r="6181" spans="12:15" x14ac:dyDescent="0.25">
      <c r="L6181" s="147">
        <f ca="1"/>
        <v>51420</v>
      </c>
      <c r="M6181" s="92">
        <f t="shared" ca="1" si="203"/>
        <v>6.25</v>
      </c>
      <c r="N6181" s="143">
        <f ca="1">(PRODUCT($O$5:$O6181)-1)*36000/_xlfn.DAYS(L6181, $C$2)</f>
        <v>12.385262785030498</v>
      </c>
      <c r="O6181" s="149">
        <f t="shared" ca="1" si="204"/>
        <v>1.000173611111111</v>
      </c>
    </row>
    <row r="6182" spans="12:15" x14ac:dyDescent="0.25">
      <c r="L6182" s="147">
        <f ca="1"/>
        <v>51421</v>
      </c>
      <c r="M6182" s="92">
        <f t="shared" ca="1" si="203"/>
        <v>6.25</v>
      </c>
      <c r="N6182" s="143">
        <f ca="1">(PRODUCT($O$5:$O6182)-1)*36000/_xlfn.DAYS(L6182, $C$2)</f>
        <v>12.386419573865131</v>
      </c>
      <c r="O6182" s="149">
        <f t="shared" ca="1" si="204"/>
        <v>1.000173611111111</v>
      </c>
    </row>
    <row r="6183" spans="12:15" x14ac:dyDescent="0.25">
      <c r="L6183" s="147">
        <f ca="1"/>
        <v>51422</v>
      </c>
      <c r="M6183" s="92">
        <f t="shared" ca="1" si="203"/>
        <v>6.25</v>
      </c>
      <c r="N6183" s="143">
        <f ca="1">(PRODUCT($O$5:$O6183)-1)*36000/_xlfn.DAYS(L6183, $C$2)</f>
        <v>12.387576537060976</v>
      </c>
      <c r="O6183" s="149">
        <f t="shared" ca="1" si="204"/>
        <v>1.000173611111111</v>
      </c>
    </row>
    <row r="6184" spans="12:15" x14ac:dyDescent="0.25">
      <c r="L6184" s="147">
        <f ca="1"/>
        <v>51423</v>
      </c>
      <c r="M6184" s="92">
        <f t="shared" ca="1" si="203"/>
        <v>6.25</v>
      </c>
      <c r="N6184" s="143">
        <f ca="1">(PRODUCT($O$5:$O6184)-1)*36000/_xlfn.DAYS(L6184, $C$2)</f>
        <v>12.38873367462865</v>
      </c>
      <c r="O6184" s="149">
        <f t="shared" ca="1" si="204"/>
        <v>1.000173611111111</v>
      </c>
    </row>
    <row r="6185" spans="12:15" x14ac:dyDescent="0.25">
      <c r="L6185" s="147">
        <f ca="1"/>
        <v>51424</v>
      </c>
      <c r="M6185" s="92">
        <f t="shared" ca="1" si="203"/>
        <v>6.25</v>
      </c>
      <c r="N6185" s="143">
        <f ca="1">(PRODUCT($O$5:$O6185)-1)*36000/_xlfn.DAYS(L6185, $C$2)</f>
        <v>12.389890986578783</v>
      </c>
      <c r="O6185" s="149">
        <f t="shared" ca="1" si="204"/>
        <v>1.000173611111111</v>
      </c>
    </row>
    <row r="6186" spans="12:15" x14ac:dyDescent="0.25">
      <c r="L6186" s="147">
        <f ca="1"/>
        <v>51425</v>
      </c>
      <c r="M6186" s="92">
        <f t="shared" ca="1" si="203"/>
        <v>6.25</v>
      </c>
      <c r="N6186" s="143">
        <f ca="1">(PRODUCT($O$5:$O6186)-1)*36000/_xlfn.DAYS(L6186, $C$2)</f>
        <v>12.391048472922011</v>
      </c>
      <c r="O6186" s="149">
        <f t="shared" ca="1" si="204"/>
        <v>1.000173611111111</v>
      </c>
    </row>
    <row r="6187" spans="12:15" x14ac:dyDescent="0.25">
      <c r="L6187" s="147">
        <f ca="1"/>
        <v>51426</v>
      </c>
      <c r="M6187" s="92">
        <f t="shared" ca="1" si="203"/>
        <v>6.25</v>
      </c>
      <c r="N6187" s="143">
        <f ca="1">(PRODUCT($O$5:$O6187)-1)*36000/_xlfn.DAYS(L6187, $C$2)</f>
        <v>12.392206133668983</v>
      </c>
      <c r="O6187" s="149">
        <f t="shared" ca="1" si="204"/>
        <v>1.000173611111111</v>
      </c>
    </row>
    <row r="6188" spans="12:15" x14ac:dyDescent="0.25">
      <c r="L6188" s="147">
        <f ca="1"/>
        <v>51427</v>
      </c>
      <c r="M6188" s="92">
        <f t="shared" ca="1" si="203"/>
        <v>6.25</v>
      </c>
      <c r="N6188" s="143">
        <f ca="1">(PRODUCT($O$5:$O6188)-1)*36000/_xlfn.DAYS(L6188, $C$2)</f>
        <v>12.393363968830355</v>
      </c>
      <c r="O6188" s="149">
        <f t="shared" ca="1" si="204"/>
        <v>1.000173611111111</v>
      </c>
    </row>
    <row r="6189" spans="12:15" x14ac:dyDescent="0.25">
      <c r="L6189" s="147">
        <f ca="1"/>
        <v>51428</v>
      </c>
      <c r="M6189" s="92">
        <f t="shared" ca="1" si="203"/>
        <v>6.25</v>
      </c>
      <c r="N6189" s="143">
        <f ca="1">(PRODUCT($O$5:$O6189)-1)*36000/_xlfn.DAYS(L6189, $C$2)</f>
        <v>12.394521978416797</v>
      </c>
      <c r="O6189" s="149">
        <f t="shared" ca="1" si="204"/>
        <v>1.000173611111111</v>
      </c>
    </row>
    <row r="6190" spans="12:15" x14ac:dyDescent="0.25">
      <c r="L6190" s="147">
        <f ca="1"/>
        <v>51429</v>
      </c>
      <c r="M6190" s="92">
        <f t="shared" ca="1" si="203"/>
        <v>6.25</v>
      </c>
      <c r="N6190" s="143">
        <f ca="1">(PRODUCT($O$5:$O6190)-1)*36000/_xlfn.DAYS(L6190, $C$2)</f>
        <v>12.395680162438985</v>
      </c>
      <c r="O6190" s="149">
        <f t="shared" ca="1" si="204"/>
        <v>1.000173611111111</v>
      </c>
    </row>
    <row r="6191" spans="12:15" x14ac:dyDescent="0.25">
      <c r="L6191" s="147">
        <f ca="1"/>
        <v>51430</v>
      </c>
      <c r="M6191" s="92">
        <f t="shared" ca="1" si="203"/>
        <v>6.25</v>
      </c>
      <c r="N6191" s="143">
        <f ca="1">(PRODUCT($O$5:$O6191)-1)*36000/_xlfn.DAYS(L6191, $C$2)</f>
        <v>12.396838520907604</v>
      </c>
      <c r="O6191" s="149">
        <f t="shared" ca="1" si="204"/>
        <v>1.000173611111111</v>
      </c>
    </row>
    <row r="6192" spans="12:15" x14ac:dyDescent="0.25">
      <c r="L6192" s="147">
        <f ca="1"/>
        <v>51431</v>
      </c>
      <c r="M6192" s="92">
        <f t="shared" ca="1" si="203"/>
        <v>6.25</v>
      </c>
      <c r="N6192" s="143">
        <f ca="1">(PRODUCT($O$5:$O6192)-1)*36000/_xlfn.DAYS(L6192, $C$2)</f>
        <v>12.397997053833349</v>
      </c>
      <c r="O6192" s="149">
        <f t="shared" ca="1" si="204"/>
        <v>1.000173611111111</v>
      </c>
    </row>
    <row r="6193" spans="12:15" x14ac:dyDescent="0.25">
      <c r="L6193" s="147">
        <f ca="1"/>
        <v>51432</v>
      </c>
      <c r="M6193" s="92">
        <f t="shared" ca="1" si="203"/>
        <v>6.25</v>
      </c>
      <c r="N6193" s="143">
        <f ca="1">(PRODUCT($O$5:$O6193)-1)*36000/_xlfn.DAYS(L6193, $C$2)</f>
        <v>12.399155761226925</v>
      </c>
      <c r="O6193" s="149">
        <f t="shared" ca="1" si="204"/>
        <v>1.000173611111111</v>
      </c>
    </row>
    <row r="6194" spans="12:15" x14ac:dyDescent="0.25">
      <c r="L6194" s="147">
        <f ca="1"/>
        <v>51433</v>
      </c>
      <c r="M6194" s="92">
        <f t="shared" ca="1" si="203"/>
        <v>6.25</v>
      </c>
      <c r="N6194" s="143">
        <f ca="1">(PRODUCT($O$5:$O6194)-1)*36000/_xlfn.DAYS(L6194, $C$2)</f>
        <v>12.400314643099051</v>
      </c>
      <c r="O6194" s="149">
        <f t="shared" ca="1" si="204"/>
        <v>1.000173611111111</v>
      </c>
    </row>
    <row r="6195" spans="12:15" x14ac:dyDescent="0.25">
      <c r="L6195" s="147">
        <f ca="1"/>
        <v>51434</v>
      </c>
      <c r="M6195" s="92">
        <f t="shared" ca="1" si="203"/>
        <v>6.25</v>
      </c>
      <c r="N6195" s="143">
        <f ca="1">(PRODUCT($O$5:$O6195)-1)*36000/_xlfn.DAYS(L6195, $C$2)</f>
        <v>12.40147369946045</v>
      </c>
      <c r="O6195" s="149">
        <f t="shared" ca="1" si="204"/>
        <v>1.000173611111111</v>
      </c>
    </row>
    <row r="6196" spans="12:15" x14ac:dyDescent="0.25">
      <c r="L6196" s="147">
        <f ca="1"/>
        <v>51435</v>
      </c>
      <c r="M6196" s="92">
        <f t="shared" ca="1" si="203"/>
        <v>6.25</v>
      </c>
      <c r="N6196" s="143">
        <f ca="1">(PRODUCT($O$5:$O6196)-1)*36000/_xlfn.DAYS(L6196, $C$2)</f>
        <v>12.402632930321854</v>
      </c>
      <c r="O6196" s="149">
        <f t="shared" ca="1" si="204"/>
        <v>1.000173611111111</v>
      </c>
    </row>
    <row r="6197" spans="12:15" x14ac:dyDescent="0.25">
      <c r="L6197" s="147">
        <f ca="1"/>
        <v>51436</v>
      </c>
      <c r="M6197" s="92">
        <f t="shared" ca="1" si="203"/>
        <v>6.25</v>
      </c>
      <c r="N6197" s="143">
        <f ca="1">(PRODUCT($O$5:$O6197)-1)*36000/_xlfn.DAYS(L6197, $C$2)</f>
        <v>12.403792335694009</v>
      </c>
      <c r="O6197" s="149">
        <f t="shared" ca="1" si="204"/>
        <v>1.000173611111111</v>
      </c>
    </row>
    <row r="6198" spans="12:15" x14ac:dyDescent="0.25">
      <c r="L6198" s="147">
        <f ca="1"/>
        <v>51437</v>
      </c>
      <c r="M6198" s="92">
        <f t="shared" ca="1" si="203"/>
        <v>6.25</v>
      </c>
      <c r="N6198" s="143">
        <f ca="1">(PRODUCT($O$5:$O6198)-1)*36000/_xlfn.DAYS(L6198, $C$2)</f>
        <v>12.404951915587674</v>
      </c>
      <c r="O6198" s="149">
        <f t="shared" ca="1" si="204"/>
        <v>1.000173611111111</v>
      </c>
    </row>
    <row r="6199" spans="12:15" x14ac:dyDescent="0.25">
      <c r="L6199" s="147">
        <f ca="1"/>
        <v>51438</v>
      </c>
      <c r="M6199" s="92">
        <f t="shared" ca="1" si="203"/>
        <v>6.25</v>
      </c>
      <c r="N6199" s="143">
        <f ca="1">(PRODUCT($O$5:$O6199)-1)*36000/_xlfn.DAYS(L6199, $C$2)</f>
        <v>12.406111670013599</v>
      </c>
      <c r="O6199" s="149">
        <f t="shared" ca="1" si="204"/>
        <v>1.000173611111111</v>
      </c>
    </row>
    <row r="6200" spans="12:15" x14ac:dyDescent="0.25">
      <c r="L6200" s="147">
        <f ca="1"/>
        <v>51439</v>
      </c>
      <c r="M6200" s="92">
        <f t="shared" ca="1" si="203"/>
        <v>6.25</v>
      </c>
      <c r="N6200" s="143">
        <f ca="1">(PRODUCT($O$5:$O6200)-1)*36000/_xlfn.DAYS(L6200, $C$2)</f>
        <v>12.407271598982568</v>
      </c>
      <c r="O6200" s="149">
        <f t="shared" ca="1" si="204"/>
        <v>1.000173611111111</v>
      </c>
    </row>
    <row r="6201" spans="12:15" x14ac:dyDescent="0.25">
      <c r="L6201" s="147">
        <f ca="1"/>
        <v>51440</v>
      </c>
      <c r="M6201" s="92">
        <f t="shared" ca="1" si="203"/>
        <v>6.25</v>
      </c>
      <c r="N6201" s="143">
        <f ca="1">(PRODUCT($O$5:$O6201)-1)*36000/_xlfn.DAYS(L6201, $C$2)</f>
        <v>12.408431702505361</v>
      </c>
      <c r="O6201" s="149">
        <f t="shared" ca="1" si="204"/>
        <v>1.000173611111111</v>
      </c>
    </row>
    <row r="6202" spans="12:15" x14ac:dyDescent="0.25">
      <c r="L6202" s="147">
        <f ca="1"/>
        <v>51441</v>
      </c>
      <c r="M6202" s="92">
        <f t="shared" ca="1" si="203"/>
        <v>6.25</v>
      </c>
      <c r="N6202" s="143">
        <f ca="1">(PRODUCT($O$5:$O6202)-1)*36000/_xlfn.DAYS(L6202, $C$2)</f>
        <v>12.409591980592769</v>
      </c>
      <c r="O6202" s="149">
        <f t="shared" ca="1" si="204"/>
        <v>1.000173611111111</v>
      </c>
    </row>
    <row r="6203" spans="12:15" x14ac:dyDescent="0.25">
      <c r="L6203" s="147">
        <f ca="1"/>
        <v>51442</v>
      </c>
      <c r="M6203" s="92">
        <f t="shared" ca="1" si="203"/>
        <v>6.25</v>
      </c>
      <c r="N6203" s="143">
        <f ca="1">(PRODUCT($O$5:$O6203)-1)*36000/_xlfn.DAYS(L6203, $C$2)</f>
        <v>12.410752433255594</v>
      </c>
      <c r="O6203" s="149">
        <f t="shared" ca="1" si="204"/>
        <v>1.000173611111111</v>
      </c>
    </row>
    <row r="6204" spans="12:15" x14ac:dyDescent="0.25">
      <c r="L6204" s="147">
        <f ca="1"/>
        <v>51443</v>
      </c>
      <c r="M6204" s="92">
        <f t="shared" ca="1" si="203"/>
        <v>6.25</v>
      </c>
      <c r="N6204" s="143">
        <f ca="1">(PRODUCT($O$5:$O6204)-1)*36000/_xlfn.DAYS(L6204, $C$2)</f>
        <v>12.411913060504645</v>
      </c>
      <c r="O6204" s="149">
        <f t="shared" ca="1" si="204"/>
        <v>1.000173611111111</v>
      </c>
    </row>
    <row r="6205" spans="12:15" x14ac:dyDescent="0.25">
      <c r="L6205" s="147">
        <f ca="1"/>
        <v>51444</v>
      </c>
      <c r="M6205" s="92">
        <f t="shared" ca="1" si="203"/>
        <v>6.25</v>
      </c>
      <c r="N6205" s="143">
        <f ca="1">(PRODUCT($O$5:$O6205)-1)*36000/_xlfn.DAYS(L6205, $C$2)</f>
        <v>12.413073862350746</v>
      </c>
      <c r="O6205" s="149">
        <f t="shared" ca="1" si="204"/>
        <v>1.000173611111111</v>
      </c>
    </row>
    <row r="6206" spans="12:15" x14ac:dyDescent="0.25">
      <c r="L6206" s="147">
        <f ca="1"/>
        <v>51445</v>
      </c>
      <c r="M6206" s="92">
        <f t="shared" ca="1" si="203"/>
        <v>6.25</v>
      </c>
      <c r="N6206" s="143">
        <f ca="1">(PRODUCT($O$5:$O6206)-1)*36000/_xlfn.DAYS(L6206, $C$2)</f>
        <v>12.414234838804724</v>
      </c>
      <c r="O6206" s="149">
        <f t="shared" ca="1" si="204"/>
        <v>1.000173611111111</v>
      </c>
    </row>
    <row r="6207" spans="12:15" x14ac:dyDescent="0.25">
      <c r="L6207" s="147">
        <f ca="1"/>
        <v>51446</v>
      </c>
      <c r="M6207" s="92">
        <f t="shared" ca="1" si="203"/>
        <v>6.25</v>
      </c>
      <c r="N6207" s="143">
        <f ca="1">(PRODUCT($O$5:$O6207)-1)*36000/_xlfn.DAYS(L6207, $C$2)</f>
        <v>12.415395989877419</v>
      </c>
      <c r="O6207" s="149">
        <f t="shared" ca="1" si="204"/>
        <v>1.000173611111111</v>
      </c>
    </row>
    <row r="6208" spans="12:15" x14ac:dyDescent="0.25">
      <c r="L6208" s="147">
        <f ca="1"/>
        <v>51447</v>
      </c>
      <c r="M6208" s="92">
        <f t="shared" ca="1" si="203"/>
        <v>6.25</v>
      </c>
      <c r="N6208" s="143">
        <f ca="1">(PRODUCT($O$5:$O6208)-1)*36000/_xlfn.DAYS(L6208, $C$2)</f>
        <v>12.416557315579684</v>
      </c>
      <c r="O6208" s="149">
        <f t="shared" ca="1" si="204"/>
        <v>1.000173611111111</v>
      </c>
    </row>
    <row r="6209" spans="12:15" x14ac:dyDescent="0.25">
      <c r="L6209" s="147">
        <f ca="1"/>
        <v>51448</v>
      </c>
      <c r="M6209" s="92">
        <f t="shared" ca="1" si="203"/>
        <v>6.25</v>
      </c>
      <c r="N6209" s="143">
        <f ca="1">(PRODUCT($O$5:$O6209)-1)*36000/_xlfn.DAYS(L6209, $C$2)</f>
        <v>12.417718815922376</v>
      </c>
      <c r="O6209" s="149">
        <f t="shared" ca="1" si="204"/>
        <v>1.000173611111111</v>
      </c>
    </row>
    <row r="6210" spans="12:15" x14ac:dyDescent="0.25">
      <c r="L6210" s="147">
        <f ca="1"/>
        <v>51449</v>
      </c>
      <c r="M6210" s="92">
        <f t="shared" ca="1" si="203"/>
        <v>6.25</v>
      </c>
      <c r="N6210" s="143">
        <f ca="1">(PRODUCT($O$5:$O6210)-1)*36000/_xlfn.DAYS(L6210, $C$2)</f>
        <v>12.418880490916361</v>
      </c>
      <c r="O6210" s="149">
        <f t="shared" ca="1" si="204"/>
        <v>1.000173611111111</v>
      </c>
    </row>
    <row r="6211" spans="12:15" x14ac:dyDescent="0.25">
      <c r="L6211" s="147">
        <f ca="1"/>
        <v>51450</v>
      </c>
      <c r="M6211" s="92">
        <f t="shared" ca="1" si="203"/>
        <v>6.25</v>
      </c>
      <c r="N6211" s="143">
        <f ca="1">(PRODUCT($O$5:$O6211)-1)*36000/_xlfn.DAYS(L6211, $C$2)</f>
        <v>12.42004234057252</v>
      </c>
      <c r="O6211" s="149">
        <f t="shared" ca="1" si="204"/>
        <v>1.000173611111111</v>
      </c>
    </row>
    <row r="6212" spans="12:15" x14ac:dyDescent="0.25">
      <c r="L6212" s="147">
        <f ca="1"/>
        <v>51451</v>
      </c>
      <c r="M6212" s="92">
        <f t="shared" ca="1" si="203"/>
        <v>6.25</v>
      </c>
      <c r="N6212" s="143">
        <f ca="1">(PRODUCT($O$5:$O6212)-1)*36000/_xlfn.DAYS(L6212, $C$2)</f>
        <v>12.421204364901739</v>
      </c>
      <c r="O6212" s="149">
        <f t="shared" ca="1" si="204"/>
        <v>1.000173611111111</v>
      </c>
    </row>
    <row r="6213" spans="12:15" x14ac:dyDescent="0.25">
      <c r="L6213" s="147">
        <f ca="1"/>
        <v>51452</v>
      </c>
      <c r="M6213" s="92">
        <f t="shared" ref="M6213:M6276" ca="1" si="205">IFERROR(INDEX($E$27:$H$47, MATCH(L6213, $F$27:$F$47, 0), 4), IF(ISNUMBER(M6212), M6212, $C$5))</f>
        <v>6.25</v>
      </c>
      <c r="N6213" s="143">
        <f ca="1">(PRODUCT($O$5:$O6213)-1)*36000/_xlfn.DAYS(L6213, $C$2)</f>
        <v>12.422366563914915</v>
      </c>
      <c r="O6213" s="149">
        <f t="shared" ca="1" si="204"/>
        <v>1.000173611111111</v>
      </c>
    </row>
    <row r="6214" spans="12:15" x14ac:dyDescent="0.25">
      <c r="L6214" s="147">
        <f ca="1"/>
        <v>51453</v>
      </c>
      <c r="M6214" s="92">
        <f t="shared" ca="1" si="205"/>
        <v>6.25</v>
      </c>
      <c r="N6214" s="143">
        <f ca="1">(PRODUCT($O$5:$O6214)-1)*36000/_xlfn.DAYS(L6214, $C$2)</f>
        <v>12.423528937622956</v>
      </c>
      <c r="O6214" s="149">
        <f t="shared" ref="O6214:O6277" ca="1" si="206">1+M6214*IFERROR(_xlfn.DAYS(L6214, L6213), _xlfn.DAYS(L6214, $C$2))/36000</f>
        <v>1.000173611111111</v>
      </c>
    </row>
    <row r="6215" spans="12:15" x14ac:dyDescent="0.25">
      <c r="L6215" s="147">
        <f ca="1"/>
        <v>51454</v>
      </c>
      <c r="M6215" s="92">
        <f t="shared" ca="1" si="205"/>
        <v>6.25</v>
      </c>
      <c r="N6215" s="143">
        <f ca="1">(PRODUCT($O$5:$O6215)-1)*36000/_xlfn.DAYS(L6215, $C$2)</f>
        <v>12.424691486036776</v>
      </c>
      <c r="O6215" s="149">
        <f t="shared" ca="1" si="206"/>
        <v>1.000173611111111</v>
      </c>
    </row>
    <row r="6216" spans="12:15" x14ac:dyDescent="0.25">
      <c r="L6216" s="147">
        <f ca="1"/>
        <v>51455</v>
      </c>
      <c r="M6216" s="92">
        <f t="shared" ca="1" si="205"/>
        <v>6.25</v>
      </c>
      <c r="N6216" s="143">
        <f ca="1">(PRODUCT($O$5:$O6216)-1)*36000/_xlfn.DAYS(L6216, $C$2)</f>
        <v>12.425854209167303</v>
      </c>
      <c r="O6216" s="149">
        <f t="shared" ca="1" si="206"/>
        <v>1.000173611111111</v>
      </c>
    </row>
    <row r="6217" spans="12:15" x14ac:dyDescent="0.25">
      <c r="L6217" s="147">
        <f ca="1"/>
        <v>51456</v>
      </c>
      <c r="M6217" s="92">
        <f t="shared" ca="1" si="205"/>
        <v>6.25</v>
      </c>
      <c r="N6217" s="143">
        <f ca="1">(PRODUCT($O$5:$O6217)-1)*36000/_xlfn.DAYS(L6217, $C$2)</f>
        <v>12.42701710702547</v>
      </c>
      <c r="O6217" s="149">
        <f t="shared" ca="1" si="206"/>
        <v>1.000173611111111</v>
      </c>
    </row>
    <row r="6218" spans="12:15" x14ac:dyDescent="0.25">
      <c r="L6218" s="147">
        <f ca="1"/>
        <v>51457</v>
      </c>
      <c r="M6218" s="92">
        <f t="shared" ca="1" si="205"/>
        <v>6.25</v>
      </c>
      <c r="N6218" s="143">
        <f ca="1">(PRODUCT($O$5:$O6218)-1)*36000/_xlfn.DAYS(L6218, $C$2)</f>
        <v>12.428180179622226</v>
      </c>
      <c r="O6218" s="149">
        <f t="shared" ca="1" si="206"/>
        <v>1.000173611111111</v>
      </c>
    </row>
    <row r="6219" spans="12:15" x14ac:dyDescent="0.25">
      <c r="L6219" s="147">
        <f ca="1"/>
        <v>51458</v>
      </c>
      <c r="M6219" s="92">
        <f t="shared" ca="1" si="205"/>
        <v>6.25</v>
      </c>
      <c r="N6219" s="143">
        <f ca="1">(PRODUCT($O$5:$O6219)-1)*36000/_xlfn.DAYS(L6219, $C$2)</f>
        <v>12.429343426968517</v>
      </c>
      <c r="O6219" s="149">
        <f t="shared" ca="1" si="206"/>
        <v>1.000173611111111</v>
      </c>
    </row>
    <row r="6220" spans="12:15" x14ac:dyDescent="0.25">
      <c r="L6220" s="147">
        <f ca="1"/>
        <v>51459</v>
      </c>
      <c r="M6220" s="92">
        <f t="shared" ca="1" si="205"/>
        <v>6.25</v>
      </c>
      <c r="N6220" s="143">
        <f ca="1">(PRODUCT($O$5:$O6220)-1)*36000/_xlfn.DAYS(L6220, $C$2)</f>
        <v>12.430506849075311</v>
      </c>
      <c r="O6220" s="149">
        <f t="shared" ca="1" si="206"/>
        <v>1.000173611111111</v>
      </c>
    </row>
    <row r="6221" spans="12:15" x14ac:dyDescent="0.25">
      <c r="L6221" s="147">
        <f ca="1"/>
        <v>51460</v>
      </c>
      <c r="M6221" s="92">
        <f t="shared" ca="1" si="205"/>
        <v>6.25</v>
      </c>
      <c r="N6221" s="143">
        <f ca="1">(PRODUCT($O$5:$O6221)-1)*36000/_xlfn.DAYS(L6221, $C$2)</f>
        <v>12.431670445953582</v>
      </c>
      <c r="O6221" s="149">
        <f t="shared" ca="1" si="206"/>
        <v>1.000173611111111</v>
      </c>
    </row>
    <row r="6222" spans="12:15" x14ac:dyDescent="0.25">
      <c r="L6222" s="147">
        <f ca="1"/>
        <v>51461</v>
      </c>
      <c r="M6222" s="92">
        <f t="shared" ca="1" si="205"/>
        <v>6.25</v>
      </c>
      <c r="N6222" s="143">
        <f ca="1">(PRODUCT($O$5:$O6222)-1)*36000/_xlfn.DAYS(L6222, $C$2)</f>
        <v>12.432834217614312</v>
      </c>
      <c r="O6222" s="149">
        <f t="shared" ca="1" si="206"/>
        <v>1.000173611111111</v>
      </c>
    </row>
    <row r="6223" spans="12:15" x14ac:dyDescent="0.25">
      <c r="L6223" s="147">
        <f ca="1"/>
        <v>51462</v>
      </c>
      <c r="M6223" s="92">
        <f t="shared" ca="1" si="205"/>
        <v>6.25</v>
      </c>
      <c r="N6223" s="143">
        <f ca="1">(PRODUCT($O$5:$O6223)-1)*36000/_xlfn.DAYS(L6223, $C$2)</f>
        <v>12.433998164068491</v>
      </c>
      <c r="O6223" s="149">
        <f t="shared" ca="1" si="206"/>
        <v>1.000173611111111</v>
      </c>
    </row>
    <row r="6224" spans="12:15" x14ac:dyDescent="0.25">
      <c r="L6224" s="147">
        <f ca="1"/>
        <v>51463</v>
      </c>
      <c r="M6224" s="92">
        <f t="shared" ca="1" si="205"/>
        <v>6.25</v>
      </c>
      <c r="N6224" s="143">
        <f ca="1">(PRODUCT($O$5:$O6224)-1)*36000/_xlfn.DAYS(L6224, $C$2)</f>
        <v>12.435162285327124</v>
      </c>
      <c r="O6224" s="149">
        <f t="shared" ca="1" si="206"/>
        <v>1.000173611111111</v>
      </c>
    </row>
    <row r="6225" spans="12:15" x14ac:dyDescent="0.25">
      <c r="L6225" s="147">
        <f ca="1"/>
        <v>51464</v>
      </c>
      <c r="M6225" s="92">
        <f t="shared" ca="1" si="205"/>
        <v>6.25</v>
      </c>
      <c r="N6225" s="143">
        <f ca="1">(PRODUCT($O$5:$O6225)-1)*36000/_xlfn.DAYS(L6225, $C$2)</f>
        <v>12.43632658140122</v>
      </c>
      <c r="O6225" s="149">
        <f t="shared" ca="1" si="206"/>
        <v>1.000173611111111</v>
      </c>
    </row>
    <row r="6226" spans="12:15" x14ac:dyDescent="0.25">
      <c r="L6226" s="147">
        <f ca="1"/>
        <v>51465</v>
      </c>
      <c r="M6226" s="92">
        <f t="shared" ca="1" si="205"/>
        <v>6.25</v>
      </c>
      <c r="N6226" s="143">
        <f ca="1">(PRODUCT($O$5:$O6226)-1)*36000/_xlfn.DAYS(L6226, $C$2)</f>
        <v>12.437491052301796</v>
      </c>
      <c r="O6226" s="149">
        <f t="shared" ca="1" si="206"/>
        <v>1.000173611111111</v>
      </c>
    </row>
    <row r="6227" spans="12:15" x14ac:dyDescent="0.25">
      <c r="L6227" s="147">
        <f ca="1"/>
        <v>51466</v>
      </c>
      <c r="M6227" s="92">
        <f t="shared" ca="1" si="205"/>
        <v>6.25</v>
      </c>
      <c r="N6227" s="143">
        <f ca="1">(PRODUCT($O$5:$O6227)-1)*36000/_xlfn.DAYS(L6227, $C$2)</f>
        <v>12.438655698039888</v>
      </c>
      <c r="O6227" s="149">
        <f t="shared" ca="1" si="206"/>
        <v>1.000173611111111</v>
      </c>
    </row>
    <row r="6228" spans="12:15" x14ac:dyDescent="0.25">
      <c r="L6228" s="147">
        <f ca="1"/>
        <v>51467</v>
      </c>
      <c r="M6228" s="92">
        <f t="shared" ca="1" si="205"/>
        <v>6.25</v>
      </c>
      <c r="N6228" s="143">
        <f ca="1">(PRODUCT($O$5:$O6228)-1)*36000/_xlfn.DAYS(L6228, $C$2)</f>
        <v>12.439820518626533</v>
      </c>
      <c r="O6228" s="149">
        <f t="shared" ca="1" si="206"/>
        <v>1.000173611111111</v>
      </c>
    </row>
    <row r="6229" spans="12:15" x14ac:dyDescent="0.25">
      <c r="L6229" s="147">
        <f ca="1"/>
        <v>51468</v>
      </c>
      <c r="M6229" s="92">
        <f t="shared" ca="1" si="205"/>
        <v>6.25</v>
      </c>
      <c r="N6229" s="143">
        <f ca="1">(PRODUCT($O$5:$O6229)-1)*36000/_xlfn.DAYS(L6229, $C$2)</f>
        <v>12.44098551407278</v>
      </c>
      <c r="O6229" s="149">
        <f t="shared" ca="1" si="206"/>
        <v>1.000173611111111</v>
      </c>
    </row>
    <row r="6230" spans="12:15" x14ac:dyDescent="0.25">
      <c r="L6230" s="147">
        <f ca="1"/>
        <v>51469</v>
      </c>
      <c r="M6230" s="92">
        <f t="shared" ca="1" si="205"/>
        <v>6.25</v>
      </c>
      <c r="N6230" s="143">
        <f ca="1">(PRODUCT($O$5:$O6230)-1)*36000/_xlfn.DAYS(L6230, $C$2)</f>
        <v>12.442150684389684</v>
      </c>
      <c r="O6230" s="149">
        <f t="shared" ca="1" si="206"/>
        <v>1.000173611111111</v>
      </c>
    </row>
    <row r="6231" spans="12:15" x14ac:dyDescent="0.25">
      <c r="L6231" s="147">
        <f ca="1"/>
        <v>51470</v>
      </c>
      <c r="M6231" s="92">
        <f t="shared" ca="1" si="205"/>
        <v>6.25</v>
      </c>
      <c r="N6231" s="143">
        <f ca="1">(PRODUCT($O$5:$O6231)-1)*36000/_xlfn.DAYS(L6231, $C$2)</f>
        <v>12.443316029588317</v>
      </c>
      <c r="O6231" s="149">
        <f t="shared" ca="1" si="206"/>
        <v>1.000173611111111</v>
      </c>
    </row>
    <row r="6232" spans="12:15" x14ac:dyDescent="0.25">
      <c r="L6232" s="147">
        <f ca="1"/>
        <v>51471</v>
      </c>
      <c r="M6232" s="92">
        <f t="shared" ca="1" si="205"/>
        <v>6.25</v>
      </c>
      <c r="N6232" s="143">
        <f ca="1">(PRODUCT($O$5:$O6232)-1)*36000/_xlfn.DAYS(L6232, $C$2)</f>
        <v>12.444481549679754</v>
      </c>
      <c r="O6232" s="149">
        <f t="shared" ca="1" si="206"/>
        <v>1.000173611111111</v>
      </c>
    </row>
    <row r="6233" spans="12:15" x14ac:dyDescent="0.25">
      <c r="L6233" s="147">
        <f ca="1"/>
        <v>51472</v>
      </c>
      <c r="M6233" s="92">
        <f t="shared" ca="1" si="205"/>
        <v>6.25</v>
      </c>
      <c r="N6233" s="143">
        <f ca="1">(PRODUCT($O$5:$O6233)-1)*36000/_xlfn.DAYS(L6233, $C$2)</f>
        <v>12.445647244675083</v>
      </c>
      <c r="O6233" s="149">
        <f t="shared" ca="1" si="206"/>
        <v>1.000173611111111</v>
      </c>
    </row>
    <row r="6234" spans="12:15" x14ac:dyDescent="0.25">
      <c r="L6234" s="147">
        <f ca="1"/>
        <v>51473</v>
      </c>
      <c r="M6234" s="92">
        <f t="shared" ca="1" si="205"/>
        <v>6.25</v>
      </c>
      <c r="N6234" s="143">
        <f ca="1">(PRODUCT($O$5:$O6234)-1)*36000/_xlfn.DAYS(L6234, $C$2)</f>
        <v>12.446813114585396</v>
      </c>
      <c r="O6234" s="149">
        <f t="shared" ca="1" si="206"/>
        <v>1.000173611111111</v>
      </c>
    </row>
    <row r="6235" spans="12:15" x14ac:dyDescent="0.25">
      <c r="L6235" s="147">
        <f ca="1"/>
        <v>51474</v>
      </c>
      <c r="M6235" s="92">
        <f t="shared" ca="1" si="205"/>
        <v>6.25</v>
      </c>
      <c r="N6235" s="143">
        <f ca="1">(PRODUCT($O$5:$O6235)-1)*36000/_xlfn.DAYS(L6235, $C$2)</f>
        <v>12.447979159421804</v>
      </c>
      <c r="O6235" s="149">
        <f t="shared" ca="1" si="206"/>
        <v>1.000173611111111</v>
      </c>
    </row>
    <row r="6236" spans="12:15" x14ac:dyDescent="0.25">
      <c r="L6236" s="147">
        <f ca="1"/>
        <v>51475</v>
      </c>
      <c r="M6236" s="92">
        <f t="shared" ca="1" si="205"/>
        <v>6.25</v>
      </c>
      <c r="N6236" s="143">
        <f ca="1">(PRODUCT($O$5:$O6236)-1)*36000/_xlfn.DAYS(L6236, $C$2)</f>
        <v>12.449145379195421</v>
      </c>
      <c r="O6236" s="149">
        <f t="shared" ca="1" si="206"/>
        <v>1.000173611111111</v>
      </c>
    </row>
    <row r="6237" spans="12:15" x14ac:dyDescent="0.25">
      <c r="L6237" s="147">
        <f ca="1"/>
        <v>51476</v>
      </c>
      <c r="M6237" s="92">
        <f t="shared" ca="1" si="205"/>
        <v>6.25</v>
      </c>
      <c r="N6237" s="143">
        <f ca="1">(PRODUCT($O$5:$O6237)-1)*36000/_xlfn.DAYS(L6237, $C$2)</f>
        <v>12.450311773917369</v>
      </c>
      <c r="O6237" s="149">
        <f t="shared" ca="1" si="206"/>
        <v>1.000173611111111</v>
      </c>
    </row>
    <row r="6238" spans="12:15" x14ac:dyDescent="0.25">
      <c r="L6238" s="147">
        <f ca="1"/>
        <v>51477</v>
      </c>
      <c r="M6238" s="92">
        <f t="shared" ca="1" si="205"/>
        <v>6.25</v>
      </c>
      <c r="N6238" s="143">
        <f ca="1">(PRODUCT($O$5:$O6238)-1)*36000/_xlfn.DAYS(L6238, $C$2)</f>
        <v>12.451478343598779</v>
      </c>
      <c r="O6238" s="149">
        <f t="shared" ca="1" si="206"/>
        <v>1.000173611111111</v>
      </c>
    </row>
    <row r="6239" spans="12:15" x14ac:dyDescent="0.25">
      <c r="L6239" s="147">
        <f ca="1"/>
        <v>51478</v>
      </c>
      <c r="M6239" s="92">
        <f t="shared" ca="1" si="205"/>
        <v>6.25</v>
      </c>
      <c r="N6239" s="143">
        <f ca="1">(PRODUCT($O$5:$O6239)-1)*36000/_xlfn.DAYS(L6239, $C$2)</f>
        <v>12.452645088250803</v>
      </c>
      <c r="O6239" s="149">
        <f t="shared" ca="1" si="206"/>
        <v>1.000173611111111</v>
      </c>
    </row>
    <row r="6240" spans="12:15" x14ac:dyDescent="0.25">
      <c r="L6240" s="147">
        <f ca="1"/>
        <v>51479</v>
      </c>
      <c r="M6240" s="92">
        <f t="shared" ca="1" si="205"/>
        <v>6.25</v>
      </c>
      <c r="N6240" s="143">
        <f ca="1">(PRODUCT($O$5:$O6240)-1)*36000/_xlfn.DAYS(L6240, $C$2)</f>
        <v>12.453812007884583</v>
      </c>
      <c r="O6240" s="149">
        <f t="shared" ca="1" si="206"/>
        <v>1.000173611111111</v>
      </c>
    </row>
    <row r="6241" spans="12:15" x14ac:dyDescent="0.25">
      <c r="L6241" s="147">
        <f ca="1"/>
        <v>51480</v>
      </c>
      <c r="M6241" s="92">
        <f t="shared" ca="1" si="205"/>
        <v>6.25</v>
      </c>
      <c r="N6241" s="143">
        <f ca="1">(PRODUCT($O$5:$O6241)-1)*36000/_xlfn.DAYS(L6241, $C$2)</f>
        <v>12.454979102511285</v>
      </c>
      <c r="O6241" s="149">
        <f t="shared" ca="1" si="206"/>
        <v>1.000173611111111</v>
      </c>
    </row>
    <row r="6242" spans="12:15" x14ac:dyDescent="0.25">
      <c r="L6242" s="147">
        <f ca="1"/>
        <v>51481</v>
      </c>
      <c r="M6242" s="92">
        <f t="shared" ca="1" si="205"/>
        <v>6.25</v>
      </c>
      <c r="N6242" s="143">
        <f ca="1">(PRODUCT($O$5:$O6242)-1)*36000/_xlfn.DAYS(L6242, $C$2)</f>
        <v>12.456146372142085</v>
      </c>
      <c r="O6242" s="149">
        <f t="shared" ca="1" si="206"/>
        <v>1.000173611111111</v>
      </c>
    </row>
    <row r="6243" spans="12:15" x14ac:dyDescent="0.25">
      <c r="L6243" s="147">
        <f ca="1"/>
        <v>51482</v>
      </c>
      <c r="M6243" s="92">
        <f t="shared" ca="1" si="205"/>
        <v>6.25</v>
      </c>
      <c r="N6243" s="143">
        <f ca="1">(PRODUCT($O$5:$O6243)-1)*36000/_xlfn.DAYS(L6243, $C$2)</f>
        <v>12.457313816788155</v>
      </c>
      <c r="O6243" s="149">
        <f t="shared" ca="1" si="206"/>
        <v>1.000173611111111</v>
      </c>
    </row>
    <row r="6244" spans="12:15" x14ac:dyDescent="0.25">
      <c r="L6244" s="147">
        <f ca="1"/>
        <v>51483</v>
      </c>
      <c r="M6244" s="92">
        <f t="shared" ca="1" si="205"/>
        <v>6.25</v>
      </c>
      <c r="N6244" s="143">
        <f ca="1">(PRODUCT($O$5:$O6244)-1)*36000/_xlfn.DAYS(L6244, $C$2)</f>
        <v>12.458481436460692</v>
      </c>
      <c r="O6244" s="149">
        <f t="shared" ca="1" si="206"/>
        <v>1.000173611111111</v>
      </c>
    </row>
    <row r="6245" spans="12:15" x14ac:dyDescent="0.25">
      <c r="L6245" s="147">
        <f ca="1"/>
        <v>51484</v>
      </c>
      <c r="M6245" s="92">
        <f t="shared" ca="1" si="205"/>
        <v>6.25</v>
      </c>
      <c r="N6245" s="143">
        <f ca="1">(PRODUCT($O$5:$O6245)-1)*36000/_xlfn.DAYS(L6245, $C$2)</f>
        <v>12.459649231170893</v>
      </c>
      <c r="O6245" s="149">
        <f t="shared" ca="1" si="206"/>
        <v>1.000173611111111</v>
      </c>
    </row>
    <row r="6246" spans="12:15" x14ac:dyDescent="0.25">
      <c r="L6246" s="147">
        <f ca="1"/>
        <v>51485</v>
      </c>
      <c r="M6246" s="92">
        <f t="shared" ca="1" si="205"/>
        <v>6.25</v>
      </c>
      <c r="N6246" s="143">
        <f ca="1">(PRODUCT($O$5:$O6246)-1)*36000/_xlfn.DAYS(L6246, $C$2)</f>
        <v>12.460817200929966</v>
      </c>
      <c r="O6246" s="149">
        <f t="shared" ca="1" si="206"/>
        <v>1.000173611111111</v>
      </c>
    </row>
    <row r="6247" spans="12:15" x14ac:dyDescent="0.25">
      <c r="L6247" s="147">
        <f ca="1"/>
        <v>51486</v>
      </c>
      <c r="M6247" s="92">
        <f t="shared" ca="1" si="205"/>
        <v>6.25</v>
      </c>
      <c r="N6247" s="143">
        <f ca="1">(PRODUCT($O$5:$O6247)-1)*36000/_xlfn.DAYS(L6247, $C$2)</f>
        <v>12.461985345749129</v>
      </c>
      <c r="O6247" s="149">
        <f t="shared" ca="1" si="206"/>
        <v>1.000173611111111</v>
      </c>
    </row>
    <row r="6248" spans="12:15" x14ac:dyDescent="0.25">
      <c r="L6248" s="147">
        <f ca="1"/>
        <v>51487</v>
      </c>
      <c r="M6248" s="92">
        <f t="shared" ca="1" si="205"/>
        <v>6.25</v>
      </c>
      <c r="N6248" s="143">
        <f ca="1">(PRODUCT($O$5:$O6248)-1)*36000/_xlfn.DAYS(L6248, $C$2)</f>
        <v>12.463153665639613</v>
      </c>
      <c r="O6248" s="149">
        <f t="shared" ca="1" si="206"/>
        <v>1.000173611111111</v>
      </c>
    </row>
    <row r="6249" spans="12:15" x14ac:dyDescent="0.25">
      <c r="L6249" s="147">
        <f ca="1"/>
        <v>51488</v>
      </c>
      <c r="M6249" s="92">
        <f t="shared" ca="1" si="205"/>
        <v>6.25</v>
      </c>
      <c r="N6249" s="143">
        <f ca="1">(PRODUCT($O$5:$O6249)-1)*36000/_xlfn.DAYS(L6249, $C$2)</f>
        <v>12.464322160612648</v>
      </c>
      <c r="O6249" s="149">
        <f t="shared" ca="1" si="206"/>
        <v>1.000173611111111</v>
      </c>
    </row>
    <row r="6250" spans="12:15" x14ac:dyDescent="0.25">
      <c r="L6250" s="147">
        <f ca="1"/>
        <v>51489</v>
      </c>
      <c r="M6250" s="92">
        <f t="shared" ca="1" si="205"/>
        <v>6.25</v>
      </c>
      <c r="N6250" s="143">
        <f ca="1">(PRODUCT($O$5:$O6250)-1)*36000/_xlfn.DAYS(L6250, $C$2)</f>
        <v>12.465490830679487</v>
      </c>
      <c r="O6250" s="149">
        <f t="shared" ca="1" si="206"/>
        <v>1.000173611111111</v>
      </c>
    </row>
    <row r="6251" spans="12:15" x14ac:dyDescent="0.25">
      <c r="L6251" s="147">
        <f ca="1"/>
        <v>51490</v>
      </c>
      <c r="M6251" s="92">
        <f t="shared" ca="1" si="205"/>
        <v>6.25</v>
      </c>
      <c r="N6251" s="143">
        <f ca="1">(PRODUCT($O$5:$O6251)-1)*36000/_xlfn.DAYS(L6251, $C$2)</f>
        <v>12.466659675851382</v>
      </c>
      <c r="O6251" s="149">
        <f t="shared" ca="1" si="206"/>
        <v>1.000173611111111</v>
      </c>
    </row>
    <row r="6252" spans="12:15" x14ac:dyDescent="0.25">
      <c r="L6252" s="147">
        <f ca="1"/>
        <v>51491</v>
      </c>
      <c r="M6252" s="92">
        <f t="shared" ca="1" si="205"/>
        <v>6.25</v>
      </c>
      <c r="N6252" s="143">
        <f ca="1">(PRODUCT($O$5:$O6252)-1)*36000/_xlfn.DAYS(L6252, $C$2)</f>
        <v>12.4678286961396</v>
      </c>
      <c r="O6252" s="149">
        <f t="shared" ca="1" si="206"/>
        <v>1.000173611111111</v>
      </c>
    </row>
    <row r="6253" spans="12:15" x14ac:dyDescent="0.25">
      <c r="L6253" s="147">
        <f ca="1"/>
        <v>51492</v>
      </c>
      <c r="M6253" s="92">
        <f t="shared" ca="1" si="205"/>
        <v>6.25</v>
      </c>
      <c r="N6253" s="143">
        <f ca="1">(PRODUCT($O$5:$O6253)-1)*36000/_xlfn.DAYS(L6253, $C$2)</f>
        <v>12.468997891555412</v>
      </c>
      <c r="O6253" s="149">
        <f t="shared" ca="1" si="206"/>
        <v>1.000173611111111</v>
      </c>
    </row>
    <row r="6254" spans="12:15" x14ac:dyDescent="0.25">
      <c r="L6254" s="147">
        <f ca="1"/>
        <v>51493</v>
      </c>
      <c r="M6254" s="92">
        <f t="shared" ca="1" si="205"/>
        <v>6.25</v>
      </c>
      <c r="N6254" s="143">
        <f ca="1">(PRODUCT($O$5:$O6254)-1)*36000/_xlfn.DAYS(L6254, $C$2)</f>
        <v>12.470167262110104</v>
      </c>
      <c r="O6254" s="149">
        <f t="shared" ca="1" si="206"/>
        <v>1.000173611111111</v>
      </c>
    </row>
    <row r="6255" spans="12:15" x14ac:dyDescent="0.25">
      <c r="L6255" s="147">
        <f ca="1"/>
        <v>51494</v>
      </c>
      <c r="M6255" s="92">
        <f t="shared" ca="1" si="205"/>
        <v>6.25</v>
      </c>
      <c r="N6255" s="143">
        <f ca="1">(PRODUCT($O$5:$O6255)-1)*36000/_xlfn.DAYS(L6255, $C$2)</f>
        <v>12.471336807814968</v>
      </c>
      <c r="O6255" s="149">
        <f t="shared" ca="1" si="206"/>
        <v>1.000173611111111</v>
      </c>
    </row>
    <row r="6256" spans="12:15" x14ac:dyDescent="0.25">
      <c r="L6256" s="147">
        <f ca="1"/>
        <v>51495</v>
      </c>
      <c r="M6256" s="92">
        <f t="shared" ca="1" si="205"/>
        <v>6.25</v>
      </c>
      <c r="N6256" s="143">
        <f ca="1">(PRODUCT($O$5:$O6256)-1)*36000/_xlfn.DAYS(L6256, $C$2)</f>
        <v>12.472506528681306</v>
      </c>
      <c r="O6256" s="149">
        <f t="shared" ca="1" si="206"/>
        <v>1.000173611111111</v>
      </c>
    </row>
    <row r="6257" spans="12:15" x14ac:dyDescent="0.25">
      <c r="L6257" s="147">
        <f ca="1"/>
        <v>51496</v>
      </c>
      <c r="M6257" s="92">
        <f t="shared" ca="1" si="205"/>
        <v>6.25</v>
      </c>
      <c r="N6257" s="143">
        <f ca="1">(PRODUCT($O$5:$O6257)-1)*36000/_xlfn.DAYS(L6257, $C$2)</f>
        <v>12.473676424720432</v>
      </c>
      <c r="O6257" s="149">
        <f t="shared" ca="1" si="206"/>
        <v>1.000173611111111</v>
      </c>
    </row>
    <row r="6258" spans="12:15" x14ac:dyDescent="0.25">
      <c r="L6258" s="147">
        <f ca="1"/>
        <v>51497</v>
      </c>
      <c r="M6258" s="92">
        <f t="shared" ca="1" si="205"/>
        <v>6.25</v>
      </c>
      <c r="N6258" s="143">
        <f ca="1">(PRODUCT($O$5:$O6258)-1)*36000/_xlfn.DAYS(L6258, $C$2)</f>
        <v>12.474846495943662</v>
      </c>
      <c r="O6258" s="149">
        <f t="shared" ca="1" si="206"/>
        <v>1.000173611111111</v>
      </c>
    </row>
    <row r="6259" spans="12:15" x14ac:dyDescent="0.25">
      <c r="L6259" s="147">
        <f ca="1"/>
        <v>51498</v>
      </c>
      <c r="M6259" s="92">
        <f t="shared" ca="1" si="205"/>
        <v>6.25</v>
      </c>
      <c r="N6259" s="143">
        <f ca="1">(PRODUCT($O$5:$O6259)-1)*36000/_xlfn.DAYS(L6259, $C$2)</f>
        <v>12.476016742362329</v>
      </c>
      <c r="O6259" s="149">
        <f t="shared" ca="1" si="206"/>
        <v>1.000173611111111</v>
      </c>
    </row>
    <row r="6260" spans="12:15" x14ac:dyDescent="0.25">
      <c r="L6260" s="147">
        <f ca="1"/>
        <v>51499</v>
      </c>
      <c r="M6260" s="92">
        <f t="shared" ca="1" si="205"/>
        <v>6.25</v>
      </c>
      <c r="N6260" s="143">
        <f ca="1">(PRODUCT($O$5:$O6260)-1)*36000/_xlfn.DAYS(L6260, $C$2)</f>
        <v>12.477187163987777</v>
      </c>
      <c r="O6260" s="149">
        <f t="shared" ca="1" si="206"/>
        <v>1.000173611111111</v>
      </c>
    </row>
    <row r="6261" spans="12:15" x14ac:dyDescent="0.25">
      <c r="L6261" s="147">
        <f ca="1"/>
        <v>51500</v>
      </c>
      <c r="M6261" s="92">
        <f t="shared" ca="1" si="205"/>
        <v>6.25</v>
      </c>
      <c r="N6261" s="143">
        <f ca="1">(PRODUCT($O$5:$O6261)-1)*36000/_xlfn.DAYS(L6261, $C$2)</f>
        <v>12.478357760831347</v>
      </c>
      <c r="O6261" s="149">
        <f t="shared" ca="1" si="206"/>
        <v>1.000173611111111</v>
      </c>
    </row>
    <row r="6262" spans="12:15" x14ac:dyDescent="0.25">
      <c r="L6262" s="147">
        <f ca="1"/>
        <v>51501</v>
      </c>
      <c r="M6262" s="92">
        <f t="shared" ca="1" si="205"/>
        <v>6.25</v>
      </c>
      <c r="N6262" s="143">
        <f ca="1">(PRODUCT($O$5:$O6262)-1)*36000/_xlfn.DAYS(L6262, $C$2)</f>
        <v>12.479528532904402</v>
      </c>
      <c r="O6262" s="149">
        <f t="shared" ca="1" si="206"/>
        <v>1.000173611111111</v>
      </c>
    </row>
    <row r="6263" spans="12:15" x14ac:dyDescent="0.25">
      <c r="L6263" s="147">
        <f ca="1"/>
        <v>51502</v>
      </c>
      <c r="M6263" s="92">
        <f t="shared" ca="1" si="205"/>
        <v>6.25</v>
      </c>
      <c r="N6263" s="143">
        <f ca="1">(PRODUCT($O$5:$O6263)-1)*36000/_xlfn.DAYS(L6263, $C$2)</f>
        <v>12.480699480218306</v>
      </c>
      <c r="O6263" s="149">
        <f t="shared" ca="1" si="206"/>
        <v>1.000173611111111</v>
      </c>
    </row>
    <row r="6264" spans="12:15" x14ac:dyDescent="0.25">
      <c r="L6264" s="147">
        <f ca="1"/>
        <v>51503</v>
      </c>
      <c r="M6264" s="92">
        <f t="shared" ca="1" si="205"/>
        <v>6.25</v>
      </c>
      <c r="N6264" s="143">
        <f ca="1">(PRODUCT($O$5:$O6264)-1)*36000/_xlfn.DAYS(L6264, $C$2)</f>
        <v>12.481870602784438</v>
      </c>
      <c r="O6264" s="149">
        <f t="shared" ca="1" si="206"/>
        <v>1.000173611111111</v>
      </c>
    </row>
    <row r="6265" spans="12:15" x14ac:dyDescent="0.25">
      <c r="L6265" s="147">
        <f ca="1"/>
        <v>51504</v>
      </c>
      <c r="M6265" s="92">
        <f t="shared" ca="1" si="205"/>
        <v>6.25</v>
      </c>
      <c r="N6265" s="143">
        <f ca="1">(PRODUCT($O$5:$O6265)-1)*36000/_xlfn.DAYS(L6265, $C$2)</f>
        <v>12.483041900614182</v>
      </c>
      <c r="O6265" s="149">
        <f t="shared" ca="1" si="206"/>
        <v>1.000173611111111</v>
      </c>
    </row>
    <row r="6266" spans="12:15" x14ac:dyDescent="0.25">
      <c r="L6266" s="147">
        <f ca="1"/>
        <v>51505</v>
      </c>
      <c r="M6266" s="92">
        <f t="shared" ca="1" si="205"/>
        <v>6.25</v>
      </c>
      <c r="N6266" s="143">
        <f ca="1">(PRODUCT($O$5:$O6266)-1)*36000/_xlfn.DAYS(L6266, $C$2)</f>
        <v>12.484213373718935</v>
      </c>
      <c r="O6266" s="149">
        <f t="shared" ca="1" si="206"/>
        <v>1.000173611111111</v>
      </c>
    </row>
    <row r="6267" spans="12:15" x14ac:dyDescent="0.25">
      <c r="L6267" s="147">
        <f ca="1"/>
        <v>51506</v>
      </c>
      <c r="M6267" s="92">
        <f t="shared" ca="1" si="205"/>
        <v>6.25</v>
      </c>
      <c r="N6267" s="143">
        <f ca="1">(PRODUCT($O$5:$O6267)-1)*36000/_xlfn.DAYS(L6267, $C$2)</f>
        <v>12.485385022110101</v>
      </c>
      <c r="O6267" s="149">
        <f t="shared" ca="1" si="206"/>
        <v>1.000173611111111</v>
      </c>
    </row>
    <row r="6268" spans="12:15" x14ac:dyDescent="0.25">
      <c r="L6268" s="147">
        <f ca="1"/>
        <v>51507</v>
      </c>
      <c r="M6268" s="92">
        <f t="shared" ca="1" si="205"/>
        <v>6.25</v>
      </c>
      <c r="N6268" s="143">
        <f ca="1">(PRODUCT($O$5:$O6268)-1)*36000/_xlfn.DAYS(L6268, $C$2)</f>
        <v>12.486556845799095</v>
      </c>
      <c r="O6268" s="149">
        <f t="shared" ca="1" si="206"/>
        <v>1.000173611111111</v>
      </c>
    </row>
    <row r="6269" spans="12:15" x14ac:dyDescent="0.25">
      <c r="L6269" s="147">
        <f ca="1"/>
        <v>51508</v>
      </c>
      <c r="M6269" s="92">
        <f t="shared" ca="1" si="205"/>
        <v>6.25</v>
      </c>
      <c r="N6269" s="143">
        <f ca="1">(PRODUCT($O$5:$O6269)-1)*36000/_xlfn.DAYS(L6269, $C$2)</f>
        <v>12.487728844797338</v>
      </c>
      <c r="O6269" s="149">
        <f t="shared" ca="1" si="206"/>
        <v>1.000173611111111</v>
      </c>
    </row>
    <row r="6270" spans="12:15" x14ac:dyDescent="0.25">
      <c r="L6270" s="147">
        <f ca="1"/>
        <v>51509</v>
      </c>
      <c r="M6270" s="92">
        <f t="shared" ca="1" si="205"/>
        <v>6.25</v>
      </c>
      <c r="N6270" s="143">
        <f ca="1">(PRODUCT($O$5:$O6270)-1)*36000/_xlfn.DAYS(L6270, $C$2)</f>
        <v>12.488901019116266</v>
      </c>
      <c r="O6270" s="149">
        <f t="shared" ca="1" si="206"/>
        <v>1.000173611111111</v>
      </c>
    </row>
    <row r="6271" spans="12:15" x14ac:dyDescent="0.25">
      <c r="L6271" s="147">
        <f ca="1"/>
        <v>51510</v>
      </c>
      <c r="M6271" s="92">
        <f t="shared" ca="1" si="205"/>
        <v>6.25</v>
      </c>
      <c r="N6271" s="143">
        <f ca="1">(PRODUCT($O$5:$O6271)-1)*36000/_xlfn.DAYS(L6271, $C$2)</f>
        <v>12.490073368767316</v>
      </c>
      <c r="O6271" s="149">
        <f t="shared" ca="1" si="206"/>
        <v>1.000173611111111</v>
      </c>
    </row>
    <row r="6272" spans="12:15" x14ac:dyDescent="0.25">
      <c r="L6272" s="147">
        <f ca="1"/>
        <v>51511</v>
      </c>
      <c r="M6272" s="92">
        <f t="shared" ca="1" si="205"/>
        <v>6.25</v>
      </c>
      <c r="N6272" s="143">
        <f ca="1">(PRODUCT($O$5:$O6272)-1)*36000/_xlfn.DAYS(L6272, $C$2)</f>
        <v>12.491245893761938</v>
      </c>
      <c r="O6272" s="149">
        <f t="shared" ca="1" si="206"/>
        <v>1.000173611111111</v>
      </c>
    </row>
    <row r="6273" spans="12:15" x14ac:dyDescent="0.25">
      <c r="L6273" s="147">
        <f ca="1"/>
        <v>51512</v>
      </c>
      <c r="M6273" s="92">
        <f t="shared" ca="1" si="205"/>
        <v>6.25</v>
      </c>
      <c r="N6273" s="143">
        <f ca="1">(PRODUCT($O$5:$O6273)-1)*36000/_xlfn.DAYS(L6273, $C$2)</f>
        <v>12.492418594111598</v>
      </c>
      <c r="O6273" s="149">
        <f t="shared" ca="1" si="206"/>
        <v>1.000173611111111</v>
      </c>
    </row>
    <row r="6274" spans="12:15" x14ac:dyDescent="0.25">
      <c r="L6274" s="147">
        <f ca="1"/>
        <v>51513</v>
      </c>
      <c r="M6274" s="92">
        <f t="shared" ca="1" si="205"/>
        <v>6.25</v>
      </c>
      <c r="N6274" s="143">
        <f ca="1">(PRODUCT($O$5:$O6274)-1)*36000/_xlfn.DAYS(L6274, $C$2)</f>
        <v>12.493591469827761</v>
      </c>
      <c r="O6274" s="149">
        <f t="shared" ca="1" si="206"/>
        <v>1.000173611111111</v>
      </c>
    </row>
    <row r="6275" spans="12:15" x14ac:dyDescent="0.25">
      <c r="L6275" s="147">
        <f ca="1"/>
        <v>51514</v>
      </c>
      <c r="M6275" s="92">
        <f t="shared" ca="1" si="205"/>
        <v>6.25</v>
      </c>
      <c r="N6275" s="143">
        <f ca="1">(PRODUCT($O$5:$O6275)-1)*36000/_xlfn.DAYS(L6275, $C$2)</f>
        <v>12.494764520921905</v>
      </c>
      <c r="O6275" s="149">
        <f t="shared" ca="1" si="206"/>
        <v>1.000173611111111</v>
      </c>
    </row>
    <row r="6276" spans="12:15" x14ac:dyDescent="0.25">
      <c r="L6276" s="147">
        <f ca="1"/>
        <v>51515</v>
      </c>
      <c r="M6276" s="92">
        <f t="shared" ca="1" si="205"/>
        <v>6.25</v>
      </c>
      <c r="N6276" s="143">
        <f ca="1">(PRODUCT($O$5:$O6276)-1)*36000/_xlfn.DAYS(L6276, $C$2)</f>
        <v>12.49593774740552</v>
      </c>
      <c r="O6276" s="149">
        <f t="shared" ca="1" si="206"/>
        <v>1.000173611111111</v>
      </c>
    </row>
    <row r="6277" spans="12:15" x14ac:dyDescent="0.25">
      <c r="L6277" s="147">
        <f ca="1"/>
        <v>51516</v>
      </c>
      <c r="M6277" s="92">
        <f t="shared" ref="M6277:M6340" ca="1" si="207">IFERROR(INDEX($E$27:$H$47, MATCH(L6277, $F$27:$F$47, 0), 4), IF(ISNUMBER(M6276), M6276, $C$5))</f>
        <v>6.25</v>
      </c>
      <c r="N6277" s="143">
        <f ca="1">(PRODUCT($O$5:$O6277)-1)*36000/_xlfn.DAYS(L6277, $C$2)</f>
        <v>12.497111149290102</v>
      </c>
      <c r="O6277" s="149">
        <f t="shared" ca="1" si="206"/>
        <v>1.000173611111111</v>
      </c>
    </row>
    <row r="6278" spans="12:15" x14ac:dyDescent="0.25">
      <c r="L6278" s="147">
        <f ca="1"/>
        <v>51517</v>
      </c>
      <c r="M6278" s="92">
        <f t="shared" ca="1" si="207"/>
        <v>6.25</v>
      </c>
      <c r="N6278" s="143">
        <f ca="1">(PRODUCT($O$5:$O6278)-1)*36000/_xlfn.DAYS(L6278, $C$2)</f>
        <v>12.498284726587158</v>
      </c>
      <c r="O6278" s="149">
        <f t="shared" ref="O6278:O6341" ca="1" si="208">1+M6278*IFERROR(_xlfn.DAYS(L6278, L6277), _xlfn.DAYS(L6278, $C$2))/36000</f>
        <v>1.000173611111111</v>
      </c>
    </row>
    <row r="6279" spans="12:15" x14ac:dyDescent="0.25">
      <c r="L6279" s="147">
        <f ca="1"/>
        <v>51518</v>
      </c>
      <c r="M6279" s="92">
        <f t="shared" ca="1" si="207"/>
        <v>6.25</v>
      </c>
      <c r="N6279" s="143">
        <f ca="1">(PRODUCT($O$5:$O6279)-1)*36000/_xlfn.DAYS(L6279, $C$2)</f>
        <v>12.499458479308201</v>
      </c>
      <c r="O6279" s="149">
        <f t="shared" ca="1" si="208"/>
        <v>1.000173611111111</v>
      </c>
    </row>
    <row r="6280" spans="12:15" x14ac:dyDescent="0.25">
      <c r="L6280" s="147">
        <f ca="1"/>
        <v>51519</v>
      </c>
      <c r="M6280" s="92">
        <f t="shared" ca="1" si="207"/>
        <v>6.25</v>
      </c>
      <c r="N6280" s="143">
        <f ca="1">(PRODUCT($O$5:$O6280)-1)*36000/_xlfn.DAYS(L6280, $C$2)</f>
        <v>12.500632407464758</v>
      </c>
      <c r="O6280" s="149">
        <f t="shared" ca="1" si="208"/>
        <v>1.000173611111111</v>
      </c>
    </row>
    <row r="6281" spans="12:15" x14ac:dyDescent="0.25">
      <c r="L6281" s="147">
        <f ca="1"/>
        <v>51520</v>
      </c>
      <c r="M6281" s="92">
        <f t="shared" ca="1" si="207"/>
        <v>6.25</v>
      </c>
      <c r="N6281" s="143">
        <f ca="1">(PRODUCT($O$5:$O6281)-1)*36000/_xlfn.DAYS(L6281, $C$2)</f>
        <v>12.501806511068363</v>
      </c>
      <c r="O6281" s="149">
        <f t="shared" ca="1" si="208"/>
        <v>1.000173611111111</v>
      </c>
    </row>
    <row r="6282" spans="12:15" x14ac:dyDescent="0.25">
      <c r="L6282" s="147">
        <f ca="1"/>
        <v>51521</v>
      </c>
      <c r="M6282" s="92">
        <f t="shared" ca="1" si="207"/>
        <v>6.25</v>
      </c>
      <c r="N6282" s="143">
        <f ca="1">(PRODUCT($O$5:$O6282)-1)*36000/_xlfn.DAYS(L6282, $C$2)</f>
        <v>12.502980790130559</v>
      </c>
      <c r="O6282" s="149">
        <f t="shared" ca="1" si="208"/>
        <v>1.000173611111111</v>
      </c>
    </row>
    <row r="6283" spans="12:15" x14ac:dyDescent="0.25">
      <c r="L6283" s="147">
        <f ca="1"/>
        <v>51522</v>
      </c>
      <c r="M6283" s="92">
        <f t="shared" ca="1" si="207"/>
        <v>6.25</v>
      </c>
      <c r="N6283" s="143">
        <f ca="1">(PRODUCT($O$5:$O6283)-1)*36000/_xlfn.DAYS(L6283, $C$2)</f>
        <v>12.504155244662895</v>
      </c>
      <c r="O6283" s="149">
        <f t="shared" ca="1" si="208"/>
        <v>1.000173611111111</v>
      </c>
    </row>
    <row r="6284" spans="12:15" x14ac:dyDescent="0.25">
      <c r="L6284" s="147">
        <f ca="1"/>
        <v>51523</v>
      </c>
      <c r="M6284" s="92">
        <f t="shared" ca="1" si="207"/>
        <v>6.25</v>
      </c>
      <c r="N6284" s="143">
        <f ca="1">(PRODUCT($O$5:$O6284)-1)*36000/_xlfn.DAYS(L6284, $C$2)</f>
        <v>12.505329874676939</v>
      </c>
      <c r="O6284" s="149">
        <f t="shared" ca="1" si="208"/>
        <v>1.000173611111111</v>
      </c>
    </row>
    <row r="6285" spans="12:15" x14ac:dyDescent="0.25">
      <c r="L6285" s="147">
        <f ca="1"/>
        <v>51524</v>
      </c>
      <c r="M6285" s="92">
        <f t="shared" ca="1" si="207"/>
        <v>6.25</v>
      </c>
      <c r="N6285" s="143">
        <f ca="1">(PRODUCT($O$5:$O6285)-1)*36000/_xlfn.DAYS(L6285, $C$2)</f>
        <v>12.506504680184255</v>
      </c>
      <c r="O6285" s="149">
        <f t="shared" ca="1" si="208"/>
        <v>1.000173611111111</v>
      </c>
    </row>
    <row r="6286" spans="12:15" x14ac:dyDescent="0.25">
      <c r="L6286" s="147">
        <f ca="1"/>
        <v>51525</v>
      </c>
      <c r="M6286" s="92">
        <f t="shared" ca="1" si="207"/>
        <v>6.25</v>
      </c>
      <c r="N6286" s="143">
        <f ca="1">(PRODUCT($O$5:$O6286)-1)*36000/_xlfn.DAYS(L6286, $C$2)</f>
        <v>12.507679661196425</v>
      </c>
      <c r="O6286" s="149">
        <f t="shared" ca="1" si="208"/>
        <v>1.000173611111111</v>
      </c>
    </row>
    <row r="6287" spans="12:15" x14ac:dyDescent="0.25">
      <c r="L6287" s="147">
        <f ca="1"/>
        <v>51526</v>
      </c>
      <c r="M6287" s="92">
        <f t="shared" ca="1" si="207"/>
        <v>6.25</v>
      </c>
      <c r="N6287" s="143">
        <f ca="1">(PRODUCT($O$5:$O6287)-1)*36000/_xlfn.DAYS(L6287, $C$2)</f>
        <v>12.508854817725041</v>
      </c>
      <c r="O6287" s="149">
        <f t="shared" ca="1" si="208"/>
        <v>1.000173611111111</v>
      </c>
    </row>
    <row r="6288" spans="12:15" x14ac:dyDescent="0.25">
      <c r="L6288" s="147">
        <f ca="1"/>
        <v>51527</v>
      </c>
      <c r="M6288" s="92">
        <f t="shared" ca="1" si="207"/>
        <v>6.25</v>
      </c>
      <c r="N6288" s="143">
        <f ca="1">(PRODUCT($O$5:$O6288)-1)*36000/_xlfn.DAYS(L6288, $C$2)</f>
        <v>12.510030149781697</v>
      </c>
      <c r="O6288" s="149">
        <f t="shared" ca="1" si="208"/>
        <v>1.000173611111111</v>
      </c>
    </row>
    <row r="6289" spans="12:15" x14ac:dyDescent="0.25">
      <c r="L6289" s="147">
        <f ca="1"/>
        <v>51528</v>
      </c>
      <c r="M6289" s="92">
        <f t="shared" ca="1" si="207"/>
        <v>6.25</v>
      </c>
      <c r="N6289" s="143">
        <f ca="1">(PRODUCT($O$5:$O6289)-1)*36000/_xlfn.DAYS(L6289, $C$2)</f>
        <v>12.511205657378003</v>
      </c>
      <c r="O6289" s="149">
        <f t="shared" ca="1" si="208"/>
        <v>1.000173611111111</v>
      </c>
    </row>
    <row r="6290" spans="12:15" x14ac:dyDescent="0.25">
      <c r="L6290" s="147">
        <f ca="1"/>
        <v>51529</v>
      </c>
      <c r="M6290" s="92">
        <f t="shared" ca="1" si="207"/>
        <v>6.25</v>
      </c>
      <c r="N6290" s="143">
        <f ca="1">(PRODUCT($O$5:$O6290)-1)*36000/_xlfn.DAYS(L6290, $C$2)</f>
        <v>12.512381340525575</v>
      </c>
      <c r="O6290" s="149">
        <f t="shared" ca="1" si="208"/>
        <v>1.000173611111111</v>
      </c>
    </row>
    <row r="6291" spans="12:15" x14ac:dyDescent="0.25">
      <c r="L6291" s="147">
        <f ca="1"/>
        <v>51530</v>
      </c>
      <c r="M6291" s="92">
        <f t="shared" ca="1" si="207"/>
        <v>6.25</v>
      </c>
      <c r="N6291" s="143">
        <f ca="1">(PRODUCT($O$5:$O6291)-1)*36000/_xlfn.DAYS(L6291, $C$2)</f>
        <v>12.513557199236041</v>
      </c>
      <c r="O6291" s="149">
        <f t="shared" ca="1" si="208"/>
        <v>1.000173611111111</v>
      </c>
    </row>
    <row r="6292" spans="12:15" x14ac:dyDescent="0.25">
      <c r="L6292" s="147">
        <f ca="1"/>
        <v>51531</v>
      </c>
      <c r="M6292" s="92">
        <f t="shared" ca="1" si="207"/>
        <v>6.25</v>
      </c>
      <c r="N6292" s="143">
        <f ca="1">(PRODUCT($O$5:$O6292)-1)*36000/_xlfn.DAYS(L6292, $C$2)</f>
        <v>12.51473323352103</v>
      </c>
      <c r="O6292" s="149">
        <f t="shared" ca="1" si="208"/>
        <v>1.000173611111111</v>
      </c>
    </row>
    <row r="6293" spans="12:15" x14ac:dyDescent="0.25">
      <c r="L6293" s="147">
        <f ca="1"/>
        <v>51532</v>
      </c>
      <c r="M6293" s="92">
        <f t="shared" ca="1" si="207"/>
        <v>6.25</v>
      </c>
      <c r="N6293" s="143">
        <f ca="1">(PRODUCT($O$5:$O6293)-1)*36000/_xlfn.DAYS(L6293, $C$2)</f>
        <v>12.515909443392193</v>
      </c>
      <c r="O6293" s="149">
        <f t="shared" ca="1" si="208"/>
        <v>1.000173611111111</v>
      </c>
    </row>
    <row r="6294" spans="12:15" x14ac:dyDescent="0.25">
      <c r="L6294" s="147">
        <f ca="1"/>
        <v>51533</v>
      </c>
      <c r="M6294" s="92">
        <f t="shared" ca="1" si="207"/>
        <v>6.25</v>
      </c>
      <c r="N6294" s="143">
        <f ca="1">(PRODUCT($O$5:$O6294)-1)*36000/_xlfn.DAYS(L6294, $C$2)</f>
        <v>12.517085828861179</v>
      </c>
      <c r="O6294" s="149">
        <f t="shared" ca="1" si="208"/>
        <v>1.000173611111111</v>
      </c>
    </row>
    <row r="6295" spans="12:15" x14ac:dyDescent="0.25">
      <c r="L6295" s="147">
        <f ca="1"/>
        <v>51534</v>
      </c>
      <c r="M6295" s="92">
        <f t="shared" ca="1" si="207"/>
        <v>6.25</v>
      </c>
      <c r="N6295" s="143">
        <f ca="1">(PRODUCT($O$5:$O6295)-1)*36000/_xlfn.DAYS(L6295, $C$2)</f>
        <v>12.518262389939649</v>
      </c>
      <c r="O6295" s="149">
        <f t="shared" ca="1" si="208"/>
        <v>1.000173611111111</v>
      </c>
    </row>
    <row r="6296" spans="12:15" x14ac:dyDescent="0.25">
      <c r="L6296" s="147">
        <f ca="1"/>
        <v>51535</v>
      </c>
      <c r="M6296" s="92">
        <f t="shared" ca="1" si="207"/>
        <v>6.25</v>
      </c>
      <c r="N6296" s="143">
        <f ca="1">(PRODUCT($O$5:$O6296)-1)*36000/_xlfn.DAYS(L6296, $C$2)</f>
        <v>12.519439126639277</v>
      </c>
      <c r="O6296" s="149">
        <f t="shared" ca="1" si="208"/>
        <v>1.000173611111111</v>
      </c>
    </row>
    <row r="6297" spans="12:15" x14ac:dyDescent="0.25">
      <c r="L6297" s="147">
        <f ca="1"/>
        <v>51536</v>
      </c>
      <c r="M6297" s="92">
        <f t="shared" ca="1" si="207"/>
        <v>6.25</v>
      </c>
      <c r="N6297" s="143">
        <f ca="1">(PRODUCT($O$5:$O6297)-1)*36000/_xlfn.DAYS(L6297, $C$2)</f>
        <v>12.520616038971744</v>
      </c>
      <c r="O6297" s="149">
        <f t="shared" ca="1" si="208"/>
        <v>1.000173611111111</v>
      </c>
    </row>
    <row r="6298" spans="12:15" x14ac:dyDescent="0.25">
      <c r="L6298" s="147">
        <f ca="1"/>
        <v>51537</v>
      </c>
      <c r="M6298" s="92">
        <f t="shared" ca="1" si="207"/>
        <v>6.25</v>
      </c>
      <c r="N6298" s="143">
        <f ca="1">(PRODUCT($O$5:$O6298)-1)*36000/_xlfn.DAYS(L6298, $C$2)</f>
        <v>12.52179312694874</v>
      </c>
      <c r="O6298" s="149">
        <f t="shared" ca="1" si="208"/>
        <v>1.000173611111111</v>
      </c>
    </row>
    <row r="6299" spans="12:15" x14ac:dyDescent="0.25">
      <c r="L6299" s="147">
        <f ca="1"/>
        <v>51538</v>
      </c>
      <c r="M6299" s="92">
        <f t="shared" ca="1" si="207"/>
        <v>6.25</v>
      </c>
      <c r="N6299" s="143">
        <f ca="1">(PRODUCT($O$5:$O6299)-1)*36000/_xlfn.DAYS(L6299, $C$2)</f>
        <v>12.522970390581962</v>
      </c>
      <c r="O6299" s="149">
        <f t="shared" ca="1" si="208"/>
        <v>1.000173611111111</v>
      </c>
    </row>
    <row r="6300" spans="12:15" x14ac:dyDescent="0.25">
      <c r="L6300" s="147">
        <f ca="1"/>
        <v>51539</v>
      </c>
      <c r="M6300" s="92">
        <f t="shared" ca="1" si="207"/>
        <v>6.25</v>
      </c>
      <c r="N6300" s="143">
        <f ca="1">(PRODUCT($O$5:$O6300)-1)*36000/_xlfn.DAYS(L6300, $C$2)</f>
        <v>12.524147829883118</v>
      </c>
      <c r="O6300" s="149">
        <f t="shared" ca="1" si="208"/>
        <v>1.000173611111111</v>
      </c>
    </row>
    <row r="6301" spans="12:15" x14ac:dyDescent="0.25">
      <c r="L6301" s="147">
        <f ca="1"/>
        <v>51540</v>
      </c>
      <c r="M6301" s="92">
        <f t="shared" ca="1" si="207"/>
        <v>6.25</v>
      </c>
      <c r="N6301" s="143">
        <f ca="1">(PRODUCT($O$5:$O6301)-1)*36000/_xlfn.DAYS(L6301, $C$2)</f>
        <v>12.525325444863929</v>
      </c>
      <c r="O6301" s="149">
        <f t="shared" ca="1" si="208"/>
        <v>1.000173611111111</v>
      </c>
    </row>
    <row r="6302" spans="12:15" x14ac:dyDescent="0.25">
      <c r="L6302" s="147">
        <f ca="1"/>
        <v>51541</v>
      </c>
      <c r="M6302" s="92">
        <f t="shared" ca="1" si="207"/>
        <v>6.25</v>
      </c>
      <c r="N6302" s="143">
        <f ca="1">(PRODUCT($O$5:$O6302)-1)*36000/_xlfn.DAYS(L6302, $C$2)</f>
        <v>12.526503235536119</v>
      </c>
      <c r="O6302" s="149">
        <f t="shared" ca="1" si="208"/>
        <v>1.000173611111111</v>
      </c>
    </row>
    <row r="6303" spans="12:15" x14ac:dyDescent="0.25">
      <c r="L6303" s="147">
        <f ca="1"/>
        <v>51542</v>
      </c>
      <c r="M6303" s="92">
        <f t="shared" ca="1" si="207"/>
        <v>6.25</v>
      </c>
      <c r="N6303" s="143">
        <f ca="1">(PRODUCT($O$5:$O6303)-1)*36000/_xlfn.DAYS(L6303, $C$2)</f>
        <v>12.52768120191142</v>
      </c>
      <c r="O6303" s="149">
        <f t="shared" ca="1" si="208"/>
        <v>1.000173611111111</v>
      </c>
    </row>
    <row r="6304" spans="12:15" x14ac:dyDescent="0.25">
      <c r="L6304" s="147">
        <f ca="1"/>
        <v>51543</v>
      </c>
      <c r="M6304" s="92">
        <f t="shared" ca="1" si="207"/>
        <v>6.25</v>
      </c>
      <c r="N6304" s="143">
        <f ca="1">(PRODUCT($O$5:$O6304)-1)*36000/_xlfn.DAYS(L6304, $C$2)</f>
        <v>12.528859344001582</v>
      </c>
      <c r="O6304" s="149">
        <f t="shared" ca="1" si="208"/>
        <v>1.000173611111111</v>
      </c>
    </row>
    <row r="6305" spans="12:15" x14ac:dyDescent="0.25">
      <c r="L6305" s="147">
        <f ca="1"/>
        <v>51544</v>
      </c>
      <c r="M6305" s="92">
        <f t="shared" ca="1" si="207"/>
        <v>6.25</v>
      </c>
      <c r="N6305" s="143">
        <f ca="1">(PRODUCT($O$5:$O6305)-1)*36000/_xlfn.DAYS(L6305, $C$2)</f>
        <v>12.530037661818355</v>
      </c>
      <c r="O6305" s="149">
        <f t="shared" ca="1" si="208"/>
        <v>1.000173611111111</v>
      </c>
    </row>
    <row r="6306" spans="12:15" x14ac:dyDescent="0.25">
      <c r="L6306" s="147">
        <f ca="1"/>
        <v>51545</v>
      </c>
      <c r="M6306" s="92">
        <f t="shared" ca="1" si="207"/>
        <v>6.25</v>
      </c>
      <c r="N6306" s="143">
        <f ca="1">(PRODUCT($O$5:$O6306)-1)*36000/_xlfn.DAYS(L6306, $C$2)</f>
        <v>12.531216155373503</v>
      </c>
      <c r="O6306" s="149">
        <f t="shared" ca="1" si="208"/>
        <v>1.000173611111111</v>
      </c>
    </row>
    <row r="6307" spans="12:15" x14ac:dyDescent="0.25">
      <c r="L6307" s="147">
        <f ca="1"/>
        <v>51546</v>
      </c>
      <c r="M6307" s="92">
        <f t="shared" ca="1" si="207"/>
        <v>6.25</v>
      </c>
      <c r="N6307" s="143">
        <f ca="1">(PRODUCT($O$5:$O6307)-1)*36000/_xlfn.DAYS(L6307, $C$2)</f>
        <v>12.532394824678798</v>
      </c>
      <c r="O6307" s="149">
        <f t="shared" ca="1" si="208"/>
        <v>1.000173611111111</v>
      </c>
    </row>
    <row r="6308" spans="12:15" x14ac:dyDescent="0.25">
      <c r="L6308" s="147">
        <f ca="1"/>
        <v>51547</v>
      </c>
      <c r="M6308" s="92">
        <f t="shared" ca="1" si="207"/>
        <v>6.25</v>
      </c>
      <c r="N6308" s="143">
        <f ca="1">(PRODUCT($O$5:$O6308)-1)*36000/_xlfn.DAYS(L6308, $C$2)</f>
        <v>12.533573669746023</v>
      </c>
      <c r="O6308" s="149">
        <f t="shared" ca="1" si="208"/>
        <v>1.000173611111111</v>
      </c>
    </row>
    <row r="6309" spans="12:15" x14ac:dyDescent="0.25">
      <c r="L6309" s="147">
        <f ca="1"/>
        <v>51548</v>
      </c>
      <c r="M6309" s="92">
        <f t="shared" ca="1" si="207"/>
        <v>6.25</v>
      </c>
      <c r="N6309" s="143">
        <f ca="1">(PRODUCT($O$5:$O6309)-1)*36000/_xlfn.DAYS(L6309, $C$2)</f>
        <v>12.534752690586963</v>
      </c>
      <c r="O6309" s="149">
        <f t="shared" ca="1" si="208"/>
        <v>1.000173611111111</v>
      </c>
    </row>
    <row r="6310" spans="12:15" x14ac:dyDescent="0.25">
      <c r="L6310" s="147">
        <f ca="1"/>
        <v>51549</v>
      </c>
      <c r="M6310" s="92">
        <f t="shared" ca="1" si="207"/>
        <v>6.25</v>
      </c>
      <c r="N6310" s="143">
        <f ca="1">(PRODUCT($O$5:$O6310)-1)*36000/_xlfn.DAYS(L6310, $C$2)</f>
        <v>12.535931887213421</v>
      </c>
      <c r="O6310" s="149">
        <f t="shared" ca="1" si="208"/>
        <v>1.000173611111111</v>
      </c>
    </row>
    <row r="6311" spans="12:15" x14ac:dyDescent="0.25">
      <c r="L6311" s="147">
        <f ca="1"/>
        <v>51550</v>
      </c>
      <c r="M6311" s="92">
        <f t="shared" ca="1" si="207"/>
        <v>6.25</v>
      </c>
      <c r="N6311" s="143">
        <f ca="1">(PRODUCT($O$5:$O6311)-1)*36000/_xlfn.DAYS(L6311, $C$2)</f>
        <v>12.537111259637202</v>
      </c>
      <c r="O6311" s="149">
        <f t="shared" ca="1" si="208"/>
        <v>1.000173611111111</v>
      </c>
    </row>
    <row r="6312" spans="12:15" x14ac:dyDescent="0.25">
      <c r="L6312" s="147">
        <f ca="1"/>
        <v>51551</v>
      </c>
      <c r="M6312" s="92">
        <f t="shared" ca="1" si="207"/>
        <v>6.25</v>
      </c>
      <c r="N6312" s="143">
        <f ca="1">(PRODUCT($O$5:$O6312)-1)*36000/_xlfn.DAYS(L6312, $C$2)</f>
        <v>12.538290807870128</v>
      </c>
      <c r="O6312" s="149">
        <f t="shared" ca="1" si="208"/>
        <v>1.000173611111111</v>
      </c>
    </row>
    <row r="6313" spans="12:15" x14ac:dyDescent="0.25">
      <c r="L6313" s="147">
        <f ca="1"/>
        <v>51552</v>
      </c>
      <c r="M6313" s="92">
        <f t="shared" ca="1" si="207"/>
        <v>6.25</v>
      </c>
      <c r="N6313" s="143">
        <f ca="1">(PRODUCT($O$5:$O6313)-1)*36000/_xlfn.DAYS(L6313, $C$2)</f>
        <v>12.539470531924021</v>
      </c>
      <c r="O6313" s="149">
        <f t="shared" ca="1" si="208"/>
        <v>1.000173611111111</v>
      </c>
    </row>
    <row r="6314" spans="12:15" x14ac:dyDescent="0.25">
      <c r="L6314" s="147">
        <f ca="1"/>
        <v>51553</v>
      </c>
      <c r="M6314" s="92">
        <f t="shared" ca="1" si="207"/>
        <v>6.25</v>
      </c>
      <c r="N6314" s="143">
        <f ca="1">(PRODUCT($O$5:$O6314)-1)*36000/_xlfn.DAYS(L6314, $C$2)</f>
        <v>12.540650431810718</v>
      </c>
      <c r="O6314" s="149">
        <f t="shared" ca="1" si="208"/>
        <v>1.000173611111111</v>
      </c>
    </row>
    <row r="6315" spans="12:15" x14ac:dyDescent="0.25">
      <c r="L6315" s="147">
        <f ca="1"/>
        <v>51554</v>
      </c>
      <c r="M6315" s="92">
        <f t="shared" ca="1" si="207"/>
        <v>6.25</v>
      </c>
      <c r="N6315" s="143">
        <f ca="1">(PRODUCT($O$5:$O6315)-1)*36000/_xlfn.DAYS(L6315, $C$2)</f>
        <v>12.541830507542066</v>
      </c>
      <c r="O6315" s="149">
        <f t="shared" ca="1" si="208"/>
        <v>1.000173611111111</v>
      </c>
    </row>
    <row r="6316" spans="12:15" x14ac:dyDescent="0.25">
      <c r="L6316" s="147">
        <f ca="1"/>
        <v>51555</v>
      </c>
      <c r="M6316" s="92">
        <f t="shared" ca="1" si="207"/>
        <v>6.25</v>
      </c>
      <c r="N6316" s="143">
        <f ca="1">(PRODUCT($O$5:$O6316)-1)*36000/_xlfn.DAYS(L6316, $C$2)</f>
        <v>12.543010759129915</v>
      </c>
      <c r="O6316" s="149">
        <f t="shared" ca="1" si="208"/>
        <v>1.000173611111111</v>
      </c>
    </row>
    <row r="6317" spans="12:15" x14ac:dyDescent="0.25">
      <c r="L6317" s="147">
        <f ca="1"/>
        <v>51556</v>
      </c>
      <c r="M6317" s="92">
        <f t="shared" ca="1" si="207"/>
        <v>6.25</v>
      </c>
      <c r="N6317" s="143">
        <f ca="1">(PRODUCT($O$5:$O6317)-1)*36000/_xlfn.DAYS(L6317, $C$2)</f>
        <v>12.544191186586129</v>
      </c>
      <c r="O6317" s="149">
        <f t="shared" ca="1" si="208"/>
        <v>1.000173611111111</v>
      </c>
    </row>
    <row r="6318" spans="12:15" x14ac:dyDescent="0.25">
      <c r="L6318" s="147">
        <f ca="1"/>
        <v>51557</v>
      </c>
      <c r="M6318" s="92">
        <f t="shared" ca="1" si="207"/>
        <v>6.25</v>
      </c>
      <c r="N6318" s="143">
        <f ca="1">(PRODUCT($O$5:$O6318)-1)*36000/_xlfn.DAYS(L6318, $C$2)</f>
        <v>12.545371789922578</v>
      </c>
      <c r="O6318" s="149">
        <f t="shared" ca="1" si="208"/>
        <v>1.000173611111111</v>
      </c>
    </row>
    <row r="6319" spans="12:15" x14ac:dyDescent="0.25">
      <c r="L6319" s="147">
        <f ca="1"/>
        <v>51558</v>
      </c>
      <c r="M6319" s="92">
        <f t="shared" ca="1" si="207"/>
        <v>6.25</v>
      </c>
      <c r="N6319" s="143">
        <f ca="1">(PRODUCT($O$5:$O6319)-1)*36000/_xlfn.DAYS(L6319, $C$2)</f>
        <v>12.546552569151144</v>
      </c>
      <c r="O6319" s="149">
        <f t="shared" ca="1" si="208"/>
        <v>1.000173611111111</v>
      </c>
    </row>
    <row r="6320" spans="12:15" x14ac:dyDescent="0.25">
      <c r="L6320" s="147">
        <f ca="1"/>
        <v>51559</v>
      </c>
      <c r="M6320" s="92">
        <f t="shared" ca="1" si="207"/>
        <v>6.25</v>
      </c>
      <c r="N6320" s="143">
        <f ca="1">(PRODUCT($O$5:$O6320)-1)*36000/_xlfn.DAYS(L6320, $C$2)</f>
        <v>12.547733524283716</v>
      </c>
      <c r="O6320" s="149">
        <f t="shared" ca="1" si="208"/>
        <v>1.000173611111111</v>
      </c>
    </row>
    <row r="6321" spans="12:15" x14ac:dyDescent="0.25">
      <c r="L6321" s="147">
        <f ca="1"/>
        <v>51560</v>
      </c>
      <c r="M6321" s="92">
        <f t="shared" ca="1" si="207"/>
        <v>6.25</v>
      </c>
      <c r="N6321" s="143">
        <f ca="1">(PRODUCT($O$5:$O6321)-1)*36000/_xlfn.DAYS(L6321, $C$2)</f>
        <v>12.548914655332196</v>
      </c>
      <c r="O6321" s="149">
        <f t="shared" ca="1" si="208"/>
        <v>1.000173611111111</v>
      </c>
    </row>
    <row r="6322" spans="12:15" x14ac:dyDescent="0.25">
      <c r="L6322" s="147">
        <f ca="1"/>
        <v>51561</v>
      </c>
      <c r="M6322" s="92">
        <f t="shared" ca="1" si="207"/>
        <v>6.25</v>
      </c>
      <c r="N6322" s="143">
        <f ca="1">(PRODUCT($O$5:$O6322)-1)*36000/_xlfn.DAYS(L6322, $C$2)</f>
        <v>12.550095962308484</v>
      </c>
      <c r="O6322" s="149">
        <f t="shared" ca="1" si="208"/>
        <v>1.000173611111111</v>
      </c>
    </row>
    <row r="6323" spans="12:15" x14ac:dyDescent="0.25">
      <c r="L6323" s="147">
        <f ca="1"/>
        <v>51562</v>
      </c>
      <c r="M6323" s="92">
        <f t="shared" ca="1" si="207"/>
        <v>6.25</v>
      </c>
      <c r="N6323" s="143">
        <f ca="1">(PRODUCT($O$5:$O6323)-1)*36000/_xlfn.DAYS(L6323, $C$2)</f>
        <v>12.551277445224505</v>
      </c>
      <c r="O6323" s="149">
        <f t="shared" ca="1" si="208"/>
        <v>1.000173611111111</v>
      </c>
    </row>
    <row r="6324" spans="12:15" x14ac:dyDescent="0.25">
      <c r="L6324" s="147">
        <f ca="1"/>
        <v>51563</v>
      </c>
      <c r="M6324" s="92">
        <f t="shared" ca="1" si="207"/>
        <v>6.25</v>
      </c>
      <c r="N6324" s="143">
        <f ca="1">(PRODUCT($O$5:$O6324)-1)*36000/_xlfn.DAYS(L6324, $C$2)</f>
        <v>12.552459104092183</v>
      </c>
      <c r="O6324" s="149">
        <f t="shared" ca="1" si="208"/>
        <v>1.000173611111111</v>
      </c>
    </row>
    <row r="6325" spans="12:15" x14ac:dyDescent="0.25">
      <c r="L6325" s="147">
        <f ca="1"/>
        <v>51564</v>
      </c>
      <c r="M6325" s="92">
        <f t="shared" ca="1" si="207"/>
        <v>6.25</v>
      </c>
      <c r="N6325" s="143">
        <f ca="1">(PRODUCT($O$5:$O6325)-1)*36000/_xlfn.DAYS(L6325, $C$2)</f>
        <v>12.553640938923451</v>
      </c>
      <c r="O6325" s="149">
        <f t="shared" ca="1" si="208"/>
        <v>1.000173611111111</v>
      </c>
    </row>
    <row r="6326" spans="12:15" x14ac:dyDescent="0.25">
      <c r="L6326" s="147">
        <f ca="1"/>
        <v>51565</v>
      </c>
      <c r="M6326" s="92">
        <f t="shared" ca="1" si="207"/>
        <v>6.25</v>
      </c>
      <c r="N6326" s="143">
        <f ca="1">(PRODUCT($O$5:$O6326)-1)*36000/_xlfn.DAYS(L6326, $C$2)</f>
        <v>12.554822949730253</v>
      </c>
      <c r="O6326" s="149">
        <f t="shared" ca="1" si="208"/>
        <v>1.000173611111111</v>
      </c>
    </row>
    <row r="6327" spans="12:15" x14ac:dyDescent="0.25">
      <c r="L6327" s="147">
        <f ca="1"/>
        <v>51566</v>
      </c>
      <c r="M6327" s="92">
        <f t="shared" ca="1" si="207"/>
        <v>6.25</v>
      </c>
      <c r="N6327" s="143">
        <f ca="1">(PRODUCT($O$5:$O6327)-1)*36000/_xlfn.DAYS(L6327, $C$2)</f>
        <v>12.556005136524544</v>
      </c>
      <c r="O6327" s="149">
        <f t="shared" ca="1" si="208"/>
        <v>1.000173611111111</v>
      </c>
    </row>
    <row r="6328" spans="12:15" x14ac:dyDescent="0.25">
      <c r="L6328" s="147">
        <f ca="1"/>
        <v>51567</v>
      </c>
      <c r="M6328" s="92">
        <f t="shared" ca="1" si="207"/>
        <v>6.25</v>
      </c>
      <c r="N6328" s="143">
        <f ca="1">(PRODUCT($O$5:$O6328)-1)*36000/_xlfn.DAYS(L6328, $C$2)</f>
        <v>12.557187499318282</v>
      </c>
      <c r="O6328" s="149">
        <f t="shared" ca="1" si="208"/>
        <v>1.000173611111111</v>
      </c>
    </row>
    <row r="6329" spans="12:15" x14ac:dyDescent="0.25">
      <c r="L6329" s="147">
        <f ca="1"/>
        <v>51568</v>
      </c>
      <c r="M6329" s="92">
        <f t="shared" ca="1" si="207"/>
        <v>6.25</v>
      </c>
      <c r="N6329" s="143">
        <f ca="1">(PRODUCT($O$5:$O6329)-1)*36000/_xlfn.DAYS(L6329, $C$2)</f>
        <v>12.55837003812344</v>
      </c>
      <c r="O6329" s="149">
        <f t="shared" ca="1" si="208"/>
        <v>1.000173611111111</v>
      </c>
    </row>
    <row r="6330" spans="12:15" x14ac:dyDescent="0.25">
      <c r="L6330" s="147">
        <f ca="1"/>
        <v>51569</v>
      </c>
      <c r="M6330" s="92">
        <f t="shared" ca="1" si="207"/>
        <v>6.25</v>
      </c>
      <c r="N6330" s="143">
        <f ca="1">(PRODUCT($O$5:$O6330)-1)*36000/_xlfn.DAYS(L6330, $C$2)</f>
        <v>12.559552752952001</v>
      </c>
      <c r="O6330" s="149">
        <f t="shared" ca="1" si="208"/>
        <v>1.000173611111111</v>
      </c>
    </row>
    <row r="6331" spans="12:15" x14ac:dyDescent="0.25">
      <c r="L6331" s="147">
        <f ca="1"/>
        <v>51570</v>
      </c>
      <c r="M6331" s="92">
        <f t="shared" ca="1" si="207"/>
        <v>6.25</v>
      </c>
      <c r="N6331" s="143">
        <f ca="1">(PRODUCT($O$5:$O6331)-1)*36000/_xlfn.DAYS(L6331, $C$2)</f>
        <v>12.560735643815949</v>
      </c>
      <c r="O6331" s="149">
        <f t="shared" ca="1" si="208"/>
        <v>1.000173611111111</v>
      </c>
    </row>
    <row r="6332" spans="12:15" x14ac:dyDescent="0.25">
      <c r="L6332" s="147">
        <f ca="1"/>
        <v>51571</v>
      </c>
      <c r="M6332" s="92">
        <f t="shared" ca="1" si="207"/>
        <v>6.25</v>
      </c>
      <c r="N6332" s="143">
        <f ca="1">(PRODUCT($O$5:$O6332)-1)*36000/_xlfn.DAYS(L6332, $C$2)</f>
        <v>12.561918710727284</v>
      </c>
      <c r="O6332" s="149">
        <f t="shared" ca="1" si="208"/>
        <v>1.000173611111111</v>
      </c>
    </row>
    <row r="6333" spans="12:15" x14ac:dyDescent="0.25">
      <c r="L6333" s="147">
        <f ca="1"/>
        <v>51572</v>
      </c>
      <c r="M6333" s="92">
        <f t="shared" ca="1" si="207"/>
        <v>6.25</v>
      </c>
      <c r="N6333" s="143">
        <f ca="1">(PRODUCT($O$5:$O6333)-1)*36000/_xlfn.DAYS(L6333, $C$2)</f>
        <v>12.563101953698013</v>
      </c>
      <c r="O6333" s="149">
        <f t="shared" ca="1" si="208"/>
        <v>1.000173611111111</v>
      </c>
    </row>
    <row r="6334" spans="12:15" x14ac:dyDescent="0.25">
      <c r="L6334" s="147">
        <f ca="1"/>
        <v>51573</v>
      </c>
      <c r="M6334" s="92">
        <f t="shared" ca="1" si="207"/>
        <v>6.25</v>
      </c>
      <c r="N6334" s="143">
        <f ca="1">(PRODUCT($O$5:$O6334)-1)*36000/_xlfn.DAYS(L6334, $C$2)</f>
        <v>12.56428537274015</v>
      </c>
      <c r="O6334" s="149">
        <f t="shared" ca="1" si="208"/>
        <v>1.000173611111111</v>
      </c>
    </row>
    <row r="6335" spans="12:15" x14ac:dyDescent="0.25">
      <c r="L6335" s="147">
        <f ca="1"/>
        <v>51574</v>
      </c>
      <c r="M6335" s="92">
        <f t="shared" ca="1" si="207"/>
        <v>6.25</v>
      </c>
      <c r="N6335" s="143">
        <f ca="1">(PRODUCT($O$5:$O6335)-1)*36000/_xlfn.DAYS(L6335, $C$2)</f>
        <v>12.565468967865725</v>
      </c>
      <c r="O6335" s="149">
        <f t="shared" ca="1" si="208"/>
        <v>1.000173611111111</v>
      </c>
    </row>
    <row r="6336" spans="12:15" x14ac:dyDescent="0.25">
      <c r="L6336" s="147">
        <f ca="1"/>
        <v>51575</v>
      </c>
      <c r="M6336" s="92">
        <f t="shared" ca="1" si="207"/>
        <v>6.25</v>
      </c>
      <c r="N6336" s="143">
        <f ca="1">(PRODUCT($O$5:$O6336)-1)*36000/_xlfn.DAYS(L6336, $C$2)</f>
        <v>12.566652739086765</v>
      </c>
      <c r="O6336" s="149">
        <f t="shared" ca="1" si="208"/>
        <v>1.000173611111111</v>
      </c>
    </row>
    <row r="6337" spans="12:15" x14ac:dyDescent="0.25">
      <c r="L6337" s="147">
        <f ca="1"/>
        <v>51576</v>
      </c>
      <c r="M6337" s="92">
        <f t="shared" ca="1" si="207"/>
        <v>6.25</v>
      </c>
      <c r="N6337" s="143">
        <f ca="1">(PRODUCT($O$5:$O6337)-1)*36000/_xlfn.DAYS(L6337, $C$2)</f>
        <v>12.567836686415315</v>
      </c>
      <c r="O6337" s="149">
        <f t="shared" ca="1" si="208"/>
        <v>1.000173611111111</v>
      </c>
    </row>
    <row r="6338" spans="12:15" x14ac:dyDescent="0.25">
      <c r="L6338" s="147">
        <f ca="1"/>
        <v>51577</v>
      </c>
      <c r="M6338" s="92">
        <f t="shared" ca="1" si="207"/>
        <v>6.25</v>
      </c>
      <c r="N6338" s="143">
        <f ca="1">(PRODUCT($O$5:$O6338)-1)*36000/_xlfn.DAYS(L6338, $C$2)</f>
        <v>12.569020809863432</v>
      </c>
      <c r="O6338" s="149">
        <f t="shared" ca="1" si="208"/>
        <v>1.000173611111111</v>
      </c>
    </row>
    <row r="6339" spans="12:15" x14ac:dyDescent="0.25">
      <c r="L6339" s="147">
        <f ca="1"/>
        <v>51578</v>
      </c>
      <c r="M6339" s="92">
        <f t="shared" ca="1" si="207"/>
        <v>6.25</v>
      </c>
      <c r="N6339" s="143">
        <f ca="1">(PRODUCT($O$5:$O6339)-1)*36000/_xlfn.DAYS(L6339, $C$2)</f>
        <v>12.570205109443169</v>
      </c>
      <c r="O6339" s="149">
        <f t="shared" ca="1" si="208"/>
        <v>1.000173611111111</v>
      </c>
    </row>
    <row r="6340" spans="12:15" x14ac:dyDescent="0.25">
      <c r="L6340" s="147">
        <f ca="1"/>
        <v>51579</v>
      </c>
      <c r="M6340" s="92">
        <f t="shared" ca="1" si="207"/>
        <v>6.25</v>
      </c>
      <c r="N6340" s="143">
        <f ca="1">(PRODUCT($O$5:$O6340)-1)*36000/_xlfn.DAYS(L6340, $C$2)</f>
        <v>12.571389585166601</v>
      </c>
      <c r="O6340" s="149">
        <f t="shared" ca="1" si="208"/>
        <v>1.000173611111111</v>
      </c>
    </row>
    <row r="6341" spans="12:15" x14ac:dyDescent="0.25">
      <c r="L6341" s="147">
        <f ca="1"/>
        <v>51580</v>
      </c>
      <c r="M6341" s="92">
        <f t="shared" ref="M6341:M6404" ca="1" si="209">IFERROR(INDEX($E$27:$H$47, MATCH(L6341, $F$27:$F$47, 0), 4), IF(ISNUMBER(M6340), M6340, $C$5))</f>
        <v>6.25</v>
      </c>
      <c r="N6341" s="143">
        <f ca="1">(PRODUCT($O$5:$O6341)-1)*36000/_xlfn.DAYS(L6341, $C$2)</f>
        <v>12.572574237045803</v>
      </c>
      <c r="O6341" s="149">
        <f t="shared" ca="1" si="208"/>
        <v>1.000173611111111</v>
      </c>
    </row>
    <row r="6342" spans="12:15" x14ac:dyDescent="0.25">
      <c r="L6342" s="147">
        <f ca="1"/>
        <v>51581</v>
      </c>
      <c r="M6342" s="92">
        <f t="shared" ca="1" si="209"/>
        <v>6.25</v>
      </c>
      <c r="N6342" s="143">
        <f ca="1">(PRODUCT($O$5:$O6342)-1)*36000/_xlfn.DAYS(L6342, $C$2)</f>
        <v>12.573759065092865</v>
      </c>
      <c r="O6342" s="149">
        <f t="shared" ref="O6342:O6405" ca="1" si="210">1+M6342*IFERROR(_xlfn.DAYS(L6342, L6341), _xlfn.DAYS(L6342, $C$2))/36000</f>
        <v>1.000173611111111</v>
      </c>
    </row>
    <row r="6343" spans="12:15" x14ac:dyDescent="0.25">
      <c r="L6343" s="147">
        <f ca="1"/>
        <v>51582</v>
      </c>
      <c r="M6343" s="92">
        <f t="shared" ca="1" si="209"/>
        <v>6.25</v>
      </c>
      <c r="N6343" s="143">
        <f ca="1">(PRODUCT($O$5:$O6343)-1)*36000/_xlfn.DAYS(L6343, $C$2)</f>
        <v>12.574944069319882</v>
      </c>
      <c r="O6343" s="149">
        <f t="shared" ca="1" si="210"/>
        <v>1.000173611111111</v>
      </c>
    </row>
    <row r="6344" spans="12:15" x14ac:dyDescent="0.25">
      <c r="L6344" s="147">
        <f ca="1"/>
        <v>51583</v>
      </c>
      <c r="M6344" s="92">
        <f t="shared" ca="1" si="209"/>
        <v>6.25</v>
      </c>
      <c r="N6344" s="143">
        <f ca="1">(PRODUCT($O$5:$O6344)-1)*36000/_xlfn.DAYS(L6344, $C$2)</f>
        <v>12.57612924973896</v>
      </c>
      <c r="O6344" s="149">
        <f t="shared" ca="1" si="210"/>
        <v>1.000173611111111</v>
      </c>
    </row>
    <row r="6345" spans="12:15" x14ac:dyDescent="0.25">
      <c r="L6345" s="147">
        <f ca="1"/>
        <v>51584</v>
      </c>
      <c r="M6345" s="92">
        <f t="shared" ca="1" si="209"/>
        <v>6.25</v>
      </c>
      <c r="N6345" s="143">
        <f ca="1">(PRODUCT($O$5:$O6345)-1)*36000/_xlfn.DAYS(L6345, $C$2)</f>
        <v>12.577314606362213</v>
      </c>
      <c r="O6345" s="149">
        <f t="shared" ca="1" si="210"/>
        <v>1.000173611111111</v>
      </c>
    </row>
    <row r="6346" spans="12:15" x14ac:dyDescent="0.25">
      <c r="L6346" s="147">
        <f ca="1"/>
        <v>51585</v>
      </c>
      <c r="M6346" s="92">
        <f t="shared" ca="1" si="209"/>
        <v>6.25</v>
      </c>
      <c r="N6346" s="143">
        <f ca="1">(PRODUCT($O$5:$O6346)-1)*36000/_xlfn.DAYS(L6346, $C$2)</f>
        <v>12.578500139201767</v>
      </c>
      <c r="O6346" s="149">
        <f t="shared" ca="1" si="210"/>
        <v>1.000173611111111</v>
      </c>
    </row>
    <row r="6347" spans="12:15" x14ac:dyDescent="0.25">
      <c r="L6347" s="147">
        <f ca="1"/>
        <v>51586</v>
      </c>
      <c r="M6347" s="92">
        <f t="shared" ca="1" si="209"/>
        <v>6.25</v>
      </c>
      <c r="N6347" s="143">
        <f ca="1">(PRODUCT($O$5:$O6347)-1)*36000/_xlfn.DAYS(L6347, $C$2)</f>
        <v>12.579685848269749</v>
      </c>
      <c r="O6347" s="149">
        <f t="shared" ca="1" si="210"/>
        <v>1.000173611111111</v>
      </c>
    </row>
    <row r="6348" spans="12:15" x14ac:dyDescent="0.25">
      <c r="L6348" s="147">
        <f ca="1"/>
        <v>51587</v>
      </c>
      <c r="M6348" s="92">
        <f t="shared" ca="1" si="209"/>
        <v>6.25</v>
      </c>
      <c r="N6348" s="143">
        <f ca="1">(PRODUCT($O$5:$O6348)-1)*36000/_xlfn.DAYS(L6348, $C$2)</f>
        <v>12.580871733578306</v>
      </c>
      <c r="O6348" s="149">
        <f t="shared" ca="1" si="210"/>
        <v>1.000173611111111</v>
      </c>
    </row>
    <row r="6349" spans="12:15" x14ac:dyDescent="0.25">
      <c r="L6349" s="147">
        <f ca="1"/>
        <v>51588</v>
      </c>
      <c r="M6349" s="92">
        <f t="shared" ca="1" si="209"/>
        <v>6.25</v>
      </c>
      <c r="N6349" s="143">
        <f ca="1">(PRODUCT($O$5:$O6349)-1)*36000/_xlfn.DAYS(L6349, $C$2)</f>
        <v>12.582057795139585</v>
      </c>
      <c r="O6349" s="149">
        <f t="shared" ca="1" si="210"/>
        <v>1.000173611111111</v>
      </c>
    </row>
    <row r="6350" spans="12:15" x14ac:dyDescent="0.25">
      <c r="L6350" s="147">
        <f ca="1"/>
        <v>51589</v>
      </c>
      <c r="M6350" s="92">
        <f t="shared" ca="1" si="209"/>
        <v>6.25</v>
      </c>
      <c r="N6350" s="143">
        <f ca="1">(PRODUCT($O$5:$O6350)-1)*36000/_xlfn.DAYS(L6350, $C$2)</f>
        <v>12.583244032965744</v>
      </c>
      <c r="O6350" s="149">
        <f t="shared" ca="1" si="210"/>
        <v>1.000173611111111</v>
      </c>
    </row>
    <row r="6351" spans="12:15" x14ac:dyDescent="0.25">
      <c r="L6351" s="147">
        <f ca="1"/>
        <v>51590</v>
      </c>
      <c r="M6351" s="92">
        <f t="shared" ca="1" si="209"/>
        <v>6.25</v>
      </c>
      <c r="N6351" s="143">
        <f ca="1">(PRODUCT($O$5:$O6351)-1)*36000/_xlfn.DAYS(L6351, $C$2)</f>
        <v>12.584430447068955</v>
      </c>
      <c r="O6351" s="149">
        <f t="shared" ca="1" si="210"/>
        <v>1.000173611111111</v>
      </c>
    </row>
    <row r="6352" spans="12:15" x14ac:dyDescent="0.25">
      <c r="L6352" s="147">
        <f ca="1"/>
        <v>51591</v>
      </c>
      <c r="M6352" s="92">
        <f t="shared" ca="1" si="209"/>
        <v>6.25</v>
      </c>
      <c r="N6352" s="143">
        <f ca="1">(PRODUCT($O$5:$O6352)-1)*36000/_xlfn.DAYS(L6352, $C$2)</f>
        <v>12.585617037461388</v>
      </c>
      <c r="O6352" s="149">
        <f t="shared" ca="1" si="210"/>
        <v>1.000173611111111</v>
      </c>
    </row>
    <row r="6353" spans="12:15" x14ac:dyDescent="0.25">
      <c r="L6353" s="147">
        <f ca="1"/>
        <v>51592</v>
      </c>
      <c r="M6353" s="92">
        <f t="shared" ca="1" si="209"/>
        <v>6.25</v>
      </c>
      <c r="N6353" s="143">
        <f ca="1">(PRODUCT($O$5:$O6353)-1)*36000/_xlfn.DAYS(L6353, $C$2)</f>
        <v>12.586803804155236</v>
      </c>
      <c r="O6353" s="149">
        <f t="shared" ca="1" si="210"/>
        <v>1.000173611111111</v>
      </c>
    </row>
    <row r="6354" spans="12:15" x14ac:dyDescent="0.25">
      <c r="L6354" s="147">
        <f ca="1"/>
        <v>51593</v>
      </c>
      <c r="M6354" s="92">
        <f t="shared" ca="1" si="209"/>
        <v>6.25</v>
      </c>
      <c r="N6354" s="143">
        <f ca="1">(PRODUCT($O$5:$O6354)-1)*36000/_xlfn.DAYS(L6354, $C$2)</f>
        <v>12.587990747162689</v>
      </c>
      <c r="O6354" s="149">
        <f t="shared" ca="1" si="210"/>
        <v>1.000173611111111</v>
      </c>
    </row>
    <row r="6355" spans="12:15" x14ac:dyDescent="0.25">
      <c r="L6355" s="147">
        <f ca="1"/>
        <v>51594</v>
      </c>
      <c r="M6355" s="92">
        <f t="shared" ca="1" si="209"/>
        <v>6.25</v>
      </c>
      <c r="N6355" s="143">
        <f ca="1">(PRODUCT($O$5:$O6355)-1)*36000/_xlfn.DAYS(L6355, $C$2)</f>
        <v>12.589177866495952</v>
      </c>
      <c r="O6355" s="149">
        <f t="shared" ca="1" si="210"/>
        <v>1.000173611111111</v>
      </c>
    </row>
    <row r="6356" spans="12:15" x14ac:dyDescent="0.25">
      <c r="L6356" s="147">
        <f ca="1"/>
        <v>51595</v>
      </c>
      <c r="M6356" s="92">
        <f t="shared" ca="1" si="209"/>
        <v>6.25</v>
      </c>
      <c r="N6356" s="143">
        <f ca="1">(PRODUCT($O$5:$O6356)-1)*36000/_xlfn.DAYS(L6356, $C$2)</f>
        <v>12.590365162167236</v>
      </c>
      <c r="O6356" s="149">
        <f t="shared" ca="1" si="210"/>
        <v>1.000173611111111</v>
      </c>
    </row>
    <row r="6357" spans="12:15" x14ac:dyDescent="0.25">
      <c r="L6357" s="147">
        <f ca="1"/>
        <v>51596</v>
      </c>
      <c r="M6357" s="92">
        <f t="shared" ca="1" si="209"/>
        <v>6.25</v>
      </c>
      <c r="N6357" s="143">
        <f ca="1">(PRODUCT($O$5:$O6357)-1)*36000/_xlfn.DAYS(L6357, $C$2)</f>
        <v>12.591552634188766</v>
      </c>
      <c r="O6357" s="149">
        <f t="shared" ca="1" si="210"/>
        <v>1.000173611111111</v>
      </c>
    </row>
    <row r="6358" spans="12:15" x14ac:dyDescent="0.25">
      <c r="L6358" s="147">
        <f ca="1"/>
        <v>51597</v>
      </c>
      <c r="M6358" s="92">
        <f t="shared" ca="1" si="209"/>
        <v>6.25</v>
      </c>
      <c r="N6358" s="143">
        <f ca="1">(PRODUCT($O$5:$O6358)-1)*36000/_xlfn.DAYS(L6358, $C$2)</f>
        <v>12.592740282572766</v>
      </c>
      <c r="O6358" s="149">
        <f t="shared" ca="1" si="210"/>
        <v>1.000173611111111</v>
      </c>
    </row>
    <row r="6359" spans="12:15" x14ac:dyDescent="0.25">
      <c r="L6359" s="147">
        <f ca="1"/>
        <v>51598</v>
      </c>
      <c r="M6359" s="92">
        <f t="shared" ca="1" si="209"/>
        <v>6.25</v>
      </c>
      <c r="N6359" s="143">
        <f ca="1">(PRODUCT($O$5:$O6359)-1)*36000/_xlfn.DAYS(L6359, $C$2)</f>
        <v>12.593928107331481</v>
      </c>
      <c r="O6359" s="149">
        <f t="shared" ca="1" si="210"/>
        <v>1.000173611111111</v>
      </c>
    </row>
    <row r="6360" spans="12:15" x14ac:dyDescent="0.25">
      <c r="L6360" s="147">
        <f ca="1"/>
        <v>51599</v>
      </c>
      <c r="M6360" s="92">
        <f t="shared" ca="1" si="209"/>
        <v>6.25</v>
      </c>
      <c r="N6360" s="143">
        <f ca="1">(PRODUCT($O$5:$O6360)-1)*36000/_xlfn.DAYS(L6360, $C$2)</f>
        <v>12.595116108477155</v>
      </c>
      <c r="O6360" s="149">
        <f t="shared" ca="1" si="210"/>
        <v>1.000173611111111</v>
      </c>
    </row>
    <row r="6361" spans="12:15" x14ac:dyDescent="0.25">
      <c r="L6361" s="147">
        <f ca="1"/>
        <v>51600</v>
      </c>
      <c r="M6361" s="92">
        <f t="shared" ca="1" si="209"/>
        <v>6.25</v>
      </c>
      <c r="N6361" s="143">
        <f ca="1">(PRODUCT($O$5:$O6361)-1)*36000/_xlfn.DAYS(L6361, $C$2)</f>
        <v>12.596304286022049</v>
      </c>
      <c r="O6361" s="149">
        <f t="shared" ca="1" si="210"/>
        <v>1.000173611111111</v>
      </c>
    </row>
    <row r="6362" spans="12:15" x14ac:dyDescent="0.25">
      <c r="L6362" s="147">
        <f ca="1"/>
        <v>51601</v>
      </c>
      <c r="M6362" s="92">
        <f t="shared" ca="1" si="209"/>
        <v>6.25</v>
      </c>
      <c r="N6362" s="143">
        <f ca="1">(PRODUCT($O$5:$O6362)-1)*36000/_xlfn.DAYS(L6362, $C$2)</f>
        <v>12.597492639978425</v>
      </c>
      <c r="O6362" s="149">
        <f t="shared" ca="1" si="210"/>
        <v>1.000173611111111</v>
      </c>
    </row>
    <row r="6363" spans="12:15" x14ac:dyDescent="0.25">
      <c r="L6363" s="147">
        <f ca="1"/>
        <v>51602</v>
      </c>
      <c r="M6363" s="92">
        <f t="shared" ca="1" si="209"/>
        <v>6.25</v>
      </c>
      <c r="N6363" s="143">
        <f ca="1">(PRODUCT($O$5:$O6363)-1)*36000/_xlfn.DAYS(L6363, $C$2)</f>
        <v>12.598681170358557</v>
      </c>
      <c r="O6363" s="149">
        <f t="shared" ca="1" si="210"/>
        <v>1.000173611111111</v>
      </c>
    </row>
    <row r="6364" spans="12:15" x14ac:dyDescent="0.25">
      <c r="L6364" s="147">
        <f ca="1"/>
        <v>51603</v>
      </c>
      <c r="M6364" s="92">
        <f t="shared" ca="1" si="209"/>
        <v>6.25</v>
      </c>
      <c r="N6364" s="143">
        <f ca="1">(PRODUCT($O$5:$O6364)-1)*36000/_xlfn.DAYS(L6364, $C$2)</f>
        <v>12.599869877174729</v>
      </c>
      <c r="O6364" s="149">
        <f t="shared" ca="1" si="210"/>
        <v>1.000173611111111</v>
      </c>
    </row>
    <row r="6365" spans="12:15" x14ac:dyDescent="0.25">
      <c r="L6365" s="147">
        <f ca="1"/>
        <v>51604</v>
      </c>
      <c r="M6365" s="92">
        <f t="shared" ca="1" si="209"/>
        <v>6.25</v>
      </c>
      <c r="N6365" s="143">
        <f ca="1">(PRODUCT($O$5:$O6365)-1)*36000/_xlfn.DAYS(L6365, $C$2)</f>
        <v>12.601058760439239</v>
      </c>
      <c r="O6365" s="149">
        <f t="shared" ca="1" si="210"/>
        <v>1.000173611111111</v>
      </c>
    </row>
    <row r="6366" spans="12:15" x14ac:dyDescent="0.25">
      <c r="L6366" s="147">
        <f ca="1"/>
        <v>51605</v>
      </c>
      <c r="M6366" s="92">
        <f t="shared" ca="1" si="209"/>
        <v>6.25</v>
      </c>
      <c r="N6366" s="143">
        <f ca="1">(PRODUCT($O$5:$O6366)-1)*36000/_xlfn.DAYS(L6366, $C$2)</f>
        <v>12.602247820164381</v>
      </c>
      <c r="O6366" s="149">
        <f t="shared" ca="1" si="210"/>
        <v>1.000173611111111</v>
      </c>
    </row>
    <row r="6367" spans="12:15" x14ac:dyDescent="0.25">
      <c r="L6367" s="147">
        <f ca="1"/>
        <v>51606</v>
      </c>
      <c r="M6367" s="92">
        <f t="shared" ca="1" si="209"/>
        <v>6.25</v>
      </c>
      <c r="N6367" s="143">
        <f ca="1">(PRODUCT($O$5:$O6367)-1)*36000/_xlfn.DAYS(L6367, $C$2)</f>
        <v>12.603437056362464</v>
      </c>
      <c r="O6367" s="149">
        <f t="shared" ca="1" si="210"/>
        <v>1.000173611111111</v>
      </c>
    </row>
    <row r="6368" spans="12:15" x14ac:dyDescent="0.25">
      <c r="L6368" s="147">
        <f ca="1"/>
        <v>51607</v>
      </c>
      <c r="M6368" s="92">
        <f t="shared" ca="1" si="209"/>
        <v>6.25</v>
      </c>
      <c r="N6368" s="143">
        <f ca="1">(PRODUCT($O$5:$O6368)-1)*36000/_xlfn.DAYS(L6368, $C$2)</f>
        <v>12.604626469045812</v>
      </c>
      <c r="O6368" s="149">
        <f t="shared" ca="1" si="210"/>
        <v>1.000173611111111</v>
      </c>
    </row>
    <row r="6369" spans="12:15" x14ac:dyDescent="0.25">
      <c r="L6369" s="147">
        <f ca="1"/>
        <v>51608</v>
      </c>
      <c r="M6369" s="92">
        <f t="shared" ca="1" si="209"/>
        <v>6.25</v>
      </c>
      <c r="N6369" s="143">
        <f ca="1">(PRODUCT($O$5:$O6369)-1)*36000/_xlfn.DAYS(L6369, $C$2)</f>
        <v>12.605816058226752</v>
      </c>
      <c r="O6369" s="149">
        <f t="shared" ca="1" si="210"/>
        <v>1.000173611111111</v>
      </c>
    </row>
    <row r="6370" spans="12:15" x14ac:dyDescent="0.25">
      <c r="L6370" s="147">
        <f ca="1"/>
        <v>51609</v>
      </c>
      <c r="M6370" s="92">
        <f t="shared" ca="1" si="209"/>
        <v>6.25</v>
      </c>
      <c r="N6370" s="143">
        <f ca="1">(PRODUCT($O$5:$O6370)-1)*36000/_xlfn.DAYS(L6370, $C$2)</f>
        <v>12.607005823917618</v>
      </c>
      <c r="O6370" s="149">
        <f t="shared" ca="1" si="210"/>
        <v>1.000173611111111</v>
      </c>
    </row>
    <row r="6371" spans="12:15" x14ac:dyDescent="0.25">
      <c r="L6371" s="147">
        <f ca="1"/>
        <v>51610</v>
      </c>
      <c r="M6371" s="92">
        <f t="shared" ca="1" si="209"/>
        <v>6.25</v>
      </c>
      <c r="N6371" s="143">
        <f ca="1">(PRODUCT($O$5:$O6371)-1)*36000/_xlfn.DAYS(L6371, $C$2)</f>
        <v>12.608195766130756</v>
      </c>
      <c r="O6371" s="149">
        <f t="shared" ca="1" si="210"/>
        <v>1.000173611111111</v>
      </c>
    </row>
    <row r="6372" spans="12:15" x14ac:dyDescent="0.25">
      <c r="L6372" s="147">
        <f ca="1"/>
        <v>51611</v>
      </c>
      <c r="M6372" s="92">
        <f t="shared" ca="1" si="209"/>
        <v>6.25</v>
      </c>
      <c r="N6372" s="143">
        <f ca="1">(PRODUCT($O$5:$O6372)-1)*36000/_xlfn.DAYS(L6372, $C$2)</f>
        <v>12.609385884878522</v>
      </c>
      <c r="O6372" s="149">
        <f t="shared" ca="1" si="210"/>
        <v>1.000173611111111</v>
      </c>
    </row>
    <row r="6373" spans="12:15" x14ac:dyDescent="0.25">
      <c r="L6373" s="147">
        <f ca="1"/>
        <v>51612</v>
      </c>
      <c r="M6373" s="92">
        <f t="shared" ca="1" si="209"/>
        <v>6.25</v>
      </c>
      <c r="N6373" s="143">
        <f ca="1">(PRODUCT($O$5:$O6373)-1)*36000/_xlfn.DAYS(L6373, $C$2)</f>
        <v>12.610576180173275</v>
      </c>
      <c r="O6373" s="149">
        <f t="shared" ca="1" si="210"/>
        <v>1.000173611111111</v>
      </c>
    </row>
    <row r="6374" spans="12:15" x14ac:dyDescent="0.25">
      <c r="L6374" s="147">
        <f ca="1"/>
        <v>51613</v>
      </c>
      <c r="M6374" s="92">
        <f t="shared" ca="1" si="209"/>
        <v>6.25</v>
      </c>
      <c r="N6374" s="143">
        <f ca="1">(PRODUCT($O$5:$O6374)-1)*36000/_xlfn.DAYS(L6374, $C$2)</f>
        <v>12.61176665202739</v>
      </c>
      <c r="O6374" s="149">
        <f t="shared" ca="1" si="210"/>
        <v>1.000173611111111</v>
      </c>
    </row>
    <row r="6375" spans="12:15" x14ac:dyDescent="0.25">
      <c r="L6375" s="147">
        <f ca="1"/>
        <v>51614</v>
      </c>
      <c r="M6375" s="92">
        <f t="shared" ca="1" si="209"/>
        <v>6.25</v>
      </c>
      <c r="N6375" s="143">
        <f ca="1">(PRODUCT($O$5:$O6375)-1)*36000/_xlfn.DAYS(L6375, $C$2)</f>
        <v>12.612957300453244</v>
      </c>
      <c r="O6375" s="149">
        <f t="shared" ca="1" si="210"/>
        <v>1.000173611111111</v>
      </c>
    </row>
    <row r="6376" spans="12:15" x14ac:dyDescent="0.25">
      <c r="L6376" s="147">
        <f ca="1"/>
        <v>51615</v>
      </c>
      <c r="M6376" s="92">
        <f t="shared" ca="1" si="209"/>
        <v>6.25</v>
      </c>
      <c r="N6376" s="143">
        <f ca="1">(PRODUCT($O$5:$O6376)-1)*36000/_xlfn.DAYS(L6376, $C$2)</f>
        <v>12.614148125463231</v>
      </c>
      <c r="O6376" s="149">
        <f t="shared" ca="1" si="210"/>
        <v>1.000173611111111</v>
      </c>
    </row>
    <row r="6377" spans="12:15" x14ac:dyDescent="0.25">
      <c r="L6377" s="147">
        <f ca="1"/>
        <v>51616</v>
      </c>
      <c r="M6377" s="92">
        <f t="shared" ca="1" si="209"/>
        <v>6.25</v>
      </c>
      <c r="N6377" s="143">
        <f ca="1">(PRODUCT($O$5:$O6377)-1)*36000/_xlfn.DAYS(L6377, $C$2)</f>
        <v>12.615339127069747</v>
      </c>
      <c r="O6377" s="149">
        <f t="shared" ca="1" si="210"/>
        <v>1.000173611111111</v>
      </c>
    </row>
    <row r="6378" spans="12:15" x14ac:dyDescent="0.25">
      <c r="L6378" s="147">
        <f ca="1"/>
        <v>51617</v>
      </c>
      <c r="M6378" s="92">
        <f t="shared" ca="1" si="209"/>
        <v>6.25</v>
      </c>
      <c r="N6378" s="143">
        <f ca="1">(PRODUCT($O$5:$O6378)-1)*36000/_xlfn.DAYS(L6378, $C$2)</f>
        <v>12.616530305285201</v>
      </c>
      <c r="O6378" s="149">
        <f t="shared" ca="1" si="210"/>
        <v>1.000173611111111</v>
      </c>
    </row>
    <row r="6379" spans="12:15" x14ac:dyDescent="0.25">
      <c r="L6379" s="147">
        <f ca="1"/>
        <v>51618</v>
      </c>
      <c r="M6379" s="92">
        <f t="shared" ca="1" si="209"/>
        <v>6.25</v>
      </c>
      <c r="N6379" s="143">
        <f ca="1">(PRODUCT($O$5:$O6379)-1)*36000/_xlfn.DAYS(L6379, $C$2)</f>
        <v>12.617721660122005</v>
      </c>
      <c r="O6379" s="149">
        <f t="shared" ca="1" si="210"/>
        <v>1.000173611111111</v>
      </c>
    </row>
    <row r="6380" spans="12:15" x14ac:dyDescent="0.25">
      <c r="L6380" s="147">
        <f ca="1"/>
        <v>51619</v>
      </c>
      <c r="M6380" s="92">
        <f t="shared" ca="1" si="209"/>
        <v>6.25</v>
      </c>
      <c r="N6380" s="143">
        <f ca="1">(PRODUCT($O$5:$O6380)-1)*36000/_xlfn.DAYS(L6380, $C$2)</f>
        <v>12.618913191592583</v>
      </c>
      <c r="O6380" s="149">
        <f t="shared" ca="1" si="210"/>
        <v>1.000173611111111</v>
      </c>
    </row>
    <row r="6381" spans="12:15" x14ac:dyDescent="0.25">
      <c r="L6381" s="147">
        <f ca="1"/>
        <v>51620</v>
      </c>
      <c r="M6381" s="92">
        <f t="shared" ca="1" si="209"/>
        <v>6.25</v>
      </c>
      <c r="N6381" s="143">
        <f ca="1">(PRODUCT($O$5:$O6381)-1)*36000/_xlfn.DAYS(L6381, $C$2)</f>
        <v>12.620104899709371</v>
      </c>
      <c r="O6381" s="149">
        <f t="shared" ca="1" si="210"/>
        <v>1.000173611111111</v>
      </c>
    </row>
    <row r="6382" spans="12:15" x14ac:dyDescent="0.25">
      <c r="L6382" s="147">
        <f ca="1"/>
        <v>51621</v>
      </c>
      <c r="M6382" s="92">
        <f t="shared" ca="1" si="209"/>
        <v>6.25</v>
      </c>
      <c r="N6382" s="143">
        <f ca="1">(PRODUCT($O$5:$O6382)-1)*36000/_xlfn.DAYS(L6382, $C$2)</f>
        <v>12.621296784484811</v>
      </c>
      <c r="O6382" s="149">
        <f t="shared" ca="1" si="210"/>
        <v>1.000173611111111</v>
      </c>
    </row>
    <row r="6383" spans="12:15" x14ac:dyDescent="0.25">
      <c r="L6383" s="147">
        <f ca="1"/>
        <v>51622</v>
      </c>
      <c r="M6383" s="92">
        <f t="shared" ca="1" si="209"/>
        <v>6.25</v>
      </c>
      <c r="N6383" s="143">
        <f ca="1">(PRODUCT($O$5:$O6383)-1)*36000/_xlfn.DAYS(L6383, $C$2)</f>
        <v>12.62248884593135</v>
      </c>
      <c r="O6383" s="149">
        <f t="shared" ca="1" si="210"/>
        <v>1.000173611111111</v>
      </c>
    </row>
    <row r="6384" spans="12:15" x14ac:dyDescent="0.25">
      <c r="L6384" s="147">
        <f ca="1"/>
        <v>51623</v>
      </c>
      <c r="M6384" s="92">
        <f t="shared" ca="1" si="209"/>
        <v>6.25</v>
      </c>
      <c r="N6384" s="143">
        <f ca="1">(PRODUCT($O$5:$O6384)-1)*36000/_xlfn.DAYS(L6384, $C$2)</f>
        <v>12.623681084061454</v>
      </c>
      <c r="O6384" s="149">
        <f t="shared" ca="1" si="210"/>
        <v>1.000173611111111</v>
      </c>
    </row>
    <row r="6385" spans="12:15" x14ac:dyDescent="0.25">
      <c r="L6385" s="147">
        <f ca="1"/>
        <v>51624</v>
      </c>
      <c r="M6385" s="92">
        <f t="shared" ca="1" si="209"/>
        <v>6.25</v>
      </c>
      <c r="N6385" s="143">
        <f ca="1">(PRODUCT($O$5:$O6385)-1)*36000/_xlfn.DAYS(L6385, $C$2)</f>
        <v>12.62487349888759</v>
      </c>
      <c r="O6385" s="149">
        <f t="shared" ca="1" si="210"/>
        <v>1.000173611111111</v>
      </c>
    </row>
    <row r="6386" spans="12:15" x14ac:dyDescent="0.25">
      <c r="L6386" s="147">
        <f ca="1"/>
        <v>51625</v>
      </c>
      <c r="M6386" s="92">
        <f t="shared" ca="1" si="209"/>
        <v>6.25</v>
      </c>
      <c r="N6386" s="143">
        <f ca="1">(PRODUCT($O$5:$O6386)-1)*36000/_xlfn.DAYS(L6386, $C$2)</f>
        <v>12.626066090422231</v>
      </c>
      <c r="O6386" s="149">
        <f t="shared" ca="1" si="210"/>
        <v>1.000173611111111</v>
      </c>
    </row>
    <row r="6387" spans="12:15" x14ac:dyDescent="0.25">
      <c r="L6387" s="147">
        <f ca="1"/>
        <v>51626</v>
      </c>
      <c r="M6387" s="92">
        <f t="shared" ca="1" si="209"/>
        <v>6.25</v>
      </c>
      <c r="N6387" s="143">
        <f ca="1">(PRODUCT($O$5:$O6387)-1)*36000/_xlfn.DAYS(L6387, $C$2)</f>
        <v>12.62725885867787</v>
      </c>
      <c r="O6387" s="149">
        <f t="shared" ca="1" si="210"/>
        <v>1.000173611111111</v>
      </c>
    </row>
    <row r="6388" spans="12:15" x14ac:dyDescent="0.25">
      <c r="L6388" s="147">
        <f ca="1"/>
        <v>51627</v>
      </c>
      <c r="M6388" s="92">
        <f t="shared" ca="1" si="209"/>
        <v>6.25</v>
      </c>
      <c r="N6388" s="143">
        <f ca="1">(PRODUCT($O$5:$O6388)-1)*36000/_xlfn.DAYS(L6388, $C$2)</f>
        <v>12.628451803666993</v>
      </c>
      <c r="O6388" s="149">
        <f t="shared" ca="1" si="210"/>
        <v>1.000173611111111</v>
      </c>
    </row>
    <row r="6389" spans="12:15" x14ac:dyDescent="0.25">
      <c r="L6389" s="147">
        <f ca="1"/>
        <v>51628</v>
      </c>
      <c r="M6389" s="92">
        <f t="shared" ca="1" si="209"/>
        <v>6.25</v>
      </c>
      <c r="N6389" s="143">
        <f ca="1">(PRODUCT($O$5:$O6389)-1)*36000/_xlfn.DAYS(L6389, $C$2)</f>
        <v>12.629644925402109</v>
      </c>
      <c r="O6389" s="149">
        <f t="shared" ca="1" si="210"/>
        <v>1.000173611111111</v>
      </c>
    </row>
    <row r="6390" spans="12:15" x14ac:dyDescent="0.25">
      <c r="L6390" s="147">
        <f ca="1"/>
        <v>51629</v>
      </c>
      <c r="M6390" s="92">
        <f t="shared" ca="1" si="209"/>
        <v>6.25</v>
      </c>
      <c r="N6390" s="143">
        <f ca="1">(PRODUCT($O$5:$O6390)-1)*36000/_xlfn.DAYS(L6390, $C$2)</f>
        <v>12.630838223895731</v>
      </c>
      <c r="O6390" s="149">
        <f t="shared" ca="1" si="210"/>
        <v>1.000173611111111</v>
      </c>
    </row>
    <row r="6391" spans="12:15" x14ac:dyDescent="0.25">
      <c r="L6391" s="147">
        <f ca="1"/>
        <v>51630</v>
      </c>
      <c r="M6391" s="92">
        <f t="shared" ca="1" si="209"/>
        <v>6.25</v>
      </c>
      <c r="N6391" s="143">
        <f ca="1">(PRODUCT($O$5:$O6391)-1)*36000/_xlfn.DAYS(L6391, $C$2)</f>
        <v>12.632031699160377</v>
      </c>
      <c r="O6391" s="149">
        <f t="shared" ca="1" si="210"/>
        <v>1.000173611111111</v>
      </c>
    </row>
    <row r="6392" spans="12:15" x14ac:dyDescent="0.25">
      <c r="L6392" s="147">
        <f ca="1"/>
        <v>51631</v>
      </c>
      <c r="M6392" s="92">
        <f t="shared" ca="1" si="209"/>
        <v>6.25</v>
      </c>
      <c r="N6392" s="143">
        <f ca="1">(PRODUCT($O$5:$O6392)-1)*36000/_xlfn.DAYS(L6392, $C$2)</f>
        <v>12.633225351208578</v>
      </c>
      <c r="O6392" s="149">
        <f t="shared" ca="1" si="210"/>
        <v>1.000173611111111</v>
      </c>
    </row>
    <row r="6393" spans="12:15" x14ac:dyDescent="0.25">
      <c r="L6393" s="147">
        <f ca="1"/>
        <v>51632</v>
      </c>
      <c r="M6393" s="92">
        <f t="shared" ca="1" si="209"/>
        <v>6.25</v>
      </c>
      <c r="N6393" s="143">
        <f ca="1">(PRODUCT($O$5:$O6393)-1)*36000/_xlfn.DAYS(L6393, $C$2)</f>
        <v>12.634419180052873</v>
      </c>
      <c r="O6393" s="149">
        <f t="shared" ca="1" si="210"/>
        <v>1.000173611111111</v>
      </c>
    </row>
    <row r="6394" spans="12:15" x14ac:dyDescent="0.25">
      <c r="L6394" s="147">
        <f ca="1"/>
        <v>51633</v>
      </c>
      <c r="M6394" s="92">
        <f t="shared" ca="1" si="209"/>
        <v>6.25</v>
      </c>
      <c r="N6394" s="143">
        <f ca="1">(PRODUCT($O$5:$O6394)-1)*36000/_xlfn.DAYS(L6394, $C$2)</f>
        <v>12.635613185705806</v>
      </c>
      <c r="O6394" s="149">
        <f t="shared" ca="1" si="210"/>
        <v>1.000173611111111</v>
      </c>
    </row>
    <row r="6395" spans="12:15" x14ac:dyDescent="0.25">
      <c r="L6395" s="147">
        <f ca="1"/>
        <v>51634</v>
      </c>
      <c r="M6395" s="92">
        <f t="shared" ca="1" si="209"/>
        <v>6.25</v>
      </c>
      <c r="N6395" s="143">
        <f ca="1">(PRODUCT($O$5:$O6395)-1)*36000/_xlfn.DAYS(L6395, $C$2)</f>
        <v>12.636807368179937</v>
      </c>
      <c r="O6395" s="149">
        <f t="shared" ca="1" si="210"/>
        <v>1.000173611111111</v>
      </c>
    </row>
    <row r="6396" spans="12:15" x14ac:dyDescent="0.25">
      <c r="L6396" s="147">
        <f ca="1"/>
        <v>51635</v>
      </c>
      <c r="M6396" s="92">
        <f t="shared" ca="1" si="209"/>
        <v>6.25</v>
      </c>
      <c r="N6396" s="143">
        <f ca="1">(PRODUCT($O$5:$O6396)-1)*36000/_xlfn.DAYS(L6396, $C$2)</f>
        <v>12.638001727487831</v>
      </c>
      <c r="O6396" s="149">
        <f t="shared" ca="1" si="210"/>
        <v>1.000173611111111</v>
      </c>
    </row>
    <row r="6397" spans="12:15" x14ac:dyDescent="0.25">
      <c r="L6397" s="147">
        <f ca="1"/>
        <v>51636</v>
      </c>
      <c r="M6397" s="92">
        <f t="shared" ca="1" si="209"/>
        <v>6.25</v>
      </c>
      <c r="N6397" s="143">
        <f ca="1">(PRODUCT($O$5:$O6397)-1)*36000/_xlfn.DAYS(L6397, $C$2)</f>
        <v>12.639196263642058</v>
      </c>
      <c r="O6397" s="149">
        <f t="shared" ca="1" si="210"/>
        <v>1.000173611111111</v>
      </c>
    </row>
    <row r="6398" spans="12:15" x14ac:dyDescent="0.25">
      <c r="L6398" s="147">
        <f ca="1"/>
        <v>51637</v>
      </c>
      <c r="M6398" s="92">
        <f t="shared" ca="1" si="209"/>
        <v>6.25</v>
      </c>
      <c r="N6398" s="143">
        <f ca="1">(PRODUCT($O$5:$O6398)-1)*36000/_xlfn.DAYS(L6398, $C$2)</f>
        <v>12.640390976655203</v>
      </c>
      <c r="O6398" s="149">
        <f t="shared" ca="1" si="210"/>
        <v>1.000173611111111</v>
      </c>
    </row>
    <row r="6399" spans="12:15" x14ac:dyDescent="0.25">
      <c r="L6399" s="147">
        <f ca="1"/>
        <v>51638</v>
      </c>
      <c r="M6399" s="92">
        <f t="shared" ca="1" si="209"/>
        <v>6.25</v>
      </c>
      <c r="N6399" s="143">
        <f ca="1">(PRODUCT($O$5:$O6399)-1)*36000/_xlfn.DAYS(L6399, $C$2)</f>
        <v>12.641585866539856</v>
      </c>
      <c r="O6399" s="149">
        <f t="shared" ca="1" si="210"/>
        <v>1.000173611111111</v>
      </c>
    </row>
    <row r="6400" spans="12:15" x14ac:dyDescent="0.25">
      <c r="L6400" s="147">
        <f ca="1"/>
        <v>51639</v>
      </c>
      <c r="M6400" s="92">
        <f t="shared" ca="1" si="209"/>
        <v>6.25</v>
      </c>
      <c r="N6400" s="143">
        <f ca="1">(PRODUCT($O$5:$O6400)-1)*36000/_xlfn.DAYS(L6400, $C$2)</f>
        <v>12.642780933308615</v>
      </c>
      <c r="O6400" s="149">
        <f t="shared" ca="1" si="210"/>
        <v>1.000173611111111</v>
      </c>
    </row>
    <row r="6401" spans="12:15" x14ac:dyDescent="0.25">
      <c r="L6401" s="147">
        <f ca="1"/>
        <v>51640</v>
      </c>
      <c r="M6401" s="92">
        <f t="shared" ca="1" si="209"/>
        <v>6.25</v>
      </c>
      <c r="N6401" s="143">
        <f ca="1">(PRODUCT($O$5:$O6401)-1)*36000/_xlfn.DAYS(L6401, $C$2)</f>
        <v>12.643976176974091</v>
      </c>
      <c r="O6401" s="149">
        <f t="shared" ca="1" si="210"/>
        <v>1.000173611111111</v>
      </c>
    </row>
    <row r="6402" spans="12:15" x14ac:dyDescent="0.25">
      <c r="L6402" s="147">
        <f ca="1"/>
        <v>51641</v>
      </c>
      <c r="M6402" s="92">
        <f t="shared" ca="1" si="209"/>
        <v>6.25</v>
      </c>
      <c r="N6402" s="143">
        <f ca="1">(PRODUCT($O$5:$O6402)-1)*36000/_xlfn.DAYS(L6402, $C$2)</f>
        <v>12.645171597548897</v>
      </c>
      <c r="O6402" s="149">
        <f t="shared" ca="1" si="210"/>
        <v>1.000173611111111</v>
      </c>
    </row>
    <row r="6403" spans="12:15" x14ac:dyDescent="0.25">
      <c r="L6403" s="147">
        <f ca="1"/>
        <v>51642</v>
      </c>
      <c r="M6403" s="92">
        <f t="shared" ca="1" si="209"/>
        <v>6.25</v>
      </c>
      <c r="N6403" s="143">
        <f ca="1">(PRODUCT($O$5:$O6403)-1)*36000/_xlfn.DAYS(L6403, $C$2)</f>
        <v>12.646367195045663</v>
      </c>
      <c r="O6403" s="149">
        <f t="shared" ca="1" si="210"/>
        <v>1.000173611111111</v>
      </c>
    </row>
    <row r="6404" spans="12:15" x14ac:dyDescent="0.25">
      <c r="L6404" s="147">
        <f ca="1"/>
        <v>51643</v>
      </c>
      <c r="M6404" s="92">
        <f t="shared" ca="1" si="209"/>
        <v>6.25</v>
      </c>
      <c r="N6404" s="143">
        <f ca="1">(PRODUCT($O$5:$O6404)-1)*36000/_xlfn.DAYS(L6404, $C$2)</f>
        <v>12.647562969477022</v>
      </c>
      <c r="O6404" s="149">
        <f t="shared" ca="1" si="210"/>
        <v>1.000173611111111</v>
      </c>
    </row>
    <row r="6405" spans="12:15" x14ac:dyDescent="0.25">
      <c r="L6405" s="147">
        <f ca="1"/>
        <v>51644</v>
      </c>
      <c r="M6405" s="92">
        <f t="shared" ref="M6405:M6468" ca="1" si="211">IFERROR(INDEX($E$27:$H$47, MATCH(L6405, $F$27:$F$47, 0), 4), IF(ISNUMBER(M6404), M6404, $C$5))</f>
        <v>6.25</v>
      </c>
      <c r="N6405" s="143">
        <f ca="1">(PRODUCT($O$5:$O6405)-1)*36000/_xlfn.DAYS(L6405, $C$2)</f>
        <v>12.648758920855611</v>
      </c>
      <c r="O6405" s="149">
        <f t="shared" ca="1" si="210"/>
        <v>1.000173611111111</v>
      </c>
    </row>
    <row r="6406" spans="12:15" x14ac:dyDescent="0.25">
      <c r="L6406" s="147">
        <f ca="1"/>
        <v>51645</v>
      </c>
      <c r="M6406" s="92">
        <f t="shared" ca="1" si="211"/>
        <v>6.25</v>
      </c>
      <c r="N6406" s="143">
        <f ca="1">(PRODUCT($O$5:$O6406)-1)*36000/_xlfn.DAYS(L6406, $C$2)</f>
        <v>12.649955049194093</v>
      </c>
      <c r="O6406" s="149">
        <f t="shared" ref="O6406:O6469" ca="1" si="212">1+M6406*IFERROR(_xlfn.DAYS(L6406, L6405), _xlfn.DAYS(L6406, $C$2))/36000</f>
        <v>1.000173611111111</v>
      </c>
    </row>
    <row r="6407" spans="12:15" x14ac:dyDescent="0.25">
      <c r="L6407" s="147">
        <f ca="1"/>
        <v>51646</v>
      </c>
      <c r="M6407" s="92">
        <f t="shared" ca="1" si="211"/>
        <v>6.25</v>
      </c>
      <c r="N6407" s="143">
        <f ca="1">(PRODUCT($O$5:$O6407)-1)*36000/_xlfn.DAYS(L6407, $C$2)</f>
        <v>12.651151354505121</v>
      </c>
      <c r="O6407" s="149">
        <f t="shared" ca="1" si="212"/>
        <v>1.000173611111111</v>
      </c>
    </row>
    <row r="6408" spans="12:15" x14ac:dyDescent="0.25">
      <c r="L6408" s="147">
        <f ca="1"/>
        <v>51647</v>
      </c>
      <c r="M6408" s="92">
        <f t="shared" ca="1" si="211"/>
        <v>6.25</v>
      </c>
      <c r="N6408" s="143">
        <f ca="1">(PRODUCT($O$5:$O6408)-1)*36000/_xlfn.DAYS(L6408, $C$2)</f>
        <v>12.652347836801365</v>
      </c>
      <c r="O6408" s="149">
        <f t="shared" ca="1" si="212"/>
        <v>1.000173611111111</v>
      </c>
    </row>
    <row r="6409" spans="12:15" x14ac:dyDescent="0.25">
      <c r="L6409" s="147">
        <f ca="1"/>
        <v>51648</v>
      </c>
      <c r="M6409" s="92">
        <f t="shared" ca="1" si="211"/>
        <v>6.25</v>
      </c>
      <c r="N6409" s="143">
        <f ca="1">(PRODUCT($O$5:$O6409)-1)*36000/_xlfn.DAYS(L6409, $C$2)</f>
        <v>12.653544496095506</v>
      </c>
      <c r="O6409" s="149">
        <f t="shared" ca="1" si="212"/>
        <v>1.000173611111111</v>
      </c>
    </row>
    <row r="6410" spans="12:15" x14ac:dyDescent="0.25">
      <c r="L6410" s="147">
        <f ca="1"/>
        <v>51649</v>
      </c>
      <c r="M6410" s="92">
        <f t="shared" ca="1" si="211"/>
        <v>6.25</v>
      </c>
      <c r="N6410" s="143">
        <f ca="1">(PRODUCT($O$5:$O6410)-1)*36000/_xlfn.DAYS(L6410, $C$2)</f>
        <v>12.654741332400226</v>
      </c>
      <c r="O6410" s="149">
        <f t="shared" ca="1" si="212"/>
        <v>1.000173611111111</v>
      </c>
    </row>
    <row r="6411" spans="12:15" x14ac:dyDescent="0.25">
      <c r="L6411" s="147">
        <f ca="1"/>
        <v>51650</v>
      </c>
      <c r="M6411" s="92">
        <f t="shared" ca="1" si="211"/>
        <v>6.25</v>
      </c>
      <c r="N6411" s="143">
        <f ca="1">(PRODUCT($O$5:$O6411)-1)*36000/_xlfn.DAYS(L6411, $C$2)</f>
        <v>12.655938345728224</v>
      </c>
      <c r="O6411" s="149">
        <f t="shared" ca="1" si="212"/>
        <v>1.000173611111111</v>
      </c>
    </row>
    <row r="6412" spans="12:15" x14ac:dyDescent="0.25">
      <c r="L6412" s="147">
        <f ca="1"/>
        <v>51651</v>
      </c>
      <c r="M6412" s="92">
        <f t="shared" ca="1" si="211"/>
        <v>6.25</v>
      </c>
      <c r="N6412" s="143">
        <f ca="1">(PRODUCT($O$5:$O6412)-1)*36000/_xlfn.DAYS(L6412, $C$2)</f>
        <v>12.6571355360922</v>
      </c>
      <c r="O6412" s="149">
        <f t="shared" ca="1" si="212"/>
        <v>1.000173611111111</v>
      </c>
    </row>
    <row r="6413" spans="12:15" x14ac:dyDescent="0.25">
      <c r="L6413" s="147">
        <f ca="1"/>
        <v>51652</v>
      </c>
      <c r="M6413" s="92">
        <f t="shared" ca="1" si="211"/>
        <v>6.25</v>
      </c>
      <c r="N6413" s="143">
        <f ca="1">(PRODUCT($O$5:$O6413)-1)*36000/_xlfn.DAYS(L6413, $C$2)</f>
        <v>12.658332903504871</v>
      </c>
      <c r="O6413" s="149">
        <f t="shared" ca="1" si="212"/>
        <v>1.000173611111111</v>
      </c>
    </row>
    <row r="6414" spans="12:15" x14ac:dyDescent="0.25">
      <c r="L6414" s="147">
        <f ca="1"/>
        <v>51653</v>
      </c>
      <c r="M6414" s="92">
        <f t="shared" ca="1" si="211"/>
        <v>6.25</v>
      </c>
      <c r="N6414" s="143">
        <f ca="1">(PRODUCT($O$5:$O6414)-1)*36000/_xlfn.DAYS(L6414, $C$2)</f>
        <v>12.659530447978954</v>
      </c>
      <c r="O6414" s="149">
        <f t="shared" ca="1" si="212"/>
        <v>1.000173611111111</v>
      </c>
    </row>
    <row r="6415" spans="12:15" x14ac:dyDescent="0.25">
      <c r="L6415" s="147">
        <f ca="1"/>
        <v>51654</v>
      </c>
      <c r="M6415" s="92">
        <f t="shared" ca="1" si="211"/>
        <v>6.25</v>
      </c>
      <c r="N6415" s="143">
        <f ca="1">(PRODUCT($O$5:$O6415)-1)*36000/_xlfn.DAYS(L6415, $C$2)</f>
        <v>12.66072816952718</v>
      </c>
      <c r="O6415" s="149">
        <f t="shared" ca="1" si="212"/>
        <v>1.000173611111111</v>
      </c>
    </row>
    <row r="6416" spans="12:15" x14ac:dyDescent="0.25">
      <c r="L6416" s="147">
        <f ca="1"/>
        <v>51655</v>
      </c>
      <c r="M6416" s="92">
        <f t="shared" ca="1" si="211"/>
        <v>6.25</v>
      </c>
      <c r="N6416" s="143">
        <f ca="1">(PRODUCT($O$5:$O6416)-1)*36000/_xlfn.DAYS(L6416, $C$2)</f>
        <v>12.661926068162289</v>
      </c>
      <c r="O6416" s="149">
        <f t="shared" ca="1" si="212"/>
        <v>1.000173611111111</v>
      </c>
    </row>
    <row r="6417" spans="12:15" x14ac:dyDescent="0.25">
      <c r="L6417" s="147">
        <f ca="1"/>
        <v>51656</v>
      </c>
      <c r="M6417" s="92">
        <f t="shared" ca="1" si="211"/>
        <v>6.25</v>
      </c>
      <c r="N6417" s="143">
        <f ca="1">(PRODUCT($O$5:$O6417)-1)*36000/_xlfn.DAYS(L6417, $C$2)</f>
        <v>12.663124143897027</v>
      </c>
      <c r="O6417" s="149">
        <f t="shared" ca="1" si="212"/>
        <v>1.000173611111111</v>
      </c>
    </row>
    <row r="6418" spans="12:15" x14ac:dyDescent="0.25">
      <c r="L6418" s="147">
        <f ca="1"/>
        <v>51657</v>
      </c>
      <c r="M6418" s="92">
        <f t="shared" ca="1" si="211"/>
        <v>6.25</v>
      </c>
      <c r="N6418" s="143">
        <f ca="1">(PRODUCT($O$5:$O6418)-1)*36000/_xlfn.DAYS(L6418, $C$2)</f>
        <v>12.664322396744149</v>
      </c>
      <c r="O6418" s="149">
        <f t="shared" ca="1" si="212"/>
        <v>1.000173611111111</v>
      </c>
    </row>
    <row r="6419" spans="12:15" x14ac:dyDescent="0.25">
      <c r="L6419" s="147">
        <f ca="1"/>
        <v>51658</v>
      </c>
      <c r="M6419" s="92">
        <f t="shared" ca="1" si="211"/>
        <v>6.25</v>
      </c>
      <c r="N6419" s="143">
        <f ca="1">(PRODUCT($O$5:$O6419)-1)*36000/_xlfn.DAYS(L6419, $C$2)</f>
        <v>12.665520826716421</v>
      </c>
      <c r="O6419" s="149">
        <f t="shared" ca="1" si="212"/>
        <v>1.000173611111111</v>
      </c>
    </row>
    <row r="6420" spans="12:15" x14ac:dyDescent="0.25">
      <c r="L6420" s="147">
        <f ca="1"/>
        <v>51659</v>
      </c>
      <c r="M6420" s="92">
        <f t="shared" ca="1" si="211"/>
        <v>6.25</v>
      </c>
      <c r="N6420" s="143">
        <f ca="1">(PRODUCT($O$5:$O6420)-1)*36000/_xlfn.DAYS(L6420, $C$2)</f>
        <v>12.666719433826614</v>
      </c>
      <c r="O6420" s="149">
        <f t="shared" ca="1" si="212"/>
        <v>1.000173611111111</v>
      </c>
    </row>
    <row r="6421" spans="12:15" x14ac:dyDescent="0.25">
      <c r="L6421" s="147">
        <f ca="1"/>
        <v>51660</v>
      </c>
      <c r="M6421" s="92">
        <f t="shared" ca="1" si="211"/>
        <v>6.25</v>
      </c>
      <c r="N6421" s="143">
        <f ca="1">(PRODUCT($O$5:$O6421)-1)*36000/_xlfn.DAYS(L6421, $C$2)</f>
        <v>12.667918218087509</v>
      </c>
      <c r="O6421" s="149">
        <f t="shared" ca="1" si="212"/>
        <v>1.000173611111111</v>
      </c>
    </row>
    <row r="6422" spans="12:15" x14ac:dyDescent="0.25">
      <c r="L6422" s="147">
        <f ca="1"/>
        <v>51661</v>
      </c>
      <c r="M6422" s="92">
        <f t="shared" ca="1" si="211"/>
        <v>6.25</v>
      </c>
      <c r="N6422" s="143">
        <f ca="1">(PRODUCT($O$5:$O6422)-1)*36000/_xlfn.DAYS(L6422, $C$2)</f>
        <v>12.669117179511902</v>
      </c>
      <c r="O6422" s="149">
        <f t="shared" ca="1" si="212"/>
        <v>1.000173611111111</v>
      </c>
    </row>
    <row r="6423" spans="12:15" x14ac:dyDescent="0.25">
      <c r="L6423" s="147">
        <f ca="1"/>
        <v>51662</v>
      </c>
      <c r="M6423" s="92">
        <f t="shared" ca="1" si="211"/>
        <v>6.25</v>
      </c>
      <c r="N6423" s="143">
        <f ca="1">(PRODUCT($O$5:$O6423)-1)*36000/_xlfn.DAYS(L6423, $C$2)</f>
        <v>12.670316318112585</v>
      </c>
      <c r="O6423" s="149">
        <f t="shared" ca="1" si="212"/>
        <v>1.000173611111111</v>
      </c>
    </row>
    <row r="6424" spans="12:15" x14ac:dyDescent="0.25">
      <c r="L6424" s="147">
        <f ca="1"/>
        <v>51663</v>
      </c>
      <c r="M6424" s="92">
        <f t="shared" ca="1" si="211"/>
        <v>6.25</v>
      </c>
      <c r="N6424" s="143">
        <f ca="1">(PRODUCT($O$5:$O6424)-1)*36000/_xlfn.DAYS(L6424, $C$2)</f>
        <v>12.67151563390237</v>
      </c>
      <c r="O6424" s="149">
        <f t="shared" ca="1" si="212"/>
        <v>1.000173611111111</v>
      </c>
    </row>
    <row r="6425" spans="12:15" x14ac:dyDescent="0.25">
      <c r="L6425" s="147">
        <f ca="1"/>
        <v>51664</v>
      </c>
      <c r="M6425" s="92">
        <f t="shared" ca="1" si="211"/>
        <v>6.25</v>
      </c>
      <c r="N6425" s="143">
        <f ca="1">(PRODUCT($O$5:$O6425)-1)*36000/_xlfn.DAYS(L6425, $C$2)</f>
        <v>12.672715126894069</v>
      </c>
      <c r="O6425" s="149">
        <f t="shared" ca="1" si="212"/>
        <v>1.000173611111111</v>
      </c>
    </row>
    <row r="6426" spans="12:15" x14ac:dyDescent="0.25">
      <c r="L6426" s="147">
        <f ca="1"/>
        <v>51665</v>
      </c>
      <c r="M6426" s="92">
        <f t="shared" ca="1" si="211"/>
        <v>6.25</v>
      </c>
      <c r="N6426" s="143">
        <f ca="1">(PRODUCT($O$5:$O6426)-1)*36000/_xlfn.DAYS(L6426, $C$2)</f>
        <v>12.673914797100512</v>
      </c>
      <c r="O6426" s="149">
        <f t="shared" ca="1" si="212"/>
        <v>1.000173611111111</v>
      </c>
    </row>
    <row r="6427" spans="12:15" x14ac:dyDescent="0.25">
      <c r="L6427" s="147">
        <f ca="1"/>
        <v>51666</v>
      </c>
      <c r="M6427" s="92">
        <f t="shared" ca="1" si="211"/>
        <v>6.25</v>
      </c>
      <c r="N6427" s="143">
        <f ca="1">(PRODUCT($O$5:$O6427)-1)*36000/_xlfn.DAYS(L6427, $C$2)</f>
        <v>12.675114644534528</v>
      </c>
      <c r="O6427" s="149">
        <f t="shared" ca="1" si="212"/>
        <v>1.000173611111111</v>
      </c>
    </row>
    <row r="6428" spans="12:15" x14ac:dyDescent="0.25">
      <c r="L6428" s="147">
        <f ca="1"/>
        <v>51667</v>
      </c>
      <c r="M6428" s="92">
        <f t="shared" ca="1" si="211"/>
        <v>6.25</v>
      </c>
      <c r="N6428" s="143">
        <f ca="1">(PRODUCT($O$5:$O6428)-1)*36000/_xlfn.DAYS(L6428, $C$2)</f>
        <v>12.67631466920896</v>
      </c>
      <c r="O6428" s="149">
        <f t="shared" ca="1" si="212"/>
        <v>1.000173611111111</v>
      </c>
    </row>
    <row r="6429" spans="12:15" x14ac:dyDescent="0.25">
      <c r="L6429" s="147">
        <f ca="1"/>
        <v>51668</v>
      </c>
      <c r="M6429" s="92">
        <f t="shared" ca="1" si="211"/>
        <v>6.25</v>
      </c>
      <c r="N6429" s="143">
        <f ca="1">(PRODUCT($O$5:$O6429)-1)*36000/_xlfn.DAYS(L6429, $C$2)</f>
        <v>12.67751487113666</v>
      </c>
      <c r="O6429" s="149">
        <f t="shared" ca="1" si="212"/>
        <v>1.000173611111111</v>
      </c>
    </row>
    <row r="6430" spans="12:15" x14ac:dyDescent="0.25">
      <c r="L6430" s="147">
        <f ca="1"/>
        <v>51669</v>
      </c>
      <c r="M6430" s="92">
        <f t="shared" ca="1" si="211"/>
        <v>6.25</v>
      </c>
      <c r="N6430" s="143">
        <f ca="1">(PRODUCT($O$5:$O6430)-1)*36000/_xlfn.DAYS(L6430, $C$2)</f>
        <v>12.678715250330486</v>
      </c>
      <c r="O6430" s="149">
        <f t="shared" ca="1" si="212"/>
        <v>1.000173611111111</v>
      </c>
    </row>
    <row r="6431" spans="12:15" x14ac:dyDescent="0.25">
      <c r="L6431" s="147">
        <f ca="1"/>
        <v>51670</v>
      </c>
      <c r="M6431" s="92">
        <f t="shared" ca="1" si="211"/>
        <v>6.25</v>
      </c>
      <c r="N6431" s="143">
        <f ca="1">(PRODUCT($O$5:$O6431)-1)*36000/_xlfn.DAYS(L6431, $C$2)</f>
        <v>12.679915806803303</v>
      </c>
      <c r="O6431" s="149">
        <f t="shared" ca="1" si="212"/>
        <v>1.000173611111111</v>
      </c>
    </row>
    <row r="6432" spans="12:15" x14ac:dyDescent="0.25">
      <c r="L6432" s="147">
        <f ca="1"/>
        <v>51671</v>
      </c>
      <c r="M6432" s="92">
        <f t="shared" ca="1" si="211"/>
        <v>6.25</v>
      </c>
      <c r="N6432" s="143">
        <f ca="1">(PRODUCT($O$5:$O6432)-1)*36000/_xlfn.DAYS(L6432, $C$2)</f>
        <v>12.681116540567992</v>
      </c>
      <c r="O6432" s="149">
        <f t="shared" ca="1" si="212"/>
        <v>1.000173611111111</v>
      </c>
    </row>
    <row r="6433" spans="12:15" x14ac:dyDescent="0.25">
      <c r="L6433" s="147">
        <f ca="1"/>
        <v>51672</v>
      </c>
      <c r="M6433" s="92">
        <f t="shared" ca="1" si="211"/>
        <v>6.25</v>
      </c>
      <c r="N6433" s="143">
        <f ca="1">(PRODUCT($O$5:$O6433)-1)*36000/_xlfn.DAYS(L6433, $C$2)</f>
        <v>12.682317451637434</v>
      </c>
      <c r="O6433" s="149">
        <f t="shared" ca="1" si="212"/>
        <v>1.000173611111111</v>
      </c>
    </row>
    <row r="6434" spans="12:15" x14ac:dyDescent="0.25">
      <c r="L6434" s="147">
        <f ca="1"/>
        <v>51673</v>
      </c>
      <c r="M6434" s="92">
        <f t="shared" ca="1" si="211"/>
        <v>6.25</v>
      </c>
      <c r="N6434" s="143">
        <f ca="1">(PRODUCT($O$5:$O6434)-1)*36000/_xlfn.DAYS(L6434, $C$2)</f>
        <v>12.683518540024529</v>
      </c>
      <c r="O6434" s="149">
        <f t="shared" ca="1" si="212"/>
        <v>1.000173611111111</v>
      </c>
    </row>
    <row r="6435" spans="12:15" x14ac:dyDescent="0.25">
      <c r="L6435" s="147">
        <f ca="1"/>
        <v>51674</v>
      </c>
      <c r="M6435" s="92">
        <f t="shared" ca="1" si="211"/>
        <v>6.25</v>
      </c>
      <c r="N6435" s="143">
        <f ca="1">(PRODUCT($O$5:$O6435)-1)*36000/_xlfn.DAYS(L6435, $C$2)</f>
        <v>12.684719805742173</v>
      </c>
      <c r="O6435" s="149">
        <f t="shared" ca="1" si="212"/>
        <v>1.000173611111111</v>
      </c>
    </row>
    <row r="6436" spans="12:15" x14ac:dyDescent="0.25">
      <c r="L6436" s="147">
        <f ca="1"/>
        <v>51675</v>
      </c>
      <c r="M6436" s="92">
        <f t="shared" ca="1" si="211"/>
        <v>6.25</v>
      </c>
      <c r="N6436" s="143">
        <f ca="1">(PRODUCT($O$5:$O6436)-1)*36000/_xlfn.DAYS(L6436, $C$2)</f>
        <v>12.685921248803277</v>
      </c>
      <c r="O6436" s="149">
        <f t="shared" ca="1" si="212"/>
        <v>1.000173611111111</v>
      </c>
    </row>
    <row r="6437" spans="12:15" x14ac:dyDescent="0.25">
      <c r="L6437" s="147">
        <f ca="1"/>
        <v>51676</v>
      </c>
      <c r="M6437" s="92">
        <f t="shared" ca="1" si="211"/>
        <v>6.25</v>
      </c>
      <c r="N6437" s="143">
        <f ca="1">(PRODUCT($O$5:$O6437)-1)*36000/_xlfn.DAYS(L6437, $C$2)</f>
        <v>12.687122869220762</v>
      </c>
      <c r="O6437" s="149">
        <f t="shared" ca="1" si="212"/>
        <v>1.000173611111111</v>
      </c>
    </row>
    <row r="6438" spans="12:15" x14ac:dyDescent="0.25">
      <c r="L6438" s="147">
        <f ca="1"/>
        <v>51677</v>
      </c>
      <c r="M6438" s="92">
        <f t="shared" ca="1" si="211"/>
        <v>6.25</v>
      </c>
      <c r="N6438" s="143">
        <f ca="1">(PRODUCT($O$5:$O6438)-1)*36000/_xlfn.DAYS(L6438, $C$2)</f>
        <v>12.688324667007555</v>
      </c>
      <c r="O6438" s="149">
        <f t="shared" ca="1" si="212"/>
        <v>1.000173611111111</v>
      </c>
    </row>
    <row r="6439" spans="12:15" x14ac:dyDescent="0.25">
      <c r="L6439" s="147">
        <f ca="1"/>
        <v>51678</v>
      </c>
      <c r="M6439" s="92">
        <f t="shared" ca="1" si="211"/>
        <v>6.25</v>
      </c>
      <c r="N6439" s="143">
        <f ca="1">(PRODUCT($O$5:$O6439)-1)*36000/_xlfn.DAYS(L6439, $C$2)</f>
        <v>12.689526642176594</v>
      </c>
      <c r="O6439" s="149">
        <f t="shared" ca="1" si="212"/>
        <v>1.000173611111111</v>
      </c>
    </row>
    <row r="6440" spans="12:15" x14ac:dyDescent="0.25">
      <c r="L6440" s="147">
        <f ca="1"/>
        <v>51679</v>
      </c>
      <c r="M6440" s="92">
        <f t="shared" ca="1" si="211"/>
        <v>6.25</v>
      </c>
      <c r="N6440" s="143">
        <f ca="1">(PRODUCT($O$5:$O6440)-1)*36000/_xlfn.DAYS(L6440, $C$2)</f>
        <v>12.690728794740822</v>
      </c>
      <c r="O6440" s="149">
        <f t="shared" ca="1" si="212"/>
        <v>1.000173611111111</v>
      </c>
    </row>
    <row r="6441" spans="12:15" x14ac:dyDescent="0.25">
      <c r="L6441" s="147">
        <f ca="1"/>
        <v>51680</v>
      </c>
      <c r="M6441" s="92">
        <f t="shared" ca="1" si="211"/>
        <v>6.25</v>
      </c>
      <c r="N6441" s="143">
        <f ca="1">(PRODUCT($O$5:$O6441)-1)*36000/_xlfn.DAYS(L6441, $C$2)</f>
        <v>12.691931124713193</v>
      </c>
      <c r="O6441" s="149">
        <f t="shared" ca="1" si="212"/>
        <v>1.000173611111111</v>
      </c>
    </row>
    <row r="6442" spans="12:15" x14ac:dyDescent="0.25">
      <c r="L6442" s="147">
        <f ca="1"/>
        <v>51681</v>
      </c>
      <c r="M6442" s="92">
        <f t="shared" ca="1" si="211"/>
        <v>6.25</v>
      </c>
      <c r="N6442" s="143">
        <f ca="1">(PRODUCT($O$5:$O6442)-1)*36000/_xlfn.DAYS(L6442, $C$2)</f>
        <v>12.693133632106671</v>
      </c>
      <c r="O6442" s="149">
        <f t="shared" ca="1" si="212"/>
        <v>1.000173611111111</v>
      </c>
    </row>
    <row r="6443" spans="12:15" x14ac:dyDescent="0.25">
      <c r="L6443" s="147">
        <f ca="1"/>
        <v>51682</v>
      </c>
      <c r="M6443" s="92">
        <f t="shared" ca="1" si="211"/>
        <v>6.25</v>
      </c>
      <c r="N6443" s="143">
        <f ca="1">(PRODUCT($O$5:$O6443)-1)*36000/_xlfn.DAYS(L6443, $C$2)</f>
        <v>12.694336316934219</v>
      </c>
      <c r="O6443" s="149">
        <f t="shared" ca="1" si="212"/>
        <v>1.000173611111111</v>
      </c>
    </row>
    <row r="6444" spans="12:15" x14ac:dyDescent="0.25">
      <c r="L6444" s="147">
        <f ca="1"/>
        <v>51683</v>
      </c>
      <c r="M6444" s="92">
        <f t="shared" ca="1" si="211"/>
        <v>6.25</v>
      </c>
      <c r="N6444" s="143">
        <f ca="1">(PRODUCT($O$5:$O6444)-1)*36000/_xlfn.DAYS(L6444, $C$2)</f>
        <v>12.695539179208826</v>
      </c>
      <c r="O6444" s="149">
        <f t="shared" ca="1" si="212"/>
        <v>1.000173611111111</v>
      </c>
    </row>
    <row r="6445" spans="12:15" x14ac:dyDescent="0.25">
      <c r="L6445" s="147">
        <f ca="1"/>
        <v>51684</v>
      </c>
      <c r="M6445" s="92">
        <f t="shared" ca="1" si="211"/>
        <v>6.25</v>
      </c>
      <c r="N6445" s="143">
        <f ca="1">(PRODUCT($O$5:$O6445)-1)*36000/_xlfn.DAYS(L6445, $C$2)</f>
        <v>12.696742218943474</v>
      </c>
      <c r="O6445" s="149">
        <f t="shared" ca="1" si="212"/>
        <v>1.000173611111111</v>
      </c>
    </row>
    <row r="6446" spans="12:15" x14ac:dyDescent="0.25">
      <c r="L6446" s="147">
        <f ca="1"/>
        <v>51685</v>
      </c>
      <c r="M6446" s="92">
        <f t="shared" ca="1" si="211"/>
        <v>6.25</v>
      </c>
      <c r="N6446" s="143">
        <f ca="1">(PRODUCT($O$5:$O6446)-1)*36000/_xlfn.DAYS(L6446, $C$2)</f>
        <v>12.69794543615116</v>
      </c>
      <c r="O6446" s="149">
        <f t="shared" ca="1" si="212"/>
        <v>1.000173611111111</v>
      </c>
    </row>
    <row r="6447" spans="12:15" x14ac:dyDescent="0.25">
      <c r="L6447" s="147">
        <f ca="1"/>
        <v>51686</v>
      </c>
      <c r="M6447" s="92">
        <f t="shared" ca="1" si="211"/>
        <v>6.25</v>
      </c>
      <c r="N6447" s="143">
        <f ca="1">(PRODUCT($O$5:$O6447)-1)*36000/_xlfn.DAYS(L6447, $C$2)</f>
        <v>12.699148830844891</v>
      </c>
      <c r="O6447" s="149">
        <f t="shared" ca="1" si="212"/>
        <v>1.000173611111111</v>
      </c>
    </row>
    <row r="6448" spans="12:15" x14ac:dyDescent="0.25">
      <c r="L6448" s="147">
        <f ca="1"/>
        <v>51687</v>
      </c>
      <c r="M6448" s="92">
        <f t="shared" ca="1" si="211"/>
        <v>6.25</v>
      </c>
      <c r="N6448" s="143">
        <f ca="1">(PRODUCT($O$5:$O6448)-1)*36000/_xlfn.DAYS(L6448, $C$2)</f>
        <v>12.700352403037677</v>
      </c>
      <c r="O6448" s="149">
        <f t="shared" ca="1" si="212"/>
        <v>1.000173611111111</v>
      </c>
    </row>
    <row r="6449" spans="12:15" x14ac:dyDescent="0.25">
      <c r="L6449" s="147">
        <f ca="1"/>
        <v>51688</v>
      </c>
      <c r="M6449" s="92">
        <f t="shared" ca="1" si="211"/>
        <v>6.25</v>
      </c>
      <c r="N6449" s="143">
        <f ca="1">(PRODUCT($O$5:$O6449)-1)*36000/_xlfn.DAYS(L6449, $C$2)</f>
        <v>12.701556152742542</v>
      </c>
      <c r="O6449" s="149">
        <f t="shared" ca="1" si="212"/>
        <v>1.000173611111111</v>
      </c>
    </row>
    <row r="6450" spans="12:15" x14ac:dyDescent="0.25">
      <c r="L6450" s="147">
        <f ca="1"/>
        <v>51689</v>
      </c>
      <c r="M6450" s="92">
        <f t="shared" ca="1" si="211"/>
        <v>6.25</v>
      </c>
      <c r="N6450" s="143">
        <f ca="1">(PRODUCT($O$5:$O6450)-1)*36000/_xlfn.DAYS(L6450, $C$2)</f>
        <v>12.702760079972515</v>
      </c>
      <c r="O6450" s="149">
        <f t="shared" ca="1" si="212"/>
        <v>1.000173611111111</v>
      </c>
    </row>
    <row r="6451" spans="12:15" x14ac:dyDescent="0.25">
      <c r="L6451" s="147">
        <f ca="1"/>
        <v>51690</v>
      </c>
      <c r="M6451" s="92">
        <f t="shared" ca="1" si="211"/>
        <v>6.25</v>
      </c>
      <c r="N6451" s="143">
        <f ca="1">(PRODUCT($O$5:$O6451)-1)*36000/_xlfn.DAYS(L6451, $C$2)</f>
        <v>12.703964184740636</v>
      </c>
      <c r="O6451" s="149">
        <f t="shared" ca="1" si="212"/>
        <v>1.000173611111111</v>
      </c>
    </row>
    <row r="6452" spans="12:15" x14ac:dyDescent="0.25">
      <c r="L6452" s="147">
        <f ca="1"/>
        <v>51691</v>
      </c>
      <c r="M6452" s="92">
        <f t="shared" ca="1" si="211"/>
        <v>6.25</v>
      </c>
      <c r="N6452" s="143">
        <f ca="1">(PRODUCT($O$5:$O6452)-1)*36000/_xlfn.DAYS(L6452, $C$2)</f>
        <v>12.705168467059952</v>
      </c>
      <c r="O6452" s="149">
        <f t="shared" ca="1" si="212"/>
        <v>1.000173611111111</v>
      </c>
    </row>
    <row r="6453" spans="12:15" x14ac:dyDescent="0.25">
      <c r="L6453" s="147">
        <f ca="1"/>
        <v>51692</v>
      </c>
      <c r="M6453" s="92">
        <f t="shared" ca="1" si="211"/>
        <v>6.25</v>
      </c>
      <c r="N6453" s="143">
        <f ca="1">(PRODUCT($O$5:$O6453)-1)*36000/_xlfn.DAYS(L6453, $C$2)</f>
        <v>12.706372926943516</v>
      </c>
      <c r="O6453" s="149">
        <f t="shared" ca="1" si="212"/>
        <v>1.000173611111111</v>
      </c>
    </row>
    <row r="6454" spans="12:15" x14ac:dyDescent="0.25">
      <c r="L6454" s="147">
        <f ca="1"/>
        <v>51693</v>
      </c>
      <c r="M6454" s="92">
        <f t="shared" ca="1" si="211"/>
        <v>6.25</v>
      </c>
      <c r="N6454" s="143">
        <f ca="1">(PRODUCT($O$5:$O6454)-1)*36000/_xlfn.DAYS(L6454, $C$2)</f>
        <v>12.707577564404396</v>
      </c>
      <c r="O6454" s="149">
        <f t="shared" ca="1" si="212"/>
        <v>1.000173611111111</v>
      </c>
    </row>
    <row r="6455" spans="12:15" x14ac:dyDescent="0.25">
      <c r="L6455" s="147">
        <f ca="1"/>
        <v>51694</v>
      </c>
      <c r="M6455" s="92">
        <f t="shared" ca="1" si="211"/>
        <v>6.25</v>
      </c>
      <c r="N6455" s="143">
        <f ca="1">(PRODUCT($O$5:$O6455)-1)*36000/_xlfn.DAYS(L6455, $C$2)</f>
        <v>12.708782379455664</v>
      </c>
      <c r="O6455" s="149">
        <f t="shared" ca="1" si="212"/>
        <v>1.000173611111111</v>
      </c>
    </row>
    <row r="6456" spans="12:15" x14ac:dyDescent="0.25">
      <c r="L6456" s="147">
        <f ca="1"/>
        <v>51695</v>
      </c>
      <c r="M6456" s="92">
        <f t="shared" ca="1" si="211"/>
        <v>6.25</v>
      </c>
      <c r="N6456" s="143">
        <f ca="1">(PRODUCT($O$5:$O6456)-1)*36000/_xlfn.DAYS(L6456, $C$2)</f>
        <v>12.709987372110403</v>
      </c>
      <c r="O6456" s="149">
        <f t="shared" ca="1" si="212"/>
        <v>1.000173611111111</v>
      </c>
    </row>
    <row r="6457" spans="12:15" x14ac:dyDescent="0.25">
      <c r="L6457" s="147">
        <f ca="1"/>
        <v>51696</v>
      </c>
      <c r="M6457" s="92">
        <f t="shared" ca="1" si="211"/>
        <v>6.25</v>
      </c>
      <c r="N6457" s="143">
        <f ca="1">(PRODUCT($O$5:$O6457)-1)*36000/_xlfn.DAYS(L6457, $C$2)</f>
        <v>12.711192542381696</v>
      </c>
      <c r="O6457" s="149">
        <f t="shared" ca="1" si="212"/>
        <v>1.000173611111111</v>
      </c>
    </row>
    <row r="6458" spans="12:15" x14ac:dyDescent="0.25">
      <c r="L6458" s="147">
        <f ca="1"/>
        <v>51697</v>
      </c>
      <c r="M6458" s="92">
        <f t="shared" ca="1" si="211"/>
        <v>6.25</v>
      </c>
      <c r="N6458" s="143">
        <f ca="1">(PRODUCT($O$5:$O6458)-1)*36000/_xlfn.DAYS(L6458, $C$2)</f>
        <v>12.712397890282649</v>
      </c>
      <c r="O6458" s="149">
        <f t="shared" ca="1" si="212"/>
        <v>1.000173611111111</v>
      </c>
    </row>
    <row r="6459" spans="12:15" x14ac:dyDescent="0.25">
      <c r="L6459" s="147">
        <f ca="1"/>
        <v>51698</v>
      </c>
      <c r="M6459" s="92">
        <f t="shared" ca="1" si="211"/>
        <v>6.25</v>
      </c>
      <c r="N6459" s="143">
        <f ca="1">(PRODUCT($O$5:$O6459)-1)*36000/_xlfn.DAYS(L6459, $C$2)</f>
        <v>12.713603415826363</v>
      </c>
      <c r="O6459" s="149">
        <f t="shared" ca="1" si="212"/>
        <v>1.000173611111111</v>
      </c>
    </row>
    <row r="6460" spans="12:15" x14ac:dyDescent="0.25">
      <c r="L6460" s="147">
        <f ca="1"/>
        <v>51699</v>
      </c>
      <c r="M6460" s="92">
        <f t="shared" ca="1" si="211"/>
        <v>6.25</v>
      </c>
      <c r="N6460" s="143">
        <f ca="1">(PRODUCT($O$5:$O6460)-1)*36000/_xlfn.DAYS(L6460, $C$2)</f>
        <v>12.71480911902596</v>
      </c>
      <c r="O6460" s="149">
        <f t="shared" ca="1" si="212"/>
        <v>1.000173611111111</v>
      </c>
    </row>
    <row r="6461" spans="12:15" x14ac:dyDescent="0.25">
      <c r="L6461" s="147">
        <f ca="1"/>
        <v>51700</v>
      </c>
      <c r="M6461" s="92">
        <f t="shared" ca="1" si="211"/>
        <v>6.25</v>
      </c>
      <c r="N6461" s="143">
        <f ca="1">(PRODUCT($O$5:$O6461)-1)*36000/_xlfn.DAYS(L6461, $C$2)</f>
        <v>12.716014999894558</v>
      </c>
      <c r="O6461" s="149">
        <f t="shared" ca="1" si="212"/>
        <v>1.000173611111111</v>
      </c>
    </row>
    <row r="6462" spans="12:15" x14ac:dyDescent="0.25">
      <c r="L6462" s="147">
        <f ca="1"/>
        <v>51701</v>
      </c>
      <c r="M6462" s="92">
        <f t="shared" ca="1" si="211"/>
        <v>6.25</v>
      </c>
      <c r="N6462" s="143">
        <f ca="1">(PRODUCT($O$5:$O6462)-1)*36000/_xlfn.DAYS(L6462, $C$2)</f>
        <v>12.71722105844529</v>
      </c>
      <c r="O6462" s="149">
        <f t="shared" ca="1" si="212"/>
        <v>1.000173611111111</v>
      </c>
    </row>
    <row r="6463" spans="12:15" x14ac:dyDescent="0.25">
      <c r="L6463" s="147">
        <f ca="1"/>
        <v>51702</v>
      </c>
      <c r="M6463" s="92">
        <f t="shared" ca="1" si="211"/>
        <v>6.25</v>
      </c>
      <c r="N6463" s="143">
        <f ca="1">(PRODUCT($O$5:$O6463)-1)*36000/_xlfn.DAYS(L6463, $C$2)</f>
        <v>12.718427294691299</v>
      </c>
      <c r="O6463" s="149">
        <f t="shared" ca="1" si="212"/>
        <v>1.000173611111111</v>
      </c>
    </row>
    <row r="6464" spans="12:15" x14ac:dyDescent="0.25">
      <c r="L6464" s="147">
        <f ca="1"/>
        <v>51703</v>
      </c>
      <c r="M6464" s="92">
        <f t="shared" ca="1" si="211"/>
        <v>6.25</v>
      </c>
      <c r="N6464" s="143">
        <f ca="1">(PRODUCT($O$5:$O6464)-1)*36000/_xlfn.DAYS(L6464, $C$2)</f>
        <v>12.719633708645734</v>
      </c>
      <c r="O6464" s="149">
        <f t="shared" ca="1" si="212"/>
        <v>1.000173611111111</v>
      </c>
    </row>
    <row r="6465" spans="12:15" x14ac:dyDescent="0.25">
      <c r="L6465" s="147">
        <f ca="1"/>
        <v>51704</v>
      </c>
      <c r="M6465" s="92">
        <f t="shared" ca="1" si="211"/>
        <v>6.25</v>
      </c>
      <c r="N6465" s="143">
        <f ca="1">(PRODUCT($O$5:$O6465)-1)*36000/_xlfn.DAYS(L6465, $C$2)</f>
        <v>12.720840300321751</v>
      </c>
      <c r="O6465" s="149">
        <f t="shared" ca="1" si="212"/>
        <v>1.000173611111111</v>
      </c>
    </row>
    <row r="6466" spans="12:15" x14ac:dyDescent="0.25">
      <c r="L6466" s="147">
        <f ca="1"/>
        <v>51705</v>
      </c>
      <c r="M6466" s="92">
        <f t="shared" ca="1" si="211"/>
        <v>6.25</v>
      </c>
      <c r="N6466" s="143">
        <f ca="1">(PRODUCT($O$5:$O6466)-1)*36000/_xlfn.DAYS(L6466, $C$2)</f>
        <v>12.722047069732518</v>
      </c>
      <c r="O6466" s="149">
        <f t="shared" ca="1" si="212"/>
        <v>1.000173611111111</v>
      </c>
    </row>
    <row r="6467" spans="12:15" x14ac:dyDescent="0.25">
      <c r="L6467" s="147">
        <f ca="1"/>
        <v>51706</v>
      </c>
      <c r="M6467" s="92">
        <f t="shared" ca="1" si="211"/>
        <v>6.25</v>
      </c>
      <c r="N6467" s="143">
        <f ca="1">(PRODUCT($O$5:$O6467)-1)*36000/_xlfn.DAYS(L6467, $C$2)</f>
        <v>12.723254016891209</v>
      </c>
      <c r="O6467" s="149">
        <f t="shared" ca="1" si="212"/>
        <v>1.000173611111111</v>
      </c>
    </row>
    <row r="6468" spans="12:15" x14ac:dyDescent="0.25">
      <c r="L6468" s="147">
        <f ca="1"/>
        <v>51707</v>
      </c>
      <c r="M6468" s="92">
        <f t="shared" ca="1" si="211"/>
        <v>6.25</v>
      </c>
      <c r="N6468" s="143">
        <f ca="1">(PRODUCT($O$5:$O6468)-1)*36000/_xlfn.DAYS(L6468, $C$2)</f>
        <v>12.724461141811004</v>
      </c>
      <c r="O6468" s="149">
        <f t="shared" ca="1" si="212"/>
        <v>1.000173611111111</v>
      </c>
    </row>
    <row r="6469" spans="12:15" x14ac:dyDescent="0.25">
      <c r="L6469" s="147">
        <f ca="1"/>
        <v>51708</v>
      </c>
      <c r="M6469" s="92">
        <f t="shared" ref="M6469:M6532" ca="1" si="213">IFERROR(INDEX($E$27:$H$47, MATCH(L6469, $F$27:$F$47, 0), 4), IF(ISNUMBER(M6468), M6468, $C$5))</f>
        <v>6.25</v>
      </c>
      <c r="N6469" s="143">
        <f ca="1">(PRODUCT($O$5:$O6469)-1)*36000/_xlfn.DAYS(L6469, $C$2)</f>
        <v>12.7256684445051</v>
      </c>
      <c r="O6469" s="149">
        <f t="shared" ca="1" si="212"/>
        <v>1.000173611111111</v>
      </c>
    </row>
    <row r="6470" spans="12:15" x14ac:dyDescent="0.25">
      <c r="L6470" s="147">
        <f ca="1"/>
        <v>51709</v>
      </c>
      <c r="M6470" s="92">
        <f t="shared" ca="1" si="213"/>
        <v>6.25</v>
      </c>
      <c r="N6470" s="143">
        <f ca="1">(PRODUCT($O$5:$O6470)-1)*36000/_xlfn.DAYS(L6470, $C$2)</f>
        <v>12.72687592498669</v>
      </c>
      <c r="O6470" s="149">
        <f t="shared" ref="O6470:O6533" ca="1" si="214">1+M6470*IFERROR(_xlfn.DAYS(L6470, L6469), _xlfn.DAYS(L6470, $C$2))/36000</f>
        <v>1.000173611111111</v>
      </c>
    </row>
    <row r="6471" spans="12:15" x14ac:dyDescent="0.25">
      <c r="L6471" s="147">
        <f ca="1"/>
        <v>51710</v>
      </c>
      <c r="M6471" s="92">
        <f t="shared" ca="1" si="213"/>
        <v>6.25</v>
      </c>
      <c r="N6471" s="143">
        <f ca="1">(PRODUCT($O$5:$O6471)-1)*36000/_xlfn.DAYS(L6471, $C$2)</f>
        <v>12.72808358326899</v>
      </c>
      <c r="O6471" s="149">
        <f t="shared" ca="1" si="214"/>
        <v>1.000173611111111</v>
      </c>
    </row>
    <row r="6472" spans="12:15" x14ac:dyDescent="0.25">
      <c r="L6472" s="147">
        <f ca="1"/>
        <v>51711</v>
      </c>
      <c r="M6472" s="92">
        <f t="shared" ca="1" si="213"/>
        <v>6.25</v>
      </c>
      <c r="N6472" s="143">
        <f ca="1">(PRODUCT($O$5:$O6472)-1)*36000/_xlfn.DAYS(L6472, $C$2)</f>
        <v>12.729291419365213</v>
      </c>
      <c r="O6472" s="149">
        <f t="shared" ca="1" si="214"/>
        <v>1.000173611111111</v>
      </c>
    </row>
    <row r="6473" spans="12:15" x14ac:dyDescent="0.25">
      <c r="L6473" s="147">
        <f ca="1"/>
        <v>51712</v>
      </c>
      <c r="M6473" s="92">
        <f t="shared" ca="1" si="213"/>
        <v>6.25</v>
      </c>
      <c r="N6473" s="143">
        <f ca="1">(PRODUCT($O$5:$O6473)-1)*36000/_xlfn.DAYS(L6473, $C$2)</f>
        <v>12.730499433288582</v>
      </c>
      <c r="O6473" s="149">
        <f t="shared" ca="1" si="214"/>
        <v>1.000173611111111</v>
      </c>
    </row>
    <row r="6474" spans="12:15" x14ac:dyDescent="0.25">
      <c r="L6474" s="147">
        <f ca="1"/>
        <v>51713</v>
      </c>
      <c r="M6474" s="92">
        <f t="shared" ca="1" si="213"/>
        <v>6.25</v>
      </c>
      <c r="N6474" s="143">
        <f ca="1">(PRODUCT($O$5:$O6474)-1)*36000/_xlfn.DAYS(L6474, $C$2)</f>
        <v>12.731707625052337</v>
      </c>
      <c r="O6474" s="149">
        <f t="shared" ca="1" si="214"/>
        <v>1.000173611111111</v>
      </c>
    </row>
    <row r="6475" spans="12:15" x14ac:dyDescent="0.25">
      <c r="L6475" s="147">
        <f ca="1"/>
        <v>51714</v>
      </c>
      <c r="M6475" s="92">
        <f t="shared" ca="1" si="213"/>
        <v>6.25</v>
      </c>
      <c r="N6475" s="143">
        <f ca="1">(PRODUCT($O$5:$O6475)-1)*36000/_xlfn.DAYS(L6475, $C$2)</f>
        <v>12.732915994669714</v>
      </c>
      <c r="O6475" s="149">
        <f t="shared" ca="1" si="214"/>
        <v>1.000173611111111</v>
      </c>
    </row>
    <row r="6476" spans="12:15" x14ac:dyDescent="0.25">
      <c r="L6476" s="147">
        <f ca="1"/>
        <v>51715</v>
      </c>
      <c r="M6476" s="92">
        <f t="shared" ca="1" si="213"/>
        <v>6.25</v>
      </c>
      <c r="N6476" s="143">
        <f ca="1">(PRODUCT($O$5:$O6476)-1)*36000/_xlfn.DAYS(L6476, $C$2)</f>
        <v>12.734124542153967</v>
      </c>
      <c r="O6476" s="149">
        <f t="shared" ca="1" si="214"/>
        <v>1.000173611111111</v>
      </c>
    </row>
    <row r="6477" spans="12:15" x14ac:dyDescent="0.25">
      <c r="L6477" s="147">
        <f ca="1"/>
        <v>51716</v>
      </c>
      <c r="M6477" s="92">
        <f t="shared" ca="1" si="213"/>
        <v>6.25</v>
      </c>
      <c r="N6477" s="143">
        <f ca="1">(PRODUCT($O$5:$O6477)-1)*36000/_xlfn.DAYS(L6477, $C$2)</f>
        <v>12.735333267518353</v>
      </c>
      <c r="O6477" s="149">
        <f t="shared" ca="1" si="214"/>
        <v>1.000173611111111</v>
      </c>
    </row>
    <row r="6478" spans="12:15" x14ac:dyDescent="0.25">
      <c r="L6478" s="147">
        <f ca="1"/>
        <v>51717</v>
      </c>
      <c r="M6478" s="92">
        <f t="shared" ca="1" si="213"/>
        <v>6.25</v>
      </c>
      <c r="N6478" s="143">
        <f ca="1">(PRODUCT($O$5:$O6478)-1)*36000/_xlfn.DAYS(L6478, $C$2)</f>
        <v>12.736542170776142</v>
      </c>
      <c r="O6478" s="149">
        <f t="shared" ca="1" si="214"/>
        <v>1.000173611111111</v>
      </c>
    </row>
    <row r="6479" spans="12:15" x14ac:dyDescent="0.25">
      <c r="L6479" s="147">
        <f ca="1"/>
        <v>51718</v>
      </c>
      <c r="M6479" s="92">
        <f t="shared" ca="1" si="213"/>
        <v>6.25</v>
      </c>
      <c r="N6479" s="143">
        <f ca="1">(PRODUCT($O$5:$O6479)-1)*36000/_xlfn.DAYS(L6479, $C$2)</f>
        <v>12.737751251940605</v>
      </c>
      <c r="O6479" s="149">
        <f t="shared" ca="1" si="214"/>
        <v>1.000173611111111</v>
      </c>
    </row>
    <row r="6480" spans="12:15" x14ac:dyDescent="0.25">
      <c r="L6480" s="147">
        <f ca="1"/>
        <v>51719</v>
      </c>
      <c r="M6480" s="92">
        <f t="shared" ca="1" si="213"/>
        <v>6.25</v>
      </c>
      <c r="N6480" s="143">
        <f ca="1">(PRODUCT($O$5:$O6480)-1)*36000/_xlfn.DAYS(L6480, $C$2)</f>
        <v>12.738960511025031</v>
      </c>
      <c r="O6480" s="149">
        <f t="shared" ca="1" si="214"/>
        <v>1.000173611111111</v>
      </c>
    </row>
    <row r="6481" spans="12:15" x14ac:dyDescent="0.25">
      <c r="L6481" s="147">
        <f ca="1"/>
        <v>51720</v>
      </c>
      <c r="M6481" s="92">
        <f t="shared" ca="1" si="213"/>
        <v>6.25</v>
      </c>
      <c r="N6481" s="143">
        <f ca="1">(PRODUCT($O$5:$O6481)-1)*36000/_xlfn.DAYS(L6481, $C$2)</f>
        <v>12.740169948042711</v>
      </c>
      <c r="O6481" s="149">
        <f t="shared" ca="1" si="214"/>
        <v>1.000173611111111</v>
      </c>
    </row>
    <row r="6482" spans="12:15" x14ac:dyDescent="0.25">
      <c r="L6482" s="147">
        <f ca="1"/>
        <v>51721</v>
      </c>
      <c r="M6482" s="92">
        <f t="shared" ca="1" si="213"/>
        <v>6.25</v>
      </c>
      <c r="N6482" s="143">
        <f ca="1">(PRODUCT($O$5:$O6482)-1)*36000/_xlfn.DAYS(L6482, $C$2)</f>
        <v>12.741379563006944</v>
      </c>
      <c r="O6482" s="149">
        <f t="shared" ca="1" si="214"/>
        <v>1.000173611111111</v>
      </c>
    </row>
    <row r="6483" spans="12:15" x14ac:dyDescent="0.25">
      <c r="L6483" s="147">
        <f ca="1"/>
        <v>51722</v>
      </c>
      <c r="M6483" s="92">
        <f t="shared" ca="1" si="213"/>
        <v>6.25</v>
      </c>
      <c r="N6483" s="143">
        <f ca="1">(PRODUCT($O$5:$O6483)-1)*36000/_xlfn.DAYS(L6483, $C$2)</f>
        <v>12.742589355931043</v>
      </c>
      <c r="O6483" s="149">
        <f t="shared" ca="1" si="214"/>
        <v>1.000173611111111</v>
      </c>
    </row>
    <row r="6484" spans="12:15" x14ac:dyDescent="0.25">
      <c r="L6484" s="147">
        <f ca="1"/>
        <v>51723</v>
      </c>
      <c r="M6484" s="92">
        <f t="shared" ca="1" si="213"/>
        <v>6.25</v>
      </c>
      <c r="N6484" s="143">
        <f ca="1">(PRODUCT($O$5:$O6484)-1)*36000/_xlfn.DAYS(L6484, $C$2)</f>
        <v>12.743799326828324</v>
      </c>
      <c r="O6484" s="149">
        <f t="shared" ca="1" si="214"/>
        <v>1.000173611111111</v>
      </c>
    </row>
    <row r="6485" spans="12:15" x14ac:dyDescent="0.25">
      <c r="L6485" s="147">
        <f ca="1"/>
        <v>51724</v>
      </c>
      <c r="M6485" s="92">
        <f t="shared" ca="1" si="213"/>
        <v>6.25</v>
      </c>
      <c r="N6485" s="143">
        <f ca="1">(PRODUCT($O$5:$O6485)-1)*36000/_xlfn.DAYS(L6485, $C$2)</f>
        <v>12.745009475712115</v>
      </c>
      <c r="O6485" s="149">
        <f t="shared" ca="1" si="214"/>
        <v>1.000173611111111</v>
      </c>
    </row>
    <row r="6486" spans="12:15" x14ac:dyDescent="0.25">
      <c r="L6486" s="147">
        <f ca="1"/>
        <v>51725</v>
      </c>
      <c r="M6486" s="92">
        <f t="shared" ca="1" si="213"/>
        <v>6.25</v>
      </c>
      <c r="N6486" s="143">
        <f ca="1">(PRODUCT($O$5:$O6486)-1)*36000/_xlfn.DAYS(L6486, $C$2)</f>
        <v>12.746219802595748</v>
      </c>
      <c r="O6486" s="149">
        <f t="shared" ca="1" si="214"/>
        <v>1.000173611111111</v>
      </c>
    </row>
    <row r="6487" spans="12:15" x14ac:dyDescent="0.25">
      <c r="L6487" s="147">
        <f ca="1"/>
        <v>51726</v>
      </c>
      <c r="M6487" s="92">
        <f t="shared" ca="1" si="213"/>
        <v>6.25</v>
      </c>
      <c r="N6487" s="143">
        <f ca="1">(PRODUCT($O$5:$O6487)-1)*36000/_xlfn.DAYS(L6487, $C$2)</f>
        <v>12.747430307492568</v>
      </c>
      <c r="O6487" s="149">
        <f t="shared" ca="1" si="214"/>
        <v>1.000173611111111</v>
      </c>
    </row>
    <row r="6488" spans="12:15" x14ac:dyDescent="0.25">
      <c r="L6488" s="147">
        <f ca="1"/>
        <v>51727</v>
      </c>
      <c r="M6488" s="92">
        <f t="shared" ca="1" si="213"/>
        <v>6.25</v>
      </c>
      <c r="N6488" s="143">
        <f ca="1">(PRODUCT($O$5:$O6488)-1)*36000/_xlfn.DAYS(L6488, $C$2)</f>
        <v>12.748640990415923</v>
      </c>
      <c r="O6488" s="149">
        <f t="shared" ca="1" si="214"/>
        <v>1.000173611111111</v>
      </c>
    </row>
    <row r="6489" spans="12:15" x14ac:dyDescent="0.25">
      <c r="L6489" s="147">
        <f ca="1"/>
        <v>51728</v>
      </c>
      <c r="M6489" s="92">
        <f t="shared" ca="1" si="213"/>
        <v>6.25</v>
      </c>
      <c r="N6489" s="143">
        <f ca="1">(PRODUCT($O$5:$O6489)-1)*36000/_xlfn.DAYS(L6489, $C$2)</f>
        <v>12.749851851379178</v>
      </c>
      <c r="O6489" s="149">
        <f t="shared" ca="1" si="214"/>
        <v>1.000173611111111</v>
      </c>
    </row>
    <row r="6490" spans="12:15" x14ac:dyDescent="0.25">
      <c r="L6490" s="147">
        <f ca="1"/>
        <v>51729</v>
      </c>
      <c r="M6490" s="92">
        <f t="shared" ca="1" si="213"/>
        <v>6.25</v>
      </c>
      <c r="N6490" s="143">
        <f ca="1">(PRODUCT($O$5:$O6490)-1)*36000/_xlfn.DAYS(L6490, $C$2)</f>
        <v>12.751062890395698</v>
      </c>
      <c r="O6490" s="149">
        <f t="shared" ca="1" si="214"/>
        <v>1.000173611111111</v>
      </c>
    </row>
    <row r="6491" spans="12:15" x14ac:dyDescent="0.25">
      <c r="L6491" s="147">
        <f ca="1"/>
        <v>51730</v>
      </c>
      <c r="M6491" s="92">
        <f t="shared" ca="1" si="213"/>
        <v>6.25</v>
      </c>
      <c r="N6491" s="143">
        <f ca="1">(PRODUCT($O$5:$O6491)-1)*36000/_xlfn.DAYS(L6491, $C$2)</f>
        <v>12.752274107478859</v>
      </c>
      <c r="O6491" s="149">
        <f t="shared" ca="1" si="214"/>
        <v>1.000173611111111</v>
      </c>
    </row>
    <row r="6492" spans="12:15" x14ac:dyDescent="0.25">
      <c r="L6492" s="147">
        <f ca="1"/>
        <v>51731</v>
      </c>
      <c r="M6492" s="92">
        <f t="shared" ca="1" si="213"/>
        <v>6.25</v>
      </c>
      <c r="N6492" s="143">
        <f ca="1">(PRODUCT($O$5:$O6492)-1)*36000/_xlfn.DAYS(L6492, $C$2)</f>
        <v>12.753485502642047</v>
      </c>
      <c r="O6492" s="149">
        <f t="shared" ca="1" si="214"/>
        <v>1.000173611111111</v>
      </c>
    </row>
    <row r="6493" spans="12:15" x14ac:dyDescent="0.25">
      <c r="L6493" s="147">
        <f ca="1"/>
        <v>51732</v>
      </c>
      <c r="M6493" s="92">
        <f t="shared" ca="1" si="213"/>
        <v>6.25</v>
      </c>
      <c r="N6493" s="143">
        <f ca="1">(PRODUCT($O$5:$O6493)-1)*36000/_xlfn.DAYS(L6493, $C$2)</f>
        <v>12.754697075898655</v>
      </c>
      <c r="O6493" s="149">
        <f t="shared" ca="1" si="214"/>
        <v>1.000173611111111</v>
      </c>
    </row>
    <row r="6494" spans="12:15" x14ac:dyDescent="0.25">
      <c r="L6494" s="147">
        <f ca="1"/>
        <v>51733</v>
      </c>
      <c r="M6494" s="92">
        <f t="shared" ca="1" si="213"/>
        <v>6.25</v>
      </c>
      <c r="N6494" s="143">
        <f ca="1">(PRODUCT($O$5:$O6494)-1)*36000/_xlfn.DAYS(L6494, $C$2)</f>
        <v>12.755908827262081</v>
      </c>
      <c r="O6494" s="149">
        <f t="shared" ca="1" si="214"/>
        <v>1.000173611111111</v>
      </c>
    </row>
    <row r="6495" spans="12:15" x14ac:dyDescent="0.25">
      <c r="L6495" s="147">
        <f ca="1"/>
        <v>51734</v>
      </c>
      <c r="M6495" s="92">
        <f t="shared" ca="1" si="213"/>
        <v>6.25</v>
      </c>
      <c r="N6495" s="143">
        <f ca="1">(PRODUCT($O$5:$O6495)-1)*36000/_xlfn.DAYS(L6495, $C$2)</f>
        <v>12.757120756745744</v>
      </c>
      <c r="O6495" s="149">
        <f t="shared" ca="1" si="214"/>
        <v>1.000173611111111</v>
      </c>
    </row>
    <row r="6496" spans="12:15" x14ac:dyDescent="0.25">
      <c r="L6496" s="147">
        <f ca="1"/>
        <v>51735</v>
      </c>
      <c r="M6496" s="92">
        <f t="shared" ca="1" si="213"/>
        <v>6.25</v>
      </c>
      <c r="N6496" s="143">
        <f ca="1">(PRODUCT($O$5:$O6496)-1)*36000/_xlfn.DAYS(L6496, $C$2)</f>
        <v>12.758332864363053</v>
      </c>
      <c r="O6496" s="149">
        <f t="shared" ca="1" si="214"/>
        <v>1.000173611111111</v>
      </c>
    </row>
    <row r="6497" spans="12:15" x14ac:dyDescent="0.25">
      <c r="L6497" s="147">
        <f ca="1"/>
        <v>51736</v>
      </c>
      <c r="M6497" s="92">
        <f t="shared" ca="1" si="213"/>
        <v>6.25</v>
      </c>
      <c r="N6497" s="143">
        <f ca="1">(PRODUCT($O$5:$O6497)-1)*36000/_xlfn.DAYS(L6497, $C$2)</f>
        <v>12.759545150127442</v>
      </c>
      <c r="O6497" s="149">
        <f t="shared" ca="1" si="214"/>
        <v>1.000173611111111</v>
      </c>
    </row>
    <row r="6498" spans="12:15" x14ac:dyDescent="0.25">
      <c r="L6498" s="147">
        <f ca="1"/>
        <v>51737</v>
      </c>
      <c r="M6498" s="92">
        <f t="shared" ca="1" si="213"/>
        <v>6.25</v>
      </c>
      <c r="N6498" s="143">
        <f ca="1">(PRODUCT($O$5:$O6498)-1)*36000/_xlfn.DAYS(L6498, $C$2)</f>
        <v>12.760757614052343</v>
      </c>
      <c r="O6498" s="149">
        <f t="shared" ca="1" si="214"/>
        <v>1.000173611111111</v>
      </c>
    </row>
    <row r="6499" spans="12:15" x14ac:dyDescent="0.25">
      <c r="L6499" s="147">
        <f ca="1"/>
        <v>51738</v>
      </c>
      <c r="M6499" s="92">
        <f t="shared" ca="1" si="213"/>
        <v>6.25</v>
      </c>
      <c r="N6499" s="143">
        <f ca="1">(PRODUCT($O$5:$O6499)-1)*36000/_xlfn.DAYS(L6499, $C$2)</f>
        <v>12.761970256151196</v>
      </c>
      <c r="O6499" s="149">
        <f t="shared" ca="1" si="214"/>
        <v>1.000173611111111</v>
      </c>
    </row>
    <row r="6500" spans="12:15" x14ac:dyDescent="0.25">
      <c r="L6500" s="147">
        <f ca="1"/>
        <v>51739</v>
      </c>
      <c r="M6500" s="92">
        <f t="shared" ca="1" si="213"/>
        <v>6.25</v>
      </c>
      <c r="N6500" s="143">
        <f ca="1">(PRODUCT($O$5:$O6500)-1)*36000/_xlfn.DAYS(L6500, $C$2)</f>
        <v>12.763183076437459</v>
      </c>
      <c r="O6500" s="149">
        <f t="shared" ca="1" si="214"/>
        <v>1.000173611111111</v>
      </c>
    </row>
    <row r="6501" spans="12:15" x14ac:dyDescent="0.25">
      <c r="L6501" s="147">
        <f ca="1"/>
        <v>51740</v>
      </c>
      <c r="M6501" s="92">
        <f t="shared" ca="1" si="213"/>
        <v>6.25</v>
      </c>
      <c r="N6501" s="143">
        <f ca="1">(PRODUCT($O$5:$O6501)-1)*36000/_xlfn.DAYS(L6501, $C$2)</f>
        <v>12.764396074924585</v>
      </c>
      <c r="O6501" s="149">
        <f t="shared" ca="1" si="214"/>
        <v>1.000173611111111</v>
      </c>
    </row>
    <row r="6502" spans="12:15" x14ac:dyDescent="0.25">
      <c r="L6502" s="147">
        <f ca="1"/>
        <v>51741</v>
      </c>
      <c r="M6502" s="92">
        <f t="shared" ca="1" si="213"/>
        <v>6.25</v>
      </c>
      <c r="N6502" s="143">
        <f ca="1">(PRODUCT($O$5:$O6502)-1)*36000/_xlfn.DAYS(L6502, $C$2)</f>
        <v>12.765609251626046</v>
      </c>
      <c r="O6502" s="149">
        <f t="shared" ca="1" si="214"/>
        <v>1.000173611111111</v>
      </c>
    </row>
    <row r="6503" spans="12:15" x14ac:dyDescent="0.25">
      <c r="L6503" s="147">
        <f ca="1"/>
        <v>51742</v>
      </c>
      <c r="M6503" s="92">
        <f t="shared" ca="1" si="213"/>
        <v>6.25</v>
      </c>
      <c r="N6503" s="143">
        <f ca="1">(PRODUCT($O$5:$O6503)-1)*36000/_xlfn.DAYS(L6503, $C$2)</f>
        <v>12.766822606555323</v>
      </c>
      <c r="O6503" s="149">
        <f t="shared" ca="1" si="214"/>
        <v>1.000173611111111</v>
      </c>
    </row>
    <row r="6504" spans="12:15" x14ac:dyDescent="0.25">
      <c r="L6504" s="147">
        <f ca="1"/>
        <v>51743</v>
      </c>
      <c r="M6504" s="92">
        <f t="shared" ca="1" si="213"/>
        <v>6.25</v>
      </c>
      <c r="N6504" s="143">
        <f ca="1">(PRODUCT($O$5:$O6504)-1)*36000/_xlfn.DAYS(L6504, $C$2)</f>
        <v>12.768036139725893</v>
      </c>
      <c r="O6504" s="149">
        <f t="shared" ca="1" si="214"/>
        <v>1.000173611111111</v>
      </c>
    </row>
    <row r="6505" spans="12:15" x14ac:dyDescent="0.25">
      <c r="L6505" s="147">
        <f ca="1"/>
        <v>51744</v>
      </c>
      <c r="M6505" s="92">
        <f t="shared" ca="1" si="213"/>
        <v>6.25</v>
      </c>
      <c r="N6505" s="143">
        <f ca="1">(PRODUCT($O$5:$O6505)-1)*36000/_xlfn.DAYS(L6505, $C$2)</f>
        <v>12.769249851151255</v>
      </c>
      <c r="O6505" s="149">
        <f t="shared" ca="1" si="214"/>
        <v>1.000173611111111</v>
      </c>
    </row>
    <row r="6506" spans="12:15" x14ac:dyDescent="0.25">
      <c r="L6506" s="147">
        <f ca="1"/>
        <v>51745</v>
      </c>
      <c r="M6506" s="92">
        <f t="shared" ca="1" si="213"/>
        <v>6.25</v>
      </c>
      <c r="N6506" s="143">
        <f ca="1">(PRODUCT($O$5:$O6506)-1)*36000/_xlfn.DAYS(L6506, $C$2)</f>
        <v>12.770463740844907</v>
      </c>
      <c r="O6506" s="149">
        <f t="shared" ca="1" si="214"/>
        <v>1.000173611111111</v>
      </c>
    </row>
    <row r="6507" spans="12:15" x14ac:dyDescent="0.25">
      <c r="L6507" s="147">
        <f ca="1"/>
        <v>51746</v>
      </c>
      <c r="M6507" s="92">
        <f t="shared" ca="1" si="213"/>
        <v>6.25</v>
      </c>
      <c r="N6507" s="143">
        <f ca="1">(PRODUCT($O$5:$O6507)-1)*36000/_xlfn.DAYS(L6507, $C$2)</f>
        <v>12.77167780882036</v>
      </c>
      <c r="O6507" s="149">
        <f t="shared" ca="1" si="214"/>
        <v>1.000173611111111</v>
      </c>
    </row>
    <row r="6508" spans="12:15" x14ac:dyDescent="0.25">
      <c r="L6508" s="147">
        <f ca="1"/>
        <v>51747</v>
      </c>
      <c r="M6508" s="92">
        <f t="shared" ca="1" si="213"/>
        <v>6.25</v>
      </c>
      <c r="N6508" s="143">
        <f ca="1">(PRODUCT($O$5:$O6508)-1)*36000/_xlfn.DAYS(L6508, $C$2)</f>
        <v>12.772892055091138</v>
      </c>
      <c r="O6508" s="149">
        <f t="shared" ca="1" si="214"/>
        <v>1.000173611111111</v>
      </c>
    </row>
    <row r="6509" spans="12:15" x14ac:dyDescent="0.25">
      <c r="L6509" s="147">
        <f ca="1"/>
        <v>51748</v>
      </c>
      <c r="M6509" s="92">
        <f t="shared" ca="1" si="213"/>
        <v>6.25</v>
      </c>
      <c r="N6509" s="143">
        <f ca="1">(PRODUCT($O$5:$O6509)-1)*36000/_xlfn.DAYS(L6509, $C$2)</f>
        <v>12.774106479670756</v>
      </c>
      <c r="O6509" s="149">
        <f t="shared" ca="1" si="214"/>
        <v>1.000173611111111</v>
      </c>
    </row>
    <row r="6510" spans="12:15" x14ac:dyDescent="0.25">
      <c r="L6510" s="147">
        <f ca="1"/>
        <v>51749</v>
      </c>
      <c r="M6510" s="92">
        <f t="shared" ca="1" si="213"/>
        <v>6.25</v>
      </c>
      <c r="N6510" s="143">
        <f ca="1">(PRODUCT($O$5:$O6510)-1)*36000/_xlfn.DAYS(L6510, $C$2)</f>
        <v>12.775321082572759</v>
      </c>
      <c r="O6510" s="149">
        <f t="shared" ca="1" si="214"/>
        <v>1.000173611111111</v>
      </c>
    </row>
    <row r="6511" spans="12:15" x14ac:dyDescent="0.25">
      <c r="L6511" s="147">
        <f ca="1"/>
        <v>51750</v>
      </c>
      <c r="M6511" s="92">
        <f t="shared" ca="1" si="213"/>
        <v>6.25</v>
      </c>
      <c r="N6511" s="143">
        <f ca="1">(PRODUCT($O$5:$O6511)-1)*36000/_xlfn.DAYS(L6511, $C$2)</f>
        <v>12.77653586381069</v>
      </c>
      <c r="O6511" s="149">
        <f t="shared" ca="1" si="214"/>
        <v>1.000173611111111</v>
      </c>
    </row>
    <row r="6512" spans="12:15" x14ac:dyDescent="0.25">
      <c r="L6512" s="147">
        <f ca="1"/>
        <v>51751</v>
      </c>
      <c r="M6512" s="92">
        <f t="shared" ca="1" si="213"/>
        <v>6.25</v>
      </c>
      <c r="N6512" s="143">
        <f ca="1">(PRODUCT($O$5:$O6512)-1)*36000/_xlfn.DAYS(L6512, $C$2)</f>
        <v>12.777750823398094</v>
      </c>
      <c r="O6512" s="149">
        <f t="shared" ca="1" si="214"/>
        <v>1.000173611111111</v>
      </c>
    </row>
    <row r="6513" spans="12:15" x14ac:dyDescent="0.25">
      <c r="L6513" s="147">
        <f ca="1"/>
        <v>51752</v>
      </c>
      <c r="M6513" s="92">
        <f t="shared" ca="1" si="213"/>
        <v>6.25</v>
      </c>
      <c r="N6513" s="143">
        <f ca="1">(PRODUCT($O$5:$O6513)-1)*36000/_xlfn.DAYS(L6513, $C$2)</f>
        <v>12.778965961348533</v>
      </c>
      <c r="O6513" s="149">
        <f t="shared" ca="1" si="214"/>
        <v>1.000173611111111</v>
      </c>
    </row>
    <row r="6514" spans="12:15" x14ac:dyDescent="0.25">
      <c r="L6514" s="147">
        <f ca="1"/>
        <v>51753</v>
      </c>
      <c r="M6514" s="92">
        <f t="shared" ca="1" si="213"/>
        <v>6.25</v>
      </c>
      <c r="N6514" s="143">
        <f ca="1">(PRODUCT($O$5:$O6514)-1)*36000/_xlfn.DAYS(L6514, $C$2)</f>
        <v>12.780181277675579</v>
      </c>
      <c r="O6514" s="149">
        <f t="shared" ca="1" si="214"/>
        <v>1.000173611111111</v>
      </c>
    </row>
    <row r="6515" spans="12:15" x14ac:dyDescent="0.25">
      <c r="L6515" s="147">
        <f ca="1"/>
        <v>51754</v>
      </c>
      <c r="M6515" s="92">
        <f t="shared" ca="1" si="213"/>
        <v>6.25</v>
      </c>
      <c r="N6515" s="143">
        <f ca="1">(PRODUCT($O$5:$O6515)-1)*36000/_xlfn.DAYS(L6515, $C$2)</f>
        <v>12.781396772392803</v>
      </c>
      <c r="O6515" s="149">
        <f t="shared" ca="1" si="214"/>
        <v>1.000173611111111</v>
      </c>
    </row>
    <row r="6516" spans="12:15" x14ac:dyDescent="0.25">
      <c r="L6516" s="147">
        <f ca="1"/>
        <v>51755</v>
      </c>
      <c r="M6516" s="92">
        <f t="shared" ca="1" si="213"/>
        <v>6.25</v>
      </c>
      <c r="N6516" s="143">
        <f ca="1">(PRODUCT($O$5:$O6516)-1)*36000/_xlfn.DAYS(L6516, $C$2)</f>
        <v>12.782612445513793</v>
      </c>
      <c r="O6516" s="149">
        <f t="shared" ca="1" si="214"/>
        <v>1.000173611111111</v>
      </c>
    </row>
    <row r="6517" spans="12:15" x14ac:dyDescent="0.25">
      <c r="L6517" s="147">
        <f ca="1"/>
        <v>51756</v>
      </c>
      <c r="M6517" s="92">
        <f t="shared" ca="1" si="213"/>
        <v>6.25</v>
      </c>
      <c r="N6517" s="143">
        <f ca="1">(PRODUCT($O$5:$O6517)-1)*36000/_xlfn.DAYS(L6517, $C$2)</f>
        <v>12.783828297052143</v>
      </c>
      <c r="O6517" s="149">
        <f t="shared" ca="1" si="214"/>
        <v>1.000173611111111</v>
      </c>
    </row>
    <row r="6518" spans="12:15" x14ac:dyDescent="0.25">
      <c r="L6518" s="147">
        <f ca="1"/>
        <v>51757</v>
      </c>
      <c r="M6518" s="92">
        <f t="shared" ca="1" si="213"/>
        <v>6.25</v>
      </c>
      <c r="N6518" s="143">
        <f ca="1">(PRODUCT($O$5:$O6518)-1)*36000/_xlfn.DAYS(L6518, $C$2)</f>
        <v>12.785044327021451</v>
      </c>
      <c r="O6518" s="149">
        <f t="shared" ca="1" si="214"/>
        <v>1.000173611111111</v>
      </c>
    </row>
    <row r="6519" spans="12:15" x14ac:dyDescent="0.25">
      <c r="L6519" s="147">
        <f ca="1"/>
        <v>51758</v>
      </c>
      <c r="M6519" s="92">
        <f t="shared" ca="1" si="213"/>
        <v>6.25</v>
      </c>
      <c r="N6519" s="143">
        <f ca="1">(PRODUCT($O$5:$O6519)-1)*36000/_xlfn.DAYS(L6519, $C$2)</f>
        <v>12.786260535435327</v>
      </c>
      <c r="O6519" s="149">
        <f t="shared" ca="1" si="214"/>
        <v>1.000173611111111</v>
      </c>
    </row>
    <row r="6520" spans="12:15" x14ac:dyDescent="0.25">
      <c r="L6520" s="147">
        <f ca="1"/>
        <v>51759</v>
      </c>
      <c r="M6520" s="92">
        <f t="shared" ca="1" si="213"/>
        <v>6.25</v>
      </c>
      <c r="N6520" s="143">
        <f ca="1">(PRODUCT($O$5:$O6520)-1)*36000/_xlfn.DAYS(L6520, $C$2)</f>
        <v>12.787476922307391</v>
      </c>
      <c r="O6520" s="149">
        <f t="shared" ca="1" si="214"/>
        <v>1.000173611111111</v>
      </c>
    </row>
    <row r="6521" spans="12:15" x14ac:dyDescent="0.25">
      <c r="L6521" s="147">
        <f ca="1"/>
        <v>51760</v>
      </c>
      <c r="M6521" s="92">
        <f t="shared" ca="1" si="213"/>
        <v>6.25</v>
      </c>
      <c r="N6521" s="143">
        <f ca="1">(PRODUCT($O$5:$O6521)-1)*36000/_xlfn.DAYS(L6521, $C$2)</f>
        <v>12.788693487651267</v>
      </c>
      <c r="O6521" s="149">
        <f t="shared" ca="1" si="214"/>
        <v>1.000173611111111</v>
      </c>
    </row>
    <row r="6522" spans="12:15" x14ac:dyDescent="0.25">
      <c r="L6522" s="147">
        <f ca="1"/>
        <v>51761</v>
      </c>
      <c r="M6522" s="92">
        <f t="shared" ca="1" si="213"/>
        <v>6.25</v>
      </c>
      <c r="N6522" s="143">
        <f ca="1">(PRODUCT($O$5:$O6522)-1)*36000/_xlfn.DAYS(L6522, $C$2)</f>
        <v>12.78991023148059</v>
      </c>
      <c r="O6522" s="149">
        <f t="shared" ca="1" si="214"/>
        <v>1.000173611111111</v>
      </c>
    </row>
    <row r="6523" spans="12:15" x14ac:dyDescent="0.25">
      <c r="L6523" s="147">
        <f ca="1"/>
        <v>51762</v>
      </c>
      <c r="M6523" s="92">
        <f t="shared" ca="1" si="213"/>
        <v>6.25</v>
      </c>
      <c r="N6523" s="143">
        <f ca="1">(PRODUCT($O$5:$O6523)-1)*36000/_xlfn.DAYS(L6523, $C$2)</f>
        <v>12.791127153809004</v>
      </c>
      <c r="O6523" s="149">
        <f t="shared" ca="1" si="214"/>
        <v>1.000173611111111</v>
      </c>
    </row>
    <row r="6524" spans="12:15" x14ac:dyDescent="0.25">
      <c r="L6524" s="147">
        <f ca="1"/>
        <v>51763</v>
      </c>
      <c r="M6524" s="92">
        <f t="shared" ca="1" si="213"/>
        <v>6.25</v>
      </c>
      <c r="N6524" s="143">
        <f ca="1">(PRODUCT($O$5:$O6524)-1)*36000/_xlfn.DAYS(L6524, $C$2)</f>
        <v>12.792344254650159</v>
      </c>
      <c r="O6524" s="149">
        <f t="shared" ca="1" si="214"/>
        <v>1.000173611111111</v>
      </c>
    </row>
    <row r="6525" spans="12:15" x14ac:dyDescent="0.25">
      <c r="L6525" s="147">
        <f ca="1"/>
        <v>51764</v>
      </c>
      <c r="M6525" s="92">
        <f t="shared" ca="1" si="213"/>
        <v>6.25</v>
      </c>
      <c r="N6525" s="143">
        <f ca="1">(PRODUCT($O$5:$O6525)-1)*36000/_xlfn.DAYS(L6525, $C$2)</f>
        <v>12.793561534017712</v>
      </c>
      <c r="O6525" s="149">
        <f t="shared" ca="1" si="214"/>
        <v>1.000173611111111</v>
      </c>
    </row>
    <row r="6526" spans="12:15" x14ac:dyDescent="0.25">
      <c r="L6526" s="147">
        <f ca="1"/>
        <v>51765</v>
      </c>
      <c r="M6526" s="92">
        <f t="shared" ca="1" si="213"/>
        <v>6.25</v>
      </c>
      <c r="N6526" s="143">
        <f ca="1">(PRODUCT($O$5:$O6526)-1)*36000/_xlfn.DAYS(L6526, $C$2)</f>
        <v>12.79477899192533</v>
      </c>
      <c r="O6526" s="149">
        <f t="shared" ca="1" si="214"/>
        <v>1.000173611111111</v>
      </c>
    </row>
    <row r="6527" spans="12:15" x14ac:dyDescent="0.25">
      <c r="L6527" s="147">
        <f ca="1"/>
        <v>51766</v>
      </c>
      <c r="M6527" s="92">
        <f t="shared" ca="1" si="213"/>
        <v>6.25</v>
      </c>
      <c r="N6527" s="143">
        <f ca="1">(PRODUCT($O$5:$O6527)-1)*36000/_xlfn.DAYS(L6527, $C$2)</f>
        <v>12.795996628386694</v>
      </c>
      <c r="O6527" s="149">
        <f t="shared" ca="1" si="214"/>
        <v>1.000173611111111</v>
      </c>
    </row>
    <row r="6528" spans="12:15" x14ac:dyDescent="0.25">
      <c r="L6528" s="147">
        <f ca="1"/>
        <v>51767</v>
      </c>
      <c r="M6528" s="92">
        <f t="shared" ca="1" si="213"/>
        <v>6.25</v>
      </c>
      <c r="N6528" s="143">
        <f ca="1">(PRODUCT($O$5:$O6528)-1)*36000/_xlfn.DAYS(L6528, $C$2)</f>
        <v>12.797214443415481</v>
      </c>
      <c r="O6528" s="149">
        <f t="shared" ca="1" si="214"/>
        <v>1.000173611111111</v>
      </c>
    </row>
    <row r="6529" spans="12:15" x14ac:dyDescent="0.25">
      <c r="L6529" s="147">
        <f ca="1"/>
        <v>51768</v>
      </c>
      <c r="M6529" s="92">
        <f t="shared" ca="1" si="213"/>
        <v>6.25</v>
      </c>
      <c r="N6529" s="143">
        <f ca="1">(PRODUCT($O$5:$O6529)-1)*36000/_xlfn.DAYS(L6529, $C$2)</f>
        <v>12.79843243702539</v>
      </c>
      <c r="O6529" s="149">
        <f t="shared" ca="1" si="214"/>
        <v>1.000173611111111</v>
      </c>
    </row>
    <row r="6530" spans="12:15" x14ac:dyDescent="0.25">
      <c r="L6530" s="147">
        <f ca="1"/>
        <v>51769</v>
      </c>
      <c r="M6530" s="92">
        <f t="shared" ca="1" si="213"/>
        <v>6.25</v>
      </c>
      <c r="N6530" s="143">
        <f ca="1">(PRODUCT($O$5:$O6530)-1)*36000/_xlfn.DAYS(L6530, $C$2)</f>
        <v>12.799650609230113</v>
      </c>
      <c r="O6530" s="149">
        <f t="shared" ca="1" si="214"/>
        <v>1.000173611111111</v>
      </c>
    </row>
    <row r="6531" spans="12:15" x14ac:dyDescent="0.25">
      <c r="L6531" s="147">
        <f ca="1"/>
        <v>51770</v>
      </c>
      <c r="M6531" s="92">
        <f t="shared" ca="1" si="213"/>
        <v>6.25</v>
      </c>
      <c r="N6531" s="143">
        <f ca="1">(PRODUCT($O$5:$O6531)-1)*36000/_xlfn.DAYS(L6531, $C$2)</f>
        <v>12.800868960043365</v>
      </c>
      <c r="O6531" s="149">
        <f t="shared" ca="1" si="214"/>
        <v>1.000173611111111</v>
      </c>
    </row>
    <row r="6532" spans="12:15" x14ac:dyDescent="0.25">
      <c r="L6532" s="147">
        <f ca="1"/>
        <v>51771</v>
      </c>
      <c r="M6532" s="92">
        <f t="shared" ca="1" si="213"/>
        <v>6.25</v>
      </c>
      <c r="N6532" s="143">
        <f ca="1">(PRODUCT($O$5:$O6532)-1)*36000/_xlfn.DAYS(L6532, $C$2)</f>
        <v>12.802087489478863</v>
      </c>
      <c r="O6532" s="149">
        <f t="shared" ca="1" si="214"/>
        <v>1.000173611111111</v>
      </c>
    </row>
    <row r="6533" spans="12:15" x14ac:dyDescent="0.25">
      <c r="L6533" s="147">
        <f ca="1"/>
        <v>51772</v>
      </c>
      <c r="M6533" s="92">
        <f t="shared" ref="M6533:M6596" ca="1" si="215">IFERROR(INDEX($E$27:$H$47, MATCH(L6533, $F$27:$F$47, 0), 4), IF(ISNUMBER(M6532), M6532, $C$5))</f>
        <v>6.25</v>
      </c>
      <c r="N6533" s="143">
        <f ca="1">(PRODUCT($O$5:$O6533)-1)*36000/_xlfn.DAYS(L6533, $C$2)</f>
        <v>12.803306197550326</v>
      </c>
      <c r="O6533" s="149">
        <f t="shared" ca="1" si="214"/>
        <v>1.000173611111111</v>
      </c>
    </row>
    <row r="6534" spans="12:15" x14ac:dyDescent="0.25">
      <c r="L6534" s="147">
        <f ca="1"/>
        <v>51773</v>
      </c>
      <c r="M6534" s="92">
        <f t="shared" ca="1" si="215"/>
        <v>6.25</v>
      </c>
      <c r="N6534" s="143">
        <f ca="1">(PRODUCT($O$5:$O6534)-1)*36000/_xlfn.DAYS(L6534, $C$2)</f>
        <v>12.804525084271491</v>
      </c>
      <c r="O6534" s="149">
        <f t="shared" ref="O6534:O6597" ca="1" si="216">1+M6534*IFERROR(_xlfn.DAYS(L6534, L6533), _xlfn.DAYS(L6534, $C$2))/36000</f>
        <v>1.000173611111111</v>
      </c>
    </row>
    <row r="6535" spans="12:15" x14ac:dyDescent="0.25">
      <c r="L6535" s="147">
        <f ca="1"/>
        <v>51774</v>
      </c>
      <c r="M6535" s="92">
        <f t="shared" ca="1" si="215"/>
        <v>6.25</v>
      </c>
      <c r="N6535" s="143">
        <f ca="1">(PRODUCT($O$5:$O6535)-1)*36000/_xlfn.DAYS(L6535, $C$2)</f>
        <v>12.805744149656102</v>
      </c>
      <c r="O6535" s="149">
        <f t="shared" ca="1" si="216"/>
        <v>1.000173611111111</v>
      </c>
    </row>
    <row r="6536" spans="12:15" x14ac:dyDescent="0.25">
      <c r="L6536" s="147">
        <f ca="1"/>
        <v>51775</v>
      </c>
      <c r="M6536" s="92">
        <f t="shared" ca="1" si="215"/>
        <v>6.25</v>
      </c>
      <c r="N6536" s="143">
        <f ca="1">(PRODUCT($O$5:$O6536)-1)*36000/_xlfn.DAYS(L6536, $C$2)</f>
        <v>12.806963393717904</v>
      </c>
      <c r="O6536" s="149">
        <f t="shared" ca="1" si="216"/>
        <v>1.000173611111111</v>
      </c>
    </row>
    <row r="6537" spans="12:15" x14ac:dyDescent="0.25">
      <c r="L6537" s="147">
        <f ca="1"/>
        <v>51776</v>
      </c>
      <c r="M6537" s="92">
        <f t="shared" ca="1" si="215"/>
        <v>6.25</v>
      </c>
      <c r="N6537" s="143">
        <f ca="1">(PRODUCT($O$5:$O6537)-1)*36000/_xlfn.DAYS(L6537, $C$2)</f>
        <v>12.808182816470655</v>
      </c>
      <c r="O6537" s="149">
        <f t="shared" ca="1" si="216"/>
        <v>1.000173611111111</v>
      </c>
    </row>
    <row r="6538" spans="12:15" x14ac:dyDescent="0.25">
      <c r="L6538" s="147">
        <f ca="1"/>
        <v>51777</v>
      </c>
      <c r="M6538" s="92">
        <f t="shared" ca="1" si="215"/>
        <v>6.25</v>
      </c>
      <c r="N6538" s="143">
        <f ca="1">(PRODUCT($O$5:$O6538)-1)*36000/_xlfn.DAYS(L6538, $C$2)</f>
        <v>12.809402417928125</v>
      </c>
      <c r="O6538" s="149">
        <f t="shared" ca="1" si="216"/>
        <v>1.000173611111111</v>
      </c>
    </row>
    <row r="6539" spans="12:15" x14ac:dyDescent="0.25">
      <c r="L6539" s="147">
        <f ca="1"/>
        <v>51778</v>
      </c>
      <c r="M6539" s="92">
        <f t="shared" ca="1" si="215"/>
        <v>6.25</v>
      </c>
      <c r="N6539" s="143">
        <f ca="1">(PRODUCT($O$5:$O6539)-1)*36000/_xlfn.DAYS(L6539, $C$2)</f>
        <v>12.810622198104085</v>
      </c>
      <c r="O6539" s="149">
        <f t="shared" ca="1" si="216"/>
        <v>1.000173611111111</v>
      </c>
    </row>
    <row r="6540" spans="12:15" x14ac:dyDescent="0.25">
      <c r="L6540" s="147">
        <f ca="1"/>
        <v>51779</v>
      </c>
      <c r="M6540" s="92">
        <f t="shared" ca="1" si="215"/>
        <v>6.25</v>
      </c>
      <c r="N6540" s="143">
        <f ca="1">(PRODUCT($O$5:$O6540)-1)*36000/_xlfn.DAYS(L6540, $C$2)</f>
        <v>12.81184215701232</v>
      </c>
      <c r="O6540" s="149">
        <f t="shared" ca="1" si="216"/>
        <v>1.000173611111111</v>
      </c>
    </row>
    <row r="6541" spans="12:15" x14ac:dyDescent="0.25">
      <c r="L6541" s="147">
        <f ca="1"/>
        <v>51780</v>
      </c>
      <c r="M6541" s="92">
        <f t="shared" ca="1" si="215"/>
        <v>6.25</v>
      </c>
      <c r="N6541" s="143">
        <f ca="1">(PRODUCT($O$5:$O6541)-1)*36000/_xlfn.DAYS(L6541, $C$2)</f>
        <v>12.813062294666619</v>
      </c>
      <c r="O6541" s="149">
        <f t="shared" ca="1" si="216"/>
        <v>1.000173611111111</v>
      </c>
    </row>
    <row r="6542" spans="12:15" x14ac:dyDescent="0.25">
      <c r="L6542" s="147">
        <f ca="1"/>
        <v>51781</v>
      </c>
      <c r="M6542" s="92">
        <f t="shared" ca="1" si="215"/>
        <v>6.25</v>
      </c>
      <c r="N6542" s="143">
        <f ca="1">(PRODUCT($O$5:$O6542)-1)*36000/_xlfn.DAYS(L6542, $C$2)</f>
        <v>12.814282611080777</v>
      </c>
      <c r="O6542" s="149">
        <f t="shared" ca="1" si="216"/>
        <v>1.000173611111111</v>
      </c>
    </row>
    <row r="6543" spans="12:15" x14ac:dyDescent="0.25">
      <c r="L6543" s="147">
        <f ca="1"/>
        <v>51782</v>
      </c>
      <c r="M6543" s="92">
        <f t="shared" ca="1" si="215"/>
        <v>6.25</v>
      </c>
      <c r="N6543" s="143">
        <f ca="1">(PRODUCT($O$5:$O6543)-1)*36000/_xlfn.DAYS(L6543, $C$2)</f>
        <v>12.815503106268608</v>
      </c>
      <c r="O6543" s="149">
        <f t="shared" ca="1" si="216"/>
        <v>1.000173611111111</v>
      </c>
    </row>
    <row r="6544" spans="12:15" x14ac:dyDescent="0.25">
      <c r="L6544" s="147">
        <f ca="1"/>
        <v>51783</v>
      </c>
      <c r="M6544" s="92">
        <f t="shared" ca="1" si="215"/>
        <v>6.25</v>
      </c>
      <c r="N6544" s="143">
        <f ca="1">(PRODUCT($O$5:$O6544)-1)*36000/_xlfn.DAYS(L6544, $C$2)</f>
        <v>12.816723780243922</v>
      </c>
      <c r="O6544" s="149">
        <f t="shared" ca="1" si="216"/>
        <v>1.000173611111111</v>
      </c>
    </row>
    <row r="6545" spans="12:15" x14ac:dyDescent="0.25">
      <c r="L6545" s="147">
        <f ca="1"/>
        <v>51784</v>
      </c>
      <c r="M6545" s="92">
        <f t="shared" ca="1" si="215"/>
        <v>6.25</v>
      </c>
      <c r="N6545" s="143">
        <f ca="1">(PRODUCT($O$5:$O6545)-1)*36000/_xlfn.DAYS(L6545, $C$2)</f>
        <v>12.817944633020547</v>
      </c>
      <c r="O6545" s="149">
        <f t="shared" ca="1" si="216"/>
        <v>1.000173611111111</v>
      </c>
    </row>
    <row r="6546" spans="12:15" x14ac:dyDescent="0.25">
      <c r="L6546" s="147">
        <f ca="1"/>
        <v>51785</v>
      </c>
      <c r="M6546" s="92">
        <f t="shared" ca="1" si="215"/>
        <v>6.25</v>
      </c>
      <c r="N6546" s="143">
        <f ca="1">(PRODUCT($O$5:$O6546)-1)*36000/_xlfn.DAYS(L6546, $C$2)</f>
        <v>12.81916566461231</v>
      </c>
      <c r="O6546" s="149">
        <f t="shared" ca="1" si="216"/>
        <v>1.000173611111111</v>
      </c>
    </row>
    <row r="6547" spans="12:15" x14ac:dyDescent="0.25">
      <c r="L6547" s="147">
        <f ca="1"/>
        <v>51786</v>
      </c>
      <c r="M6547" s="92">
        <f t="shared" ca="1" si="215"/>
        <v>6.25</v>
      </c>
      <c r="N6547" s="143">
        <f ca="1">(PRODUCT($O$5:$O6547)-1)*36000/_xlfn.DAYS(L6547, $C$2)</f>
        <v>12.820386875033053</v>
      </c>
      <c r="O6547" s="149">
        <f t="shared" ca="1" si="216"/>
        <v>1.000173611111111</v>
      </c>
    </row>
    <row r="6548" spans="12:15" x14ac:dyDescent="0.25">
      <c r="L6548" s="147">
        <f ca="1"/>
        <v>51787</v>
      </c>
      <c r="M6548" s="92">
        <f t="shared" ca="1" si="215"/>
        <v>6.25</v>
      </c>
      <c r="N6548" s="143">
        <f ca="1">(PRODUCT($O$5:$O6548)-1)*36000/_xlfn.DAYS(L6548, $C$2)</f>
        <v>12.821608264296627</v>
      </c>
      <c r="O6548" s="149">
        <f t="shared" ca="1" si="216"/>
        <v>1.000173611111111</v>
      </c>
    </row>
    <row r="6549" spans="12:15" x14ac:dyDescent="0.25">
      <c r="L6549" s="147">
        <f ca="1"/>
        <v>51788</v>
      </c>
      <c r="M6549" s="92">
        <f t="shared" ca="1" si="215"/>
        <v>6.25</v>
      </c>
      <c r="N6549" s="143">
        <f ca="1">(PRODUCT($O$5:$O6549)-1)*36000/_xlfn.DAYS(L6549, $C$2)</f>
        <v>12.822829832416884</v>
      </c>
      <c r="O6549" s="149">
        <f t="shared" ca="1" si="216"/>
        <v>1.000173611111111</v>
      </c>
    </row>
    <row r="6550" spans="12:15" x14ac:dyDescent="0.25">
      <c r="L6550" s="147">
        <f ca="1"/>
        <v>51789</v>
      </c>
      <c r="M6550" s="92">
        <f t="shared" ca="1" si="215"/>
        <v>6.25</v>
      </c>
      <c r="N6550" s="143">
        <f ca="1">(PRODUCT($O$5:$O6550)-1)*36000/_xlfn.DAYS(L6550, $C$2)</f>
        <v>12.824051579407687</v>
      </c>
      <c r="O6550" s="149">
        <f t="shared" ca="1" si="216"/>
        <v>1.000173611111111</v>
      </c>
    </row>
    <row r="6551" spans="12:15" x14ac:dyDescent="0.25">
      <c r="L6551" s="147">
        <f ca="1"/>
        <v>51790</v>
      </c>
      <c r="M6551" s="92">
        <f t="shared" ca="1" si="215"/>
        <v>6.25</v>
      </c>
      <c r="N6551" s="143">
        <f ca="1">(PRODUCT($O$5:$O6551)-1)*36000/_xlfn.DAYS(L6551, $C$2)</f>
        <v>12.825273505282912</v>
      </c>
      <c r="O6551" s="149">
        <f t="shared" ca="1" si="216"/>
        <v>1.000173611111111</v>
      </c>
    </row>
    <row r="6552" spans="12:15" x14ac:dyDescent="0.25">
      <c r="L6552" s="147">
        <f ca="1"/>
        <v>51791</v>
      </c>
      <c r="M6552" s="92">
        <f t="shared" ca="1" si="215"/>
        <v>6.25</v>
      </c>
      <c r="N6552" s="143">
        <f ca="1">(PRODUCT($O$5:$O6552)-1)*36000/_xlfn.DAYS(L6552, $C$2)</f>
        <v>12.826495610056437</v>
      </c>
      <c r="O6552" s="149">
        <f t="shared" ca="1" si="216"/>
        <v>1.000173611111111</v>
      </c>
    </row>
    <row r="6553" spans="12:15" x14ac:dyDescent="0.25">
      <c r="L6553" s="147">
        <f ca="1"/>
        <v>51792</v>
      </c>
      <c r="M6553" s="92">
        <f t="shared" ca="1" si="215"/>
        <v>6.25</v>
      </c>
      <c r="N6553" s="143">
        <f ca="1">(PRODUCT($O$5:$O6553)-1)*36000/_xlfn.DAYS(L6553, $C$2)</f>
        <v>12.827717893742152</v>
      </c>
      <c r="O6553" s="149">
        <f t="shared" ca="1" si="216"/>
        <v>1.000173611111111</v>
      </c>
    </row>
    <row r="6554" spans="12:15" x14ac:dyDescent="0.25">
      <c r="L6554" s="147">
        <f ca="1"/>
        <v>51793</v>
      </c>
      <c r="M6554" s="92">
        <f t="shared" ca="1" si="215"/>
        <v>6.25</v>
      </c>
      <c r="N6554" s="143">
        <f ca="1">(PRODUCT($O$5:$O6554)-1)*36000/_xlfn.DAYS(L6554, $C$2)</f>
        <v>12.828940356353954</v>
      </c>
      <c r="O6554" s="149">
        <f t="shared" ca="1" si="216"/>
        <v>1.000173611111111</v>
      </c>
    </row>
    <row r="6555" spans="12:15" x14ac:dyDescent="0.25">
      <c r="L6555" s="147">
        <f ca="1"/>
        <v>51794</v>
      </c>
      <c r="M6555" s="92">
        <f t="shared" ca="1" si="215"/>
        <v>6.25</v>
      </c>
      <c r="N6555" s="143">
        <f ca="1">(PRODUCT($O$5:$O6555)-1)*36000/_xlfn.DAYS(L6555, $C$2)</f>
        <v>12.830162997905751</v>
      </c>
      <c r="O6555" s="149">
        <f t="shared" ca="1" si="216"/>
        <v>1.000173611111111</v>
      </c>
    </row>
    <row r="6556" spans="12:15" x14ac:dyDescent="0.25">
      <c r="L6556" s="147">
        <f ca="1"/>
        <v>51795</v>
      </c>
      <c r="M6556" s="92">
        <f t="shared" ca="1" si="215"/>
        <v>6.25</v>
      </c>
      <c r="N6556" s="143">
        <f ca="1">(PRODUCT($O$5:$O6556)-1)*36000/_xlfn.DAYS(L6556, $C$2)</f>
        <v>12.831385818411452</v>
      </c>
      <c r="O6556" s="149">
        <f t="shared" ca="1" si="216"/>
        <v>1.000173611111111</v>
      </c>
    </row>
    <row r="6557" spans="12:15" x14ac:dyDescent="0.25">
      <c r="L6557" s="147">
        <f ca="1"/>
        <v>51796</v>
      </c>
      <c r="M6557" s="92">
        <f t="shared" ca="1" si="215"/>
        <v>6.25</v>
      </c>
      <c r="N6557" s="143">
        <f ca="1">(PRODUCT($O$5:$O6557)-1)*36000/_xlfn.DAYS(L6557, $C$2)</f>
        <v>12.832608817884978</v>
      </c>
      <c r="O6557" s="149">
        <f t="shared" ca="1" si="216"/>
        <v>1.000173611111111</v>
      </c>
    </row>
    <row r="6558" spans="12:15" x14ac:dyDescent="0.25">
      <c r="L6558" s="147">
        <f ca="1"/>
        <v>51797</v>
      </c>
      <c r="M6558" s="92">
        <f t="shared" ca="1" si="215"/>
        <v>6.25</v>
      </c>
      <c r="N6558" s="143">
        <f ca="1">(PRODUCT($O$5:$O6558)-1)*36000/_xlfn.DAYS(L6558, $C$2)</f>
        <v>12.83383199634026</v>
      </c>
      <c r="O6558" s="149">
        <f t="shared" ca="1" si="216"/>
        <v>1.000173611111111</v>
      </c>
    </row>
    <row r="6559" spans="12:15" x14ac:dyDescent="0.25">
      <c r="L6559" s="147">
        <f ca="1"/>
        <v>51798</v>
      </c>
      <c r="M6559" s="92">
        <f t="shared" ca="1" si="215"/>
        <v>6.25</v>
      </c>
      <c r="N6559" s="143">
        <f ca="1">(PRODUCT($O$5:$O6559)-1)*36000/_xlfn.DAYS(L6559, $C$2)</f>
        <v>12.835055353791235</v>
      </c>
      <c r="O6559" s="149">
        <f t="shared" ca="1" si="216"/>
        <v>1.000173611111111</v>
      </c>
    </row>
    <row r="6560" spans="12:15" x14ac:dyDescent="0.25">
      <c r="L6560" s="147">
        <f ca="1"/>
        <v>51799</v>
      </c>
      <c r="M6560" s="92">
        <f t="shared" ca="1" si="215"/>
        <v>6.25</v>
      </c>
      <c r="N6560" s="143">
        <f ca="1">(PRODUCT($O$5:$O6560)-1)*36000/_xlfn.DAYS(L6560, $C$2)</f>
        <v>12.836278890251853</v>
      </c>
      <c r="O6560" s="149">
        <f t="shared" ca="1" si="216"/>
        <v>1.000173611111111</v>
      </c>
    </row>
    <row r="6561" spans="12:15" x14ac:dyDescent="0.25">
      <c r="L6561" s="147">
        <f ca="1"/>
        <v>51800</v>
      </c>
      <c r="M6561" s="92">
        <f t="shared" ca="1" si="215"/>
        <v>6.25</v>
      </c>
      <c r="N6561" s="143">
        <f ca="1">(PRODUCT($O$5:$O6561)-1)*36000/_xlfn.DAYS(L6561, $C$2)</f>
        <v>12.837502605736063</v>
      </c>
      <c r="O6561" s="149">
        <f t="shared" ca="1" si="216"/>
        <v>1.000173611111111</v>
      </c>
    </row>
    <row r="6562" spans="12:15" x14ac:dyDescent="0.25">
      <c r="L6562" s="147">
        <f ca="1"/>
        <v>51801</v>
      </c>
      <c r="M6562" s="92">
        <f t="shared" ca="1" si="215"/>
        <v>6.25</v>
      </c>
      <c r="N6562" s="143">
        <f ca="1">(PRODUCT($O$5:$O6562)-1)*36000/_xlfn.DAYS(L6562, $C$2)</f>
        <v>12.838726500257826</v>
      </c>
      <c r="O6562" s="149">
        <f t="shared" ca="1" si="216"/>
        <v>1.000173611111111</v>
      </c>
    </row>
    <row r="6563" spans="12:15" x14ac:dyDescent="0.25">
      <c r="L6563" s="147">
        <f ca="1"/>
        <v>51802</v>
      </c>
      <c r="M6563" s="92">
        <f t="shared" ca="1" si="215"/>
        <v>6.25</v>
      </c>
      <c r="N6563" s="143">
        <f ca="1">(PRODUCT($O$5:$O6563)-1)*36000/_xlfn.DAYS(L6563, $C$2)</f>
        <v>12.839950573831119</v>
      </c>
      <c r="O6563" s="149">
        <f t="shared" ca="1" si="216"/>
        <v>1.000173611111111</v>
      </c>
    </row>
    <row r="6564" spans="12:15" x14ac:dyDescent="0.25">
      <c r="L6564" s="147">
        <f ca="1"/>
        <v>51803</v>
      </c>
      <c r="M6564" s="92">
        <f t="shared" ca="1" si="215"/>
        <v>6.25</v>
      </c>
      <c r="N6564" s="143">
        <f ca="1">(PRODUCT($O$5:$O6564)-1)*36000/_xlfn.DAYS(L6564, $C$2)</f>
        <v>12.841174826469912</v>
      </c>
      <c r="O6564" s="149">
        <f t="shared" ca="1" si="216"/>
        <v>1.000173611111111</v>
      </c>
    </row>
    <row r="6565" spans="12:15" x14ac:dyDescent="0.25">
      <c r="L6565" s="147">
        <f ca="1"/>
        <v>51804</v>
      </c>
      <c r="M6565" s="92">
        <f t="shared" ca="1" si="215"/>
        <v>6.25</v>
      </c>
      <c r="N6565" s="143">
        <f ca="1">(PRODUCT($O$5:$O6565)-1)*36000/_xlfn.DAYS(L6565, $C$2)</f>
        <v>12.842399258188196</v>
      </c>
      <c r="O6565" s="149">
        <f t="shared" ca="1" si="216"/>
        <v>1.000173611111111</v>
      </c>
    </row>
    <row r="6566" spans="12:15" x14ac:dyDescent="0.25">
      <c r="L6566" s="147">
        <f ca="1"/>
        <v>51805</v>
      </c>
      <c r="M6566" s="92">
        <f t="shared" ca="1" si="215"/>
        <v>6.25</v>
      </c>
      <c r="N6566" s="143">
        <f ca="1">(PRODUCT($O$5:$O6566)-1)*36000/_xlfn.DAYS(L6566, $C$2)</f>
        <v>12.843623868999964</v>
      </c>
      <c r="O6566" s="149">
        <f t="shared" ca="1" si="216"/>
        <v>1.000173611111111</v>
      </c>
    </row>
    <row r="6567" spans="12:15" x14ac:dyDescent="0.25">
      <c r="L6567" s="147">
        <f ca="1"/>
        <v>51806</v>
      </c>
      <c r="M6567" s="92">
        <f t="shared" ca="1" si="215"/>
        <v>6.25</v>
      </c>
      <c r="N6567" s="143">
        <f ca="1">(PRODUCT($O$5:$O6567)-1)*36000/_xlfn.DAYS(L6567, $C$2)</f>
        <v>12.844848658919224</v>
      </c>
      <c r="O6567" s="149">
        <f t="shared" ca="1" si="216"/>
        <v>1.000173611111111</v>
      </c>
    </row>
    <row r="6568" spans="12:15" x14ac:dyDescent="0.25">
      <c r="L6568" s="147">
        <f ca="1"/>
        <v>51807</v>
      </c>
      <c r="M6568" s="92">
        <f t="shared" ca="1" si="215"/>
        <v>6.25</v>
      </c>
      <c r="N6568" s="143">
        <f ca="1">(PRODUCT($O$5:$O6568)-1)*36000/_xlfn.DAYS(L6568, $C$2)</f>
        <v>12.846073627959978</v>
      </c>
      <c r="O6568" s="149">
        <f t="shared" ca="1" si="216"/>
        <v>1.000173611111111</v>
      </c>
    </row>
    <row r="6569" spans="12:15" x14ac:dyDescent="0.25">
      <c r="L6569" s="147">
        <f ca="1"/>
        <v>51808</v>
      </c>
      <c r="M6569" s="92">
        <f t="shared" ca="1" si="215"/>
        <v>6.25</v>
      </c>
      <c r="N6569" s="143">
        <f ca="1">(PRODUCT($O$5:$O6569)-1)*36000/_xlfn.DAYS(L6569, $C$2)</f>
        <v>12.847298776136249</v>
      </c>
      <c r="O6569" s="149">
        <f t="shared" ca="1" si="216"/>
        <v>1.000173611111111</v>
      </c>
    </row>
    <row r="6570" spans="12:15" x14ac:dyDescent="0.25">
      <c r="L6570" s="147">
        <f ca="1"/>
        <v>51809</v>
      </c>
      <c r="M6570" s="92">
        <f t="shared" ca="1" si="215"/>
        <v>6.25</v>
      </c>
      <c r="N6570" s="143">
        <f ca="1">(PRODUCT($O$5:$O6570)-1)*36000/_xlfn.DAYS(L6570, $C$2)</f>
        <v>12.848524103462063</v>
      </c>
      <c r="O6570" s="149">
        <f t="shared" ca="1" si="216"/>
        <v>1.000173611111111</v>
      </c>
    </row>
    <row r="6571" spans="12:15" x14ac:dyDescent="0.25">
      <c r="L6571" s="147">
        <f ca="1"/>
        <v>51810</v>
      </c>
      <c r="M6571" s="92">
        <f t="shared" ca="1" si="215"/>
        <v>6.25</v>
      </c>
      <c r="N6571" s="143">
        <f ca="1">(PRODUCT($O$5:$O6571)-1)*36000/_xlfn.DAYS(L6571, $C$2)</f>
        <v>12.849749609951459</v>
      </c>
      <c r="O6571" s="149">
        <f t="shared" ca="1" si="216"/>
        <v>1.000173611111111</v>
      </c>
    </row>
    <row r="6572" spans="12:15" x14ac:dyDescent="0.25">
      <c r="L6572" s="147">
        <f ca="1"/>
        <v>51811</v>
      </c>
      <c r="M6572" s="92">
        <f t="shared" ca="1" si="215"/>
        <v>6.25</v>
      </c>
      <c r="N6572" s="143">
        <f ca="1">(PRODUCT($O$5:$O6572)-1)*36000/_xlfn.DAYS(L6572, $C$2)</f>
        <v>12.850975295618479</v>
      </c>
      <c r="O6572" s="149">
        <f t="shared" ca="1" si="216"/>
        <v>1.000173611111111</v>
      </c>
    </row>
    <row r="6573" spans="12:15" x14ac:dyDescent="0.25">
      <c r="L6573" s="147">
        <f ca="1"/>
        <v>51812</v>
      </c>
      <c r="M6573" s="92">
        <f t="shared" ca="1" si="215"/>
        <v>6.25</v>
      </c>
      <c r="N6573" s="143">
        <f ca="1">(PRODUCT($O$5:$O6573)-1)*36000/_xlfn.DAYS(L6573, $C$2)</f>
        <v>12.852201160477168</v>
      </c>
      <c r="O6573" s="149">
        <f t="shared" ca="1" si="216"/>
        <v>1.000173611111111</v>
      </c>
    </row>
    <row r="6574" spans="12:15" x14ac:dyDescent="0.25">
      <c r="L6574" s="147">
        <f ca="1"/>
        <v>51813</v>
      </c>
      <c r="M6574" s="92">
        <f t="shared" ca="1" si="215"/>
        <v>6.25</v>
      </c>
      <c r="N6574" s="143">
        <f ca="1">(PRODUCT($O$5:$O6574)-1)*36000/_xlfn.DAYS(L6574, $C$2)</f>
        <v>12.853427204541592</v>
      </c>
      <c r="O6574" s="149">
        <f t="shared" ca="1" si="216"/>
        <v>1.000173611111111</v>
      </c>
    </row>
    <row r="6575" spans="12:15" x14ac:dyDescent="0.25">
      <c r="L6575" s="147">
        <f ca="1"/>
        <v>51814</v>
      </c>
      <c r="M6575" s="92">
        <f t="shared" ca="1" si="215"/>
        <v>6.25</v>
      </c>
      <c r="N6575" s="143">
        <f ca="1">(PRODUCT($O$5:$O6575)-1)*36000/_xlfn.DAYS(L6575, $C$2)</f>
        <v>12.854653427825815</v>
      </c>
      <c r="O6575" s="149">
        <f t="shared" ca="1" si="216"/>
        <v>1.000173611111111</v>
      </c>
    </row>
    <row r="6576" spans="12:15" x14ac:dyDescent="0.25">
      <c r="L6576" s="147">
        <f ca="1"/>
        <v>51815</v>
      </c>
      <c r="M6576" s="92">
        <f t="shared" ca="1" si="215"/>
        <v>6.25</v>
      </c>
      <c r="N6576" s="143">
        <f ca="1">(PRODUCT($O$5:$O6576)-1)*36000/_xlfn.DAYS(L6576, $C$2)</f>
        <v>12.855879830343913</v>
      </c>
      <c r="O6576" s="149">
        <f t="shared" ca="1" si="216"/>
        <v>1.000173611111111</v>
      </c>
    </row>
    <row r="6577" spans="12:15" x14ac:dyDescent="0.25">
      <c r="L6577" s="147">
        <f ca="1"/>
        <v>51816</v>
      </c>
      <c r="M6577" s="92">
        <f t="shared" ca="1" si="215"/>
        <v>6.25</v>
      </c>
      <c r="N6577" s="143">
        <f ca="1">(PRODUCT($O$5:$O6577)-1)*36000/_xlfn.DAYS(L6577, $C$2)</f>
        <v>12.857106412109971</v>
      </c>
      <c r="O6577" s="149">
        <f t="shared" ca="1" si="216"/>
        <v>1.000173611111111</v>
      </c>
    </row>
    <row r="6578" spans="12:15" x14ac:dyDescent="0.25">
      <c r="L6578" s="147">
        <f ca="1"/>
        <v>51817</v>
      </c>
      <c r="M6578" s="92">
        <f t="shared" ca="1" si="215"/>
        <v>6.25</v>
      </c>
      <c r="N6578" s="143">
        <f ca="1">(PRODUCT($O$5:$O6578)-1)*36000/_xlfn.DAYS(L6578, $C$2)</f>
        <v>12.858333173138078</v>
      </c>
      <c r="O6578" s="149">
        <f t="shared" ca="1" si="216"/>
        <v>1.000173611111111</v>
      </c>
    </row>
    <row r="6579" spans="12:15" x14ac:dyDescent="0.25">
      <c r="L6579" s="147">
        <f ca="1"/>
        <v>51818</v>
      </c>
      <c r="M6579" s="92">
        <f t="shared" ca="1" si="215"/>
        <v>6.25</v>
      </c>
      <c r="N6579" s="143">
        <f ca="1">(PRODUCT($O$5:$O6579)-1)*36000/_xlfn.DAYS(L6579, $C$2)</f>
        <v>12.859560113442337</v>
      </c>
      <c r="O6579" s="149">
        <f t="shared" ca="1" si="216"/>
        <v>1.000173611111111</v>
      </c>
    </row>
    <row r="6580" spans="12:15" x14ac:dyDescent="0.25">
      <c r="L6580" s="147">
        <f ca="1"/>
        <v>51819</v>
      </c>
      <c r="M6580" s="92">
        <f t="shared" ca="1" si="215"/>
        <v>6.25</v>
      </c>
      <c r="N6580" s="143">
        <f ca="1">(PRODUCT($O$5:$O6580)-1)*36000/_xlfn.DAYS(L6580, $C$2)</f>
        <v>12.860787233036852</v>
      </c>
      <c r="O6580" s="149">
        <f t="shared" ca="1" si="216"/>
        <v>1.000173611111111</v>
      </c>
    </row>
    <row r="6581" spans="12:15" x14ac:dyDescent="0.25">
      <c r="L6581" s="147">
        <f ca="1"/>
        <v>51820</v>
      </c>
      <c r="M6581" s="92">
        <f t="shared" ca="1" si="215"/>
        <v>6.25</v>
      </c>
      <c r="N6581" s="143">
        <f ca="1">(PRODUCT($O$5:$O6581)-1)*36000/_xlfn.DAYS(L6581, $C$2)</f>
        <v>12.862014531935742</v>
      </c>
      <c r="O6581" s="149">
        <f t="shared" ca="1" si="216"/>
        <v>1.000173611111111</v>
      </c>
    </row>
    <row r="6582" spans="12:15" x14ac:dyDescent="0.25">
      <c r="L6582" s="147">
        <f ca="1"/>
        <v>51821</v>
      </c>
      <c r="M6582" s="92">
        <f t="shared" ca="1" si="215"/>
        <v>6.25</v>
      </c>
      <c r="N6582" s="143">
        <f ca="1">(PRODUCT($O$5:$O6582)-1)*36000/_xlfn.DAYS(L6582, $C$2)</f>
        <v>12.863242010153131</v>
      </c>
      <c r="O6582" s="149">
        <f t="shared" ca="1" si="216"/>
        <v>1.000173611111111</v>
      </c>
    </row>
    <row r="6583" spans="12:15" x14ac:dyDescent="0.25">
      <c r="L6583" s="147">
        <f ca="1"/>
        <v>51822</v>
      </c>
      <c r="M6583" s="92">
        <f t="shared" ca="1" si="215"/>
        <v>6.25</v>
      </c>
      <c r="N6583" s="143">
        <f ca="1">(PRODUCT($O$5:$O6583)-1)*36000/_xlfn.DAYS(L6583, $C$2)</f>
        <v>12.864469667703149</v>
      </c>
      <c r="O6583" s="149">
        <f t="shared" ca="1" si="216"/>
        <v>1.000173611111111</v>
      </c>
    </row>
    <row r="6584" spans="12:15" x14ac:dyDescent="0.25">
      <c r="L6584" s="147">
        <f ca="1"/>
        <v>51823</v>
      </c>
      <c r="M6584" s="92">
        <f t="shared" ca="1" si="215"/>
        <v>6.25</v>
      </c>
      <c r="N6584" s="143">
        <f ca="1">(PRODUCT($O$5:$O6584)-1)*36000/_xlfn.DAYS(L6584, $C$2)</f>
        <v>12.865697504599938</v>
      </c>
      <c r="O6584" s="149">
        <f t="shared" ca="1" si="216"/>
        <v>1.000173611111111</v>
      </c>
    </row>
    <row r="6585" spans="12:15" x14ac:dyDescent="0.25">
      <c r="L6585" s="147">
        <f ca="1"/>
        <v>51824</v>
      </c>
      <c r="M6585" s="92">
        <f t="shared" ca="1" si="215"/>
        <v>6.25</v>
      </c>
      <c r="N6585" s="143">
        <f ca="1">(PRODUCT($O$5:$O6585)-1)*36000/_xlfn.DAYS(L6585, $C$2)</f>
        <v>12.866925520857643</v>
      </c>
      <c r="O6585" s="149">
        <f t="shared" ca="1" si="216"/>
        <v>1.000173611111111</v>
      </c>
    </row>
    <row r="6586" spans="12:15" x14ac:dyDescent="0.25">
      <c r="L6586" s="147">
        <f ca="1"/>
        <v>51825</v>
      </c>
      <c r="M6586" s="92">
        <f t="shared" ca="1" si="215"/>
        <v>6.25</v>
      </c>
      <c r="N6586" s="143">
        <f ca="1">(PRODUCT($O$5:$O6586)-1)*36000/_xlfn.DAYS(L6586, $C$2)</f>
        <v>12.868153716490424</v>
      </c>
      <c r="O6586" s="149">
        <f t="shared" ca="1" si="216"/>
        <v>1.000173611111111</v>
      </c>
    </row>
    <row r="6587" spans="12:15" x14ac:dyDescent="0.25">
      <c r="L6587" s="147">
        <f ca="1"/>
        <v>51826</v>
      </c>
      <c r="M6587" s="92">
        <f t="shared" ca="1" si="215"/>
        <v>6.25</v>
      </c>
      <c r="N6587" s="143">
        <f ca="1">(PRODUCT($O$5:$O6587)-1)*36000/_xlfn.DAYS(L6587, $C$2)</f>
        <v>12.86938209151244</v>
      </c>
      <c r="O6587" s="149">
        <f t="shared" ca="1" si="216"/>
        <v>1.000173611111111</v>
      </c>
    </row>
    <row r="6588" spans="12:15" x14ac:dyDescent="0.25">
      <c r="L6588" s="147">
        <f ca="1"/>
        <v>51827</v>
      </c>
      <c r="M6588" s="92">
        <f t="shared" ca="1" si="215"/>
        <v>6.25</v>
      </c>
      <c r="N6588" s="143">
        <f ca="1">(PRODUCT($O$5:$O6588)-1)*36000/_xlfn.DAYS(L6588, $C$2)</f>
        <v>12.87061064593787</v>
      </c>
      <c r="O6588" s="149">
        <f t="shared" ca="1" si="216"/>
        <v>1.000173611111111</v>
      </c>
    </row>
    <row r="6589" spans="12:15" x14ac:dyDescent="0.25">
      <c r="L6589" s="147">
        <f ca="1"/>
        <v>51828</v>
      </c>
      <c r="M6589" s="92">
        <f t="shared" ca="1" si="215"/>
        <v>6.25</v>
      </c>
      <c r="N6589" s="143">
        <f ca="1">(PRODUCT($O$5:$O6589)-1)*36000/_xlfn.DAYS(L6589, $C$2)</f>
        <v>12.871839379780891</v>
      </c>
      <c r="O6589" s="149">
        <f t="shared" ca="1" si="216"/>
        <v>1.000173611111111</v>
      </c>
    </row>
    <row r="6590" spans="12:15" x14ac:dyDescent="0.25">
      <c r="L6590" s="147">
        <f ca="1"/>
        <v>51829</v>
      </c>
      <c r="M6590" s="92">
        <f t="shared" ca="1" si="215"/>
        <v>6.25</v>
      </c>
      <c r="N6590" s="143">
        <f ca="1">(PRODUCT($O$5:$O6590)-1)*36000/_xlfn.DAYS(L6590, $C$2)</f>
        <v>12.87306829305569</v>
      </c>
      <c r="O6590" s="149">
        <f t="shared" ca="1" si="216"/>
        <v>1.000173611111111</v>
      </c>
    </row>
    <row r="6591" spans="12:15" x14ac:dyDescent="0.25">
      <c r="L6591" s="147">
        <f ca="1"/>
        <v>51830</v>
      </c>
      <c r="M6591" s="92">
        <f t="shared" ca="1" si="215"/>
        <v>6.25</v>
      </c>
      <c r="N6591" s="143">
        <f ca="1">(PRODUCT($O$5:$O6591)-1)*36000/_xlfn.DAYS(L6591, $C$2)</f>
        <v>12.874297385776464</v>
      </c>
      <c r="O6591" s="149">
        <f t="shared" ca="1" si="216"/>
        <v>1.000173611111111</v>
      </c>
    </row>
    <row r="6592" spans="12:15" x14ac:dyDescent="0.25">
      <c r="L6592" s="147">
        <f ca="1"/>
        <v>51831</v>
      </c>
      <c r="M6592" s="92">
        <f t="shared" ca="1" si="215"/>
        <v>6.25</v>
      </c>
      <c r="N6592" s="143">
        <f ca="1">(PRODUCT($O$5:$O6592)-1)*36000/_xlfn.DAYS(L6592, $C$2)</f>
        <v>12.875526657957417</v>
      </c>
      <c r="O6592" s="149">
        <f t="shared" ca="1" si="216"/>
        <v>1.000173611111111</v>
      </c>
    </row>
    <row r="6593" spans="12:15" x14ac:dyDescent="0.25">
      <c r="L6593" s="147">
        <f ca="1"/>
        <v>51832</v>
      </c>
      <c r="M6593" s="92">
        <f t="shared" ca="1" si="215"/>
        <v>6.25</v>
      </c>
      <c r="N6593" s="143">
        <f ca="1">(PRODUCT($O$5:$O6593)-1)*36000/_xlfn.DAYS(L6593, $C$2)</f>
        <v>12.876756109612764</v>
      </c>
      <c r="O6593" s="149">
        <f t="shared" ca="1" si="216"/>
        <v>1.000173611111111</v>
      </c>
    </row>
    <row r="6594" spans="12:15" x14ac:dyDescent="0.25">
      <c r="L6594" s="147">
        <f ca="1"/>
        <v>51833</v>
      </c>
      <c r="M6594" s="92">
        <f t="shared" ca="1" si="215"/>
        <v>6.25</v>
      </c>
      <c r="N6594" s="143">
        <f ca="1">(PRODUCT($O$5:$O6594)-1)*36000/_xlfn.DAYS(L6594, $C$2)</f>
        <v>12.877985740756722</v>
      </c>
      <c r="O6594" s="149">
        <f t="shared" ca="1" si="216"/>
        <v>1.000173611111111</v>
      </c>
    </row>
    <row r="6595" spans="12:15" x14ac:dyDescent="0.25">
      <c r="L6595" s="147">
        <f ca="1"/>
        <v>51834</v>
      </c>
      <c r="M6595" s="92">
        <f t="shared" ca="1" si="215"/>
        <v>6.25</v>
      </c>
      <c r="N6595" s="143">
        <f ca="1">(PRODUCT($O$5:$O6595)-1)*36000/_xlfn.DAYS(L6595, $C$2)</f>
        <v>12.879215551403522</v>
      </c>
      <c r="O6595" s="149">
        <f t="shared" ca="1" si="216"/>
        <v>1.000173611111111</v>
      </c>
    </row>
    <row r="6596" spans="12:15" x14ac:dyDescent="0.25">
      <c r="L6596" s="147">
        <f ca="1"/>
        <v>51835</v>
      </c>
      <c r="M6596" s="92">
        <f t="shared" ca="1" si="215"/>
        <v>6.25</v>
      </c>
      <c r="N6596" s="143">
        <f ca="1">(PRODUCT($O$5:$O6596)-1)*36000/_xlfn.DAYS(L6596, $C$2)</f>
        <v>12.880445541567397</v>
      </c>
      <c r="O6596" s="149">
        <f t="shared" ca="1" si="216"/>
        <v>1.000173611111111</v>
      </c>
    </row>
    <row r="6597" spans="12:15" x14ac:dyDescent="0.25">
      <c r="L6597" s="147">
        <f ca="1"/>
        <v>51836</v>
      </c>
      <c r="M6597" s="92">
        <f t="shared" ref="M6597:M6660" ca="1" si="217">IFERROR(INDEX($E$27:$H$47, MATCH(L6597, $F$27:$F$47, 0), 4), IF(ISNUMBER(M6596), M6596, $C$5))</f>
        <v>6.25</v>
      </c>
      <c r="N6597" s="143">
        <f ca="1">(PRODUCT($O$5:$O6597)-1)*36000/_xlfn.DAYS(L6597, $C$2)</f>
        <v>12.881675711262595</v>
      </c>
      <c r="O6597" s="149">
        <f t="shared" ca="1" si="216"/>
        <v>1.000173611111111</v>
      </c>
    </row>
    <row r="6598" spans="12:15" x14ac:dyDescent="0.25">
      <c r="L6598" s="147">
        <f ca="1"/>
        <v>51837</v>
      </c>
      <c r="M6598" s="92">
        <f t="shared" ca="1" si="217"/>
        <v>6.25</v>
      </c>
      <c r="N6598" s="143">
        <f ca="1">(PRODUCT($O$5:$O6598)-1)*36000/_xlfn.DAYS(L6598, $C$2)</f>
        <v>12.88290606050337</v>
      </c>
      <c r="O6598" s="149">
        <f t="shared" ref="O6598:O6661" ca="1" si="218">1+M6598*IFERROR(_xlfn.DAYS(L6598, L6597), _xlfn.DAYS(L6598, $C$2))/36000</f>
        <v>1.000173611111111</v>
      </c>
    </row>
    <row r="6599" spans="12:15" x14ac:dyDescent="0.25">
      <c r="L6599" s="147">
        <f ca="1"/>
        <v>51838</v>
      </c>
      <c r="M6599" s="92">
        <f t="shared" ca="1" si="217"/>
        <v>6.25</v>
      </c>
      <c r="N6599" s="143">
        <f ca="1">(PRODUCT($O$5:$O6599)-1)*36000/_xlfn.DAYS(L6599, $C$2)</f>
        <v>12.884136589303976</v>
      </c>
      <c r="O6599" s="149">
        <f t="shared" ca="1" si="218"/>
        <v>1.000173611111111</v>
      </c>
    </row>
    <row r="6600" spans="12:15" x14ac:dyDescent="0.25">
      <c r="L6600" s="147">
        <f ca="1"/>
        <v>51839</v>
      </c>
      <c r="M6600" s="92">
        <f t="shared" ca="1" si="217"/>
        <v>6.25</v>
      </c>
      <c r="N6600" s="143">
        <f ca="1">(PRODUCT($O$5:$O6600)-1)*36000/_xlfn.DAYS(L6600, $C$2)</f>
        <v>12.885367297678687</v>
      </c>
      <c r="O6600" s="149">
        <f t="shared" ca="1" si="218"/>
        <v>1.000173611111111</v>
      </c>
    </row>
    <row r="6601" spans="12:15" x14ac:dyDescent="0.25">
      <c r="L6601" s="147">
        <f ca="1"/>
        <v>51840</v>
      </c>
      <c r="M6601" s="92">
        <f t="shared" ca="1" si="217"/>
        <v>6.25</v>
      </c>
      <c r="N6601" s="143">
        <f ca="1">(PRODUCT($O$5:$O6601)-1)*36000/_xlfn.DAYS(L6601, $C$2)</f>
        <v>12.886598185641775</v>
      </c>
      <c r="O6601" s="149">
        <f t="shared" ca="1" si="218"/>
        <v>1.000173611111111</v>
      </c>
    </row>
    <row r="6602" spans="12:15" x14ac:dyDescent="0.25">
      <c r="L6602" s="147">
        <f ca="1"/>
        <v>51841</v>
      </c>
      <c r="M6602" s="92">
        <f t="shared" ca="1" si="217"/>
        <v>6.25</v>
      </c>
      <c r="N6602" s="143">
        <f ca="1">(PRODUCT($O$5:$O6602)-1)*36000/_xlfn.DAYS(L6602, $C$2)</f>
        <v>12.887829253207528</v>
      </c>
      <c r="O6602" s="149">
        <f t="shared" ca="1" si="218"/>
        <v>1.000173611111111</v>
      </c>
    </row>
    <row r="6603" spans="12:15" x14ac:dyDescent="0.25">
      <c r="L6603" s="147">
        <f ca="1"/>
        <v>51842</v>
      </c>
      <c r="M6603" s="92">
        <f t="shared" ca="1" si="217"/>
        <v>6.25</v>
      </c>
      <c r="N6603" s="143">
        <f ca="1">(PRODUCT($O$5:$O6603)-1)*36000/_xlfn.DAYS(L6603, $C$2)</f>
        <v>12.889060500390237</v>
      </c>
      <c r="O6603" s="149">
        <f t="shared" ca="1" si="218"/>
        <v>1.000173611111111</v>
      </c>
    </row>
    <row r="6604" spans="12:15" x14ac:dyDescent="0.25">
      <c r="L6604" s="147">
        <f ca="1"/>
        <v>51843</v>
      </c>
      <c r="M6604" s="92">
        <f t="shared" ca="1" si="217"/>
        <v>6.25</v>
      </c>
      <c r="N6604" s="143">
        <f ca="1">(PRODUCT($O$5:$O6604)-1)*36000/_xlfn.DAYS(L6604, $C$2)</f>
        <v>12.890291927204206</v>
      </c>
      <c r="O6604" s="149">
        <f t="shared" ca="1" si="218"/>
        <v>1.000173611111111</v>
      </c>
    </row>
    <row r="6605" spans="12:15" x14ac:dyDescent="0.25">
      <c r="L6605" s="147">
        <f ca="1"/>
        <v>51844</v>
      </c>
      <c r="M6605" s="92">
        <f t="shared" ca="1" si="217"/>
        <v>6.25</v>
      </c>
      <c r="N6605" s="143">
        <f ca="1">(PRODUCT($O$5:$O6605)-1)*36000/_xlfn.DAYS(L6605, $C$2)</f>
        <v>12.891523533663738</v>
      </c>
      <c r="O6605" s="149">
        <f t="shared" ca="1" si="218"/>
        <v>1.000173611111111</v>
      </c>
    </row>
    <row r="6606" spans="12:15" x14ac:dyDescent="0.25">
      <c r="L6606" s="147">
        <f ca="1"/>
        <v>51845</v>
      </c>
      <c r="M6606" s="92">
        <f t="shared" ca="1" si="217"/>
        <v>6.25</v>
      </c>
      <c r="N6606" s="143">
        <f ca="1">(PRODUCT($O$5:$O6606)-1)*36000/_xlfn.DAYS(L6606, $C$2)</f>
        <v>12.892755319783152</v>
      </c>
      <c r="O6606" s="149">
        <f t="shared" ca="1" si="218"/>
        <v>1.000173611111111</v>
      </c>
    </row>
    <row r="6607" spans="12:15" x14ac:dyDescent="0.25">
      <c r="L6607" s="147">
        <f ca="1"/>
        <v>51846</v>
      </c>
      <c r="M6607" s="92">
        <f t="shared" ca="1" si="217"/>
        <v>6.25</v>
      </c>
      <c r="N6607" s="143">
        <f ca="1">(PRODUCT($O$5:$O6607)-1)*36000/_xlfn.DAYS(L6607, $C$2)</f>
        <v>12.893987285576772</v>
      </c>
      <c r="O6607" s="149">
        <f t="shared" ca="1" si="218"/>
        <v>1.000173611111111</v>
      </c>
    </row>
    <row r="6608" spans="12:15" x14ac:dyDescent="0.25">
      <c r="L6608" s="147">
        <f ca="1"/>
        <v>51847</v>
      </c>
      <c r="M6608" s="92">
        <f t="shared" ca="1" si="217"/>
        <v>6.25</v>
      </c>
      <c r="N6608" s="143">
        <f ca="1">(PRODUCT($O$5:$O6608)-1)*36000/_xlfn.DAYS(L6608, $C$2)</f>
        <v>12.895219431058933</v>
      </c>
      <c r="O6608" s="149">
        <f t="shared" ca="1" si="218"/>
        <v>1.000173611111111</v>
      </c>
    </row>
    <row r="6609" spans="12:15" x14ac:dyDescent="0.25">
      <c r="L6609" s="147">
        <f ca="1"/>
        <v>51848</v>
      </c>
      <c r="M6609" s="92">
        <f t="shared" ca="1" si="217"/>
        <v>6.25</v>
      </c>
      <c r="N6609" s="143">
        <f ca="1">(PRODUCT($O$5:$O6609)-1)*36000/_xlfn.DAYS(L6609, $C$2)</f>
        <v>12.89645175624397</v>
      </c>
      <c r="O6609" s="149">
        <f t="shared" ca="1" si="218"/>
        <v>1.000173611111111</v>
      </c>
    </row>
    <row r="6610" spans="12:15" x14ac:dyDescent="0.25">
      <c r="L6610" s="147">
        <f ca="1"/>
        <v>51849</v>
      </c>
      <c r="M6610" s="92">
        <f t="shared" ca="1" si="217"/>
        <v>6.25</v>
      </c>
      <c r="N6610" s="143">
        <f ca="1">(PRODUCT($O$5:$O6610)-1)*36000/_xlfn.DAYS(L6610, $C$2)</f>
        <v>12.897684261146237</v>
      </c>
      <c r="O6610" s="149">
        <f t="shared" ca="1" si="218"/>
        <v>1.000173611111111</v>
      </c>
    </row>
    <row r="6611" spans="12:15" x14ac:dyDescent="0.25">
      <c r="L6611" s="147">
        <f ca="1"/>
        <v>51850</v>
      </c>
      <c r="M6611" s="92">
        <f t="shared" ca="1" si="217"/>
        <v>6.25</v>
      </c>
      <c r="N6611" s="143">
        <f ca="1">(PRODUCT($O$5:$O6611)-1)*36000/_xlfn.DAYS(L6611, $C$2)</f>
        <v>12.898916945780089</v>
      </c>
      <c r="O6611" s="149">
        <f t="shared" ca="1" si="218"/>
        <v>1.000173611111111</v>
      </c>
    </row>
    <row r="6612" spans="12:15" x14ac:dyDescent="0.25">
      <c r="L6612" s="147">
        <f ca="1"/>
        <v>51851</v>
      </c>
      <c r="M6612" s="92">
        <f t="shared" ca="1" si="217"/>
        <v>6.25</v>
      </c>
      <c r="N6612" s="143">
        <f ca="1">(PRODUCT($O$5:$O6612)-1)*36000/_xlfn.DAYS(L6612, $C$2)</f>
        <v>12.900149810159885</v>
      </c>
      <c r="O6612" s="149">
        <f t="shared" ca="1" si="218"/>
        <v>1.000173611111111</v>
      </c>
    </row>
    <row r="6613" spans="12:15" x14ac:dyDescent="0.25">
      <c r="L6613" s="147">
        <f ca="1"/>
        <v>51852</v>
      </c>
      <c r="M6613" s="92">
        <f t="shared" ca="1" si="217"/>
        <v>6.25</v>
      </c>
      <c r="N6613" s="143">
        <f ca="1">(PRODUCT($O$5:$O6613)-1)*36000/_xlfn.DAYS(L6613, $C$2)</f>
        <v>12.901382854300001</v>
      </c>
      <c r="O6613" s="149">
        <f t="shared" ca="1" si="218"/>
        <v>1.000173611111111</v>
      </c>
    </row>
    <row r="6614" spans="12:15" x14ac:dyDescent="0.25">
      <c r="L6614" s="147">
        <f ca="1"/>
        <v>51853</v>
      </c>
      <c r="M6614" s="92">
        <f t="shared" ca="1" si="217"/>
        <v>6.25</v>
      </c>
      <c r="N6614" s="143">
        <f ca="1">(PRODUCT($O$5:$O6614)-1)*36000/_xlfn.DAYS(L6614, $C$2)</f>
        <v>12.902616078214821</v>
      </c>
      <c r="O6614" s="149">
        <f t="shared" ca="1" si="218"/>
        <v>1.000173611111111</v>
      </c>
    </row>
    <row r="6615" spans="12:15" x14ac:dyDescent="0.25">
      <c r="L6615" s="147">
        <f ca="1"/>
        <v>51854</v>
      </c>
      <c r="M6615" s="92">
        <f t="shared" ca="1" si="217"/>
        <v>6.25</v>
      </c>
      <c r="N6615" s="143">
        <f ca="1">(PRODUCT($O$5:$O6615)-1)*36000/_xlfn.DAYS(L6615, $C$2)</f>
        <v>12.903849481918728</v>
      </c>
      <c r="O6615" s="149">
        <f t="shared" ca="1" si="218"/>
        <v>1.000173611111111</v>
      </c>
    </row>
    <row r="6616" spans="12:15" x14ac:dyDescent="0.25">
      <c r="L6616" s="147">
        <f ca="1"/>
        <v>51855</v>
      </c>
      <c r="M6616" s="92">
        <f t="shared" ca="1" si="217"/>
        <v>6.25</v>
      </c>
      <c r="N6616" s="143">
        <f ca="1">(PRODUCT($O$5:$O6616)-1)*36000/_xlfn.DAYS(L6616, $C$2)</f>
        <v>12.905083065426123</v>
      </c>
      <c r="O6616" s="149">
        <f t="shared" ca="1" si="218"/>
        <v>1.000173611111111</v>
      </c>
    </row>
    <row r="6617" spans="12:15" x14ac:dyDescent="0.25">
      <c r="L6617" s="147">
        <f ca="1"/>
        <v>51856</v>
      </c>
      <c r="M6617" s="92">
        <f t="shared" ca="1" si="217"/>
        <v>6.25</v>
      </c>
      <c r="N6617" s="143">
        <f ca="1">(PRODUCT($O$5:$O6617)-1)*36000/_xlfn.DAYS(L6617, $C$2)</f>
        <v>12.906316828751402</v>
      </c>
      <c r="O6617" s="149">
        <f t="shared" ca="1" si="218"/>
        <v>1.000173611111111</v>
      </c>
    </row>
    <row r="6618" spans="12:15" x14ac:dyDescent="0.25">
      <c r="L6618" s="147">
        <f ca="1"/>
        <v>51857</v>
      </c>
      <c r="M6618" s="92">
        <f t="shared" ca="1" si="217"/>
        <v>6.25</v>
      </c>
      <c r="N6618" s="143">
        <f ca="1">(PRODUCT($O$5:$O6618)-1)*36000/_xlfn.DAYS(L6618, $C$2)</f>
        <v>12.907550771908987</v>
      </c>
      <c r="O6618" s="149">
        <f t="shared" ca="1" si="218"/>
        <v>1.000173611111111</v>
      </c>
    </row>
    <row r="6619" spans="12:15" x14ac:dyDescent="0.25">
      <c r="L6619" s="147">
        <f ca="1"/>
        <v>51858</v>
      </c>
      <c r="M6619" s="92">
        <f t="shared" ca="1" si="217"/>
        <v>6.25</v>
      </c>
      <c r="N6619" s="143">
        <f ca="1">(PRODUCT($O$5:$O6619)-1)*36000/_xlfn.DAYS(L6619, $C$2)</f>
        <v>12.908784894913291</v>
      </c>
      <c r="O6619" s="149">
        <f t="shared" ca="1" si="218"/>
        <v>1.000173611111111</v>
      </c>
    </row>
    <row r="6620" spans="12:15" x14ac:dyDescent="0.25">
      <c r="L6620" s="147">
        <f ca="1"/>
        <v>51859</v>
      </c>
      <c r="M6620" s="92">
        <f t="shared" ca="1" si="217"/>
        <v>6.25</v>
      </c>
      <c r="N6620" s="143">
        <f ca="1">(PRODUCT($O$5:$O6620)-1)*36000/_xlfn.DAYS(L6620, $C$2)</f>
        <v>12.910019197778743</v>
      </c>
      <c r="O6620" s="149">
        <f t="shared" ca="1" si="218"/>
        <v>1.000173611111111</v>
      </c>
    </row>
    <row r="6621" spans="12:15" x14ac:dyDescent="0.25">
      <c r="L6621" s="147">
        <f ca="1"/>
        <v>51860</v>
      </c>
      <c r="M6621" s="92">
        <f t="shared" ca="1" si="217"/>
        <v>6.25</v>
      </c>
      <c r="N6621" s="143">
        <f ca="1">(PRODUCT($O$5:$O6621)-1)*36000/_xlfn.DAYS(L6621, $C$2)</f>
        <v>12.911253680519778</v>
      </c>
      <c r="O6621" s="149">
        <f t="shared" ca="1" si="218"/>
        <v>1.000173611111111</v>
      </c>
    </row>
    <row r="6622" spans="12:15" x14ac:dyDescent="0.25">
      <c r="L6622" s="147">
        <f ca="1"/>
        <v>51861</v>
      </c>
      <c r="M6622" s="92">
        <f t="shared" ca="1" si="217"/>
        <v>6.25</v>
      </c>
      <c r="N6622" s="143">
        <f ca="1">(PRODUCT($O$5:$O6622)-1)*36000/_xlfn.DAYS(L6622, $C$2)</f>
        <v>12.912488343150843</v>
      </c>
      <c r="O6622" s="149">
        <f t="shared" ca="1" si="218"/>
        <v>1.000173611111111</v>
      </c>
    </row>
    <row r="6623" spans="12:15" x14ac:dyDescent="0.25">
      <c r="L6623" s="147">
        <f ca="1"/>
        <v>51862</v>
      </c>
      <c r="M6623" s="92">
        <f t="shared" ca="1" si="217"/>
        <v>6.25</v>
      </c>
      <c r="N6623" s="143">
        <f ca="1">(PRODUCT($O$5:$O6623)-1)*36000/_xlfn.DAYS(L6623, $C$2)</f>
        <v>12.913723185686386</v>
      </c>
      <c r="O6623" s="149">
        <f t="shared" ca="1" si="218"/>
        <v>1.000173611111111</v>
      </c>
    </row>
    <row r="6624" spans="12:15" x14ac:dyDescent="0.25">
      <c r="L6624" s="147">
        <f ca="1"/>
        <v>51863</v>
      </c>
      <c r="M6624" s="92">
        <f t="shared" ca="1" si="217"/>
        <v>6.25</v>
      </c>
      <c r="N6624" s="143">
        <f ca="1">(PRODUCT($O$5:$O6624)-1)*36000/_xlfn.DAYS(L6624, $C$2)</f>
        <v>12.914958208140872</v>
      </c>
      <c r="O6624" s="149">
        <f t="shared" ca="1" si="218"/>
        <v>1.000173611111111</v>
      </c>
    </row>
    <row r="6625" spans="12:15" x14ac:dyDescent="0.25">
      <c r="L6625" s="147">
        <f ca="1"/>
        <v>51864</v>
      </c>
      <c r="M6625" s="92">
        <f t="shared" ca="1" si="217"/>
        <v>6.25</v>
      </c>
      <c r="N6625" s="143">
        <f ca="1">(PRODUCT($O$5:$O6625)-1)*36000/_xlfn.DAYS(L6625, $C$2)</f>
        <v>12.916193410528765</v>
      </c>
      <c r="O6625" s="149">
        <f t="shared" ca="1" si="218"/>
        <v>1.000173611111111</v>
      </c>
    </row>
    <row r="6626" spans="12:15" x14ac:dyDescent="0.25">
      <c r="L6626" s="147">
        <f ca="1"/>
        <v>51865</v>
      </c>
      <c r="M6626" s="92">
        <f t="shared" ca="1" si="217"/>
        <v>6.25</v>
      </c>
      <c r="N6626" s="143">
        <f ca="1">(PRODUCT($O$5:$O6626)-1)*36000/_xlfn.DAYS(L6626, $C$2)</f>
        <v>12.917428792864539</v>
      </c>
      <c r="O6626" s="149">
        <f t="shared" ca="1" si="218"/>
        <v>1.000173611111111</v>
      </c>
    </row>
    <row r="6627" spans="12:15" x14ac:dyDescent="0.25">
      <c r="L6627" s="147">
        <f ca="1"/>
        <v>51866</v>
      </c>
      <c r="M6627" s="92">
        <f t="shared" ca="1" si="217"/>
        <v>6.25</v>
      </c>
      <c r="N6627" s="143">
        <f ca="1">(PRODUCT($O$5:$O6627)-1)*36000/_xlfn.DAYS(L6627, $C$2)</f>
        <v>12.918664355162679</v>
      </c>
      <c r="O6627" s="149">
        <f t="shared" ca="1" si="218"/>
        <v>1.000173611111111</v>
      </c>
    </row>
    <row r="6628" spans="12:15" x14ac:dyDescent="0.25">
      <c r="L6628" s="147">
        <f ca="1"/>
        <v>51867</v>
      </c>
      <c r="M6628" s="92">
        <f t="shared" ca="1" si="217"/>
        <v>6.25</v>
      </c>
      <c r="N6628" s="143">
        <f ca="1">(PRODUCT($O$5:$O6628)-1)*36000/_xlfn.DAYS(L6628, $C$2)</f>
        <v>12.919900097437678</v>
      </c>
      <c r="O6628" s="149">
        <f t="shared" ca="1" si="218"/>
        <v>1.000173611111111</v>
      </c>
    </row>
    <row r="6629" spans="12:15" x14ac:dyDescent="0.25">
      <c r="L6629" s="147">
        <f ca="1"/>
        <v>51868</v>
      </c>
      <c r="M6629" s="92">
        <f t="shared" ca="1" si="217"/>
        <v>6.25</v>
      </c>
      <c r="N6629" s="143">
        <f ca="1">(PRODUCT($O$5:$O6629)-1)*36000/_xlfn.DAYS(L6629, $C$2)</f>
        <v>12.921136019704033</v>
      </c>
      <c r="O6629" s="149">
        <f t="shared" ca="1" si="218"/>
        <v>1.000173611111111</v>
      </c>
    </row>
    <row r="6630" spans="12:15" x14ac:dyDescent="0.25">
      <c r="L6630" s="147">
        <f ca="1"/>
        <v>51869</v>
      </c>
      <c r="M6630" s="92">
        <f t="shared" ca="1" si="217"/>
        <v>6.25</v>
      </c>
      <c r="N6630" s="143">
        <f ca="1">(PRODUCT($O$5:$O6630)-1)*36000/_xlfn.DAYS(L6630, $C$2)</f>
        <v>12.922372121976251</v>
      </c>
      <c r="O6630" s="149">
        <f t="shared" ca="1" si="218"/>
        <v>1.000173611111111</v>
      </c>
    </row>
    <row r="6631" spans="12:15" x14ac:dyDescent="0.25">
      <c r="L6631" s="147">
        <f ca="1"/>
        <v>51870</v>
      </c>
      <c r="M6631" s="92">
        <f t="shared" ca="1" si="217"/>
        <v>6.25</v>
      </c>
      <c r="N6631" s="143">
        <f ca="1">(PRODUCT($O$5:$O6631)-1)*36000/_xlfn.DAYS(L6631, $C$2)</f>
        <v>12.923608404268849</v>
      </c>
      <c r="O6631" s="149">
        <f t="shared" ca="1" si="218"/>
        <v>1.000173611111111</v>
      </c>
    </row>
    <row r="6632" spans="12:15" x14ac:dyDescent="0.25">
      <c r="L6632" s="147">
        <f ca="1"/>
        <v>51871</v>
      </c>
      <c r="M6632" s="92">
        <f t="shared" ca="1" si="217"/>
        <v>6.25</v>
      </c>
      <c r="N6632" s="143">
        <f ca="1">(PRODUCT($O$5:$O6632)-1)*36000/_xlfn.DAYS(L6632, $C$2)</f>
        <v>12.92484486659635</v>
      </c>
      <c r="O6632" s="149">
        <f t="shared" ca="1" si="218"/>
        <v>1.000173611111111</v>
      </c>
    </row>
    <row r="6633" spans="12:15" x14ac:dyDescent="0.25">
      <c r="L6633" s="147">
        <f ca="1"/>
        <v>51872</v>
      </c>
      <c r="M6633" s="92">
        <f t="shared" ca="1" si="217"/>
        <v>6.25</v>
      </c>
      <c r="N6633" s="143">
        <f ca="1">(PRODUCT($O$5:$O6633)-1)*36000/_xlfn.DAYS(L6633, $C$2)</f>
        <v>12.926081508973287</v>
      </c>
      <c r="O6633" s="149">
        <f t="shared" ca="1" si="218"/>
        <v>1.000173611111111</v>
      </c>
    </row>
    <row r="6634" spans="12:15" x14ac:dyDescent="0.25">
      <c r="L6634" s="147">
        <f ca="1"/>
        <v>51873</v>
      </c>
      <c r="M6634" s="92">
        <f t="shared" ca="1" si="217"/>
        <v>6.25</v>
      </c>
      <c r="N6634" s="143">
        <f ca="1">(PRODUCT($O$5:$O6634)-1)*36000/_xlfn.DAYS(L6634, $C$2)</f>
        <v>12.927318331414192</v>
      </c>
      <c r="O6634" s="149">
        <f t="shared" ca="1" si="218"/>
        <v>1.000173611111111</v>
      </c>
    </row>
    <row r="6635" spans="12:15" x14ac:dyDescent="0.25">
      <c r="L6635" s="147">
        <f ca="1"/>
        <v>51874</v>
      </c>
      <c r="M6635" s="92">
        <f t="shared" ca="1" si="217"/>
        <v>6.25</v>
      </c>
      <c r="N6635" s="143">
        <f ca="1">(PRODUCT($O$5:$O6635)-1)*36000/_xlfn.DAYS(L6635, $C$2)</f>
        <v>12.928555333933614</v>
      </c>
      <c r="O6635" s="149">
        <f t="shared" ca="1" si="218"/>
        <v>1.000173611111111</v>
      </c>
    </row>
    <row r="6636" spans="12:15" x14ac:dyDescent="0.25">
      <c r="L6636" s="147">
        <f ca="1"/>
        <v>51875</v>
      </c>
      <c r="M6636" s="92">
        <f t="shared" ca="1" si="217"/>
        <v>6.25</v>
      </c>
      <c r="N6636" s="143">
        <f ca="1">(PRODUCT($O$5:$O6636)-1)*36000/_xlfn.DAYS(L6636, $C$2)</f>
        <v>12.929792516546112</v>
      </c>
      <c r="O6636" s="149">
        <f t="shared" ca="1" si="218"/>
        <v>1.000173611111111</v>
      </c>
    </row>
    <row r="6637" spans="12:15" x14ac:dyDescent="0.25">
      <c r="L6637" s="147">
        <f ca="1"/>
        <v>51876</v>
      </c>
      <c r="M6637" s="92">
        <f t="shared" ca="1" si="217"/>
        <v>6.25</v>
      </c>
      <c r="N6637" s="143">
        <f ca="1">(PRODUCT($O$5:$O6637)-1)*36000/_xlfn.DAYS(L6637, $C$2)</f>
        <v>12.931029879266243</v>
      </c>
      <c r="O6637" s="149">
        <f t="shared" ca="1" si="218"/>
        <v>1.000173611111111</v>
      </c>
    </row>
    <row r="6638" spans="12:15" x14ac:dyDescent="0.25">
      <c r="L6638" s="147">
        <f ca="1"/>
        <v>51877</v>
      </c>
      <c r="M6638" s="92">
        <f t="shared" ca="1" si="217"/>
        <v>6.25</v>
      </c>
      <c r="N6638" s="143">
        <f ca="1">(PRODUCT($O$5:$O6638)-1)*36000/_xlfn.DAYS(L6638, $C$2)</f>
        <v>12.932267422108579</v>
      </c>
      <c r="O6638" s="149">
        <f t="shared" ca="1" si="218"/>
        <v>1.000173611111111</v>
      </c>
    </row>
    <row r="6639" spans="12:15" x14ac:dyDescent="0.25">
      <c r="L6639" s="147">
        <f ca="1"/>
        <v>51878</v>
      </c>
      <c r="M6639" s="92">
        <f t="shared" ca="1" si="217"/>
        <v>6.25</v>
      </c>
      <c r="N6639" s="143">
        <f ca="1">(PRODUCT($O$5:$O6639)-1)*36000/_xlfn.DAYS(L6639, $C$2)</f>
        <v>12.933505145087702</v>
      </c>
      <c r="O6639" s="149">
        <f t="shared" ca="1" si="218"/>
        <v>1.000173611111111</v>
      </c>
    </row>
    <row r="6640" spans="12:15" x14ac:dyDescent="0.25">
      <c r="L6640" s="147">
        <f ca="1"/>
        <v>51879</v>
      </c>
      <c r="M6640" s="92">
        <f t="shared" ca="1" si="217"/>
        <v>6.25</v>
      </c>
      <c r="N6640" s="143">
        <f ca="1">(PRODUCT($O$5:$O6640)-1)*36000/_xlfn.DAYS(L6640, $C$2)</f>
        <v>12.934743048218191</v>
      </c>
      <c r="O6640" s="149">
        <f t="shared" ca="1" si="218"/>
        <v>1.000173611111111</v>
      </c>
    </row>
    <row r="6641" spans="12:15" x14ac:dyDescent="0.25">
      <c r="L6641" s="147">
        <f ca="1"/>
        <v>51880</v>
      </c>
      <c r="M6641" s="92">
        <f t="shared" ca="1" si="217"/>
        <v>6.25</v>
      </c>
      <c r="N6641" s="143">
        <f ca="1">(PRODUCT($O$5:$O6641)-1)*36000/_xlfn.DAYS(L6641, $C$2)</f>
        <v>12.935981131514648</v>
      </c>
      <c r="O6641" s="149">
        <f t="shared" ca="1" si="218"/>
        <v>1.000173611111111</v>
      </c>
    </row>
    <row r="6642" spans="12:15" x14ac:dyDescent="0.25">
      <c r="L6642" s="147">
        <f ca="1"/>
        <v>51881</v>
      </c>
      <c r="M6642" s="92">
        <f t="shared" ca="1" si="217"/>
        <v>6.25</v>
      </c>
      <c r="N6642" s="143">
        <f ca="1">(PRODUCT($O$5:$O6642)-1)*36000/_xlfn.DAYS(L6642, $C$2)</f>
        <v>12.93721939499167</v>
      </c>
      <c r="O6642" s="149">
        <f t="shared" ca="1" si="218"/>
        <v>1.000173611111111</v>
      </c>
    </row>
    <row r="6643" spans="12:15" x14ac:dyDescent="0.25">
      <c r="L6643" s="147">
        <f ca="1"/>
        <v>51882</v>
      </c>
      <c r="M6643" s="92">
        <f t="shared" ca="1" si="217"/>
        <v>6.25</v>
      </c>
      <c r="N6643" s="143">
        <f ca="1">(PRODUCT($O$5:$O6643)-1)*36000/_xlfn.DAYS(L6643, $C$2)</f>
        <v>12.938457838663865</v>
      </c>
      <c r="O6643" s="149">
        <f t="shared" ca="1" si="218"/>
        <v>1.000173611111111</v>
      </c>
    </row>
    <row r="6644" spans="12:15" x14ac:dyDescent="0.25">
      <c r="L6644" s="147">
        <f ca="1"/>
        <v>51883</v>
      </c>
      <c r="M6644" s="92">
        <f t="shared" ca="1" si="217"/>
        <v>6.25</v>
      </c>
      <c r="N6644" s="143">
        <f ca="1">(PRODUCT($O$5:$O6644)-1)*36000/_xlfn.DAYS(L6644, $C$2)</f>
        <v>12.939696462545855</v>
      </c>
      <c r="O6644" s="149">
        <f t="shared" ca="1" si="218"/>
        <v>1.000173611111111</v>
      </c>
    </row>
    <row r="6645" spans="12:15" x14ac:dyDescent="0.25">
      <c r="L6645" s="147">
        <f ca="1"/>
        <v>51884</v>
      </c>
      <c r="M6645" s="92">
        <f t="shared" ca="1" si="217"/>
        <v>6.25</v>
      </c>
      <c r="N6645" s="143">
        <f ca="1">(PRODUCT($O$5:$O6645)-1)*36000/_xlfn.DAYS(L6645, $C$2)</f>
        <v>12.940935266652261</v>
      </c>
      <c r="O6645" s="149">
        <f t="shared" ca="1" si="218"/>
        <v>1.000173611111111</v>
      </c>
    </row>
    <row r="6646" spans="12:15" x14ac:dyDescent="0.25">
      <c r="L6646" s="147">
        <f ca="1"/>
        <v>51885</v>
      </c>
      <c r="M6646" s="92">
        <f t="shared" ca="1" si="217"/>
        <v>6.25</v>
      </c>
      <c r="N6646" s="143">
        <f ca="1">(PRODUCT($O$5:$O6646)-1)*36000/_xlfn.DAYS(L6646, $C$2)</f>
        <v>12.942174250997722</v>
      </c>
      <c r="O6646" s="149">
        <f t="shared" ca="1" si="218"/>
        <v>1.000173611111111</v>
      </c>
    </row>
    <row r="6647" spans="12:15" x14ac:dyDescent="0.25">
      <c r="L6647" s="147">
        <f ca="1"/>
        <v>51886</v>
      </c>
      <c r="M6647" s="92">
        <f t="shared" ca="1" si="217"/>
        <v>6.25</v>
      </c>
      <c r="N6647" s="143">
        <f ca="1">(PRODUCT($O$5:$O6647)-1)*36000/_xlfn.DAYS(L6647, $C$2)</f>
        <v>12.943413415596876</v>
      </c>
      <c r="O6647" s="149">
        <f t="shared" ca="1" si="218"/>
        <v>1.000173611111111</v>
      </c>
    </row>
    <row r="6648" spans="12:15" x14ac:dyDescent="0.25">
      <c r="L6648" s="147">
        <f ca="1"/>
        <v>51887</v>
      </c>
      <c r="M6648" s="92">
        <f t="shared" ca="1" si="217"/>
        <v>6.25</v>
      </c>
      <c r="N6648" s="143">
        <f ca="1">(PRODUCT($O$5:$O6648)-1)*36000/_xlfn.DAYS(L6648, $C$2)</f>
        <v>12.94465276046437</v>
      </c>
      <c r="O6648" s="149">
        <f t="shared" ca="1" si="218"/>
        <v>1.000173611111111</v>
      </c>
    </row>
    <row r="6649" spans="12:15" x14ac:dyDescent="0.25">
      <c r="L6649" s="147">
        <f ca="1"/>
        <v>51888</v>
      </c>
      <c r="M6649" s="92">
        <f t="shared" ca="1" si="217"/>
        <v>6.25</v>
      </c>
      <c r="N6649" s="143">
        <f ca="1">(PRODUCT($O$5:$O6649)-1)*36000/_xlfn.DAYS(L6649, $C$2)</f>
        <v>12.945892285614864</v>
      </c>
      <c r="O6649" s="149">
        <f t="shared" ca="1" si="218"/>
        <v>1.000173611111111</v>
      </c>
    </row>
    <row r="6650" spans="12:15" x14ac:dyDescent="0.25">
      <c r="L6650" s="147">
        <f ca="1"/>
        <v>51889</v>
      </c>
      <c r="M6650" s="92">
        <f t="shared" ca="1" si="217"/>
        <v>6.25</v>
      </c>
      <c r="N6650" s="143">
        <f ca="1">(PRODUCT($O$5:$O6650)-1)*36000/_xlfn.DAYS(L6650, $C$2)</f>
        <v>12.947131991063022</v>
      </c>
      <c r="O6650" s="149">
        <f t="shared" ca="1" si="218"/>
        <v>1.000173611111111</v>
      </c>
    </row>
    <row r="6651" spans="12:15" x14ac:dyDescent="0.25">
      <c r="L6651" s="147">
        <f ca="1"/>
        <v>51890</v>
      </c>
      <c r="M6651" s="92">
        <f t="shared" ca="1" si="217"/>
        <v>6.25</v>
      </c>
      <c r="N6651" s="143">
        <f ca="1">(PRODUCT($O$5:$O6651)-1)*36000/_xlfn.DAYS(L6651, $C$2)</f>
        <v>12.948371876823517</v>
      </c>
      <c r="O6651" s="149">
        <f t="shared" ca="1" si="218"/>
        <v>1.000173611111111</v>
      </c>
    </row>
    <row r="6652" spans="12:15" x14ac:dyDescent="0.25">
      <c r="L6652" s="147">
        <f ca="1"/>
        <v>51891</v>
      </c>
      <c r="M6652" s="92">
        <f t="shared" ca="1" si="217"/>
        <v>6.25</v>
      </c>
      <c r="N6652" s="143">
        <f ca="1">(PRODUCT($O$5:$O6652)-1)*36000/_xlfn.DAYS(L6652, $C$2)</f>
        <v>12.949611942911028</v>
      </c>
      <c r="O6652" s="149">
        <f t="shared" ca="1" si="218"/>
        <v>1.000173611111111</v>
      </c>
    </row>
    <row r="6653" spans="12:15" x14ac:dyDescent="0.25">
      <c r="L6653" s="147">
        <f ca="1"/>
        <v>51892</v>
      </c>
      <c r="M6653" s="92">
        <f t="shared" ca="1" si="217"/>
        <v>6.25</v>
      </c>
      <c r="N6653" s="143">
        <f ca="1">(PRODUCT($O$5:$O6653)-1)*36000/_xlfn.DAYS(L6653, $C$2)</f>
        <v>12.950852189340242</v>
      </c>
      <c r="O6653" s="149">
        <f t="shared" ca="1" si="218"/>
        <v>1.000173611111111</v>
      </c>
    </row>
    <row r="6654" spans="12:15" x14ac:dyDescent="0.25">
      <c r="L6654" s="147">
        <f ca="1"/>
        <v>51893</v>
      </c>
      <c r="M6654" s="92">
        <f t="shared" ca="1" si="217"/>
        <v>6.25</v>
      </c>
      <c r="N6654" s="143">
        <f ca="1">(PRODUCT($O$5:$O6654)-1)*36000/_xlfn.DAYS(L6654, $C$2)</f>
        <v>12.952092616125858</v>
      </c>
      <c r="O6654" s="149">
        <f t="shared" ca="1" si="218"/>
        <v>1.000173611111111</v>
      </c>
    </row>
    <row r="6655" spans="12:15" x14ac:dyDescent="0.25">
      <c r="L6655" s="147">
        <f ca="1"/>
        <v>51894</v>
      </c>
      <c r="M6655" s="92">
        <f t="shared" ca="1" si="217"/>
        <v>6.25</v>
      </c>
      <c r="N6655" s="143">
        <f ca="1">(PRODUCT($O$5:$O6655)-1)*36000/_xlfn.DAYS(L6655, $C$2)</f>
        <v>12.953333223282581</v>
      </c>
      <c r="O6655" s="149">
        <f t="shared" ca="1" si="218"/>
        <v>1.000173611111111</v>
      </c>
    </row>
    <row r="6656" spans="12:15" x14ac:dyDescent="0.25">
      <c r="L6656" s="147">
        <f ca="1"/>
        <v>51895</v>
      </c>
      <c r="M6656" s="92">
        <f t="shared" ca="1" si="217"/>
        <v>6.25</v>
      </c>
      <c r="N6656" s="143">
        <f ca="1">(PRODUCT($O$5:$O6656)-1)*36000/_xlfn.DAYS(L6656, $C$2)</f>
        <v>12.954574010825118</v>
      </c>
      <c r="O6656" s="149">
        <f t="shared" ca="1" si="218"/>
        <v>1.000173611111111</v>
      </c>
    </row>
    <row r="6657" spans="12:15" x14ac:dyDescent="0.25">
      <c r="L6657" s="147">
        <f ca="1"/>
        <v>51896</v>
      </c>
      <c r="M6657" s="92">
        <f t="shared" ca="1" si="217"/>
        <v>6.25</v>
      </c>
      <c r="N6657" s="143">
        <f ca="1">(PRODUCT($O$5:$O6657)-1)*36000/_xlfn.DAYS(L6657, $C$2)</f>
        <v>12.955814978768194</v>
      </c>
      <c r="O6657" s="149">
        <f t="shared" ca="1" si="218"/>
        <v>1.000173611111111</v>
      </c>
    </row>
    <row r="6658" spans="12:15" x14ac:dyDescent="0.25">
      <c r="L6658" s="147">
        <f ca="1"/>
        <v>51897</v>
      </c>
      <c r="M6658" s="92">
        <f t="shared" ca="1" si="217"/>
        <v>6.25</v>
      </c>
      <c r="N6658" s="143">
        <f ca="1">(PRODUCT($O$5:$O6658)-1)*36000/_xlfn.DAYS(L6658, $C$2)</f>
        <v>12.957056127126531</v>
      </c>
      <c r="O6658" s="149">
        <f t="shared" ca="1" si="218"/>
        <v>1.000173611111111</v>
      </c>
    </row>
    <row r="6659" spans="12:15" x14ac:dyDescent="0.25">
      <c r="L6659" s="147">
        <f ca="1"/>
        <v>51898</v>
      </c>
      <c r="M6659" s="92">
        <f t="shared" ca="1" si="217"/>
        <v>6.25</v>
      </c>
      <c r="N6659" s="143">
        <f ca="1">(PRODUCT($O$5:$O6659)-1)*36000/_xlfn.DAYS(L6659, $C$2)</f>
        <v>12.958297455914872</v>
      </c>
      <c r="O6659" s="149">
        <f t="shared" ca="1" si="218"/>
        <v>1.000173611111111</v>
      </c>
    </row>
    <row r="6660" spans="12:15" x14ac:dyDescent="0.25">
      <c r="L6660" s="147">
        <f ca="1"/>
        <v>51899</v>
      </c>
      <c r="M6660" s="92">
        <f t="shared" ca="1" si="217"/>
        <v>6.25</v>
      </c>
      <c r="N6660" s="143">
        <f ca="1">(PRODUCT($O$5:$O6660)-1)*36000/_xlfn.DAYS(L6660, $C$2)</f>
        <v>12.959538965147951</v>
      </c>
      <c r="O6660" s="149">
        <f t="shared" ca="1" si="218"/>
        <v>1.000173611111111</v>
      </c>
    </row>
    <row r="6661" spans="12:15" x14ac:dyDescent="0.25">
      <c r="L6661" s="147">
        <f ca="1"/>
        <v>51900</v>
      </c>
      <c r="M6661" s="92">
        <f t="shared" ref="M6661:M6724" ca="1" si="219">IFERROR(INDEX($E$27:$H$47, MATCH(L6661, $F$27:$F$47, 0), 4), IF(ISNUMBER(M6660), M6660, $C$5))</f>
        <v>6.25</v>
      </c>
      <c r="N6661" s="143">
        <f ca="1">(PRODUCT($O$5:$O6661)-1)*36000/_xlfn.DAYS(L6661, $C$2)</f>
        <v>12.960780654840523</v>
      </c>
      <c r="O6661" s="149">
        <f t="shared" ca="1" si="218"/>
        <v>1.000173611111111</v>
      </c>
    </row>
    <row r="6662" spans="12:15" x14ac:dyDescent="0.25">
      <c r="L6662" s="147">
        <f ca="1"/>
        <v>51901</v>
      </c>
      <c r="M6662" s="92">
        <f t="shared" ca="1" si="219"/>
        <v>6.25</v>
      </c>
      <c r="N6662" s="143">
        <f ca="1">(PRODUCT($O$5:$O6662)-1)*36000/_xlfn.DAYS(L6662, $C$2)</f>
        <v>12.962022525007347</v>
      </c>
      <c r="O6662" s="149">
        <f t="shared" ref="O6662:O6725" ca="1" si="220">1+M6662*IFERROR(_xlfn.DAYS(L6662, L6661), _xlfn.DAYS(L6662, $C$2))/36000</f>
        <v>1.000173611111111</v>
      </c>
    </row>
    <row r="6663" spans="12:15" x14ac:dyDescent="0.25">
      <c r="L6663" s="147">
        <f ca="1"/>
        <v>51902</v>
      </c>
      <c r="M6663" s="92">
        <f t="shared" ca="1" si="219"/>
        <v>6.25</v>
      </c>
      <c r="N6663" s="143">
        <f ca="1">(PRODUCT($O$5:$O6663)-1)*36000/_xlfn.DAYS(L6663, $C$2)</f>
        <v>12.963264575663191</v>
      </c>
      <c r="O6663" s="149">
        <f t="shared" ca="1" si="220"/>
        <v>1.000173611111111</v>
      </c>
    </row>
    <row r="6664" spans="12:15" x14ac:dyDescent="0.25">
      <c r="L6664" s="147">
        <f ca="1"/>
        <v>51903</v>
      </c>
      <c r="M6664" s="92">
        <f t="shared" ca="1" si="219"/>
        <v>6.25</v>
      </c>
      <c r="N6664" s="143">
        <f ca="1">(PRODUCT($O$5:$O6664)-1)*36000/_xlfn.DAYS(L6664, $C$2)</f>
        <v>12.964506806822826</v>
      </c>
      <c r="O6664" s="149">
        <f t="shared" ca="1" si="220"/>
        <v>1.000173611111111</v>
      </c>
    </row>
    <row r="6665" spans="12:15" x14ac:dyDescent="0.25">
      <c r="L6665" s="147">
        <f ca="1"/>
        <v>51904</v>
      </c>
      <c r="M6665" s="92">
        <f t="shared" ca="1" si="219"/>
        <v>6.25</v>
      </c>
      <c r="N6665" s="143">
        <f ca="1">(PRODUCT($O$5:$O6665)-1)*36000/_xlfn.DAYS(L6665, $C$2)</f>
        <v>12.965749218501037</v>
      </c>
      <c r="O6665" s="149">
        <f t="shared" ca="1" si="220"/>
        <v>1.000173611111111</v>
      </c>
    </row>
    <row r="6666" spans="12:15" x14ac:dyDescent="0.25">
      <c r="L6666" s="147">
        <f ca="1"/>
        <v>51905</v>
      </c>
      <c r="M6666" s="92">
        <f t="shared" ca="1" si="219"/>
        <v>6.25</v>
      </c>
      <c r="N6666" s="143">
        <f ca="1">(PRODUCT($O$5:$O6666)-1)*36000/_xlfn.DAYS(L6666, $C$2)</f>
        <v>12.96699181071261</v>
      </c>
      <c r="O6666" s="149">
        <f t="shared" ca="1" si="220"/>
        <v>1.000173611111111</v>
      </c>
    </row>
    <row r="6667" spans="12:15" x14ac:dyDescent="0.25">
      <c r="L6667" s="147">
        <f ca="1"/>
        <v>51906</v>
      </c>
      <c r="M6667" s="92">
        <f t="shared" ca="1" si="219"/>
        <v>6.25</v>
      </c>
      <c r="N6667" s="143">
        <f ca="1">(PRODUCT($O$5:$O6667)-1)*36000/_xlfn.DAYS(L6667, $C$2)</f>
        <v>12.968234583472345</v>
      </c>
      <c r="O6667" s="149">
        <f t="shared" ca="1" si="220"/>
        <v>1.000173611111111</v>
      </c>
    </row>
    <row r="6668" spans="12:15" x14ac:dyDescent="0.25">
      <c r="L6668" s="147">
        <f ca="1"/>
        <v>51907</v>
      </c>
      <c r="M6668" s="92">
        <f t="shared" ca="1" si="219"/>
        <v>6.25</v>
      </c>
      <c r="N6668" s="143">
        <f ca="1">(PRODUCT($O$5:$O6668)-1)*36000/_xlfn.DAYS(L6668, $C$2)</f>
        <v>12.969477536795051</v>
      </c>
      <c r="O6668" s="149">
        <f t="shared" ca="1" si="220"/>
        <v>1.000173611111111</v>
      </c>
    </row>
    <row r="6669" spans="12:15" x14ac:dyDescent="0.25">
      <c r="L6669" s="147">
        <f ca="1"/>
        <v>51908</v>
      </c>
      <c r="M6669" s="92">
        <f t="shared" ca="1" si="219"/>
        <v>6.25</v>
      </c>
      <c r="N6669" s="143">
        <f ca="1">(PRODUCT($O$5:$O6669)-1)*36000/_xlfn.DAYS(L6669, $C$2)</f>
        <v>12.970720670695536</v>
      </c>
      <c r="O6669" s="149">
        <f t="shared" ca="1" si="220"/>
        <v>1.000173611111111</v>
      </c>
    </row>
    <row r="6670" spans="12:15" x14ac:dyDescent="0.25">
      <c r="L6670" s="147">
        <f ca="1"/>
        <v>51909</v>
      </c>
      <c r="M6670" s="92">
        <f t="shared" ca="1" si="219"/>
        <v>6.25</v>
      </c>
      <c r="N6670" s="143">
        <f ca="1">(PRODUCT($O$5:$O6670)-1)*36000/_xlfn.DAYS(L6670, $C$2)</f>
        <v>12.971963985188625</v>
      </c>
      <c r="O6670" s="149">
        <f t="shared" ca="1" si="220"/>
        <v>1.000173611111111</v>
      </c>
    </row>
    <row r="6671" spans="12:15" x14ac:dyDescent="0.25">
      <c r="L6671" s="147">
        <f ca="1"/>
        <v>51910</v>
      </c>
      <c r="M6671" s="92">
        <f t="shared" ca="1" si="219"/>
        <v>6.25</v>
      </c>
      <c r="N6671" s="143">
        <f ca="1">(PRODUCT($O$5:$O6671)-1)*36000/_xlfn.DAYS(L6671, $C$2)</f>
        <v>12.973207480289142</v>
      </c>
      <c r="O6671" s="149">
        <f t="shared" ca="1" si="220"/>
        <v>1.000173611111111</v>
      </c>
    </row>
    <row r="6672" spans="12:15" x14ac:dyDescent="0.25">
      <c r="L6672" s="147">
        <f ca="1"/>
        <v>51911</v>
      </c>
      <c r="M6672" s="92">
        <f t="shared" ca="1" si="219"/>
        <v>6.25</v>
      </c>
      <c r="N6672" s="143">
        <f ca="1">(PRODUCT($O$5:$O6672)-1)*36000/_xlfn.DAYS(L6672, $C$2)</f>
        <v>12.974451156011929</v>
      </c>
      <c r="O6672" s="149">
        <f t="shared" ca="1" si="220"/>
        <v>1.000173611111111</v>
      </c>
    </row>
    <row r="6673" spans="12:15" x14ac:dyDescent="0.25">
      <c r="L6673" s="147">
        <f ca="1"/>
        <v>51912</v>
      </c>
      <c r="M6673" s="92">
        <f t="shared" ca="1" si="219"/>
        <v>6.25</v>
      </c>
      <c r="N6673" s="143">
        <f ca="1">(PRODUCT($O$5:$O6673)-1)*36000/_xlfn.DAYS(L6673, $C$2)</f>
        <v>12.975695012371828</v>
      </c>
      <c r="O6673" s="149">
        <f t="shared" ca="1" si="220"/>
        <v>1.000173611111111</v>
      </c>
    </row>
    <row r="6674" spans="12:15" x14ac:dyDescent="0.25">
      <c r="L6674" s="147">
        <f ca="1"/>
        <v>51913</v>
      </c>
      <c r="M6674" s="92">
        <f t="shared" ca="1" si="219"/>
        <v>6.25</v>
      </c>
      <c r="N6674" s="143">
        <f ca="1">(PRODUCT($O$5:$O6674)-1)*36000/_xlfn.DAYS(L6674, $C$2)</f>
        <v>12.976939049383692</v>
      </c>
      <c r="O6674" s="149">
        <f t="shared" ca="1" si="220"/>
        <v>1.000173611111111</v>
      </c>
    </row>
    <row r="6675" spans="12:15" x14ac:dyDescent="0.25">
      <c r="L6675" s="147">
        <f ca="1"/>
        <v>51914</v>
      </c>
      <c r="M6675" s="92">
        <f t="shared" ca="1" si="219"/>
        <v>6.25</v>
      </c>
      <c r="N6675" s="143">
        <f ca="1">(PRODUCT($O$5:$O6675)-1)*36000/_xlfn.DAYS(L6675, $C$2)</f>
        <v>12.978183267062381</v>
      </c>
      <c r="O6675" s="149">
        <f t="shared" ca="1" si="220"/>
        <v>1.000173611111111</v>
      </c>
    </row>
    <row r="6676" spans="12:15" x14ac:dyDescent="0.25">
      <c r="L6676" s="147">
        <f ca="1"/>
        <v>51915</v>
      </c>
      <c r="M6676" s="92">
        <f t="shared" ca="1" si="219"/>
        <v>6.25</v>
      </c>
      <c r="N6676" s="143">
        <f ca="1">(PRODUCT($O$5:$O6676)-1)*36000/_xlfn.DAYS(L6676, $C$2)</f>
        <v>12.979427665422762</v>
      </c>
      <c r="O6676" s="149">
        <f t="shared" ca="1" si="220"/>
        <v>1.000173611111111</v>
      </c>
    </row>
    <row r="6677" spans="12:15" x14ac:dyDescent="0.25">
      <c r="L6677" s="147">
        <f ca="1"/>
        <v>51916</v>
      </c>
      <c r="M6677" s="92">
        <f t="shared" ca="1" si="219"/>
        <v>6.25</v>
      </c>
      <c r="N6677" s="143">
        <f ca="1">(PRODUCT($O$5:$O6677)-1)*36000/_xlfn.DAYS(L6677, $C$2)</f>
        <v>12.980672244479708</v>
      </c>
      <c r="O6677" s="149">
        <f t="shared" ca="1" si="220"/>
        <v>1.000173611111111</v>
      </c>
    </row>
    <row r="6678" spans="12:15" x14ac:dyDescent="0.25">
      <c r="L6678" s="147">
        <f ca="1"/>
        <v>51917</v>
      </c>
      <c r="M6678" s="92">
        <f t="shared" ca="1" si="219"/>
        <v>6.25</v>
      </c>
      <c r="N6678" s="143">
        <f ca="1">(PRODUCT($O$5:$O6678)-1)*36000/_xlfn.DAYS(L6678, $C$2)</f>
        <v>12.981917004248107</v>
      </c>
      <c r="O6678" s="149">
        <f t="shared" ca="1" si="220"/>
        <v>1.000173611111111</v>
      </c>
    </row>
    <row r="6679" spans="12:15" x14ac:dyDescent="0.25">
      <c r="L6679" s="147">
        <f ca="1"/>
        <v>51918</v>
      </c>
      <c r="M6679" s="92">
        <f t="shared" ca="1" si="219"/>
        <v>6.25</v>
      </c>
      <c r="N6679" s="143">
        <f ca="1">(PRODUCT($O$5:$O6679)-1)*36000/_xlfn.DAYS(L6679, $C$2)</f>
        <v>12.983161944742848</v>
      </c>
      <c r="O6679" s="149">
        <f t="shared" ca="1" si="220"/>
        <v>1.000173611111111</v>
      </c>
    </row>
    <row r="6680" spans="12:15" x14ac:dyDescent="0.25">
      <c r="L6680" s="147">
        <f ca="1"/>
        <v>51919</v>
      </c>
      <c r="M6680" s="92">
        <f t="shared" ca="1" si="219"/>
        <v>6.25</v>
      </c>
      <c r="N6680" s="143">
        <f ca="1">(PRODUCT($O$5:$O6680)-1)*36000/_xlfn.DAYS(L6680, $C$2)</f>
        <v>12.984407065978832</v>
      </c>
      <c r="O6680" s="149">
        <f t="shared" ca="1" si="220"/>
        <v>1.000173611111111</v>
      </c>
    </row>
    <row r="6681" spans="12:15" x14ac:dyDescent="0.25">
      <c r="L6681" s="147">
        <f ca="1"/>
        <v>51920</v>
      </c>
      <c r="M6681" s="92">
        <f t="shared" ca="1" si="219"/>
        <v>6.25</v>
      </c>
      <c r="N6681" s="143">
        <f ca="1">(PRODUCT($O$5:$O6681)-1)*36000/_xlfn.DAYS(L6681, $C$2)</f>
        <v>12.985652367970962</v>
      </c>
      <c r="O6681" s="149">
        <f t="shared" ca="1" si="220"/>
        <v>1.000173611111111</v>
      </c>
    </row>
    <row r="6682" spans="12:15" x14ac:dyDescent="0.25">
      <c r="L6682" s="147">
        <f ca="1"/>
        <v>51921</v>
      </c>
      <c r="M6682" s="92">
        <f t="shared" ca="1" si="219"/>
        <v>6.25</v>
      </c>
      <c r="N6682" s="143">
        <f ca="1">(PRODUCT($O$5:$O6682)-1)*36000/_xlfn.DAYS(L6682, $C$2)</f>
        <v>12.986897850734154</v>
      </c>
      <c r="O6682" s="149">
        <f t="shared" ca="1" si="220"/>
        <v>1.000173611111111</v>
      </c>
    </row>
    <row r="6683" spans="12:15" x14ac:dyDescent="0.25">
      <c r="L6683" s="147">
        <f ca="1"/>
        <v>51922</v>
      </c>
      <c r="M6683" s="92">
        <f t="shared" ca="1" si="219"/>
        <v>6.25</v>
      </c>
      <c r="N6683" s="143">
        <f ca="1">(PRODUCT($O$5:$O6683)-1)*36000/_xlfn.DAYS(L6683, $C$2)</f>
        <v>12.988143514283331</v>
      </c>
      <c r="O6683" s="149">
        <f t="shared" ca="1" si="220"/>
        <v>1.000173611111111</v>
      </c>
    </row>
    <row r="6684" spans="12:15" x14ac:dyDescent="0.25">
      <c r="L6684" s="147">
        <f ca="1"/>
        <v>51923</v>
      </c>
      <c r="M6684" s="92">
        <f t="shared" ca="1" si="219"/>
        <v>6.25</v>
      </c>
      <c r="N6684" s="143">
        <f ca="1">(PRODUCT($O$5:$O6684)-1)*36000/_xlfn.DAYS(L6684, $C$2)</f>
        <v>12.989389358633423</v>
      </c>
      <c r="O6684" s="149">
        <f t="shared" ca="1" si="220"/>
        <v>1.000173611111111</v>
      </c>
    </row>
    <row r="6685" spans="12:15" x14ac:dyDescent="0.25">
      <c r="L6685" s="147">
        <f ca="1"/>
        <v>51924</v>
      </c>
      <c r="M6685" s="92">
        <f t="shared" ca="1" si="219"/>
        <v>6.25</v>
      </c>
      <c r="N6685" s="143">
        <f ca="1">(PRODUCT($O$5:$O6685)-1)*36000/_xlfn.DAYS(L6685, $C$2)</f>
        <v>12.990635383799365</v>
      </c>
      <c r="O6685" s="149">
        <f t="shared" ca="1" si="220"/>
        <v>1.000173611111111</v>
      </c>
    </row>
    <row r="6686" spans="12:15" x14ac:dyDescent="0.25">
      <c r="L6686" s="147">
        <f ca="1"/>
        <v>51925</v>
      </c>
      <c r="M6686" s="92">
        <f t="shared" ca="1" si="219"/>
        <v>6.25</v>
      </c>
      <c r="N6686" s="143">
        <f ca="1">(PRODUCT($O$5:$O6686)-1)*36000/_xlfn.DAYS(L6686, $C$2)</f>
        <v>12.991881589796101</v>
      </c>
      <c r="O6686" s="149">
        <f t="shared" ca="1" si="220"/>
        <v>1.000173611111111</v>
      </c>
    </row>
    <row r="6687" spans="12:15" x14ac:dyDescent="0.25">
      <c r="L6687" s="147">
        <f ca="1"/>
        <v>51926</v>
      </c>
      <c r="M6687" s="92">
        <f t="shared" ca="1" si="219"/>
        <v>6.25</v>
      </c>
      <c r="N6687" s="143">
        <f ca="1">(PRODUCT($O$5:$O6687)-1)*36000/_xlfn.DAYS(L6687, $C$2)</f>
        <v>12.993127976638592</v>
      </c>
      <c r="O6687" s="149">
        <f t="shared" ca="1" si="220"/>
        <v>1.000173611111111</v>
      </c>
    </row>
    <row r="6688" spans="12:15" x14ac:dyDescent="0.25">
      <c r="L6688" s="147">
        <f ca="1"/>
        <v>51927</v>
      </c>
      <c r="M6688" s="92">
        <f t="shared" ca="1" si="219"/>
        <v>6.25</v>
      </c>
      <c r="N6688" s="143">
        <f ca="1">(PRODUCT($O$5:$O6688)-1)*36000/_xlfn.DAYS(L6688, $C$2)</f>
        <v>12.994374544341792</v>
      </c>
      <c r="O6688" s="149">
        <f t="shared" ca="1" si="220"/>
        <v>1.000173611111111</v>
      </c>
    </row>
    <row r="6689" spans="12:15" x14ac:dyDescent="0.25">
      <c r="L6689" s="147">
        <f ca="1"/>
        <v>51928</v>
      </c>
      <c r="M6689" s="92">
        <f t="shared" ca="1" si="219"/>
        <v>6.25</v>
      </c>
      <c r="N6689" s="143">
        <f ca="1">(PRODUCT($O$5:$O6689)-1)*36000/_xlfn.DAYS(L6689, $C$2)</f>
        <v>12.995621292920672</v>
      </c>
      <c r="O6689" s="149">
        <f t="shared" ca="1" si="220"/>
        <v>1.000173611111111</v>
      </c>
    </row>
    <row r="6690" spans="12:15" x14ac:dyDescent="0.25">
      <c r="L6690" s="147">
        <f ca="1"/>
        <v>51929</v>
      </c>
      <c r="M6690" s="92">
        <f t="shared" ca="1" si="219"/>
        <v>6.25</v>
      </c>
      <c r="N6690" s="143">
        <f ca="1">(PRODUCT($O$5:$O6690)-1)*36000/_xlfn.DAYS(L6690, $C$2)</f>
        <v>12.996868222390207</v>
      </c>
      <c r="O6690" s="149">
        <f t="shared" ca="1" si="220"/>
        <v>1.000173611111111</v>
      </c>
    </row>
    <row r="6691" spans="12:15" x14ac:dyDescent="0.25">
      <c r="L6691" s="147">
        <f ca="1"/>
        <v>51930</v>
      </c>
      <c r="M6691" s="92">
        <f t="shared" ca="1" si="219"/>
        <v>6.25</v>
      </c>
      <c r="N6691" s="143">
        <f ca="1">(PRODUCT($O$5:$O6691)-1)*36000/_xlfn.DAYS(L6691, $C$2)</f>
        <v>12.998115332765382</v>
      </c>
      <c r="O6691" s="149">
        <f t="shared" ca="1" si="220"/>
        <v>1.000173611111111</v>
      </c>
    </row>
    <row r="6692" spans="12:15" x14ac:dyDescent="0.25">
      <c r="L6692" s="147">
        <f ca="1"/>
        <v>51931</v>
      </c>
      <c r="M6692" s="92">
        <f t="shared" ca="1" si="219"/>
        <v>6.25</v>
      </c>
      <c r="N6692" s="143">
        <f ca="1">(PRODUCT($O$5:$O6692)-1)*36000/_xlfn.DAYS(L6692, $C$2)</f>
        <v>12.999362624061188</v>
      </c>
      <c r="O6692" s="149">
        <f t="shared" ca="1" si="220"/>
        <v>1.000173611111111</v>
      </c>
    </row>
    <row r="6693" spans="12:15" x14ac:dyDescent="0.25">
      <c r="L6693" s="147">
        <f ca="1"/>
        <v>51932</v>
      </c>
      <c r="M6693" s="92">
        <f t="shared" ca="1" si="219"/>
        <v>6.25</v>
      </c>
      <c r="N6693" s="143">
        <f ca="1">(PRODUCT($O$5:$O6693)-1)*36000/_xlfn.DAYS(L6693, $C$2)</f>
        <v>13.000610096292627</v>
      </c>
      <c r="O6693" s="149">
        <f t="shared" ca="1" si="220"/>
        <v>1.000173611111111</v>
      </c>
    </row>
    <row r="6694" spans="12:15" x14ac:dyDescent="0.25">
      <c r="L6694" s="147">
        <f ca="1"/>
        <v>51933</v>
      </c>
      <c r="M6694" s="92">
        <f t="shared" ca="1" si="219"/>
        <v>6.25</v>
      </c>
      <c r="N6694" s="143">
        <f ca="1">(PRODUCT($O$5:$O6694)-1)*36000/_xlfn.DAYS(L6694, $C$2)</f>
        <v>13.001857749474704</v>
      </c>
      <c r="O6694" s="149">
        <f t="shared" ca="1" si="220"/>
        <v>1.000173611111111</v>
      </c>
    </row>
    <row r="6695" spans="12:15" x14ac:dyDescent="0.25">
      <c r="L6695" s="147">
        <f ca="1"/>
        <v>51934</v>
      </c>
      <c r="M6695" s="92">
        <f t="shared" ca="1" si="219"/>
        <v>6.25</v>
      </c>
      <c r="N6695" s="143">
        <f ca="1">(PRODUCT($O$5:$O6695)-1)*36000/_xlfn.DAYS(L6695, $C$2)</f>
        <v>13.003105583622435</v>
      </c>
      <c r="O6695" s="149">
        <f t="shared" ca="1" si="220"/>
        <v>1.000173611111111</v>
      </c>
    </row>
    <row r="6696" spans="12:15" x14ac:dyDescent="0.25">
      <c r="L6696" s="147">
        <f ca="1"/>
        <v>51935</v>
      </c>
      <c r="M6696" s="92">
        <f t="shared" ca="1" si="219"/>
        <v>6.25</v>
      </c>
      <c r="N6696" s="143">
        <f ca="1">(PRODUCT($O$5:$O6696)-1)*36000/_xlfn.DAYS(L6696, $C$2)</f>
        <v>13.004353598750839</v>
      </c>
      <c r="O6696" s="149">
        <f t="shared" ca="1" si="220"/>
        <v>1.000173611111111</v>
      </c>
    </row>
    <row r="6697" spans="12:15" x14ac:dyDescent="0.25">
      <c r="L6697" s="147">
        <f ca="1"/>
        <v>51936</v>
      </c>
      <c r="M6697" s="92">
        <f t="shared" ca="1" si="219"/>
        <v>6.25</v>
      </c>
      <c r="N6697" s="143">
        <f ca="1">(PRODUCT($O$5:$O6697)-1)*36000/_xlfn.DAYS(L6697, $C$2)</f>
        <v>13.005601794874952</v>
      </c>
      <c r="O6697" s="149">
        <f t="shared" ca="1" si="220"/>
        <v>1.000173611111111</v>
      </c>
    </row>
    <row r="6698" spans="12:15" x14ac:dyDescent="0.25">
      <c r="L6698" s="147">
        <f ca="1"/>
        <v>51937</v>
      </c>
      <c r="M6698" s="92">
        <f t="shared" ca="1" si="219"/>
        <v>6.25</v>
      </c>
      <c r="N6698" s="143">
        <f ca="1">(PRODUCT($O$5:$O6698)-1)*36000/_xlfn.DAYS(L6698, $C$2)</f>
        <v>13.006850172009806</v>
      </c>
      <c r="O6698" s="149">
        <f t="shared" ca="1" si="220"/>
        <v>1.000173611111111</v>
      </c>
    </row>
    <row r="6699" spans="12:15" x14ac:dyDescent="0.25">
      <c r="L6699" s="147">
        <f ca="1"/>
        <v>51938</v>
      </c>
      <c r="M6699" s="92">
        <f t="shared" ca="1" si="219"/>
        <v>6.25</v>
      </c>
      <c r="N6699" s="143">
        <f ca="1">(PRODUCT($O$5:$O6699)-1)*36000/_xlfn.DAYS(L6699, $C$2)</f>
        <v>13.008098730170452</v>
      </c>
      <c r="O6699" s="149">
        <f t="shared" ca="1" si="220"/>
        <v>1.000173611111111</v>
      </c>
    </row>
    <row r="6700" spans="12:15" x14ac:dyDescent="0.25">
      <c r="L6700" s="147">
        <f ca="1"/>
        <v>51939</v>
      </c>
      <c r="M6700" s="92">
        <f t="shared" ca="1" si="219"/>
        <v>6.25</v>
      </c>
      <c r="N6700" s="143">
        <f ca="1">(PRODUCT($O$5:$O6700)-1)*36000/_xlfn.DAYS(L6700, $C$2)</f>
        <v>13.00934746937194</v>
      </c>
      <c r="O6700" s="149">
        <f t="shared" ca="1" si="220"/>
        <v>1.000173611111111</v>
      </c>
    </row>
    <row r="6701" spans="12:15" x14ac:dyDescent="0.25">
      <c r="L6701" s="147">
        <f ca="1"/>
        <v>51940</v>
      </c>
      <c r="M6701" s="92">
        <f t="shared" ca="1" si="219"/>
        <v>6.25</v>
      </c>
      <c r="N6701" s="143">
        <f ca="1">(PRODUCT($O$5:$O6701)-1)*36000/_xlfn.DAYS(L6701, $C$2)</f>
        <v>13.010596389629335</v>
      </c>
      <c r="O6701" s="149">
        <f t="shared" ca="1" si="220"/>
        <v>1.000173611111111</v>
      </c>
    </row>
    <row r="6702" spans="12:15" x14ac:dyDescent="0.25">
      <c r="L6702" s="147">
        <f ca="1"/>
        <v>51941</v>
      </c>
      <c r="M6702" s="92">
        <f t="shared" ca="1" si="219"/>
        <v>6.25</v>
      </c>
      <c r="N6702" s="143">
        <f ca="1">(PRODUCT($O$5:$O6702)-1)*36000/_xlfn.DAYS(L6702, $C$2)</f>
        <v>13.011845490957702</v>
      </c>
      <c r="O6702" s="149">
        <f t="shared" ca="1" si="220"/>
        <v>1.000173611111111</v>
      </c>
    </row>
    <row r="6703" spans="12:15" x14ac:dyDescent="0.25">
      <c r="L6703" s="147">
        <f ca="1"/>
        <v>51942</v>
      </c>
      <c r="M6703" s="92">
        <f t="shared" ca="1" si="219"/>
        <v>6.25</v>
      </c>
      <c r="N6703" s="143">
        <f ca="1">(PRODUCT($O$5:$O6703)-1)*36000/_xlfn.DAYS(L6703, $C$2)</f>
        <v>13.013094773372119</v>
      </c>
      <c r="O6703" s="149">
        <f t="shared" ca="1" si="220"/>
        <v>1.000173611111111</v>
      </c>
    </row>
    <row r="6704" spans="12:15" x14ac:dyDescent="0.25">
      <c r="L6704" s="147">
        <f ca="1"/>
        <v>51943</v>
      </c>
      <c r="M6704" s="92">
        <f t="shared" ca="1" si="219"/>
        <v>6.25</v>
      </c>
      <c r="N6704" s="143">
        <f ca="1">(PRODUCT($O$5:$O6704)-1)*36000/_xlfn.DAYS(L6704, $C$2)</f>
        <v>13.014344236887668</v>
      </c>
      <c r="O6704" s="149">
        <f t="shared" ca="1" si="220"/>
        <v>1.000173611111111</v>
      </c>
    </row>
    <row r="6705" spans="12:15" x14ac:dyDescent="0.25">
      <c r="L6705" s="147">
        <f ca="1"/>
        <v>51944</v>
      </c>
      <c r="M6705" s="92">
        <f t="shared" ca="1" si="219"/>
        <v>6.25</v>
      </c>
      <c r="N6705" s="143">
        <f ca="1">(PRODUCT($O$5:$O6705)-1)*36000/_xlfn.DAYS(L6705, $C$2)</f>
        <v>13.015593881519447</v>
      </c>
      <c r="O6705" s="149">
        <f t="shared" ca="1" si="220"/>
        <v>1.000173611111111</v>
      </c>
    </row>
    <row r="6706" spans="12:15" x14ac:dyDescent="0.25">
      <c r="L6706" s="147">
        <f ca="1"/>
        <v>51945</v>
      </c>
      <c r="M6706" s="92">
        <f t="shared" ca="1" si="219"/>
        <v>6.25</v>
      </c>
      <c r="N6706" s="143">
        <f ca="1">(PRODUCT($O$5:$O6706)-1)*36000/_xlfn.DAYS(L6706, $C$2)</f>
        <v>13.016843707282549</v>
      </c>
      <c r="O6706" s="149">
        <f t="shared" ca="1" si="220"/>
        <v>1.000173611111111</v>
      </c>
    </row>
    <row r="6707" spans="12:15" x14ac:dyDescent="0.25">
      <c r="L6707" s="147">
        <f ca="1"/>
        <v>51946</v>
      </c>
      <c r="M6707" s="92">
        <f t="shared" ca="1" si="219"/>
        <v>6.25</v>
      </c>
      <c r="N6707" s="143">
        <f ca="1">(PRODUCT($O$5:$O6707)-1)*36000/_xlfn.DAYS(L6707, $C$2)</f>
        <v>13.018093714192085</v>
      </c>
      <c r="O6707" s="149">
        <f t="shared" ca="1" si="220"/>
        <v>1.000173611111111</v>
      </c>
    </row>
    <row r="6708" spans="12:15" x14ac:dyDescent="0.25">
      <c r="L6708" s="147">
        <f ca="1"/>
        <v>51947</v>
      </c>
      <c r="M6708" s="92">
        <f t="shared" ca="1" si="219"/>
        <v>6.25</v>
      </c>
      <c r="N6708" s="143">
        <f ca="1">(PRODUCT($O$5:$O6708)-1)*36000/_xlfn.DAYS(L6708, $C$2)</f>
        <v>13.01934390226317</v>
      </c>
      <c r="O6708" s="149">
        <f t="shared" ca="1" si="220"/>
        <v>1.000173611111111</v>
      </c>
    </row>
    <row r="6709" spans="12:15" x14ac:dyDescent="0.25">
      <c r="L6709" s="147">
        <f ca="1"/>
        <v>51948</v>
      </c>
      <c r="M6709" s="92">
        <f t="shared" ca="1" si="219"/>
        <v>6.25</v>
      </c>
      <c r="N6709" s="143">
        <f ca="1">(PRODUCT($O$5:$O6709)-1)*36000/_xlfn.DAYS(L6709, $C$2)</f>
        <v>13.020594271510925</v>
      </c>
      <c r="O6709" s="149">
        <f t="shared" ca="1" si="220"/>
        <v>1.000173611111111</v>
      </c>
    </row>
    <row r="6710" spans="12:15" x14ac:dyDescent="0.25">
      <c r="L6710" s="147">
        <f ca="1"/>
        <v>51949</v>
      </c>
      <c r="M6710" s="92">
        <f t="shared" ca="1" si="219"/>
        <v>6.25</v>
      </c>
      <c r="N6710" s="143">
        <f ca="1">(PRODUCT($O$5:$O6710)-1)*36000/_xlfn.DAYS(L6710, $C$2)</f>
        <v>13.021844821950481</v>
      </c>
      <c r="O6710" s="149">
        <f t="shared" ca="1" si="220"/>
        <v>1.000173611111111</v>
      </c>
    </row>
    <row r="6711" spans="12:15" x14ac:dyDescent="0.25">
      <c r="L6711" s="147">
        <f ca="1"/>
        <v>51950</v>
      </c>
      <c r="M6711" s="92">
        <f t="shared" ca="1" si="219"/>
        <v>6.25</v>
      </c>
      <c r="N6711" s="143">
        <f ca="1">(PRODUCT($O$5:$O6711)-1)*36000/_xlfn.DAYS(L6711, $C$2)</f>
        <v>13.023095553596972</v>
      </c>
      <c r="O6711" s="149">
        <f t="shared" ca="1" si="220"/>
        <v>1.000173611111111</v>
      </c>
    </row>
    <row r="6712" spans="12:15" x14ac:dyDescent="0.25">
      <c r="L6712" s="147">
        <f ca="1"/>
        <v>51951</v>
      </c>
      <c r="M6712" s="92">
        <f t="shared" ca="1" si="219"/>
        <v>6.25</v>
      </c>
      <c r="N6712" s="143">
        <f ca="1">(PRODUCT($O$5:$O6712)-1)*36000/_xlfn.DAYS(L6712, $C$2)</f>
        <v>13.024346466465552</v>
      </c>
      <c r="O6712" s="149">
        <f t="shared" ca="1" si="220"/>
        <v>1.000173611111111</v>
      </c>
    </row>
    <row r="6713" spans="12:15" x14ac:dyDescent="0.25">
      <c r="L6713" s="147">
        <f ca="1"/>
        <v>51952</v>
      </c>
      <c r="M6713" s="92">
        <f t="shared" ca="1" si="219"/>
        <v>6.25</v>
      </c>
      <c r="N6713" s="143">
        <f ca="1">(PRODUCT($O$5:$O6713)-1)*36000/_xlfn.DAYS(L6713, $C$2)</f>
        <v>13.025597560571368</v>
      </c>
      <c r="O6713" s="149">
        <f t="shared" ca="1" si="220"/>
        <v>1.000173611111111</v>
      </c>
    </row>
    <row r="6714" spans="12:15" x14ac:dyDescent="0.25">
      <c r="L6714" s="147">
        <f ca="1"/>
        <v>51953</v>
      </c>
      <c r="M6714" s="92">
        <f t="shared" ca="1" si="219"/>
        <v>6.25</v>
      </c>
      <c r="N6714" s="143">
        <f ca="1">(PRODUCT($O$5:$O6714)-1)*36000/_xlfn.DAYS(L6714, $C$2)</f>
        <v>13.026848835929586</v>
      </c>
      <c r="O6714" s="149">
        <f t="shared" ca="1" si="220"/>
        <v>1.000173611111111</v>
      </c>
    </row>
    <row r="6715" spans="12:15" x14ac:dyDescent="0.25">
      <c r="L6715" s="147">
        <f ca="1"/>
        <v>51954</v>
      </c>
      <c r="M6715" s="92">
        <f t="shared" ca="1" si="219"/>
        <v>6.25</v>
      </c>
      <c r="N6715" s="143">
        <f ca="1">(PRODUCT($O$5:$O6715)-1)*36000/_xlfn.DAYS(L6715, $C$2)</f>
        <v>13.028100292555369</v>
      </c>
      <c r="O6715" s="149">
        <f t="shared" ca="1" si="220"/>
        <v>1.000173611111111</v>
      </c>
    </row>
    <row r="6716" spans="12:15" x14ac:dyDescent="0.25">
      <c r="L6716" s="147">
        <f ca="1"/>
        <v>51955</v>
      </c>
      <c r="M6716" s="92">
        <f t="shared" ca="1" si="219"/>
        <v>6.25</v>
      </c>
      <c r="N6716" s="143">
        <f ca="1">(PRODUCT($O$5:$O6716)-1)*36000/_xlfn.DAYS(L6716, $C$2)</f>
        <v>13.029351930463898</v>
      </c>
      <c r="O6716" s="149">
        <f t="shared" ca="1" si="220"/>
        <v>1.000173611111111</v>
      </c>
    </row>
    <row r="6717" spans="12:15" x14ac:dyDescent="0.25">
      <c r="L6717" s="147">
        <f ca="1"/>
        <v>51956</v>
      </c>
      <c r="M6717" s="92">
        <f t="shared" ca="1" si="219"/>
        <v>6.25</v>
      </c>
      <c r="N6717" s="143">
        <f ca="1">(PRODUCT($O$5:$O6717)-1)*36000/_xlfn.DAYS(L6717, $C$2)</f>
        <v>13.030603749670354</v>
      </c>
      <c r="O6717" s="149">
        <f t="shared" ca="1" si="220"/>
        <v>1.000173611111111</v>
      </c>
    </row>
    <row r="6718" spans="12:15" x14ac:dyDescent="0.25">
      <c r="L6718" s="147">
        <f ca="1"/>
        <v>51957</v>
      </c>
      <c r="M6718" s="92">
        <f t="shared" ca="1" si="219"/>
        <v>6.25</v>
      </c>
      <c r="N6718" s="143">
        <f ca="1">(PRODUCT($O$5:$O6718)-1)*36000/_xlfn.DAYS(L6718, $C$2)</f>
        <v>13.03185575018993</v>
      </c>
      <c r="O6718" s="149">
        <f t="shared" ca="1" si="220"/>
        <v>1.000173611111111</v>
      </c>
    </row>
    <row r="6719" spans="12:15" x14ac:dyDescent="0.25">
      <c r="L6719" s="147">
        <f ca="1"/>
        <v>51958</v>
      </c>
      <c r="M6719" s="92">
        <f t="shared" ca="1" si="219"/>
        <v>6.25</v>
      </c>
      <c r="N6719" s="143">
        <f ca="1">(PRODUCT($O$5:$O6719)-1)*36000/_xlfn.DAYS(L6719, $C$2)</f>
        <v>13.033107932037824</v>
      </c>
      <c r="O6719" s="149">
        <f t="shared" ca="1" si="220"/>
        <v>1.000173611111111</v>
      </c>
    </row>
    <row r="6720" spans="12:15" x14ac:dyDescent="0.25">
      <c r="L6720" s="147">
        <f ca="1"/>
        <v>51959</v>
      </c>
      <c r="M6720" s="92">
        <f t="shared" ca="1" si="219"/>
        <v>6.25</v>
      </c>
      <c r="N6720" s="143">
        <f ca="1">(PRODUCT($O$5:$O6720)-1)*36000/_xlfn.DAYS(L6720, $C$2)</f>
        <v>13.034360295229247</v>
      </c>
      <c r="O6720" s="149">
        <f t="shared" ca="1" si="220"/>
        <v>1.000173611111111</v>
      </c>
    </row>
    <row r="6721" spans="12:15" x14ac:dyDescent="0.25">
      <c r="L6721" s="147">
        <f ca="1"/>
        <v>51960</v>
      </c>
      <c r="M6721" s="92">
        <f t="shared" ca="1" si="219"/>
        <v>6.25</v>
      </c>
      <c r="N6721" s="143">
        <f ca="1">(PRODUCT($O$5:$O6721)-1)*36000/_xlfn.DAYS(L6721, $C$2)</f>
        <v>13.035612839779407</v>
      </c>
      <c r="O6721" s="149">
        <f t="shared" ca="1" si="220"/>
        <v>1.000173611111111</v>
      </c>
    </row>
    <row r="6722" spans="12:15" x14ac:dyDescent="0.25">
      <c r="L6722" s="147">
        <f ca="1"/>
        <v>51961</v>
      </c>
      <c r="M6722" s="92">
        <f t="shared" ca="1" si="219"/>
        <v>6.25</v>
      </c>
      <c r="N6722" s="143">
        <f ca="1">(PRODUCT($O$5:$O6722)-1)*36000/_xlfn.DAYS(L6722, $C$2)</f>
        <v>13.036865565703533</v>
      </c>
      <c r="O6722" s="149">
        <f t="shared" ca="1" si="220"/>
        <v>1.000173611111111</v>
      </c>
    </row>
    <row r="6723" spans="12:15" x14ac:dyDescent="0.25">
      <c r="L6723" s="147">
        <f ca="1"/>
        <v>51962</v>
      </c>
      <c r="M6723" s="92">
        <f t="shared" ca="1" si="219"/>
        <v>6.25</v>
      </c>
      <c r="N6723" s="143">
        <f ca="1">(PRODUCT($O$5:$O6723)-1)*36000/_xlfn.DAYS(L6723, $C$2)</f>
        <v>13.038118473016848</v>
      </c>
      <c r="O6723" s="149">
        <f t="shared" ca="1" si="220"/>
        <v>1.000173611111111</v>
      </c>
    </row>
    <row r="6724" spans="12:15" x14ac:dyDescent="0.25">
      <c r="L6724" s="147">
        <f ca="1"/>
        <v>51963</v>
      </c>
      <c r="M6724" s="92">
        <f t="shared" ca="1" si="219"/>
        <v>6.25</v>
      </c>
      <c r="N6724" s="143">
        <f ca="1">(PRODUCT($O$5:$O6724)-1)*36000/_xlfn.DAYS(L6724, $C$2)</f>
        <v>13.039371561734592</v>
      </c>
      <c r="O6724" s="149">
        <f t="shared" ca="1" si="220"/>
        <v>1.000173611111111</v>
      </c>
    </row>
    <row r="6725" spans="12:15" x14ac:dyDescent="0.25">
      <c r="L6725" s="147">
        <f ca="1"/>
        <v>51964</v>
      </c>
      <c r="M6725" s="92">
        <f t="shared" ref="M6725:M6788" ca="1" si="221">IFERROR(INDEX($E$27:$H$47, MATCH(L6725, $F$27:$F$47, 0), 4), IF(ISNUMBER(M6724), M6724, $C$5))</f>
        <v>6.25</v>
      </c>
      <c r="N6725" s="143">
        <f ca="1">(PRODUCT($O$5:$O6725)-1)*36000/_xlfn.DAYS(L6725, $C$2)</f>
        <v>13.040624831872014</v>
      </c>
      <c r="O6725" s="149">
        <f t="shared" ca="1" si="220"/>
        <v>1.000173611111111</v>
      </c>
    </row>
    <row r="6726" spans="12:15" x14ac:dyDescent="0.25">
      <c r="L6726" s="147">
        <f ca="1"/>
        <v>51965</v>
      </c>
      <c r="M6726" s="92">
        <f t="shared" ca="1" si="221"/>
        <v>6.25</v>
      </c>
      <c r="N6726" s="143">
        <f ca="1">(PRODUCT($O$5:$O6726)-1)*36000/_xlfn.DAYS(L6726, $C$2)</f>
        <v>13.041878283444364</v>
      </c>
      <c r="O6726" s="149">
        <f t="shared" ref="O6726:O6789" ca="1" si="222">1+M6726*IFERROR(_xlfn.DAYS(L6726, L6725), _xlfn.DAYS(L6726, $C$2))/36000</f>
        <v>1.000173611111111</v>
      </c>
    </row>
    <row r="6727" spans="12:15" x14ac:dyDescent="0.25">
      <c r="L6727" s="147">
        <f ca="1"/>
        <v>51966</v>
      </c>
      <c r="M6727" s="92">
        <f t="shared" ca="1" si="221"/>
        <v>6.25</v>
      </c>
      <c r="N6727" s="143">
        <f ca="1">(PRODUCT($O$5:$O6727)-1)*36000/_xlfn.DAYS(L6727, $C$2)</f>
        <v>13.0431319164669</v>
      </c>
      <c r="O6727" s="149">
        <f t="shared" ca="1" si="222"/>
        <v>1.000173611111111</v>
      </c>
    </row>
    <row r="6728" spans="12:15" x14ac:dyDescent="0.25">
      <c r="L6728" s="147">
        <f ca="1"/>
        <v>51967</v>
      </c>
      <c r="M6728" s="92">
        <f t="shared" ca="1" si="221"/>
        <v>6.25</v>
      </c>
      <c r="N6728" s="143">
        <f ca="1">(PRODUCT($O$5:$O6728)-1)*36000/_xlfn.DAYS(L6728, $C$2)</f>
        <v>13.044385730954895</v>
      </c>
      <c r="O6728" s="149">
        <f t="shared" ca="1" si="222"/>
        <v>1.000173611111111</v>
      </c>
    </row>
    <row r="6729" spans="12:15" x14ac:dyDescent="0.25">
      <c r="L6729" s="147">
        <f ca="1"/>
        <v>51968</v>
      </c>
      <c r="M6729" s="92">
        <f t="shared" ca="1" si="221"/>
        <v>6.25</v>
      </c>
      <c r="N6729" s="143">
        <f ca="1">(PRODUCT($O$5:$O6729)-1)*36000/_xlfn.DAYS(L6729, $C$2)</f>
        <v>13.045639726923621</v>
      </c>
      <c r="O6729" s="149">
        <f t="shared" ca="1" si="222"/>
        <v>1.000173611111111</v>
      </c>
    </row>
    <row r="6730" spans="12:15" x14ac:dyDescent="0.25">
      <c r="L6730" s="147">
        <f ca="1"/>
        <v>51969</v>
      </c>
      <c r="M6730" s="92">
        <f t="shared" ca="1" si="221"/>
        <v>6.25</v>
      </c>
      <c r="N6730" s="143">
        <f ca="1">(PRODUCT($O$5:$O6730)-1)*36000/_xlfn.DAYS(L6730, $C$2)</f>
        <v>13.046893904388364</v>
      </c>
      <c r="O6730" s="149">
        <f t="shared" ca="1" si="222"/>
        <v>1.000173611111111</v>
      </c>
    </row>
    <row r="6731" spans="12:15" x14ac:dyDescent="0.25">
      <c r="L6731" s="147">
        <f ca="1"/>
        <v>51970</v>
      </c>
      <c r="M6731" s="92">
        <f t="shared" ca="1" si="221"/>
        <v>6.25</v>
      </c>
      <c r="N6731" s="143">
        <f ca="1">(PRODUCT($O$5:$O6731)-1)*36000/_xlfn.DAYS(L6731, $C$2)</f>
        <v>13.048148263364412</v>
      </c>
      <c r="O6731" s="149">
        <f t="shared" ca="1" si="222"/>
        <v>1.000173611111111</v>
      </c>
    </row>
    <row r="6732" spans="12:15" x14ac:dyDescent="0.25">
      <c r="L6732" s="147">
        <f ca="1"/>
        <v>51971</v>
      </c>
      <c r="M6732" s="92">
        <f t="shared" ca="1" si="221"/>
        <v>6.25</v>
      </c>
      <c r="N6732" s="143">
        <f ca="1">(PRODUCT($O$5:$O6732)-1)*36000/_xlfn.DAYS(L6732, $C$2)</f>
        <v>13.049402803867062</v>
      </c>
      <c r="O6732" s="149">
        <f t="shared" ca="1" si="222"/>
        <v>1.000173611111111</v>
      </c>
    </row>
    <row r="6733" spans="12:15" x14ac:dyDescent="0.25">
      <c r="L6733" s="147">
        <f ca="1"/>
        <v>51972</v>
      </c>
      <c r="M6733" s="92">
        <f t="shared" ca="1" si="221"/>
        <v>6.25</v>
      </c>
      <c r="N6733" s="143">
        <f ca="1">(PRODUCT($O$5:$O6733)-1)*36000/_xlfn.DAYS(L6733, $C$2)</f>
        <v>13.050657525911626</v>
      </c>
      <c r="O6733" s="149">
        <f t="shared" ca="1" si="222"/>
        <v>1.000173611111111</v>
      </c>
    </row>
    <row r="6734" spans="12:15" x14ac:dyDescent="0.25">
      <c r="L6734" s="147">
        <f ca="1"/>
        <v>51973</v>
      </c>
      <c r="M6734" s="92">
        <f t="shared" ca="1" si="221"/>
        <v>6.25</v>
      </c>
      <c r="N6734" s="143">
        <f ca="1">(PRODUCT($O$5:$O6734)-1)*36000/_xlfn.DAYS(L6734, $C$2)</f>
        <v>13.051912429513415</v>
      </c>
      <c r="O6734" s="149">
        <f t="shared" ca="1" si="222"/>
        <v>1.000173611111111</v>
      </c>
    </row>
    <row r="6735" spans="12:15" x14ac:dyDescent="0.25">
      <c r="L6735" s="147">
        <f ca="1"/>
        <v>51974</v>
      </c>
      <c r="M6735" s="92">
        <f t="shared" ca="1" si="221"/>
        <v>6.25</v>
      </c>
      <c r="N6735" s="143">
        <f ca="1">(PRODUCT($O$5:$O6735)-1)*36000/_xlfn.DAYS(L6735, $C$2)</f>
        <v>13.053167514687747</v>
      </c>
      <c r="O6735" s="149">
        <f t="shared" ca="1" si="222"/>
        <v>1.000173611111111</v>
      </c>
    </row>
    <row r="6736" spans="12:15" x14ac:dyDescent="0.25">
      <c r="L6736" s="147">
        <f ca="1"/>
        <v>51975</v>
      </c>
      <c r="M6736" s="92">
        <f t="shared" ca="1" si="221"/>
        <v>6.25</v>
      </c>
      <c r="N6736" s="143">
        <f ca="1">(PRODUCT($O$5:$O6736)-1)*36000/_xlfn.DAYS(L6736, $C$2)</f>
        <v>13.054422781449952</v>
      </c>
      <c r="O6736" s="149">
        <f t="shared" ca="1" si="222"/>
        <v>1.000173611111111</v>
      </c>
    </row>
    <row r="6737" spans="12:15" x14ac:dyDescent="0.25">
      <c r="L6737" s="147">
        <f ca="1"/>
        <v>51976</v>
      </c>
      <c r="M6737" s="92">
        <f t="shared" ca="1" si="221"/>
        <v>6.25</v>
      </c>
      <c r="N6737" s="143">
        <f ca="1">(PRODUCT($O$5:$O6737)-1)*36000/_xlfn.DAYS(L6737, $C$2)</f>
        <v>13.055678229815371</v>
      </c>
      <c r="O6737" s="149">
        <f t="shared" ca="1" si="222"/>
        <v>1.000173611111111</v>
      </c>
    </row>
    <row r="6738" spans="12:15" x14ac:dyDescent="0.25">
      <c r="L6738" s="147">
        <f ca="1"/>
        <v>51977</v>
      </c>
      <c r="M6738" s="92">
        <f t="shared" ca="1" si="221"/>
        <v>6.25</v>
      </c>
      <c r="N6738" s="143">
        <f ca="1">(PRODUCT($O$5:$O6738)-1)*36000/_xlfn.DAYS(L6738, $C$2)</f>
        <v>13.056933859799345</v>
      </c>
      <c r="O6738" s="149">
        <f t="shared" ca="1" si="222"/>
        <v>1.000173611111111</v>
      </c>
    </row>
    <row r="6739" spans="12:15" x14ac:dyDescent="0.25">
      <c r="L6739" s="147">
        <f ca="1"/>
        <v>51978</v>
      </c>
      <c r="M6739" s="92">
        <f t="shared" ca="1" si="221"/>
        <v>6.25</v>
      </c>
      <c r="N6739" s="143">
        <f ca="1">(PRODUCT($O$5:$O6739)-1)*36000/_xlfn.DAYS(L6739, $C$2)</f>
        <v>13.058189671417225</v>
      </c>
      <c r="O6739" s="149">
        <f t="shared" ca="1" si="222"/>
        <v>1.000173611111111</v>
      </c>
    </row>
    <row r="6740" spans="12:15" x14ac:dyDescent="0.25">
      <c r="L6740" s="147">
        <f ca="1"/>
        <v>51979</v>
      </c>
      <c r="M6740" s="92">
        <f t="shared" ca="1" si="221"/>
        <v>6.25</v>
      </c>
      <c r="N6740" s="143">
        <f ca="1">(PRODUCT($O$5:$O6740)-1)*36000/_xlfn.DAYS(L6740, $C$2)</f>
        <v>13.059445664684372</v>
      </c>
      <c r="O6740" s="149">
        <f t="shared" ca="1" si="222"/>
        <v>1.000173611111111</v>
      </c>
    </row>
    <row r="6741" spans="12:15" x14ac:dyDescent="0.25">
      <c r="L6741" s="147">
        <f ca="1"/>
        <v>51980</v>
      </c>
      <c r="M6741" s="92">
        <f t="shared" ca="1" si="221"/>
        <v>6.25</v>
      </c>
      <c r="N6741" s="143">
        <f ca="1">(PRODUCT($O$5:$O6741)-1)*36000/_xlfn.DAYS(L6741, $C$2)</f>
        <v>13.060701839616151</v>
      </c>
      <c r="O6741" s="149">
        <f t="shared" ca="1" si="222"/>
        <v>1.000173611111111</v>
      </c>
    </row>
    <row r="6742" spans="12:15" x14ac:dyDescent="0.25">
      <c r="L6742" s="147">
        <f ca="1"/>
        <v>51981</v>
      </c>
      <c r="M6742" s="92">
        <f t="shared" ca="1" si="221"/>
        <v>6.25</v>
      </c>
      <c r="N6742" s="143">
        <f ca="1">(PRODUCT($O$5:$O6742)-1)*36000/_xlfn.DAYS(L6742, $C$2)</f>
        <v>13.061958196227936</v>
      </c>
      <c r="O6742" s="149">
        <f t="shared" ca="1" si="222"/>
        <v>1.000173611111111</v>
      </c>
    </row>
    <row r="6743" spans="12:15" x14ac:dyDescent="0.25">
      <c r="L6743" s="147">
        <f ca="1"/>
        <v>51982</v>
      </c>
      <c r="M6743" s="92">
        <f t="shared" ca="1" si="221"/>
        <v>6.25</v>
      </c>
      <c r="N6743" s="143">
        <f ca="1">(PRODUCT($O$5:$O6743)-1)*36000/_xlfn.DAYS(L6743, $C$2)</f>
        <v>13.063214734535112</v>
      </c>
      <c r="O6743" s="149">
        <f t="shared" ca="1" si="222"/>
        <v>1.000173611111111</v>
      </c>
    </row>
    <row r="6744" spans="12:15" x14ac:dyDescent="0.25">
      <c r="L6744" s="147">
        <f ca="1"/>
        <v>51983</v>
      </c>
      <c r="M6744" s="92">
        <f t="shared" ca="1" si="221"/>
        <v>6.25</v>
      </c>
      <c r="N6744" s="143">
        <f ca="1">(PRODUCT($O$5:$O6744)-1)*36000/_xlfn.DAYS(L6744, $C$2)</f>
        <v>13.064471454553066</v>
      </c>
      <c r="O6744" s="149">
        <f t="shared" ca="1" si="222"/>
        <v>1.000173611111111</v>
      </c>
    </row>
    <row r="6745" spans="12:15" x14ac:dyDescent="0.25">
      <c r="L6745" s="147">
        <f ca="1"/>
        <v>51984</v>
      </c>
      <c r="M6745" s="92">
        <f t="shared" ca="1" si="221"/>
        <v>6.25</v>
      </c>
      <c r="N6745" s="143">
        <f ca="1">(PRODUCT($O$5:$O6745)-1)*36000/_xlfn.DAYS(L6745, $C$2)</f>
        <v>13.065728356297198</v>
      </c>
      <c r="O6745" s="149">
        <f t="shared" ca="1" si="222"/>
        <v>1.000173611111111</v>
      </c>
    </row>
    <row r="6746" spans="12:15" x14ac:dyDescent="0.25">
      <c r="L6746" s="147">
        <f ca="1"/>
        <v>51985</v>
      </c>
      <c r="M6746" s="92">
        <f t="shared" ca="1" si="221"/>
        <v>6.25</v>
      </c>
      <c r="N6746" s="143">
        <f ca="1">(PRODUCT($O$5:$O6746)-1)*36000/_xlfn.DAYS(L6746, $C$2)</f>
        <v>13.066985439782909</v>
      </c>
      <c r="O6746" s="149">
        <f t="shared" ca="1" si="222"/>
        <v>1.000173611111111</v>
      </c>
    </row>
    <row r="6747" spans="12:15" x14ac:dyDescent="0.25">
      <c r="L6747" s="147">
        <f ca="1"/>
        <v>51986</v>
      </c>
      <c r="M6747" s="92">
        <f t="shared" ca="1" si="221"/>
        <v>6.25</v>
      </c>
      <c r="N6747" s="143">
        <f ca="1">(PRODUCT($O$5:$O6747)-1)*36000/_xlfn.DAYS(L6747, $C$2)</f>
        <v>13.068242705025614</v>
      </c>
      <c r="O6747" s="149">
        <f t="shared" ca="1" si="222"/>
        <v>1.000173611111111</v>
      </c>
    </row>
    <row r="6748" spans="12:15" x14ac:dyDescent="0.25">
      <c r="L6748" s="147">
        <f ca="1"/>
        <v>51987</v>
      </c>
      <c r="M6748" s="92">
        <f t="shared" ca="1" si="221"/>
        <v>6.25</v>
      </c>
      <c r="N6748" s="143">
        <f ca="1">(PRODUCT($O$5:$O6748)-1)*36000/_xlfn.DAYS(L6748, $C$2)</f>
        <v>13.069500152040733</v>
      </c>
      <c r="O6748" s="149">
        <f t="shared" ca="1" si="222"/>
        <v>1.000173611111111</v>
      </c>
    </row>
    <row r="6749" spans="12:15" x14ac:dyDescent="0.25">
      <c r="L6749" s="147">
        <f ca="1"/>
        <v>51988</v>
      </c>
      <c r="M6749" s="92">
        <f t="shared" ca="1" si="221"/>
        <v>6.25</v>
      </c>
      <c r="N6749" s="143">
        <f ca="1">(PRODUCT($O$5:$O6749)-1)*36000/_xlfn.DAYS(L6749, $C$2)</f>
        <v>13.070757780843692</v>
      </c>
      <c r="O6749" s="149">
        <f t="shared" ca="1" si="222"/>
        <v>1.000173611111111</v>
      </c>
    </row>
    <row r="6750" spans="12:15" x14ac:dyDescent="0.25">
      <c r="L6750" s="147">
        <f ca="1"/>
        <v>51989</v>
      </c>
      <c r="M6750" s="92">
        <f t="shared" ca="1" si="221"/>
        <v>6.25</v>
      </c>
      <c r="N6750" s="143">
        <f ca="1">(PRODUCT($O$5:$O6750)-1)*36000/_xlfn.DAYS(L6750, $C$2)</f>
        <v>13.072015591449928</v>
      </c>
      <c r="O6750" s="149">
        <f t="shared" ca="1" si="222"/>
        <v>1.000173611111111</v>
      </c>
    </row>
    <row r="6751" spans="12:15" x14ac:dyDescent="0.25">
      <c r="L6751" s="147">
        <f ca="1"/>
        <v>51990</v>
      </c>
      <c r="M6751" s="92">
        <f t="shared" ca="1" si="221"/>
        <v>6.25</v>
      </c>
      <c r="N6751" s="143">
        <f ca="1">(PRODUCT($O$5:$O6751)-1)*36000/_xlfn.DAYS(L6751, $C$2)</f>
        <v>13.073273583874881</v>
      </c>
      <c r="O6751" s="149">
        <f t="shared" ca="1" si="222"/>
        <v>1.000173611111111</v>
      </c>
    </row>
    <row r="6752" spans="12:15" x14ac:dyDescent="0.25">
      <c r="L6752" s="147">
        <f ca="1"/>
        <v>51991</v>
      </c>
      <c r="M6752" s="92">
        <f t="shared" ca="1" si="221"/>
        <v>6.25</v>
      </c>
      <c r="N6752" s="143">
        <f ca="1">(PRODUCT($O$5:$O6752)-1)*36000/_xlfn.DAYS(L6752, $C$2)</f>
        <v>13.074531758134004</v>
      </c>
      <c r="O6752" s="149">
        <f t="shared" ca="1" si="222"/>
        <v>1.000173611111111</v>
      </c>
    </row>
    <row r="6753" spans="12:15" x14ac:dyDescent="0.25">
      <c r="L6753" s="147">
        <f ca="1"/>
        <v>51992</v>
      </c>
      <c r="M6753" s="92">
        <f t="shared" ca="1" si="221"/>
        <v>6.25</v>
      </c>
      <c r="N6753" s="143">
        <f ca="1">(PRODUCT($O$5:$O6753)-1)*36000/_xlfn.DAYS(L6753, $C$2)</f>
        <v>13.075790114242754</v>
      </c>
      <c r="O6753" s="149">
        <f t="shared" ca="1" si="222"/>
        <v>1.000173611111111</v>
      </c>
    </row>
    <row r="6754" spans="12:15" x14ac:dyDescent="0.25">
      <c r="L6754" s="147">
        <f ca="1"/>
        <v>51993</v>
      </c>
      <c r="M6754" s="92">
        <f t="shared" ca="1" si="221"/>
        <v>6.25</v>
      </c>
      <c r="N6754" s="143">
        <f ca="1">(PRODUCT($O$5:$O6754)-1)*36000/_xlfn.DAYS(L6754, $C$2)</f>
        <v>13.077048652216593</v>
      </c>
      <c r="O6754" s="149">
        <f t="shared" ca="1" si="222"/>
        <v>1.000173611111111</v>
      </c>
    </row>
    <row r="6755" spans="12:15" x14ac:dyDescent="0.25">
      <c r="L6755" s="147">
        <f ca="1"/>
        <v>51994</v>
      </c>
      <c r="M6755" s="92">
        <f t="shared" ca="1" si="221"/>
        <v>6.25</v>
      </c>
      <c r="N6755" s="143">
        <f ca="1">(PRODUCT($O$5:$O6755)-1)*36000/_xlfn.DAYS(L6755, $C$2)</f>
        <v>13.078307372070999</v>
      </c>
      <c r="O6755" s="149">
        <f t="shared" ca="1" si="222"/>
        <v>1.000173611111111</v>
      </c>
    </row>
    <row r="6756" spans="12:15" x14ac:dyDescent="0.25">
      <c r="L6756" s="147">
        <f ca="1"/>
        <v>51995</v>
      </c>
      <c r="M6756" s="92">
        <f t="shared" ca="1" si="221"/>
        <v>6.25</v>
      </c>
      <c r="N6756" s="143">
        <f ca="1">(PRODUCT($O$5:$O6756)-1)*36000/_xlfn.DAYS(L6756, $C$2)</f>
        <v>13.079566273821449</v>
      </c>
      <c r="O6756" s="149">
        <f t="shared" ca="1" si="222"/>
        <v>1.000173611111111</v>
      </c>
    </row>
    <row r="6757" spans="12:15" x14ac:dyDescent="0.25">
      <c r="L6757" s="147">
        <f ca="1"/>
        <v>51996</v>
      </c>
      <c r="M6757" s="92">
        <f t="shared" ca="1" si="221"/>
        <v>6.25</v>
      </c>
      <c r="N6757" s="143">
        <f ca="1">(PRODUCT($O$5:$O6757)-1)*36000/_xlfn.DAYS(L6757, $C$2)</f>
        <v>13.08082535748343</v>
      </c>
      <c r="O6757" s="149">
        <f t="shared" ca="1" si="222"/>
        <v>1.000173611111111</v>
      </c>
    </row>
    <row r="6758" spans="12:15" x14ac:dyDescent="0.25">
      <c r="L6758" s="147">
        <f ca="1"/>
        <v>51997</v>
      </c>
      <c r="M6758" s="92">
        <f t="shared" ca="1" si="221"/>
        <v>6.25</v>
      </c>
      <c r="N6758" s="143">
        <f ca="1">(PRODUCT($O$5:$O6758)-1)*36000/_xlfn.DAYS(L6758, $C$2)</f>
        <v>13.082084623072442</v>
      </c>
      <c r="O6758" s="149">
        <f t="shared" ca="1" si="222"/>
        <v>1.000173611111111</v>
      </c>
    </row>
    <row r="6759" spans="12:15" x14ac:dyDescent="0.25">
      <c r="L6759" s="147">
        <f ca="1"/>
        <v>51998</v>
      </c>
      <c r="M6759" s="92">
        <f t="shared" ca="1" si="221"/>
        <v>6.25</v>
      </c>
      <c r="N6759" s="143">
        <f ca="1">(PRODUCT($O$5:$O6759)-1)*36000/_xlfn.DAYS(L6759, $C$2)</f>
        <v>13.083344070603985</v>
      </c>
      <c r="O6759" s="149">
        <f t="shared" ca="1" si="222"/>
        <v>1.000173611111111</v>
      </c>
    </row>
    <row r="6760" spans="12:15" x14ac:dyDescent="0.25">
      <c r="L6760" s="147">
        <f ca="1"/>
        <v>51999</v>
      </c>
      <c r="M6760" s="92">
        <f t="shared" ca="1" si="221"/>
        <v>6.25</v>
      </c>
      <c r="N6760" s="143">
        <f ca="1">(PRODUCT($O$5:$O6760)-1)*36000/_xlfn.DAYS(L6760, $C$2)</f>
        <v>13.084603700093568</v>
      </c>
      <c r="O6760" s="149">
        <f t="shared" ca="1" si="222"/>
        <v>1.000173611111111</v>
      </c>
    </row>
    <row r="6761" spans="12:15" x14ac:dyDescent="0.25">
      <c r="L6761" s="147">
        <f ca="1"/>
        <v>52000</v>
      </c>
      <c r="M6761" s="92">
        <f t="shared" ca="1" si="221"/>
        <v>6.25</v>
      </c>
      <c r="N6761" s="143">
        <f ca="1">(PRODUCT($O$5:$O6761)-1)*36000/_xlfn.DAYS(L6761, $C$2)</f>
        <v>13.085863511556713</v>
      </c>
      <c r="O6761" s="149">
        <f t="shared" ca="1" si="222"/>
        <v>1.000173611111111</v>
      </c>
    </row>
    <row r="6762" spans="12:15" x14ac:dyDescent="0.25">
      <c r="L6762" s="147">
        <f ca="1"/>
        <v>52001</v>
      </c>
      <c r="M6762" s="92">
        <f t="shared" ca="1" si="221"/>
        <v>6.25</v>
      </c>
      <c r="N6762" s="143">
        <f ca="1">(PRODUCT($O$5:$O6762)-1)*36000/_xlfn.DAYS(L6762, $C$2)</f>
        <v>13.087123505008943</v>
      </c>
      <c r="O6762" s="149">
        <f t="shared" ca="1" si="222"/>
        <v>1.000173611111111</v>
      </c>
    </row>
    <row r="6763" spans="12:15" x14ac:dyDescent="0.25">
      <c r="L6763" s="147">
        <f ca="1"/>
        <v>52002</v>
      </c>
      <c r="M6763" s="92">
        <f t="shared" ca="1" si="221"/>
        <v>6.25</v>
      </c>
      <c r="N6763" s="143">
        <f ca="1">(PRODUCT($O$5:$O6763)-1)*36000/_xlfn.DAYS(L6763, $C$2)</f>
        <v>13.088383680465789</v>
      </c>
      <c r="O6763" s="149">
        <f t="shared" ca="1" si="222"/>
        <v>1.000173611111111</v>
      </c>
    </row>
    <row r="6764" spans="12:15" x14ac:dyDescent="0.25">
      <c r="L6764" s="147">
        <f ca="1"/>
        <v>52003</v>
      </c>
      <c r="M6764" s="92">
        <f t="shared" ca="1" si="221"/>
        <v>6.25</v>
      </c>
      <c r="N6764" s="143">
        <f ca="1">(PRODUCT($O$5:$O6764)-1)*36000/_xlfn.DAYS(L6764, $C$2)</f>
        <v>13.089644037942797</v>
      </c>
      <c r="O6764" s="149">
        <f t="shared" ca="1" si="222"/>
        <v>1.000173611111111</v>
      </c>
    </row>
    <row r="6765" spans="12:15" x14ac:dyDescent="0.25">
      <c r="L6765" s="147">
        <f ca="1"/>
        <v>52004</v>
      </c>
      <c r="M6765" s="92">
        <f t="shared" ca="1" si="221"/>
        <v>6.25</v>
      </c>
      <c r="N6765" s="143">
        <f ca="1">(PRODUCT($O$5:$O6765)-1)*36000/_xlfn.DAYS(L6765, $C$2)</f>
        <v>13.090904577455513</v>
      </c>
      <c r="O6765" s="149">
        <f t="shared" ca="1" si="222"/>
        <v>1.000173611111111</v>
      </c>
    </row>
    <row r="6766" spans="12:15" x14ac:dyDescent="0.25">
      <c r="L6766" s="147">
        <f ca="1"/>
        <v>52005</v>
      </c>
      <c r="M6766" s="92">
        <f t="shared" ca="1" si="221"/>
        <v>6.25</v>
      </c>
      <c r="N6766" s="143">
        <f ca="1">(PRODUCT($O$5:$O6766)-1)*36000/_xlfn.DAYS(L6766, $C$2)</f>
        <v>13.092165299019491</v>
      </c>
      <c r="O6766" s="149">
        <f t="shared" ca="1" si="222"/>
        <v>1.000173611111111</v>
      </c>
    </row>
    <row r="6767" spans="12:15" x14ac:dyDescent="0.25">
      <c r="L6767" s="147">
        <f ca="1"/>
        <v>52006</v>
      </c>
      <c r="M6767" s="92">
        <f t="shared" ca="1" si="221"/>
        <v>6.25</v>
      </c>
      <c r="N6767" s="143">
        <f ca="1">(PRODUCT($O$5:$O6767)-1)*36000/_xlfn.DAYS(L6767, $C$2)</f>
        <v>13.093426202650296</v>
      </c>
      <c r="O6767" s="149">
        <f t="shared" ca="1" si="222"/>
        <v>1.000173611111111</v>
      </c>
    </row>
    <row r="6768" spans="12:15" x14ac:dyDescent="0.25">
      <c r="L6768" s="147">
        <f ca="1"/>
        <v>52007</v>
      </c>
      <c r="M6768" s="92">
        <f t="shared" ca="1" si="221"/>
        <v>6.25</v>
      </c>
      <c r="N6768" s="143">
        <f ca="1">(PRODUCT($O$5:$O6768)-1)*36000/_xlfn.DAYS(L6768, $C$2)</f>
        <v>13.094687288363497</v>
      </c>
      <c r="O6768" s="149">
        <f t="shared" ca="1" si="222"/>
        <v>1.000173611111111</v>
      </c>
    </row>
    <row r="6769" spans="12:15" x14ac:dyDescent="0.25">
      <c r="L6769" s="147">
        <f ca="1"/>
        <v>52008</v>
      </c>
      <c r="M6769" s="92">
        <f t="shared" ca="1" si="221"/>
        <v>6.25</v>
      </c>
      <c r="N6769" s="143">
        <f ca="1">(PRODUCT($O$5:$O6769)-1)*36000/_xlfn.DAYS(L6769, $C$2)</f>
        <v>13.095948556174676</v>
      </c>
      <c r="O6769" s="149">
        <f t="shared" ca="1" si="222"/>
        <v>1.000173611111111</v>
      </c>
    </row>
    <row r="6770" spans="12:15" x14ac:dyDescent="0.25">
      <c r="L6770" s="147">
        <f ca="1"/>
        <v>52009</v>
      </c>
      <c r="M6770" s="92">
        <f t="shared" ca="1" si="221"/>
        <v>6.25</v>
      </c>
      <c r="N6770" s="143">
        <f ca="1">(PRODUCT($O$5:$O6770)-1)*36000/_xlfn.DAYS(L6770, $C$2)</f>
        <v>13.097210006099413</v>
      </c>
      <c r="O6770" s="149">
        <f t="shared" ca="1" si="222"/>
        <v>1.000173611111111</v>
      </c>
    </row>
    <row r="6771" spans="12:15" x14ac:dyDescent="0.25">
      <c r="L6771" s="147">
        <f ca="1"/>
        <v>52010</v>
      </c>
      <c r="M6771" s="92">
        <f t="shared" ca="1" si="221"/>
        <v>6.25</v>
      </c>
      <c r="N6771" s="143">
        <f ca="1">(PRODUCT($O$5:$O6771)-1)*36000/_xlfn.DAYS(L6771, $C$2)</f>
        <v>13.098471638153304</v>
      </c>
      <c r="O6771" s="149">
        <f t="shared" ca="1" si="222"/>
        <v>1.000173611111111</v>
      </c>
    </row>
    <row r="6772" spans="12:15" x14ac:dyDescent="0.25">
      <c r="L6772" s="147">
        <f ca="1"/>
        <v>52011</v>
      </c>
      <c r="M6772" s="92">
        <f t="shared" ca="1" si="221"/>
        <v>6.25</v>
      </c>
      <c r="N6772" s="143">
        <f ca="1">(PRODUCT($O$5:$O6772)-1)*36000/_xlfn.DAYS(L6772, $C$2)</f>
        <v>13.099733452351954</v>
      </c>
      <c r="O6772" s="149">
        <f t="shared" ca="1" si="222"/>
        <v>1.000173611111111</v>
      </c>
    </row>
    <row r="6773" spans="12:15" x14ac:dyDescent="0.25">
      <c r="L6773" s="147">
        <f ca="1"/>
        <v>52012</v>
      </c>
      <c r="M6773" s="92">
        <f t="shared" ca="1" si="221"/>
        <v>6.25</v>
      </c>
      <c r="N6773" s="143">
        <f ca="1">(PRODUCT($O$5:$O6773)-1)*36000/_xlfn.DAYS(L6773, $C$2)</f>
        <v>13.100995448710966</v>
      </c>
      <c r="O6773" s="149">
        <f t="shared" ca="1" si="222"/>
        <v>1.000173611111111</v>
      </c>
    </row>
    <row r="6774" spans="12:15" x14ac:dyDescent="0.25">
      <c r="L6774" s="147">
        <f ca="1"/>
        <v>52013</v>
      </c>
      <c r="M6774" s="92">
        <f t="shared" ca="1" si="221"/>
        <v>6.25</v>
      </c>
      <c r="N6774" s="143">
        <f ca="1">(PRODUCT($O$5:$O6774)-1)*36000/_xlfn.DAYS(L6774, $C$2)</f>
        <v>13.102257627245956</v>
      </c>
      <c r="O6774" s="149">
        <f t="shared" ca="1" si="222"/>
        <v>1.000173611111111</v>
      </c>
    </row>
    <row r="6775" spans="12:15" x14ac:dyDescent="0.25">
      <c r="L6775" s="147">
        <f ca="1"/>
        <v>52014</v>
      </c>
      <c r="M6775" s="92">
        <f t="shared" ca="1" si="221"/>
        <v>6.25</v>
      </c>
      <c r="N6775" s="143">
        <f ca="1">(PRODUCT($O$5:$O6775)-1)*36000/_xlfn.DAYS(L6775, $C$2)</f>
        <v>13.103519987972552</v>
      </c>
      <c r="O6775" s="149">
        <f t="shared" ca="1" si="222"/>
        <v>1.000173611111111</v>
      </c>
    </row>
    <row r="6776" spans="12:15" x14ac:dyDescent="0.25">
      <c r="L6776" s="147">
        <f ca="1"/>
        <v>52015</v>
      </c>
      <c r="M6776" s="92">
        <f t="shared" ca="1" si="221"/>
        <v>6.25</v>
      </c>
      <c r="N6776" s="143">
        <f ca="1">(PRODUCT($O$5:$O6776)-1)*36000/_xlfn.DAYS(L6776, $C$2)</f>
        <v>13.104782530906379</v>
      </c>
      <c r="O6776" s="149">
        <f t="shared" ca="1" si="222"/>
        <v>1.000173611111111</v>
      </c>
    </row>
    <row r="6777" spans="12:15" x14ac:dyDescent="0.25">
      <c r="L6777" s="147">
        <f ca="1"/>
        <v>52016</v>
      </c>
      <c r="M6777" s="92">
        <f t="shared" ca="1" si="221"/>
        <v>6.25</v>
      </c>
      <c r="N6777" s="143">
        <f ca="1">(PRODUCT($O$5:$O6777)-1)*36000/_xlfn.DAYS(L6777, $C$2)</f>
        <v>13.10604525606308</v>
      </c>
      <c r="O6777" s="149">
        <f t="shared" ca="1" si="222"/>
        <v>1.000173611111111</v>
      </c>
    </row>
    <row r="6778" spans="12:15" x14ac:dyDescent="0.25">
      <c r="L6778" s="147">
        <f ca="1"/>
        <v>52017</v>
      </c>
      <c r="M6778" s="92">
        <f t="shared" ca="1" si="221"/>
        <v>6.25</v>
      </c>
      <c r="N6778" s="143">
        <f ca="1">(PRODUCT($O$5:$O6778)-1)*36000/_xlfn.DAYS(L6778, $C$2)</f>
        <v>13.107308163458297</v>
      </c>
      <c r="O6778" s="149">
        <f t="shared" ca="1" si="222"/>
        <v>1.000173611111111</v>
      </c>
    </row>
    <row r="6779" spans="12:15" x14ac:dyDescent="0.25">
      <c r="L6779" s="147">
        <f ca="1"/>
        <v>52018</v>
      </c>
      <c r="M6779" s="92">
        <f t="shared" ca="1" si="221"/>
        <v>6.25</v>
      </c>
      <c r="N6779" s="143">
        <f ca="1">(PRODUCT($O$5:$O6779)-1)*36000/_xlfn.DAYS(L6779, $C$2)</f>
        <v>13.108571253107685</v>
      </c>
      <c r="O6779" s="149">
        <f t="shared" ca="1" si="222"/>
        <v>1.000173611111111</v>
      </c>
    </row>
    <row r="6780" spans="12:15" x14ac:dyDescent="0.25">
      <c r="L6780" s="147">
        <f ca="1"/>
        <v>52019</v>
      </c>
      <c r="M6780" s="92">
        <f t="shared" ca="1" si="221"/>
        <v>6.25</v>
      </c>
      <c r="N6780" s="143">
        <f ca="1">(PRODUCT($O$5:$O6780)-1)*36000/_xlfn.DAYS(L6780, $C$2)</f>
        <v>13.109834525026905</v>
      </c>
      <c r="O6780" s="149">
        <f t="shared" ca="1" si="222"/>
        <v>1.000173611111111</v>
      </c>
    </row>
    <row r="6781" spans="12:15" x14ac:dyDescent="0.25">
      <c r="L6781" s="147">
        <f ca="1"/>
        <v>52020</v>
      </c>
      <c r="M6781" s="92">
        <f t="shared" ca="1" si="221"/>
        <v>6.25</v>
      </c>
      <c r="N6781" s="143">
        <f ca="1">(PRODUCT($O$5:$O6781)-1)*36000/_xlfn.DAYS(L6781, $C$2)</f>
        <v>13.111097979231623</v>
      </c>
      <c r="O6781" s="149">
        <f t="shared" ca="1" si="222"/>
        <v>1.000173611111111</v>
      </c>
    </row>
    <row r="6782" spans="12:15" x14ac:dyDescent="0.25">
      <c r="L6782" s="147">
        <f ca="1"/>
        <v>52021</v>
      </c>
      <c r="M6782" s="92">
        <f t="shared" ca="1" si="221"/>
        <v>6.25</v>
      </c>
      <c r="N6782" s="143">
        <f ca="1">(PRODUCT($O$5:$O6782)-1)*36000/_xlfn.DAYS(L6782, $C$2)</f>
        <v>13.112361615737518</v>
      </c>
      <c r="O6782" s="149">
        <f t="shared" ca="1" si="222"/>
        <v>1.000173611111111</v>
      </c>
    </row>
    <row r="6783" spans="12:15" x14ac:dyDescent="0.25">
      <c r="L6783" s="147">
        <f ca="1"/>
        <v>52022</v>
      </c>
      <c r="M6783" s="92">
        <f t="shared" ca="1" si="221"/>
        <v>6.25</v>
      </c>
      <c r="N6783" s="143">
        <f ca="1">(PRODUCT($O$5:$O6783)-1)*36000/_xlfn.DAYS(L6783, $C$2)</f>
        <v>13.113625434560269</v>
      </c>
      <c r="O6783" s="149">
        <f t="shared" ca="1" si="222"/>
        <v>1.000173611111111</v>
      </c>
    </row>
    <row r="6784" spans="12:15" x14ac:dyDescent="0.25">
      <c r="L6784" s="147">
        <f ca="1"/>
        <v>52023</v>
      </c>
      <c r="M6784" s="92">
        <f t="shared" ca="1" si="221"/>
        <v>6.25</v>
      </c>
      <c r="N6784" s="143">
        <f ca="1">(PRODUCT($O$5:$O6784)-1)*36000/_xlfn.DAYS(L6784, $C$2)</f>
        <v>13.11488943571557</v>
      </c>
      <c r="O6784" s="149">
        <f t="shared" ca="1" si="222"/>
        <v>1.000173611111111</v>
      </c>
    </row>
    <row r="6785" spans="12:15" x14ac:dyDescent="0.25">
      <c r="L6785" s="147">
        <f ca="1"/>
        <v>52024</v>
      </c>
      <c r="M6785" s="92">
        <f t="shared" ca="1" si="221"/>
        <v>6.25</v>
      </c>
      <c r="N6785" s="143">
        <f ca="1">(PRODUCT($O$5:$O6785)-1)*36000/_xlfn.DAYS(L6785, $C$2)</f>
        <v>13.116153619219119</v>
      </c>
      <c r="O6785" s="149">
        <f t="shared" ca="1" si="222"/>
        <v>1.000173611111111</v>
      </c>
    </row>
    <row r="6786" spans="12:15" x14ac:dyDescent="0.25">
      <c r="L6786" s="147">
        <f ca="1"/>
        <v>52025</v>
      </c>
      <c r="M6786" s="92">
        <f t="shared" ca="1" si="221"/>
        <v>6.25</v>
      </c>
      <c r="N6786" s="143">
        <f ca="1">(PRODUCT($O$5:$O6786)-1)*36000/_xlfn.DAYS(L6786, $C$2)</f>
        <v>13.117417985086622</v>
      </c>
      <c r="O6786" s="149">
        <f t="shared" ca="1" si="222"/>
        <v>1.000173611111111</v>
      </c>
    </row>
    <row r="6787" spans="12:15" x14ac:dyDescent="0.25">
      <c r="L6787" s="147">
        <f ca="1"/>
        <v>52026</v>
      </c>
      <c r="M6787" s="92">
        <f t="shared" ca="1" si="221"/>
        <v>6.25</v>
      </c>
      <c r="N6787" s="143">
        <f ca="1">(PRODUCT($O$5:$O6787)-1)*36000/_xlfn.DAYS(L6787, $C$2)</f>
        <v>13.118682533333789</v>
      </c>
      <c r="O6787" s="149">
        <f t="shared" ca="1" si="222"/>
        <v>1.000173611111111</v>
      </c>
    </row>
    <row r="6788" spans="12:15" x14ac:dyDescent="0.25">
      <c r="L6788" s="147">
        <f ca="1"/>
        <v>52027</v>
      </c>
      <c r="M6788" s="92">
        <f t="shared" ca="1" si="221"/>
        <v>6.25</v>
      </c>
      <c r="N6788" s="143">
        <f ca="1">(PRODUCT($O$5:$O6788)-1)*36000/_xlfn.DAYS(L6788, $C$2)</f>
        <v>13.119947263976343</v>
      </c>
      <c r="O6788" s="149">
        <f t="shared" ca="1" si="222"/>
        <v>1.000173611111111</v>
      </c>
    </row>
    <row r="6789" spans="12:15" x14ac:dyDescent="0.25">
      <c r="L6789" s="147">
        <f ca="1"/>
        <v>52028</v>
      </c>
      <c r="M6789" s="92">
        <f t="shared" ref="M6789:M6852" ca="1" si="223">IFERROR(INDEX($E$27:$H$47, MATCH(L6789, $F$27:$F$47, 0), 4), IF(ISNUMBER(M6788), M6788, $C$5))</f>
        <v>6.25</v>
      </c>
      <c r="N6789" s="143">
        <f ca="1">(PRODUCT($O$5:$O6789)-1)*36000/_xlfn.DAYS(L6789, $C$2)</f>
        <v>13.121212177030012</v>
      </c>
      <c r="O6789" s="149">
        <f t="shared" ca="1" si="222"/>
        <v>1.000173611111111</v>
      </c>
    </row>
    <row r="6790" spans="12:15" x14ac:dyDescent="0.25">
      <c r="L6790" s="147">
        <f ca="1"/>
        <v>52029</v>
      </c>
      <c r="M6790" s="92">
        <f t="shared" ca="1" si="223"/>
        <v>6.25</v>
      </c>
      <c r="N6790" s="143">
        <f ca="1">(PRODUCT($O$5:$O6790)-1)*36000/_xlfn.DAYS(L6790, $C$2)</f>
        <v>13.12247727251053</v>
      </c>
      <c r="O6790" s="149">
        <f t="shared" ref="O6790:O6853" ca="1" si="224">1+M6790*IFERROR(_xlfn.DAYS(L6790, L6789), _xlfn.DAYS(L6790, $C$2))/36000</f>
        <v>1.000173611111111</v>
      </c>
    </row>
    <row r="6791" spans="12:15" x14ac:dyDescent="0.25">
      <c r="L6791" s="147">
        <f ca="1"/>
        <v>52030</v>
      </c>
      <c r="M6791" s="92">
        <f t="shared" ca="1" si="223"/>
        <v>6.25</v>
      </c>
      <c r="N6791" s="143">
        <f ca="1">(PRODUCT($O$5:$O6791)-1)*36000/_xlfn.DAYS(L6791, $C$2)</f>
        <v>13.123742550433642</v>
      </c>
      <c r="O6791" s="149">
        <f t="shared" ca="1" si="224"/>
        <v>1.000173611111111</v>
      </c>
    </row>
    <row r="6792" spans="12:15" x14ac:dyDescent="0.25">
      <c r="L6792" s="147">
        <f ca="1"/>
        <v>52031</v>
      </c>
      <c r="M6792" s="92">
        <f t="shared" ca="1" si="223"/>
        <v>6.25</v>
      </c>
      <c r="N6792" s="143">
        <f ca="1">(PRODUCT($O$5:$O6792)-1)*36000/_xlfn.DAYS(L6792, $C$2)</f>
        <v>13.125008010815096</v>
      </c>
      <c r="O6792" s="149">
        <f t="shared" ca="1" si="224"/>
        <v>1.000173611111111</v>
      </c>
    </row>
    <row r="6793" spans="12:15" x14ac:dyDescent="0.25">
      <c r="L6793" s="147">
        <f ca="1"/>
        <v>52032</v>
      </c>
      <c r="M6793" s="92">
        <f t="shared" ca="1" si="223"/>
        <v>6.25</v>
      </c>
      <c r="N6793" s="143">
        <f ca="1">(PRODUCT($O$5:$O6793)-1)*36000/_xlfn.DAYS(L6793, $C$2)</f>
        <v>13.126273653670653</v>
      </c>
      <c r="O6793" s="149">
        <f t="shared" ca="1" si="224"/>
        <v>1.000173611111111</v>
      </c>
    </row>
    <row r="6794" spans="12:15" x14ac:dyDescent="0.25">
      <c r="L6794" s="147">
        <f ca="1"/>
        <v>52033</v>
      </c>
      <c r="M6794" s="92">
        <f t="shared" ca="1" si="223"/>
        <v>6.25</v>
      </c>
      <c r="N6794" s="143">
        <f ca="1">(PRODUCT($O$5:$O6794)-1)*36000/_xlfn.DAYS(L6794, $C$2)</f>
        <v>13.127539479016074</v>
      </c>
      <c r="O6794" s="149">
        <f t="shared" ca="1" si="224"/>
        <v>1.000173611111111</v>
      </c>
    </row>
    <row r="6795" spans="12:15" x14ac:dyDescent="0.25">
      <c r="L6795" s="147">
        <f ca="1"/>
        <v>52034</v>
      </c>
      <c r="M6795" s="92">
        <f t="shared" ca="1" si="223"/>
        <v>6.25</v>
      </c>
      <c r="N6795" s="143">
        <f ca="1">(PRODUCT($O$5:$O6795)-1)*36000/_xlfn.DAYS(L6795, $C$2)</f>
        <v>13.128805486867133</v>
      </c>
      <c r="O6795" s="149">
        <f t="shared" ca="1" si="224"/>
        <v>1.000173611111111</v>
      </c>
    </row>
    <row r="6796" spans="12:15" x14ac:dyDescent="0.25">
      <c r="L6796" s="147">
        <f ca="1"/>
        <v>52035</v>
      </c>
      <c r="M6796" s="92">
        <f t="shared" ca="1" si="223"/>
        <v>6.25</v>
      </c>
      <c r="N6796" s="143">
        <f ca="1">(PRODUCT($O$5:$O6796)-1)*36000/_xlfn.DAYS(L6796, $C$2)</f>
        <v>13.130071677239613</v>
      </c>
      <c r="O6796" s="149">
        <f t="shared" ca="1" si="224"/>
        <v>1.000173611111111</v>
      </c>
    </row>
    <row r="6797" spans="12:15" x14ac:dyDescent="0.25">
      <c r="L6797" s="147">
        <f ca="1"/>
        <v>52036</v>
      </c>
      <c r="M6797" s="92">
        <f t="shared" ca="1" si="223"/>
        <v>6.25</v>
      </c>
      <c r="N6797" s="143">
        <f ca="1">(PRODUCT($O$5:$O6797)-1)*36000/_xlfn.DAYS(L6797, $C$2)</f>
        <v>13.131338050149299</v>
      </c>
      <c r="O6797" s="149">
        <f t="shared" ca="1" si="224"/>
        <v>1.000173611111111</v>
      </c>
    </row>
    <row r="6798" spans="12:15" x14ac:dyDescent="0.25">
      <c r="L6798" s="147">
        <f ca="1"/>
        <v>52037</v>
      </c>
      <c r="M6798" s="92">
        <f t="shared" ca="1" si="223"/>
        <v>6.25</v>
      </c>
      <c r="N6798" s="143">
        <f ca="1">(PRODUCT($O$5:$O6798)-1)*36000/_xlfn.DAYS(L6798, $C$2)</f>
        <v>13.132604605611986</v>
      </c>
      <c r="O6798" s="149">
        <f t="shared" ca="1" si="224"/>
        <v>1.000173611111111</v>
      </c>
    </row>
    <row r="6799" spans="12:15" x14ac:dyDescent="0.25">
      <c r="L6799" s="147">
        <f ca="1"/>
        <v>52038</v>
      </c>
      <c r="M6799" s="92">
        <f t="shared" ca="1" si="223"/>
        <v>6.25</v>
      </c>
      <c r="N6799" s="143">
        <f ca="1">(PRODUCT($O$5:$O6799)-1)*36000/_xlfn.DAYS(L6799, $C$2)</f>
        <v>13.133871343643477</v>
      </c>
      <c r="O6799" s="149">
        <f t="shared" ca="1" si="224"/>
        <v>1.000173611111111</v>
      </c>
    </row>
    <row r="6800" spans="12:15" x14ac:dyDescent="0.25">
      <c r="L6800" s="147">
        <f ca="1"/>
        <v>52039</v>
      </c>
      <c r="M6800" s="92">
        <f t="shared" ca="1" si="223"/>
        <v>6.25</v>
      </c>
      <c r="N6800" s="143">
        <f ca="1">(PRODUCT($O$5:$O6800)-1)*36000/_xlfn.DAYS(L6800, $C$2)</f>
        <v>13.135138264259581</v>
      </c>
      <c r="O6800" s="149">
        <f t="shared" ca="1" si="224"/>
        <v>1.000173611111111</v>
      </c>
    </row>
    <row r="6801" spans="12:15" x14ac:dyDescent="0.25">
      <c r="L6801" s="147">
        <f ca="1"/>
        <v>52040</v>
      </c>
      <c r="M6801" s="92">
        <f t="shared" ca="1" si="223"/>
        <v>6.25</v>
      </c>
      <c r="N6801" s="143">
        <f ca="1">(PRODUCT($O$5:$O6801)-1)*36000/_xlfn.DAYS(L6801, $C$2)</f>
        <v>13.136405367476117</v>
      </c>
      <c r="O6801" s="149">
        <f t="shared" ca="1" si="224"/>
        <v>1.000173611111111</v>
      </c>
    </row>
    <row r="6802" spans="12:15" x14ac:dyDescent="0.25">
      <c r="L6802" s="147">
        <f ca="1"/>
        <v>52041</v>
      </c>
      <c r="M6802" s="92">
        <f t="shared" ca="1" si="223"/>
        <v>6.25</v>
      </c>
      <c r="N6802" s="143">
        <f ca="1">(PRODUCT($O$5:$O6802)-1)*36000/_xlfn.DAYS(L6802, $C$2)</f>
        <v>13.137672653308908</v>
      </c>
      <c r="O6802" s="149">
        <f t="shared" ca="1" si="224"/>
        <v>1.000173611111111</v>
      </c>
    </row>
    <row r="6803" spans="12:15" x14ac:dyDescent="0.25">
      <c r="L6803" s="147">
        <f ca="1"/>
        <v>52042</v>
      </c>
      <c r="M6803" s="92">
        <f t="shared" ca="1" si="223"/>
        <v>6.25</v>
      </c>
      <c r="N6803" s="143">
        <f ca="1">(PRODUCT($O$5:$O6803)-1)*36000/_xlfn.DAYS(L6803, $C$2)</f>
        <v>13.138940121773789</v>
      </c>
      <c r="O6803" s="149">
        <f t="shared" ca="1" si="224"/>
        <v>1.000173611111111</v>
      </c>
    </row>
    <row r="6804" spans="12:15" x14ac:dyDescent="0.25">
      <c r="L6804" s="147">
        <f ca="1"/>
        <v>52043</v>
      </c>
      <c r="M6804" s="92">
        <f t="shared" ca="1" si="223"/>
        <v>6.25</v>
      </c>
      <c r="N6804" s="143">
        <f ca="1">(PRODUCT($O$5:$O6804)-1)*36000/_xlfn.DAYS(L6804, $C$2)</f>
        <v>13.140207772886596</v>
      </c>
      <c r="O6804" s="149">
        <f t="shared" ca="1" si="224"/>
        <v>1.000173611111111</v>
      </c>
    </row>
    <row r="6805" spans="12:15" x14ac:dyDescent="0.25">
      <c r="L6805" s="147">
        <f ca="1"/>
        <v>52044</v>
      </c>
      <c r="M6805" s="92">
        <f t="shared" ca="1" si="223"/>
        <v>6.25</v>
      </c>
      <c r="N6805" s="143">
        <f ca="1">(PRODUCT($O$5:$O6805)-1)*36000/_xlfn.DAYS(L6805, $C$2)</f>
        <v>13.141475606663176</v>
      </c>
      <c r="O6805" s="149">
        <f t="shared" ca="1" si="224"/>
        <v>1.000173611111111</v>
      </c>
    </row>
    <row r="6806" spans="12:15" x14ac:dyDescent="0.25">
      <c r="L6806" s="147">
        <f ca="1"/>
        <v>52045</v>
      </c>
      <c r="M6806" s="92">
        <f t="shared" ca="1" si="223"/>
        <v>6.25</v>
      </c>
      <c r="N6806" s="143">
        <f ca="1">(PRODUCT($O$5:$O6806)-1)*36000/_xlfn.DAYS(L6806, $C$2)</f>
        <v>13.14274362311939</v>
      </c>
      <c r="O6806" s="149">
        <f t="shared" ca="1" si="224"/>
        <v>1.000173611111111</v>
      </c>
    </row>
    <row r="6807" spans="12:15" x14ac:dyDescent="0.25">
      <c r="L6807" s="147">
        <f ca="1"/>
        <v>52046</v>
      </c>
      <c r="M6807" s="92">
        <f t="shared" ca="1" si="223"/>
        <v>6.25</v>
      </c>
      <c r="N6807" s="143">
        <f ca="1">(PRODUCT($O$5:$O6807)-1)*36000/_xlfn.DAYS(L6807, $C$2)</f>
        <v>13.144011822271091</v>
      </c>
      <c r="O6807" s="149">
        <f t="shared" ca="1" si="224"/>
        <v>1.000173611111111</v>
      </c>
    </row>
    <row r="6808" spans="12:15" x14ac:dyDescent="0.25">
      <c r="L6808" s="147">
        <f ca="1"/>
        <v>52047</v>
      </c>
      <c r="M6808" s="92">
        <f t="shared" ca="1" si="223"/>
        <v>6.25</v>
      </c>
      <c r="N6808" s="143">
        <f ca="1">(PRODUCT($O$5:$O6808)-1)*36000/_xlfn.DAYS(L6808, $C$2)</f>
        <v>13.145280204134155</v>
      </c>
      <c r="O6808" s="149">
        <f t="shared" ca="1" si="224"/>
        <v>1.000173611111111</v>
      </c>
    </row>
    <row r="6809" spans="12:15" x14ac:dyDescent="0.25">
      <c r="L6809" s="147">
        <f ca="1"/>
        <v>52048</v>
      </c>
      <c r="M6809" s="92">
        <f t="shared" ca="1" si="223"/>
        <v>6.25</v>
      </c>
      <c r="N6809" s="143">
        <f ca="1">(PRODUCT($O$5:$O6809)-1)*36000/_xlfn.DAYS(L6809, $C$2)</f>
        <v>13.146548768724456</v>
      </c>
      <c r="O6809" s="149">
        <f t="shared" ca="1" si="224"/>
        <v>1.000173611111111</v>
      </c>
    </row>
    <row r="6810" spans="12:15" x14ac:dyDescent="0.25">
      <c r="L6810" s="147">
        <f ca="1"/>
        <v>52049</v>
      </c>
      <c r="M6810" s="92">
        <f t="shared" ca="1" si="223"/>
        <v>6.25</v>
      </c>
      <c r="N6810" s="143">
        <f ca="1">(PRODUCT($O$5:$O6810)-1)*36000/_xlfn.DAYS(L6810, $C$2)</f>
        <v>13.147817516057877</v>
      </c>
      <c r="O6810" s="149">
        <f t="shared" ca="1" si="224"/>
        <v>1.000173611111111</v>
      </c>
    </row>
    <row r="6811" spans="12:15" x14ac:dyDescent="0.25">
      <c r="L6811" s="147">
        <f ca="1"/>
        <v>52050</v>
      </c>
      <c r="M6811" s="92">
        <f t="shared" ca="1" si="223"/>
        <v>6.25</v>
      </c>
      <c r="N6811" s="143">
        <f ca="1">(PRODUCT($O$5:$O6811)-1)*36000/_xlfn.DAYS(L6811, $C$2)</f>
        <v>13.14908644615031</v>
      </c>
      <c r="O6811" s="149">
        <f t="shared" ca="1" si="224"/>
        <v>1.000173611111111</v>
      </c>
    </row>
    <row r="6812" spans="12:15" x14ac:dyDescent="0.25">
      <c r="L6812" s="147">
        <f ca="1"/>
        <v>52051</v>
      </c>
      <c r="M6812" s="92">
        <f t="shared" ca="1" si="223"/>
        <v>6.25</v>
      </c>
      <c r="N6812" s="143">
        <f ca="1">(PRODUCT($O$5:$O6812)-1)*36000/_xlfn.DAYS(L6812, $C$2)</f>
        <v>13.150355559017653</v>
      </c>
      <c r="O6812" s="149">
        <f t="shared" ca="1" si="224"/>
        <v>1.000173611111111</v>
      </c>
    </row>
    <row r="6813" spans="12:15" x14ac:dyDescent="0.25">
      <c r="L6813" s="147">
        <f ca="1"/>
        <v>52052</v>
      </c>
      <c r="M6813" s="92">
        <f t="shared" ca="1" si="223"/>
        <v>6.25</v>
      </c>
      <c r="N6813" s="143">
        <f ca="1">(PRODUCT($O$5:$O6813)-1)*36000/_xlfn.DAYS(L6813, $C$2)</f>
        <v>13.151624854675815</v>
      </c>
      <c r="O6813" s="149">
        <f t="shared" ca="1" si="224"/>
        <v>1.000173611111111</v>
      </c>
    </row>
    <row r="6814" spans="12:15" x14ac:dyDescent="0.25">
      <c r="L6814" s="147">
        <f ca="1"/>
        <v>52053</v>
      </c>
      <c r="M6814" s="92">
        <f t="shared" ca="1" si="223"/>
        <v>6.25</v>
      </c>
      <c r="N6814" s="143">
        <f ca="1">(PRODUCT($O$5:$O6814)-1)*36000/_xlfn.DAYS(L6814, $C$2)</f>
        <v>13.152894333140708</v>
      </c>
      <c r="O6814" s="149">
        <f t="shared" ca="1" si="224"/>
        <v>1.000173611111111</v>
      </c>
    </row>
    <row r="6815" spans="12:15" x14ac:dyDescent="0.25">
      <c r="L6815" s="147">
        <f ca="1"/>
        <v>52054</v>
      </c>
      <c r="M6815" s="92">
        <f t="shared" ca="1" si="223"/>
        <v>6.25</v>
      </c>
      <c r="N6815" s="143">
        <f ca="1">(PRODUCT($O$5:$O6815)-1)*36000/_xlfn.DAYS(L6815, $C$2)</f>
        <v>13.15416399442825</v>
      </c>
      <c r="O6815" s="149">
        <f t="shared" ca="1" si="224"/>
        <v>1.000173611111111</v>
      </c>
    </row>
    <row r="6816" spans="12:15" x14ac:dyDescent="0.25">
      <c r="L6816" s="147">
        <f ca="1"/>
        <v>52055</v>
      </c>
      <c r="M6816" s="92">
        <f t="shared" ca="1" si="223"/>
        <v>6.25</v>
      </c>
      <c r="N6816" s="143">
        <f ca="1">(PRODUCT($O$5:$O6816)-1)*36000/_xlfn.DAYS(L6816, $C$2)</f>
        <v>13.155433838554377</v>
      </c>
      <c r="O6816" s="149">
        <f t="shared" ca="1" si="224"/>
        <v>1.000173611111111</v>
      </c>
    </row>
    <row r="6817" spans="12:15" x14ac:dyDescent="0.25">
      <c r="L6817" s="147">
        <f ca="1"/>
        <v>52056</v>
      </c>
      <c r="M6817" s="92">
        <f t="shared" ca="1" si="223"/>
        <v>6.25</v>
      </c>
      <c r="N6817" s="143">
        <f ca="1">(PRODUCT($O$5:$O6817)-1)*36000/_xlfn.DAYS(L6817, $C$2)</f>
        <v>13.156703865535018</v>
      </c>
      <c r="O6817" s="149">
        <f t="shared" ca="1" si="224"/>
        <v>1.000173611111111</v>
      </c>
    </row>
    <row r="6818" spans="12:15" x14ac:dyDescent="0.25">
      <c r="L6818" s="147">
        <f ca="1"/>
        <v>52057</v>
      </c>
      <c r="M6818" s="92">
        <f t="shared" ca="1" si="223"/>
        <v>6.25</v>
      </c>
      <c r="N6818" s="143">
        <f ca="1">(PRODUCT($O$5:$O6818)-1)*36000/_xlfn.DAYS(L6818, $C$2)</f>
        <v>13.15797407538612</v>
      </c>
      <c r="O6818" s="149">
        <f t="shared" ca="1" si="224"/>
        <v>1.000173611111111</v>
      </c>
    </row>
    <row r="6819" spans="12:15" x14ac:dyDescent="0.25">
      <c r="L6819" s="147">
        <f ca="1"/>
        <v>52058</v>
      </c>
      <c r="M6819" s="92">
        <f t="shared" ca="1" si="223"/>
        <v>6.25</v>
      </c>
      <c r="N6819" s="143">
        <f ca="1">(PRODUCT($O$5:$O6819)-1)*36000/_xlfn.DAYS(L6819, $C$2)</f>
        <v>13.159244468123633</v>
      </c>
      <c r="O6819" s="149">
        <f t="shared" ca="1" si="224"/>
        <v>1.000173611111111</v>
      </c>
    </row>
    <row r="6820" spans="12:15" x14ac:dyDescent="0.25">
      <c r="L6820" s="147">
        <f ca="1"/>
        <v>52059</v>
      </c>
      <c r="M6820" s="92">
        <f t="shared" ca="1" si="223"/>
        <v>6.25</v>
      </c>
      <c r="N6820" s="143">
        <f ca="1">(PRODUCT($O$5:$O6820)-1)*36000/_xlfn.DAYS(L6820, $C$2)</f>
        <v>13.160515043763512</v>
      </c>
      <c r="O6820" s="149">
        <f t="shared" ca="1" si="224"/>
        <v>1.000173611111111</v>
      </c>
    </row>
    <row r="6821" spans="12:15" x14ac:dyDescent="0.25">
      <c r="L6821" s="147">
        <f ca="1"/>
        <v>52060</v>
      </c>
      <c r="M6821" s="92">
        <f t="shared" ca="1" si="223"/>
        <v>6.25</v>
      </c>
      <c r="N6821" s="143">
        <f ca="1">(PRODUCT($O$5:$O6821)-1)*36000/_xlfn.DAYS(L6821, $C$2)</f>
        <v>13.161785802321727</v>
      </c>
      <c r="O6821" s="149">
        <f t="shared" ca="1" si="224"/>
        <v>1.000173611111111</v>
      </c>
    </row>
    <row r="6822" spans="12:15" x14ac:dyDescent="0.25">
      <c r="L6822" s="147">
        <f ca="1"/>
        <v>52061</v>
      </c>
      <c r="M6822" s="92">
        <f t="shared" ca="1" si="223"/>
        <v>6.25</v>
      </c>
      <c r="N6822" s="143">
        <f ca="1">(PRODUCT($O$5:$O6822)-1)*36000/_xlfn.DAYS(L6822, $C$2)</f>
        <v>13.163056743814249</v>
      </c>
      <c r="O6822" s="149">
        <f t="shared" ca="1" si="224"/>
        <v>1.000173611111111</v>
      </c>
    </row>
    <row r="6823" spans="12:15" x14ac:dyDescent="0.25">
      <c r="L6823" s="147">
        <f ca="1"/>
        <v>52062</v>
      </c>
      <c r="M6823" s="92">
        <f t="shared" ca="1" si="223"/>
        <v>6.25</v>
      </c>
      <c r="N6823" s="143">
        <f ca="1">(PRODUCT($O$5:$O6823)-1)*36000/_xlfn.DAYS(L6823, $C$2)</f>
        <v>13.164327868257054</v>
      </c>
      <c r="O6823" s="149">
        <f t="shared" ca="1" si="224"/>
        <v>1.000173611111111</v>
      </c>
    </row>
    <row r="6824" spans="12:15" x14ac:dyDescent="0.25">
      <c r="L6824" s="147">
        <f ca="1"/>
        <v>52063</v>
      </c>
      <c r="M6824" s="92">
        <f t="shared" ca="1" si="223"/>
        <v>6.25</v>
      </c>
      <c r="N6824" s="143">
        <f ca="1">(PRODUCT($O$5:$O6824)-1)*36000/_xlfn.DAYS(L6824, $C$2)</f>
        <v>13.165599175666138</v>
      </c>
      <c r="O6824" s="149">
        <f t="shared" ca="1" si="224"/>
        <v>1.000173611111111</v>
      </c>
    </row>
    <row r="6825" spans="12:15" x14ac:dyDescent="0.25">
      <c r="L6825" s="147">
        <f ca="1"/>
        <v>52064</v>
      </c>
      <c r="M6825" s="92">
        <f t="shared" ca="1" si="223"/>
        <v>6.25</v>
      </c>
      <c r="N6825" s="143">
        <f ca="1">(PRODUCT($O$5:$O6825)-1)*36000/_xlfn.DAYS(L6825, $C$2)</f>
        <v>13.166870666057488</v>
      </c>
      <c r="O6825" s="149">
        <f t="shared" ca="1" si="224"/>
        <v>1.000173611111111</v>
      </c>
    </row>
    <row r="6826" spans="12:15" x14ac:dyDescent="0.25">
      <c r="L6826" s="147">
        <f ca="1"/>
        <v>52065</v>
      </c>
      <c r="M6826" s="92">
        <f t="shared" ca="1" si="223"/>
        <v>6.25</v>
      </c>
      <c r="N6826" s="143">
        <f ca="1">(PRODUCT($O$5:$O6826)-1)*36000/_xlfn.DAYS(L6826, $C$2)</f>
        <v>13.16814233944711</v>
      </c>
      <c r="O6826" s="149">
        <f t="shared" ca="1" si="224"/>
        <v>1.000173611111111</v>
      </c>
    </row>
    <row r="6827" spans="12:15" x14ac:dyDescent="0.25">
      <c r="L6827" s="147">
        <f ca="1"/>
        <v>52066</v>
      </c>
      <c r="M6827" s="92">
        <f t="shared" ca="1" si="223"/>
        <v>6.25</v>
      </c>
      <c r="N6827" s="143">
        <f ca="1">(PRODUCT($O$5:$O6827)-1)*36000/_xlfn.DAYS(L6827, $C$2)</f>
        <v>13.169414195851012</v>
      </c>
      <c r="O6827" s="149">
        <f t="shared" ca="1" si="224"/>
        <v>1.000173611111111</v>
      </c>
    </row>
    <row r="6828" spans="12:15" x14ac:dyDescent="0.25">
      <c r="L6828" s="147">
        <f ca="1"/>
        <v>52067</v>
      </c>
      <c r="M6828" s="92">
        <f t="shared" ca="1" si="223"/>
        <v>6.25</v>
      </c>
      <c r="N6828" s="143">
        <f ca="1">(PRODUCT($O$5:$O6828)-1)*36000/_xlfn.DAYS(L6828, $C$2)</f>
        <v>13.170686235285213</v>
      </c>
      <c r="O6828" s="149">
        <f t="shared" ca="1" si="224"/>
        <v>1.000173611111111</v>
      </c>
    </row>
    <row r="6829" spans="12:15" x14ac:dyDescent="0.25">
      <c r="L6829" s="147">
        <f ca="1"/>
        <v>52068</v>
      </c>
      <c r="M6829" s="92">
        <f t="shared" ca="1" si="223"/>
        <v>6.25</v>
      </c>
      <c r="N6829" s="143">
        <f ca="1">(PRODUCT($O$5:$O6829)-1)*36000/_xlfn.DAYS(L6829, $C$2)</f>
        <v>13.171958457765733</v>
      </c>
      <c r="O6829" s="149">
        <f t="shared" ca="1" si="224"/>
        <v>1.000173611111111</v>
      </c>
    </row>
    <row r="6830" spans="12:15" x14ac:dyDescent="0.25">
      <c r="L6830" s="147">
        <f ca="1"/>
        <v>52069</v>
      </c>
      <c r="M6830" s="92">
        <f t="shared" ca="1" si="223"/>
        <v>6.25</v>
      </c>
      <c r="N6830" s="143">
        <f ca="1">(PRODUCT($O$5:$O6830)-1)*36000/_xlfn.DAYS(L6830, $C$2)</f>
        <v>13.173230863308609</v>
      </c>
      <c r="O6830" s="149">
        <f t="shared" ca="1" si="224"/>
        <v>1.000173611111111</v>
      </c>
    </row>
    <row r="6831" spans="12:15" x14ac:dyDescent="0.25">
      <c r="L6831" s="147">
        <f ca="1"/>
        <v>52070</v>
      </c>
      <c r="M6831" s="92">
        <f t="shared" ca="1" si="223"/>
        <v>6.25</v>
      </c>
      <c r="N6831" s="143">
        <f ca="1">(PRODUCT($O$5:$O6831)-1)*36000/_xlfn.DAYS(L6831, $C$2)</f>
        <v>13.174503451929878</v>
      </c>
      <c r="O6831" s="149">
        <f t="shared" ca="1" si="224"/>
        <v>1.000173611111111</v>
      </c>
    </row>
    <row r="6832" spans="12:15" x14ac:dyDescent="0.25">
      <c r="L6832" s="147">
        <f ca="1"/>
        <v>52071</v>
      </c>
      <c r="M6832" s="92">
        <f t="shared" ca="1" si="223"/>
        <v>6.25</v>
      </c>
      <c r="N6832" s="143">
        <f ca="1">(PRODUCT($O$5:$O6832)-1)*36000/_xlfn.DAYS(L6832, $C$2)</f>
        <v>13.175776223645586</v>
      </c>
      <c r="O6832" s="149">
        <f t="shared" ca="1" si="224"/>
        <v>1.000173611111111</v>
      </c>
    </row>
    <row r="6833" spans="12:15" x14ac:dyDescent="0.25">
      <c r="L6833" s="147">
        <f ca="1"/>
        <v>52072</v>
      </c>
      <c r="M6833" s="92">
        <f t="shared" ca="1" si="223"/>
        <v>6.25</v>
      </c>
      <c r="N6833" s="143">
        <f ca="1">(PRODUCT($O$5:$O6833)-1)*36000/_xlfn.DAYS(L6833, $C$2)</f>
        <v>13.177049178471785</v>
      </c>
      <c r="O6833" s="149">
        <f t="shared" ca="1" si="224"/>
        <v>1.000173611111111</v>
      </c>
    </row>
    <row r="6834" spans="12:15" x14ac:dyDescent="0.25">
      <c r="L6834" s="147">
        <f ca="1"/>
        <v>52073</v>
      </c>
      <c r="M6834" s="92">
        <f t="shared" ca="1" si="223"/>
        <v>6.25</v>
      </c>
      <c r="N6834" s="143">
        <f ca="1">(PRODUCT($O$5:$O6834)-1)*36000/_xlfn.DAYS(L6834, $C$2)</f>
        <v>13.178322316424543</v>
      </c>
      <c r="O6834" s="149">
        <f t="shared" ca="1" si="224"/>
        <v>1.000173611111111</v>
      </c>
    </row>
    <row r="6835" spans="12:15" x14ac:dyDescent="0.25">
      <c r="L6835" s="147">
        <f ca="1"/>
        <v>52074</v>
      </c>
      <c r="M6835" s="92">
        <f t="shared" ca="1" si="223"/>
        <v>6.25</v>
      </c>
      <c r="N6835" s="143">
        <f ca="1">(PRODUCT($O$5:$O6835)-1)*36000/_xlfn.DAYS(L6835, $C$2)</f>
        <v>13.179595637519919</v>
      </c>
      <c r="O6835" s="149">
        <f t="shared" ca="1" si="224"/>
        <v>1.000173611111111</v>
      </c>
    </row>
    <row r="6836" spans="12:15" x14ac:dyDescent="0.25">
      <c r="L6836" s="147">
        <f ca="1"/>
        <v>52075</v>
      </c>
      <c r="M6836" s="92">
        <f t="shared" ca="1" si="223"/>
        <v>6.25</v>
      </c>
      <c r="N6836" s="143">
        <f ca="1">(PRODUCT($O$5:$O6836)-1)*36000/_xlfn.DAYS(L6836, $C$2)</f>
        <v>13.180869141773995</v>
      </c>
      <c r="O6836" s="149">
        <f t="shared" ca="1" si="224"/>
        <v>1.000173611111111</v>
      </c>
    </row>
    <row r="6837" spans="12:15" x14ac:dyDescent="0.25">
      <c r="L6837" s="147">
        <f ca="1"/>
        <v>52076</v>
      </c>
      <c r="M6837" s="92">
        <f t="shared" ca="1" si="223"/>
        <v>6.25</v>
      </c>
      <c r="N6837" s="143">
        <f ca="1">(PRODUCT($O$5:$O6837)-1)*36000/_xlfn.DAYS(L6837, $C$2)</f>
        <v>13.182142829202849</v>
      </c>
      <c r="O6837" s="149">
        <f t="shared" ca="1" si="224"/>
        <v>1.000173611111111</v>
      </c>
    </row>
    <row r="6838" spans="12:15" x14ac:dyDescent="0.25">
      <c r="L6838" s="147">
        <f ca="1"/>
        <v>52077</v>
      </c>
      <c r="M6838" s="92">
        <f t="shared" ca="1" si="223"/>
        <v>6.25</v>
      </c>
      <c r="N6838" s="143">
        <f ca="1">(PRODUCT($O$5:$O6838)-1)*36000/_xlfn.DAYS(L6838, $C$2)</f>
        <v>13.183416699822578</v>
      </c>
      <c r="O6838" s="149">
        <f t="shared" ca="1" si="224"/>
        <v>1.000173611111111</v>
      </c>
    </row>
    <row r="6839" spans="12:15" x14ac:dyDescent="0.25">
      <c r="L6839" s="147">
        <f ca="1"/>
        <v>52078</v>
      </c>
      <c r="M6839" s="92">
        <f t="shared" ca="1" si="223"/>
        <v>6.25</v>
      </c>
      <c r="N6839" s="143">
        <f ca="1">(PRODUCT($O$5:$O6839)-1)*36000/_xlfn.DAYS(L6839, $C$2)</f>
        <v>13.184690753649278</v>
      </c>
      <c r="O6839" s="149">
        <f t="shared" ca="1" si="224"/>
        <v>1.000173611111111</v>
      </c>
    </row>
    <row r="6840" spans="12:15" x14ac:dyDescent="0.25">
      <c r="L6840" s="147">
        <f ca="1"/>
        <v>52079</v>
      </c>
      <c r="M6840" s="92">
        <f t="shared" ca="1" si="223"/>
        <v>6.25</v>
      </c>
      <c r="N6840" s="143">
        <f ca="1">(PRODUCT($O$5:$O6840)-1)*36000/_xlfn.DAYS(L6840, $C$2)</f>
        <v>13.185964990699048</v>
      </c>
      <c r="O6840" s="149">
        <f t="shared" ca="1" si="224"/>
        <v>1.000173611111111</v>
      </c>
    </row>
    <row r="6841" spans="12:15" x14ac:dyDescent="0.25">
      <c r="L6841" s="147">
        <f ca="1"/>
        <v>52080</v>
      </c>
      <c r="M6841" s="92">
        <f t="shared" ca="1" si="223"/>
        <v>6.25</v>
      </c>
      <c r="N6841" s="143">
        <f ca="1">(PRODUCT($O$5:$O6841)-1)*36000/_xlfn.DAYS(L6841, $C$2)</f>
        <v>13.18723941098801</v>
      </c>
      <c r="O6841" s="149">
        <f t="shared" ca="1" si="224"/>
        <v>1.000173611111111</v>
      </c>
    </row>
    <row r="6842" spans="12:15" x14ac:dyDescent="0.25">
      <c r="L6842" s="147">
        <f ca="1"/>
        <v>52081</v>
      </c>
      <c r="M6842" s="92">
        <f t="shared" ca="1" si="223"/>
        <v>6.25</v>
      </c>
      <c r="N6842" s="143">
        <f ca="1">(PRODUCT($O$5:$O6842)-1)*36000/_xlfn.DAYS(L6842, $C$2)</f>
        <v>13.188514014532274</v>
      </c>
      <c r="O6842" s="149">
        <f t="shared" ca="1" si="224"/>
        <v>1.000173611111111</v>
      </c>
    </row>
    <row r="6843" spans="12:15" x14ac:dyDescent="0.25">
      <c r="L6843" s="147">
        <f ca="1"/>
        <v>52082</v>
      </c>
      <c r="M6843" s="92">
        <f t="shared" ca="1" si="223"/>
        <v>6.25</v>
      </c>
      <c r="N6843" s="143">
        <f ca="1">(PRODUCT($O$5:$O6843)-1)*36000/_xlfn.DAYS(L6843, $C$2)</f>
        <v>13.189788801347975</v>
      </c>
      <c r="O6843" s="149">
        <f t="shared" ca="1" si="224"/>
        <v>1.000173611111111</v>
      </c>
    </row>
    <row r="6844" spans="12:15" x14ac:dyDescent="0.25">
      <c r="L6844" s="147">
        <f ca="1"/>
        <v>52083</v>
      </c>
      <c r="M6844" s="92">
        <f t="shared" ca="1" si="223"/>
        <v>6.25</v>
      </c>
      <c r="N6844" s="143">
        <f ca="1">(PRODUCT($O$5:$O6844)-1)*36000/_xlfn.DAYS(L6844, $C$2)</f>
        <v>13.191063771451242</v>
      </c>
      <c r="O6844" s="149">
        <f t="shared" ca="1" si="224"/>
        <v>1.000173611111111</v>
      </c>
    </row>
    <row r="6845" spans="12:15" x14ac:dyDescent="0.25">
      <c r="L6845" s="147">
        <f ca="1"/>
        <v>52084</v>
      </c>
      <c r="M6845" s="92">
        <f t="shared" ca="1" si="223"/>
        <v>6.25</v>
      </c>
      <c r="N6845" s="143">
        <f ca="1">(PRODUCT($O$5:$O6845)-1)*36000/_xlfn.DAYS(L6845, $C$2)</f>
        <v>13.192338924858218</v>
      </c>
      <c r="O6845" s="149">
        <f t="shared" ca="1" si="224"/>
        <v>1.000173611111111</v>
      </c>
    </row>
    <row r="6846" spans="12:15" x14ac:dyDescent="0.25">
      <c r="L6846" s="147">
        <f ca="1"/>
        <v>52085</v>
      </c>
      <c r="M6846" s="92">
        <f t="shared" ca="1" si="223"/>
        <v>6.25</v>
      </c>
      <c r="N6846" s="143">
        <f ca="1">(PRODUCT($O$5:$O6846)-1)*36000/_xlfn.DAYS(L6846, $C$2)</f>
        <v>13.193614261585056</v>
      </c>
      <c r="O6846" s="149">
        <f t="shared" ca="1" si="224"/>
        <v>1.000173611111111</v>
      </c>
    </row>
    <row r="6847" spans="12:15" x14ac:dyDescent="0.25">
      <c r="L6847" s="147">
        <f ca="1"/>
        <v>52086</v>
      </c>
      <c r="M6847" s="92">
        <f t="shared" ca="1" si="223"/>
        <v>6.25</v>
      </c>
      <c r="N6847" s="143">
        <f ca="1">(PRODUCT($O$5:$O6847)-1)*36000/_xlfn.DAYS(L6847, $C$2)</f>
        <v>13.194889781647911</v>
      </c>
      <c r="O6847" s="149">
        <f t="shared" ca="1" si="224"/>
        <v>1.000173611111111</v>
      </c>
    </row>
    <row r="6848" spans="12:15" x14ac:dyDescent="0.25">
      <c r="L6848" s="147">
        <f ca="1"/>
        <v>52087</v>
      </c>
      <c r="M6848" s="92">
        <f t="shared" ca="1" si="223"/>
        <v>6.25</v>
      </c>
      <c r="N6848" s="143">
        <f ca="1">(PRODUCT($O$5:$O6848)-1)*36000/_xlfn.DAYS(L6848, $C$2)</f>
        <v>13.196165485062942</v>
      </c>
      <c r="O6848" s="149">
        <f t="shared" ca="1" si="224"/>
        <v>1.000173611111111</v>
      </c>
    </row>
    <row r="6849" spans="12:15" x14ac:dyDescent="0.25">
      <c r="L6849" s="147">
        <f ca="1"/>
        <v>52088</v>
      </c>
      <c r="M6849" s="92">
        <f t="shared" ca="1" si="223"/>
        <v>6.25</v>
      </c>
      <c r="N6849" s="143">
        <f ca="1">(PRODUCT($O$5:$O6849)-1)*36000/_xlfn.DAYS(L6849, $C$2)</f>
        <v>13.19744137184632</v>
      </c>
      <c r="O6849" s="149">
        <f t="shared" ca="1" si="224"/>
        <v>1.000173611111111</v>
      </c>
    </row>
    <row r="6850" spans="12:15" x14ac:dyDescent="0.25">
      <c r="L6850" s="147">
        <f ca="1"/>
        <v>52089</v>
      </c>
      <c r="M6850" s="92">
        <f t="shared" ca="1" si="223"/>
        <v>6.25</v>
      </c>
      <c r="N6850" s="143">
        <f ca="1">(PRODUCT($O$5:$O6850)-1)*36000/_xlfn.DAYS(L6850, $C$2)</f>
        <v>13.198717442014232</v>
      </c>
      <c r="O6850" s="149">
        <f t="shared" ca="1" si="224"/>
        <v>1.000173611111111</v>
      </c>
    </row>
    <row r="6851" spans="12:15" x14ac:dyDescent="0.25">
      <c r="L6851" s="147">
        <f ca="1"/>
        <v>52090</v>
      </c>
      <c r="M6851" s="92">
        <f t="shared" ca="1" si="223"/>
        <v>6.25</v>
      </c>
      <c r="N6851" s="143">
        <f ca="1">(PRODUCT($O$5:$O6851)-1)*36000/_xlfn.DAYS(L6851, $C$2)</f>
        <v>13.199993695582858</v>
      </c>
      <c r="O6851" s="149">
        <f t="shared" ca="1" si="224"/>
        <v>1.000173611111111</v>
      </c>
    </row>
    <row r="6852" spans="12:15" x14ac:dyDescent="0.25">
      <c r="L6852" s="147">
        <f ca="1"/>
        <v>52091</v>
      </c>
      <c r="M6852" s="92">
        <f t="shared" ca="1" si="223"/>
        <v>6.25</v>
      </c>
      <c r="N6852" s="143">
        <f ca="1">(PRODUCT($O$5:$O6852)-1)*36000/_xlfn.DAYS(L6852, $C$2)</f>
        <v>13.201270132568389</v>
      </c>
      <c r="O6852" s="149">
        <f t="shared" ca="1" si="224"/>
        <v>1.000173611111111</v>
      </c>
    </row>
    <row r="6853" spans="12:15" x14ac:dyDescent="0.25">
      <c r="L6853" s="147">
        <f ca="1"/>
        <v>52092</v>
      </c>
      <c r="M6853" s="92">
        <f t="shared" ref="M6853:M6916" ca="1" si="225">IFERROR(INDEX($E$27:$H$47, MATCH(L6853, $F$27:$F$47, 0), 4), IF(ISNUMBER(M6852), M6852, $C$5))</f>
        <v>6.25</v>
      </c>
      <c r="N6853" s="143">
        <f ca="1">(PRODUCT($O$5:$O6853)-1)*36000/_xlfn.DAYS(L6853, $C$2)</f>
        <v>13.202546752987026</v>
      </c>
      <c r="O6853" s="149">
        <f t="shared" ca="1" si="224"/>
        <v>1.000173611111111</v>
      </c>
    </row>
    <row r="6854" spans="12:15" x14ac:dyDescent="0.25">
      <c r="L6854" s="147">
        <f ca="1"/>
        <v>52093</v>
      </c>
      <c r="M6854" s="92">
        <f t="shared" ca="1" si="225"/>
        <v>6.25</v>
      </c>
      <c r="N6854" s="143">
        <f ca="1">(PRODUCT($O$5:$O6854)-1)*36000/_xlfn.DAYS(L6854, $C$2)</f>
        <v>13.203823556854978</v>
      </c>
      <c r="O6854" s="149">
        <f t="shared" ref="O6854:O6917" ca="1" si="226">1+M6854*IFERROR(_xlfn.DAYS(L6854, L6853), _xlfn.DAYS(L6854, $C$2))/36000</f>
        <v>1.000173611111111</v>
      </c>
    </row>
    <row r="6855" spans="12:15" x14ac:dyDescent="0.25">
      <c r="L6855" s="147">
        <f ca="1"/>
        <v>52094</v>
      </c>
      <c r="M6855" s="92">
        <f t="shared" ca="1" si="225"/>
        <v>6.25</v>
      </c>
      <c r="N6855" s="143">
        <f ca="1">(PRODUCT($O$5:$O6855)-1)*36000/_xlfn.DAYS(L6855, $C$2)</f>
        <v>13.205100544188461</v>
      </c>
      <c r="O6855" s="149">
        <f t="shared" ca="1" si="226"/>
        <v>1.000173611111111</v>
      </c>
    </row>
    <row r="6856" spans="12:15" x14ac:dyDescent="0.25">
      <c r="L6856" s="147">
        <f ca="1"/>
        <v>52095</v>
      </c>
      <c r="M6856" s="92">
        <f t="shared" ca="1" si="225"/>
        <v>6.25</v>
      </c>
      <c r="N6856" s="143">
        <f ca="1">(PRODUCT($O$5:$O6856)-1)*36000/_xlfn.DAYS(L6856, $C$2)</f>
        <v>13.206377715003693</v>
      </c>
      <c r="O6856" s="149">
        <f t="shared" ca="1" si="226"/>
        <v>1.000173611111111</v>
      </c>
    </row>
    <row r="6857" spans="12:15" x14ac:dyDescent="0.25">
      <c r="L6857" s="147">
        <f ca="1"/>
        <v>52096</v>
      </c>
      <c r="M6857" s="92">
        <f t="shared" ca="1" si="225"/>
        <v>6.25</v>
      </c>
      <c r="N6857" s="143">
        <f ca="1">(PRODUCT($O$5:$O6857)-1)*36000/_xlfn.DAYS(L6857, $C$2)</f>
        <v>13.207655069316909</v>
      </c>
      <c r="O6857" s="149">
        <f t="shared" ca="1" si="226"/>
        <v>1.000173611111111</v>
      </c>
    </row>
    <row r="6858" spans="12:15" x14ac:dyDescent="0.25">
      <c r="L6858" s="147">
        <f ca="1"/>
        <v>52097</v>
      </c>
      <c r="M6858" s="92">
        <f t="shared" ca="1" si="225"/>
        <v>6.25</v>
      </c>
      <c r="N6858" s="143">
        <f ca="1">(PRODUCT($O$5:$O6858)-1)*36000/_xlfn.DAYS(L6858, $C$2)</f>
        <v>13.208932607144339</v>
      </c>
      <c r="O6858" s="149">
        <f t="shared" ca="1" si="226"/>
        <v>1.000173611111111</v>
      </c>
    </row>
    <row r="6859" spans="12:15" x14ac:dyDescent="0.25">
      <c r="L6859" s="147">
        <f ca="1"/>
        <v>52098</v>
      </c>
      <c r="M6859" s="92">
        <f t="shared" ca="1" si="225"/>
        <v>6.25</v>
      </c>
      <c r="N6859" s="143">
        <f ca="1">(PRODUCT($O$5:$O6859)-1)*36000/_xlfn.DAYS(L6859, $C$2)</f>
        <v>13.210210328502232</v>
      </c>
      <c r="O6859" s="149">
        <f t="shared" ca="1" si="226"/>
        <v>1.000173611111111</v>
      </c>
    </row>
    <row r="6860" spans="12:15" x14ac:dyDescent="0.25">
      <c r="L6860" s="147">
        <f ca="1"/>
        <v>52099</v>
      </c>
      <c r="M6860" s="92">
        <f t="shared" ca="1" si="225"/>
        <v>6.25</v>
      </c>
      <c r="N6860" s="143">
        <f ca="1">(PRODUCT($O$5:$O6860)-1)*36000/_xlfn.DAYS(L6860, $C$2)</f>
        <v>13.211488233406838</v>
      </c>
      <c r="O6860" s="149">
        <f t="shared" ca="1" si="226"/>
        <v>1.000173611111111</v>
      </c>
    </row>
    <row r="6861" spans="12:15" x14ac:dyDescent="0.25">
      <c r="L6861" s="147">
        <f ca="1"/>
        <v>52100</v>
      </c>
      <c r="M6861" s="92">
        <f t="shared" ca="1" si="225"/>
        <v>6.25</v>
      </c>
      <c r="N6861" s="143">
        <f ca="1">(PRODUCT($O$5:$O6861)-1)*36000/_xlfn.DAYS(L6861, $C$2)</f>
        <v>13.212766321874417</v>
      </c>
      <c r="O6861" s="149">
        <f t="shared" ca="1" si="226"/>
        <v>1.000173611111111</v>
      </c>
    </row>
    <row r="6862" spans="12:15" x14ac:dyDescent="0.25">
      <c r="L6862" s="147">
        <f ca="1"/>
        <v>52101</v>
      </c>
      <c r="M6862" s="92">
        <f t="shared" ca="1" si="225"/>
        <v>6.25</v>
      </c>
      <c r="N6862" s="143">
        <f ca="1">(PRODUCT($O$5:$O6862)-1)*36000/_xlfn.DAYS(L6862, $C$2)</f>
        <v>13.214044593921233</v>
      </c>
      <c r="O6862" s="149">
        <f t="shared" ca="1" si="226"/>
        <v>1.000173611111111</v>
      </c>
    </row>
    <row r="6863" spans="12:15" x14ac:dyDescent="0.25">
      <c r="L6863" s="147">
        <f ca="1"/>
        <v>52102</v>
      </c>
      <c r="M6863" s="92">
        <f t="shared" ca="1" si="225"/>
        <v>6.25</v>
      </c>
      <c r="N6863" s="143">
        <f ca="1">(PRODUCT($O$5:$O6863)-1)*36000/_xlfn.DAYS(L6863, $C$2)</f>
        <v>13.215323049563558</v>
      </c>
      <c r="O6863" s="149">
        <f t="shared" ca="1" si="226"/>
        <v>1.000173611111111</v>
      </c>
    </row>
    <row r="6864" spans="12:15" x14ac:dyDescent="0.25">
      <c r="L6864" s="147">
        <f ca="1"/>
        <v>52103</v>
      </c>
      <c r="M6864" s="92">
        <f t="shared" ca="1" si="225"/>
        <v>6.25</v>
      </c>
      <c r="N6864" s="143">
        <f ca="1">(PRODUCT($O$5:$O6864)-1)*36000/_xlfn.DAYS(L6864, $C$2)</f>
        <v>13.216601688817674</v>
      </c>
      <c r="O6864" s="149">
        <f t="shared" ca="1" si="226"/>
        <v>1.000173611111111</v>
      </c>
    </row>
    <row r="6865" spans="12:15" x14ac:dyDescent="0.25">
      <c r="L6865" s="147">
        <f ca="1"/>
        <v>52104</v>
      </c>
      <c r="M6865" s="92">
        <f t="shared" ca="1" si="225"/>
        <v>6.25</v>
      </c>
      <c r="N6865" s="143">
        <f ca="1">(PRODUCT($O$5:$O6865)-1)*36000/_xlfn.DAYS(L6865, $C$2)</f>
        <v>13.217880511699866</v>
      </c>
      <c r="O6865" s="149">
        <f t="shared" ca="1" si="226"/>
        <v>1.000173611111111</v>
      </c>
    </row>
    <row r="6866" spans="12:15" x14ac:dyDescent="0.25">
      <c r="L6866" s="147">
        <f ca="1"/>
        <v>52105</v>
      </c>
      <c r="M6866" s="92">
        <f t="shared" ca="1" si="225"/>
        <v>6.25</v>
      </c>
      <c r="N6866" s="143">
        <f ca="1">(PRODUCT($O$5:$O6866)-1)*36000/_xlfn.DAYS(L6866, $C$2)</f>
        <v>13.219159518226434</v>
      </c>
      <c r="O6866" s="149">
        <f t="shared" ca="1" si="226"/>
        <v>1.000173611111111</v>
      </c>
    </row>
    <row r="6867" spans="12:15" x14ac:dyDescent="0.25">
      <c r="L6867" s="147">
        <f ca="1"/>
        <v>52106</v>
      </c>
      <c r="M6867" s="92">
        <f t="shared" ca="1" si="225"/>
        <v>6.25</v>
      </c>
      <c r="N6867" s="143">
        <f ca="1">(PRODUCT($O$5:$O6867)-1)*36000/_xlfn.DAYS(L6867, $C$2)</f>
        <v>13.220438708413676</v>
      </c>
      <c r="O6867" s="149">
        <f t="shared" ca="1" si="226"/>
        <v>1.000173611111111</v>
      </c>
    </row>
    <row r="6868" spans="12:15" x14ac:dyDescent="0.25">
      <c r="L6868" s="147">
        <f ca="1"/>
        <v>52107</v>
      </c>
      <c r="M6868" s="92">
        <f t="shared" ca="1" si="225"/>
        <v>6.25</v>
      </c>
      <c r="N6868" s="143">
        <f ca="1">(PRODUCT($O$5:$O6868)-1)*36000/_xlfn.DAYS(L6868, $C$2)</f>
        <v>13.221718082277901</v>
      </c>
      <c r="O6868" s="149">
        <f t="shared" ca="1" si="226"/>
        <v>1.000173611111111</v>
      </c>
    </row>
    <row r="6869" spans="12:15" x14ac:dyDescent="0.25">
      <c r="L6869" s="147">
        <f ca="1"/>
        <v>52108</v>
      </c>
      <c r="M6869" s="92">
        <f t="shared" ca="1" si="225"/>
        <v>6.25</v>
      </c>
      <c r="N6869" s="143">
        <f ca="1">(PRODUCT($O$5:$O6869)-1)*36000/_xlfn.DAYS(L6869, $C$2)</f>
        <v>13.222997639835429</v>
      </c>
      <c r="O6869" s="149">
        <f t="shared" ca="1" si="226"/>
        <v>1.000173611111111</v>
      </c>
    </row>
    <row r="6870" spans="12:15" x14ac:dyDescent="0.25">
      <c r="L6870" s="147">
        <f ca="1"/>
        <v>52109</v>
      </c>
      <c r="M6870" s="92">
        <f t="shared" ca="1" si="225"/>
        <v>6.25</v>
      </c>
      <c r="N6870" s="143">
        <f ca="1">(PRODUCT($O$5:$O6870)-1)*36000/_xlfn.DAYS(L6870, $C$2)</f>
        <v>13.22427738110258</v>
      </c>
      <c r="O6870" s="149">
        <f t="shared" ca="1" si="226"/>
        <v>1.000173611111111</v>
      </c>
    </row>
    <row r="6871" spans="12:15" x14ac:dyDescent="0.25">
      <c r="L6871" s="147">
        <f ca="1"/>
        <v>52110</v>
      </c>
      <c r="M6871" s="92">
        <f t="shared" ca="1" si="225"/>
        <v>6.25</v>
      </c>
      <c r="N6871" s="143">
        <f ca="1">(PRODUCT($O$5:$O6871)-1)*36000/_xlfn.DAYS(L6871, $C$2)</f>
        <v>13.225557306095688</v>
      </c>
      <c r="O6871" s="149">
        <f t="shared" ca="1" si="226"/>
        <v>1.000173611111111</v>
      </c>
    </row>
    <row r="6872" spans="12:15" x14ac:dyDescent="0.25">
      <c r="L6872" s="147">
        <f ca="1"/>
        <v>52111</v>
      </c>
      <c r="M6872" s="92">
        <f t="shared" ca="1" si="225"/>
        <v>6.25</v>
      </c>
      <c r="N6872" s="143">
        <f ca="1">(PRODUCT($O$5:$O6872)-1)*36000/_xlfn.DAYS(L6872, $C$2)</f>
        <v>13.226837414831092</v>
      </c>
      <c r="O6872" s="149">
        <f t="shared" ca="1" si="226"/>
        <v>1.000173611111111</v>
      </c>
    </row>
    <row r="6873" spans="12:15" x14ac:dyDescent="0.25">
      <c r="L6873" s="147">
        <f ca="1"/>
        <v>52112</v>
      </c>
      <c r="M6873" s="92">
        <f t="shared" ca="1" si="225"/>
        <v>6.25</v>
      </c>
      <c r="N6873" s="143">
        <f ca="1">(PRODUCT($O$5:$O6873)-1)*36000/_xlfn.DAYS(L6873, $C$2)</f>
        <v>13.228117707325136</v>
      </c>
      <c r="O6873" s="149">
        <f t="shared" ca="1" si="226"/>
        <v>1.000173611111111</v>
      </c>
    </row>
    <row r="6874" spans="12:15" x14ac:dyDescent="0.25">
      <c r="L6874" s="147">
        <f ca="1"/>
        <v>52113</v>
      </c>
      <c r="M6874" s="92">
        <f t="shared" ca="1" si="225"/>
        <v>6.25</v>
      </c>
      <c r="N6874" s="143">
        <f ca="1">(PRODUCT($O$5:$O6874)-1)*36000/_xlfn.DAYS(L6874, $C$2)</f>
        <v>13.229398183594176</v>
      </c>
      <c r="O6874" s="149">
        <f t="shared" ca="1" si="226"/>
        <v>1.000173611111111</v>
      </c>
    </row>
    <row r="6875" spans="12:15" x14ac:dyDescent="0.25">
      <c r="L6875" s="147">
        <f ca="1"/>
        <v>52114</v>
      </c>
      <c r="M6875" s="92">
        <f t="shared" ca="1" si="225"/>
        <v>6.25</v>
      </c>
      <c r="N6875" s="143">
        <f ca="1">(PRODUCT($O$5:$O6875)-1)*36000/_xlfn.DAYS(L6875, $C$2)</f>
        <v>13.230678843654568</v>
      </c>
      <c r="O6875" s="149">
        <f t="shared" ca="1" si="226"/>
        <v>1.000173611111111</v>
      </c>
    </row>
    <row r="6876" spans="12:15" x14ac:dyDescent="0.25">
      <c r="L6876" s="147">
        <f ca="1"/>
        <v>52115</v>
      </c>
      <c r="M6876" s="92">
        <f t="shared" ca="1" si="225"/>
        <v>6.25</v>
      </c>
      <c r="N6876" s="143">
        <f ca="1">(PRODUCT($O$5:$O6876)-1)*36000/_xlfn.DAYS(L6876, $C$2)</f>
        <v>13.231959687522679</v>
      </c>
      <c r="O6876" s="149">
        <f t="shared" ca="1" si="226"/>
        <v>1.000173611111111</v>
      </c>
    </row>
    <row r="6877" spans="12:15" x14ac:dyDescent="0.25">
      <c r="L6877" s="147">
        <f ca="1"/>
        <v>52116</v>
      </c>
      <c r="M6877" s="92">
        <f t="shared" ca="1" si="225"/>
        <v>6.25</v>
      </c>
      <c r="N6877" s="143">
        <f ca="1">(PRODUCT($O$5:$O6877)-1)*36000/_xlfn.DAYS(L6877, $C$2)</f>
        <v>13.23324071521489</v>
      </c>
      <c r="O6877" s="149">
        <f t="shared" ca="1" si="226"/>
        <v>1.000173611111111</v>
      </c>
    </row>
    <row r="6878" spans="12:15" x14ac:dyDescent="0.25">
      <c r="L6878" s="147">
        <f ca="1"/>
        <v>52117</v>
      </c>
      <c r="M6878" s="92">
        <f t="shared" ca="1" si="225"/>
        <v>6.25</v>
      </c>
      <c r="N6878" s="143">
        <f ca="1">(PRODUCT($O$5:$O6878)-1)*36000/_xlfn.DAYS(L6878, $C$2)</f>
        <v>13.234521926747576</v>
      </c>
      <c r="O6878" s="149">
        <f t="shared" ca="1" si="226"/>
        <v>1.000173611111111</v>
      </c>
    </row>
    <row r="6879" spans="12:15" x14ac:dyDescent="0.25">
      <c r="L6879" s="147">
        <f ca="1"/>
        <v>52118</v>
      </c>
      <c r="M6879" s="92">
        <f t="shared" ca="1" si="225"/>
        <v>6.25</v>
      </c>
      <c r="N6879" s="143">
        <f ca="1">(PRODUCT($O$5:$O6879)-1)*36000/_xlfn.DAYS(L6879, $C$2)</f>
        <v>13.235803322137132</v>
      </c>
      <c r="O6879" s="149">
        <f t="shared" ca="1" si="226"/>
        <v>1.000173611111111</v>
      </c>
    </row>
    <row r="6880" spans="12:15" x14ac:dyDescent="0.25">
      <c r="L6880" s="147">
        <f ca="1"/>
        <v>52119</v>
      </c>
      <c r="M6880" s="92">
        <f t="shared" ca="1" si="225"/>
        <v>6.25</v>
      </c>
      <c r="N6880" s="143">
        <f ca="1">(PRODUCT($O$5:$O6880)-1)*36000/_xlfn.DAYS(L6880, $C$2)</f>
        <v>13.237084901399948</v>
      </c>
      <c r="O6880" s="149">
        <f t="shared" ca="1" si="226"/>
        <v>1.000173611111111</v>
      </c>
    </row>
    <row r="6881" spans="12:15" x14ac:dyDescent="0.25">
      <c r="L6881" s="147">
        <f ca="1"/>
        <v>52120</v>
      </c>
      <c r="M6881" s="92">
        <f t="shared" ca="1" si="225"/>
        <v>6.25</v>
      </c>
      <c r="N6881" s="143">
        <f ca="1">(PRODUCT($O$5:$O6881)-1)*36000/_xlfn.DAYS(L6881, $C$2)</f>
        <v>13.238366664552434</v>
      </c>
      <c r="O6881" s="149">
        <f t="shared" ca="1" si="226"/>
        <v>1.000173611111111</v>
      </c>
    </row>
    <row r="6882" spans="12:15" x14ac:dyDescent="0.25">
      <c r="L6882" s="147">
        <f ca="1"/>
        <v>52121</v>
      </c>
      <c r="M6882" s="92">
        <f t="shared" ca="1" si="225"/>
        <v>6.25</v>
      </c>
      <c r="N6882" s="143">
        <f ca="1">(PRODUCT($O$5:$O6882)-1)*36000/_xlfn.DAYS(L6882, $C$2)</f>
        <v>13.239648611610995</v>
      </c>
      <c r="O6882" s="149">
        <f t="shared" ca="1" si="226"/>
        <v>1.000173611111111</v>
      </c>
    </row>
    <row r="6883" spans="12:15" x14ac:dyDescent="0.25">
      <c r="L6883" s="147">
        <f ca="1"/>
        <v>52122</v>
      </c>
      <c r="M6883" s="92">
        <f t="shared" ca="1" si="225"/>
        <v>6.25</v>
      </c>
      <c r="N6883" s="143">
        <f ca="1">(PRODUCT($O$5:$O6883)-1)*36000/_xlfn.DAYS(L6883, $C$2)</f>
        <v>13.240930742592052</v>
      </c>
      <c r="O6883" s="149">
        <f t="shared" ca="1" si="226"/>
        <v>1.000173611111111</v>
      </c>
    </row>
    <row r="6884" spans="12:15" x14ac:dyDescent="0.25">
      <c r="L6884" s="147">
        <f ca="1"/>
        <v>52123</v>
      </c>
      <c r="M6884" s="92">
        <f t="shared" ca="1" si="225"/>
        <v>6.25</v>
      </c>
      <c r="N6884" s="143">
        <f ca="1">(PRODUCT($O$5:$O6884)-1)*36000/_xlfn.DAYS(L6884, $C$2)</f>
        <v>13.242213057512034</v>
      </c>
      <c r="O6884" s="149">
        <f t="shared" ca="1" si="226"/>
        <v>1.000173611111111</v>
      </c>
    </row>
    <row r="6885" spans="12:15" x14ac:dyDescent="0.25">
      <c r="L6885" s="147">
        <f ca="1"/>
        <v>52124</v>
      </c>
      <c r="M6885" s="92">
        <f t="shared" ca="1" si="225"/>
        <v>6.25</v>
      </c>
      <c r="N6885" s="143">
        <f ca="1">(PRODUCT($O$5:$O6885)-1)*36000/_xlfn.DAYS(L6885, $C$2)</f>
        <v>13.243495556387368</v>
      </c>
      <c r="O6885" s="149">
        <f t="shared" ca="1" si="226"/>
        <v>1.000173611111111</v>
      </c>
    </row>
    <row r="6886" spans="12:15" x14ac:dyDescent="0.25">
      <c r="L6886" s="147">
        <f ca="1"/>
        <v>52125</v>
      </c>
      <c r="M6886" s="92">
        <f t="shared" ca="1" si="225"/>
        <v>6.25</v>
      </c>
      <c r="N6886" s="143">
        <f ca="1">(PRODUCT($O$5:$O6886)-1)*36000/_xlfn.DAYS(L6886, $C$2)</f>
        <v>13.244778239234495</v>
      </c>
      <c r="O6886" s="149">
        <f t="shared" ca="1" si="226"/>
        <v>1.000173611111111</v>
      </c>
    </row>
    <row r="6887" spans="12:15" x14ac:dyDescent="0.25">
      <c r="L6887" s="147">
        <f ca="1"/>
        <v>52126</v>
      </c>
      <c r="M6887" s="92">
        <f t="shared" ca="1" si="225"/>
        <v>6.25</v>
      </c>
      <c r="N6887" s="143">
        <f ca="1">(PRODUCT($O$5:$O6887)-1)*36000/_xlfn.DAYS(L6887, $C$2)</f>
        <v>13.246061106069863</v>
      </c>
      <c r="O6887" s="149">
        <f t="shared" ca="1" si="226"/>
        <v>1.000173611111111</v>
      </c>
    </row>
    <row r="6888" spans="12:15" x14ac:dyDescent="0.25">
      <c r="L6888" s="147">
        <f ca="1"/>
        <v>52127</v>
      </c>
      <c r="M6888" s="92">
        <f t="shared" ca="1" si="225"/>
        <v>6.25</v>
      </c>
      <c r="N6888" s="143">
        <f ca="1">(PRODUCT($O$5:$O6888)-1)*36000/_xlfn.DAYS(L6888, $C$2)</f>
        <v>13.247344156909927</v>
      </c>
      <c r="O6888" s="149">
        <f t="shared" ca="1" si="226"/>
        <v>1.000173611111111</v>
      </c>
    </row>
    <row r="6889" spans="12:15" x14ac:dyDescent="0.25">
      <c r="L6889" s="147">
        <f ca="1"/>
        <v>52128</v>
      </c>
      <c r="M6889" s="92">
        <f t="shared" ca="1" si="225"/>
        <v>6.25</v>
      </c>
      <c r="N6889" s="143">
        <f ca="1">(PRODUCT($O$5:$O6889)-1)*36000/_xlfn.DAYS(L6889, $C$2)</f>
        <v>13.248627391771146</v>
      </c>
      <c r="O6889" s="149">
        <f t="shared" ca="1" si="226"/>
        <v>1.000173611111111</v>
      </c>
    </row>
    <row r="6890" spans="12:15" x14ac:dyDescent="0.25">
      <c r="L6890" s="147">
        <f ca="1"/>
        <v>52129</v>
      </c>
      <c r="M6890" s="92">
        <f t="shared" ca="1" si="225"/>
        <v>6.25</v>
      </c>
      <c r="N6890" s="143">
        <f ca="1">(PRODUCT($O$5:$O6890)-1)*36000/_xlfn.DAYS(L6890, $C$2)</f>
        <v>13.24991081066999</v>
      </c>
      <c r="O6890" s="149">
        <f t="shared" ca="1" si="226"/>
        <v>1.000173611111111</v>
      </c>
    </row>
    <row r="6891" spans="12:15" x14ac:dyDescent="0.25">
      <c r="L6891" s="147">
        <f ca="1"/>
        <v>52130</v>
      </c>
      <c r="M6891" s="92">
        <f t="shared" ca="1" si="225"/>
        <v>6.25</v>
      </c>
      <c r="N6891" s="143">
        <f ca="1">(PRODUCT($O$5:$O6891)-1)*36000/_xlfn.DAYS(L6891, $C$2)</f>
        <v>13.251194413622937</v>
      </c>
      <c r="O6891" s="149">
        <f t="shared" ca="1" si="226"/>
        <v>1.000173611111111</v>
      </c>
    </row>
    <row r="6892" spans="12:15" x14ac:dyDescent="0.25">
      <c r="L6892" s="147">
        <f ca="1"/>
        <v>52131</v>
      </c>
      <c r="M6892" s="92">
        <f t="shared" ca="1" si="225"/>
        <v>6.25</v>
      </c>
      <c r="N6892" s="143">
        <f ca="1">(PRODUCT($O$5:$O6892)-1)*36000/_xlfn.DAYS(L6892, $C$2)</f>
        <v>13.252478200646465</v>
      </c>
      <c r="O6892" s="149">
        <f t="shared" ca="1" si="226"/>
        <v>1.000173611111111</v>
      </c>
    </row>
    <row r="6893" spans="12:15" x14ac:dyDescent="0.25">
      <c r="L6893" s="147">
        <f ca="1"/>
        <v>52132</v>
      </c>
      <c r="M6893" s="92">
        <f t="shared" ca="1" si="225"/>
        <v>6.25</v>
      </c>
      <c r="N6893" s="143">
        <f ca="1">(PRODUCT($O$5:$O6893)-1)*36000/_xlfn.DAYS(L6893, $C$2)</f>
        <v>13.253762171757069</v>
      </c>
      <c r="O6893" s="149">
        <f t="shared" ca="1" si="226"/>
        <v>1.000173611111111</v>
      </c>
    </row>
    <row r="6894" spans="12:15" x14ac:dyDescent="0.25">
      <c r="L6894" s="147">
        <f ca="1"/>
        <v>52133</v>
      </c>
      <c r="M6894" s="92">
        <f t="shared" ca="1" si="225"/>
        <v>6.25</v>
      </c>
      <c r="N6894" s="143">
        <f ca="1">(PRODUCT($O$5:$O6894)-1)*36000/_xlfn.DAYS(L6894, $C$2)</f>
        <v>13.255046326971245</v>
      </c>
      <c r="O6894" s="149">
        <f t="shared" ca="1" si="226"/>
        <v>1.000173611111111</v>
      </c>
    </row>
    <row r="6895" spans="12:15" x14ac:dyDescent="0.25">
      <c r="L6895" s="147">
        <f ca="1"/>
        <v>52134</v>
      </c>
      <c r="M6895" s="92">
        <f t="shared" ca="1" si="225"/>
        <v>6.25</v>
      </c>
      <c r="N6895" s="143">
        <f ca="1">(PRODUCT($O$5:$O6895)-1)*36000/_xlfn.DAYS(L6895, $C$2)</f>
        <v>13.256330666305498</v>
      </c>
      <c r="O6895" s="149">
        <f t="shared" ca="1" si="226"/>
        <v>1.000173611111111</v>
      </c>
    </row>
    <row r="6896" spans="12:15" x14ac:dyDescent="0.25">
      <c r="L6896" s="147">
        <f ca="1"/>
        <v>52135</v>
      </c>
      <c r="M6896" s="92">
        <f t="shared" ca="1" si="225"/>
        <v>6.25</v>
      </c>
      <c r="N6896" s="143">
        <f ca="1">(PRODUCT($O$5:$O6896)-1)*36000/_xlfn.DAYS(L6896, $C$2)</f>
        <v>13.257615189776338</v>
      </c>
      <c r="O6896" s="149">
        <f t="shared" ca="1" si="226"/>
        <v>1.000173611111111</v>
      </c>
    </row>
    <row r="6897" spans="12:15" x14ac:dyDescent="0.25">
      <c r="L6897" s="147">
        <f ca="1"/>
        <v>52136</v>
      </c>
      <c r="M6897" s="92">
        <f t="shared" ca="1" si="225"/>
        <v>6.25</v>
      </c>
      <c r="N6897" s="143">
        <f ca="1">(PRODUCT($O$5:$O6897)-1)*36000/_xlfn.DAYS(L6897, $C$2)</f>
        <v>13.258899897400285</v>
      </c>
      <c r="O6897" s="149">
        <f t="shared" ca="1" si="226"/>
        <v>1.000173611111111</v>
      </c>
    </row>
    <row r="6898" spans="12:15" x14ac:dyDescent="0.25">
      <c r="L6898" s="147">
        <f ca="1"/>
        <v>52137</v>
      </c>
      <c r="M6898" s="92">
        <f t="shared" ca="1" si="225"/>
        <v>6.25</v>
      </c>
      <c r="N6898" s="143">
        <f ca="1">(PRODUCT($O$5:$O6898)-1)*36000/_xlfn.DAYS(L6898, $C$2)</f>
        <v>13.260184789193868</v>
      </c>
      <c r="O6898" s="149">
        <f t="shared" ca="1" si="226"/>
        <v>1.000173611111111</v>
      </c>
    </row>
    <row r="6899" spans="12:15" x14ac:dyDescent="0.25">
      <c r="L6899" s="147">
        <f ca="1"/>
        <v>52138</v>
      </c>
      <c r="M6899" s="92">
        <f t="shared" ca="1" si="225"/>
        <v>6.25</v>
      </c>
      <c r="N6899" s="143">
        <f ca="1">(PRODUCT($O$5:$O6899)-1)*36000/_xlfn.DAYS(L6899, $C$2)</f>
        <v>13.261469865173618</v>
      </c>
      <c r="O6899" s="149">
        <f t="shared" ca="1" si="226"/>
        <v>1.000173611111111</v>
      </c>
    </row>
    <row r="6900" spans="12:15" x14ac:dyDescent="0.25">
      <c r="L6900" s="147">
        <f ca="1"/>
        <v>52139</v>
      </c>
      <c r="M6900" s="92">
        <f t="shared" ca="1" si="225"/>
        <v>6.25</v>
      </c>
      <c r="N6900" s="143">
        <f ca="1">(PRODUCT($O$5:$O6900)-1)*36000/_xlfn.DAYS(L6900, $C$2)</f>
        <v>13.262755125356072</v>
      </c>
      <c r="O6900" s="149">
        <f t="shared" ca="1" si="226"/>
        <v>1.000173611111111</v>
      </c>
    </row>
    <row r="6901" spans="12:15" x14ac:dyDescent="0.25">
      <c r="L6901" s="147">
        <f ca="1"/>
        <v>52140</v>
      </c>
      <c r="M6901" s="92">
        <f t="shared" ca="1" si="225"/>
        <v>6.25</v>
      </c>
      <c r="N6901" s="143">
        <f ca="1">(PRODUCT($O$5:$O6901)-1)*36000/_xlfn.DAYS(L6901, $C$2)</f>
        <v>13.264040569757784</v>
      </c>
      <c r="O6901" s="149">
        <f t="shared" ca="1" si="226"/>
        <v>1.000173611111111</v>
      </c>
    </row>
    <row r="6902" spans="12:15" x14ac:dyDescent="0.25">
      <c r="L6902" s="147">
        <f ca="1"/>
        <v>52141</v>
      </c>
      <c r="M6902" s="92">
        <f t="shared" ca="1" si="225"/>
        <v>6.25</v>
      </c>
      <c r="N6902" s="143">
        <f ca="1">(PRODUCT($O$5:$O6902)-1)*36000/_xlfn.DAYS(L6902, $C$2)</f>
        <v>13.265326198395305</v>
      </c>
      <c r="O6902" s="149">
        <f t="shared" ca="1" si="226"/>
        <v>1.000173611111111</v>
      </c>
    </row>
    <row r="6903" spans="12:15" x14ac:dyDescent="0.25">
      <c r="L6903" s="147">
        <f ca="1"/>
        <v>52142</v>
      </c>
      <c r="M6903" s="92">
        <f t="shared" ca="1" si="225"/>
        <v>6.25</v>
      </c>
      <c r="N6903" s="143">
        <f ca="1">(PRODUCT($O$5:$O6903)-1)*36000/_xlfn.DAYS(L6903, $C$2)</f>
        <v>13.266612011285201</v>
      </c>
      <c r="O6903" s="149">
        <f t="shared" ca="1" si="226"/>
        <v>1.000173611111111</v>
      </c>
    </row>
    <row r="6904" spans="12:15" x14ac:dyDescent="0.25">
      <c r="L6904" s="147">
        <f ca="1"/>
        <v>52143</v>
      </c>
      <c r="M6904" s="92">
        <f t="shared" ca="1" si="225"/>
        <v>6.25</v>
      </c>
      <c r="N6904" s="143">
        <f ca="1">(PRODUCT($O$5:$O6904)-1)*36000/_xlfn.DAYS(L6904, $C$2)</f>
        <v>13.267898008444037</v>
      </c>
      <c r="O6904" s="149">
        <f t="shared" ca="1" si="226"/>
        <v>1.000173611111111</v>
      </c>
    </row>
    <row r="6905" spans="12:15" x14ac:dyDescent="0.25">
      <c r="L6905" s="147">
        <f ca="1"/>
        <v>52144</v>
      </c>
      <c r="M6905" s="92">
        <f t="shared" ca="1" si="225"/>
        <v>6.25</v>
      </c>
      <c r="N6905" s="143">
        <f ca="1">(PRODUCT($O$5:$O6905)-1)*36000/_xlfn.DAYS(L6905, $C$2)</f>
        <v>13.26918418988839</v>
      </c>
      <c r="O6905" s="149">
        <f t="shared" ca="1" si="226"/>
        <v>1.000173611111111</v>
      </c>
    </row>
    <row r="6906" spans="12:15" x14ac:dyDescent="0.25">
      <c r="L6906" s="147">
        <f ca="1"/>
        <v>52145</v>
      </c>
      <c r="M6906" s="92">
        <f t="shared" ca="1" si="225"/>
        <v>6.25</v>
      </c>
      <c r="N6906" s="143">
        <f ca="1">(PRODUCT($O$5:$O6906)-1)*36000/_xlfn.DAYS(L6906, $C$2)</f>
        <v>13.270470555634846</v>
      </c>
      <c r="O6906" s="149">
        <f t="shared" ca="1" si="226"/>
        <v>1.000173611111111</v>
      </c>
    </row>
    <row r="6907" spans="12:15" x14ac:dyDescent="0.25">
      <c r="L6907" s="147">
        <f ca="1"/>
        <v>52146</v>
      </c>
      <c r="M6907" s="92">
        <f t="shared" ca="1" si="225"/>
        <v>6.25</v>
      </c>
      <c r="N6907" s="143">
        <f ca="1">(PRODUCT($O$5:$O6907)-1)*36000/_xlfn.DAYS(L6907, $C$2)</f>
        <v>13.271757105699997</v>
      </c>
      <c r="O6907" s="149">
        <f t="shared" ca="1" si="226"/>
        <v>1.000173611111111</v>
      </c>
    </row>
    <row r="6908" spans="12:15" x14ac:dyDescent="0.25">
      <c r="L6908" s="147">
        <f ca="1"/>
        <v>52147</v>
      </c>
      <c r="M6908" s="92">
        <f t="shared" ca="1" si="225"/>
        <v>6.25</v>
      </c>
      <c r="N6908" s="143">
        <f ca="1">(PRODUCT($O$5:$O6908)-1)*36000/_xlfn.DAYS(L6908, $C$2)</f>
        <v>13.273043840100438</v>
      </c>
      <c r="O6908" s="149">
        <f t="shared" ca="1" si="226"/>
        <v>1.000173611111111</v>
      </c>
    </row>
    <row r="6909" spans="12:15" x14ac:dyDescent="0.25">
      <c r="L6909" s="147">
        <f ca="1"/>
        <v>52148</v>
      </c>
      <c r="M6909" s="92">
        <f t="shared" ca="1" si="225"/>
        <v>6.25</v>
      </c>
      <c r="N6909" s="143">
        <f ca="1">(PRODUCT($O$5:$O6909)-1)*36000/_xlfn.DAYS(L6909, $C$2)</f>
        <v>13.274330758852777</v>
      </c>
      <c r="O6909" s="149">
        <f t="shared" ca="1" si="226"/>
        <v>1.000173611111111</v>
      </c>
    </row>
    <row r="6910" spans="12:15" x14ac:dyDescent="0.25">
      <c r="L6910" s="147">
        <f ca="1"/>
        <v>52149</v>
      </c>
      <c r="M6910" s="92">
        <f t="shared" ca="1" si="225"/>
        <v>6.25</v>
      </c>
      <c r="N6910" s="143">
        <f ca="1">(PRODUCT($O$5:$O6910)-1)*36000/_xlfn.DAYS(L6910, $C$2)</f>
        <v>13.275617861973627</v>
      </c>
      <c r="O6910" s="149">
        <f t="shared" ca="1" si="226"/>
        <v>1.000173611111111</v>
      </c>
    </row>
    <row r="6911" spans="12:15" x14ac:dyDescent="0.25">
      <c r="L6911" s="147">
        <f ca="1"/>
        <v>52150</v>
      </c>
      <c r="M6911" s="92">
        <f t="shared" ca="1" si="225"/>
        <v>6.25</v>
      </c>
      <c r="N6911" s="143">
        <f ca="1">(PRODUCT($O$5:$O6911)-1)*36000/_xlfn.DAYS(L6911, $C$2)</f>
        <v>13.276905149479603</v>
      </c>
      <c r="O6911" s="149">
        <f t="shared" ca="1" si="226"/>
        <v>1.000173611111111</v>
      </c>
    </row>
    <row r="6912" spans="12:15" x14ac:dyDescent="0.25">
      <c r="L6912" s="147">
        <f ca="1"/>
        <v>52151</v>
      </c>
      <c r="M6912" s="92">
        <f t="shared" ca="1" si="225"/>
        <v>6.25</v>
      </c>
      <c r="N6912" s="143">
        <f ca="1">(PRODUCT($O$5:$O6912)-1)*36000/_xlfn.DAYS(L6912, $C$2)</f>
        <v>13.278192621387333</v>
      </c>
      <c r="O6912" s="149">
        <f t="shared" ca="1" si="226"/>
        <v>1.000173611111111</v>
      </c>
    </row>
    <row r="6913" spans="12:15" x14ac:dyDescent="0.25">
      <c r="L6913" s="147">
        <f ca="1"/>
        <v>52152</v>
      </c>
      <c r="M6913" s="92">
        <f t="shared" ca="1" si="225"/>
        <v>6.25</v>
      </c>
      <c r="N6913" s="143">
        <f ca="1">(PRODUCT($O$5:$O6913)-1)*36000/_xlfn.DAYS(L6913, $C$2)</f>
        <v>13.279480277713454</v>
      </c>
      <c r="O6913" s="149">
        <f t="shared" ca="1" si="226"/>
        <v>1.000173611111111</v>
      </c>
    </row>
    <row r="6914" spans="12:15" x14ac:dyDescent="0.25">
      <c r="L6914" s="147">
        <f ca="1"/>
        <v>52153</v>
      </c>
      <c r="M6914" s="92">
        <f t="shared" ca="1" si="225"/>
        <v>6.25</v>
      </c>
      <c r="N6914" s="143">
        <f ca="1">(PRODUCT($O$5:$O6914)-1)*36000/_xlfn.DAYS(L6914, $C$2)</f>
        <v>13.280768118474604</v>
      </c>
      <c r="O6914" s="149">
        <f t="shared" ca="1" si="226"/>
        <v>1.000173611111111</v>
      </c>
    </row>
    <row r="6915" spans="12:15" x14ac:dyDescent="0.25">
      <c r="L6915" s="147">
        <f ca="1"/>
        <v>52154</v>
      </c>
      <c r="M6915" s="92">
        <f t="shared" ca="1" si="225"/>
        <v>6.25</v>
      </c>
      <c r="N6915" s="143">
        <f ca="1">(PRODUCT($O$5:$O6915)-1)*36000/_xlfn.DAYS(L6915, $C$2)</f>
        <v>13.282056143687434</v>
      </c>
      <c r="O6915" s="149">
        <f t="shared" ca="1" si="226"/>
        <v>1.000173611111111</v>
      </c>
    </row>
    <row r="6916" spans="12:15" x14ac:dyDescent="0.25">
      <c r="L6916" s="147">
        <f ca="1"/>
        <v>52155</v>
      </c>
      <c r="M6916" s="92">
        <f t="shared" ca="1" si="225"/>
        <v>6.25</v>
      </c>
      <c r="N6916" s="143">
        <f ca="1">(PRODUCT($O$5:$O6916)-1)*36000/_xlfn.DAYS(L6916, $C$2)</f>
        <v>13.2833443533686</v>
      </c>
      <c r="O6916" s="149">
        <f t="shared" ca="1" si="226"/>
        <v>1.000173611111111</v>
      </c>
    </row>
    <row r="6917" spans="12:15" x14ac:dyDescent="0.25">
      <c r="L6917" s="147">
        <f ca="1"/>
        <v>52156</v>
      </c>
      <c r="M6917" s="92">
        <f t="shared" ref="M6917:M6980" ca="1" si="227">IFERROR(INDEX($E$27:$H$47, MATCH(L6917, $F$27:$F$47, 0), 4), IF(ISNUMBER(M6916), M6916, $C$5))</f>
        <v>6.25</v>
      </c>
      <c r="N6917" s="143">
        <f ca="1">(PRODUCT($O$5:$O6917)-1)*36000/_xlfn.DAYS(L6917, $C$2)</f>
        <v>13.284632747534758</v>
      </c>
      <c r="O6917" s="149">
        <f t="shared" ca="1" si="226"/>
        <v>1.000173611111111</v>
      </c>
    </row>
    <row r="6918" spans="12:15" x14ac:dyDescent="0.25">
      <c r="L6918" s="147">
        <f ca="1"/>
        <v>52157</v>
      </c>
      <c r="M6918" s="92">
        <f t="shared" ca="1" si="227"/>
        <v>6.25</v>
      </c>
      <c r="N6918" s="143">
        <f ca="1">(PRODUCT($O$5:$O6918)-1)*36000/_xlfn.DAYS(L6918, $C$2)</f>
        <v>13.285921326202587</v>
      </c>
      <c r="O6918" s="149">
        <f t="shared" ref="O6918:O6981" ca="1" si="228">1+M6918*IFERROR(_xlfn.DAYS(L6918, L6917), _xlfn.DAYS(L6918, $C$2))/36000</f>
        <v>1.000173611111111</v>
      </c>
    </row>
    <row r="6919" spans="12:15" x14ac:dyDescent="0.25">
      <c r="L6919" s="147">
        <f ca="1"/>
        <v>52158</v>
      </c>
      <c r="M6919" s="92">
        <f t="shared" ca="1" si="227"/>
        <v>6.25</v>
      </c>
      <c r="N6919" s="143">
        <f ca="1">(PRODUCT($O$5:$O6919)-1)*36000/_xlfn.DAYS(L6919, $C$2)</f>
        <v>13.287210089388754</v>
      </c>
      <c r="O6919" s="149">
        <f t="shared" ca="1" si="228"/>
        <v>1.000173611111111</v>
      </c>
    </row>
    <row r="6920" spans="12:15" x14ac:dyDescent="0.25">
      <c r="L6920" s="147">
        <f ca="1"/>
        <v>52159</v>
      </c>
      <c r="M6920" s="92">
        <f t="shared" ca="1" si="227"/>
        <v>6.25</v>
      </c>
      <c r="N6920" s="143">
        <f ca="1">(PRODUCT($O$5:$O6920)-1)*36000/_xlfn.DAYS(L6920, $C$2)</f>
        <v>13.288499037109952</v>
      </c>
      <c r="O6920" s="149">
        <f t="shared" ca="1" si="228"/>
        <v>1.000173611111111</v>
      </c>
    </row>
    <row r="6921" spans="12:15" x14ac:dyDescent="0.25">
      <c r="L6921" s="147">
        <f ca="1"/>
        <v>52160</v>
      </c>
      <c r="M6921" s="92">
        <f t="shared" ca="1" si="227"/>
        <v>6.25</v>
      </c>
      <c r="N6921" s="143">
        <f ca="1">(PRODUCT($O$5:$O6921)-1)*36000/_xlfn.DAYS(L6921, $C$2)</f>
        <v>13.289788169382865</v>
      </c>
      <c r="O6921" s="149">
        <f t="shared" ca="1" si="228"/>
        <v>1.000173611111111</v>
      </c>
    </row>
    <row r="6922" spans="12:15" x14ac:dyDescent="0.25">
      <c r="L6922" s="147">
        <f ca="1"/>
        <v>52161</v>
      </c>
      <c r="M6922" s="92">
        <f t="shared" ca="1" si="227"/>
        <v>6.25</v>
      </c>
      <c r="N6922" s="143">
        <f ca="1">(PRODUCT($O$5:$O6922)-1)*36000/_xlfn.DAYS(L6922, $C$2)</f>
        <v>13.291077486224195</v>
      </c>
      <c r="O6922" s="149">
        <f t="shared" ca="1" si="228"/>
        <v>1.000173611111111</v>
      </c>
    </row>
    <row r="6923" spans="12:15" x14ac:dyDescent="0.25">
      <c r="L6923" s="147">
        <f ca="1"/>
        <v>52162</v>
      </c>
      <c r="M6923" s="92">
        <f t="shared" ca="1" si="227"/>
        <v>6.25</v>
      </c>
      <c r="N6923" s="143">
        <f ca="1">(PRODUCT($O$5:$O6923)-1)*36000/_xlfn.DAYS(L6923, $C$2)</f>
        <v>13.292366987650647</v>
      </c>
      <c r="O6923" s="149">
        <f t="shared" ca="1" si="228"/>
        <v>1.000173611111111</v>
      </c>
    </row>
    <row r="6924" spans="12:15" x14ac:dyDescent="0.25">
      <c r="L6924" s="147">
        <f ca="1"/>
        <v>52163</v>
      </c>
      <c r="M6924" s="92">
        <f t="shared" ca="1" si="227"/>
        <v>6.25</v>
      </c>
      <c r="N6924" s="143">
        <f ca="1">(PRODUCT($O$5:$O6924)-1)*36000/_xlfn.DAYS(L6924, $C$2)</f>
        <v>13.293656673678933</v>
      </c>
      <c r="O6924" s="149">
        <f t="shared" ca="1" si="228"/>
        <v>1.000173611111111</v>
      </c>
    </row>
    <row r="6925" spans="12:15" x14ac:dyDescent="0.25">
      <c r="L6925" s="147">
        <f ca="1"/>
        <v>52164</v>
      </c>
      <c r="M6925" s="92">
        <f t="shared" ca="1" si="227"/>
        <v>6.25</v>
      </c>
      <c r="N6925" s="143">
        <f ca="1">(PRODUCT($O$5:$O6925)-1)*36000/_xlfn.DAYS(L6925, $C$2)</f>
        <v>13.294946544325771</v>
      </c>
      <c r="O6925" s="149">
        <f t="shared" ca="1" si="228"/>
        <v>1.000173611111111</v>
      </c>
    </row>
    <row r="6926" spans="12:15" x14ac:dyDescent="0.25">
      <c r="L6926" s="147">
        <f ca="1"/>
        <v>52165</v>
      </c>
      <c r="M6926" s="92">
        <f t="shared" ca="1" si="227"/>
        <v>6.25</v>
      </c>
      <c r="N6926" s="143">
        <f ca="1">(PRODUCT($O$5:$O6926)-1)*36000/_xlfn.DAYS(L6926, $C$2)</f>
        <v>13.296236599607893</v>
      </c>
      <c r="O6926" s="149">
        <f t="shared" ca="1" si="228"/>
        <v>1.000173611111111</v>
      </c>
    </row>
    <row r="6927" spans="12:15" x14ac:dyDescent="0.25">
      <c r="L6927" s="147">
        <f ca="1"/>
        <v>52166</v>
      </c>
      <c r="M6927" s="92">
        <f t="shared" ca="1" si="227"/>
        <v>6.25</v>
      </c>
      <c r="N6927" s="143">
        <f ca="1">(PRODUCT($O$5:$O6927)-1)*36000/_xlfn.DAYS(L6927, $C$2)</f>
        <v>13.297526839542025</v>
      </c>
      <c r="O6927" s="149">
        <f t="shared" ca="1" si="228"/>
        <v>1.000173611111111</v>
      </c>
    </row>
    <row r="6928" spans="12:15" x14ac:dyDescent="0.25">
      <c r="L6928" s="147">
        <f ca="1"/>
        <v>52167</v>
      </c>
      <c r="M6928" s="92">
        <f t="shared" ca="1" si="227"/>
        <v>6.25</v>
      </c>
      <c r="N6928" s="143">
        <f ca="1">(PRODUCT($O$5:$O6928)-1)*36000/_xlfn.DAYS(L6928, $C$2)</f>
        <v>13.298817264144914</v>
      </c>
      <c r="O6928" s="149">
        <f t="shared" ca="1" si="228"/>
        <v>1.000173611111111</v>
      </c>
    </row>
    <row r="6929" spans="12:15" x14ac:dyDescent="0.25">
      <c r="L6929" s="147">
        <f ca="1"/>
        <v>52168</v>
      </c>
      <c r="M6929" s="92">
        <f t="shared" ca="1" si="227"/>
        <v>6.25</v>
      </c>
      <c r="N6929" s="143">
        <f ca="1">(PRODUCT($O$5:$O6929)-1)*36000/_xlfn.DAYS(L6929, $C$2)</f>
        <v>13.300107873433307</v>
      </c>
      <c r="O6929" s="149">
        <f t="shared" ca="1" si="228"/>
        <v>1.000173611111111</v>
      </c>
    </row>
    <row r="6930" spans="12:15" x14ac:dyDescent="0.25">
      <c r="L6930" s="147">
        <f ca="1"/>
        <v>52169</v>
      </c>
      <c r="M6930" s="92">
        <f t="shared" ca="1" si="227"/>
        <v>6.25</v>
      </c>
      <c r="N6930" s="143">
        <f ca="1">(PRODUCT($O$5:$O6930)-1)*36000/_xlfn.DAYS(L6930, $C$2)</f>
        <v>13.30139866742396</v>
      </c>
      <c r="O6930" s="149">
        <f t="shared" ca="1" si="228"/>
        <v>1.000173611111111</v>
      </c>
    </row>
    <row r="6931" spans="12:15" x14ac:dyDescent="0.25">
      <c r="L6931" s="147">
        <f ca="1"/>
        <v>52170</v>
      </c>
      <c r="M6931" s="92">
        <f t="shared" ca="1" si="227"/>
        <v>6.25</v>
      </c>
      <c r="N6931" s="143">
        <f ca="1">(PRODUCT($O$5:$O6931)-1)*36000/_xlfn.DAYS(L6931, $C$2)</f>
        <v>13.302689646133631</v>
      </c>
      <c r="O6931" s="149">
        <f t="shared" ca="1" si="228"/>
        <v>1.000173611111111</v>
      </c>
    </row>
    <row r="6932" spans="12:15" x14ac:dyDescent="0.25">
      <c r="L6932" s="147">
        <f ca="1"/>
        <v>52171</v>
      </c>
      <c r="M6932" s="92">
        <f t="shared" ca="1" si="227"/>
        <v>6.25</v>
      </c>
      <c r="N6932" s="143">
        <f ca="1">(PRODUCT($O$5:$O6932)-1)*36000/_xlfn.DAYS(L6932, $C$2)</f>
        <v>13.303980809579093</v>
      </c>
      <c r="O6932" s="149">
        <f t="shared" ca="1" si="228"/>
        <v>1.000173611111111</v>
      </c>
    </row>
    <row r="6933" spans="12:15" x14ac:dyDescent="0.25">
      <c r="L6933" s="147">
        <f ca="1"/>
        <v>52172</v>
      </c>
      <c r="M6933" s="92">
        <f t="shared" ca="1" si="227"/>
        <v>6.25</v>
      </c>
      <c r="N6933" s="143">
        <f ca="1">(PRODUCT($O$5:$O6933)-1)*36000/_xlfn.DAYS(L6933, $C$2)</f>
        <v>13.305272157777125</v>
      </c>
      <c r="O6933" s="149">
        <f t="shared" ca="1" si="228"/>
        <v>1.000173611111111</v>
      </c>
    </row>
    <row r="6934" spans="12:15" x14ac:dyDescent="0.25">
      <c r="L6934" s="147">
        <f ca="1"/>
        <v>52173</v>
      </c>
      <c r="M6934" s="92">
        <f t="shared" ca="1" si="227"/>
        <v>6.25</v>
      </c>
      <c r="N6934" s="143">
        <f ca="1">(PRODUCT($O$5:$O6934)-1)*36000/_xlfn.DAYS(L6934, $C$2)</f>
        <v>13.306563690744508</v>
      </c>
      <c r="O6934" s="149">
        <f t="shared" ca="1" si="228"/>
        <v>1.000173611111111</v>
      </c>
    </row>
    <row r="6935" spans="12:15" x14ac:dyDescent="0.25">
      <c r="L6935" s="147">
        <f ca="1"/>
        <v>52174</v>
      </c>
      <c r="M6935" s="92">
        <f t="shared" ca="1" si="227"/>
        <v>6.25</v>
      </c>
      <c r="N6935" s="143">
        <f ca="1">(PRODUCT($O$5:$O6935)-1)*36000/_xlfn.DAYS(L6935, $C$2)</f>
        <v>13.30785540849803</v>
      </c>
      <c r="O6935" s="149">
        <f t="shared" ca="1" si="228"/>
        <v>1.000173611111111</v>
      </c>
    </row>
    <row r="6936" spans="12:15" x14ac:dyDescent="0.25">
      <c r="L6936" s="147">
        <f ca="1"/>
        <v>52175</v>
      </c>
      <c r="M6936" s="92">
        <f t="shared" ca="1" si="227"/>
        <v>6.25</v>
      </c>
      <c r="N6936" s="143">
        <f ca="1">(PRODUCT($O$5:$O6936)-1)*36000/_xlfn.DAYS(L6936, $C$2)</f>
        <v>13.309147311054494</v>
      </c>
      <c r="O6936" s="149">
        <f t="shared" ca="1" si="228"/>
        <v>1.000173611111111</v>
      </c>
    </row>
    <row r="6937" spans="12:15" x14ac:dyDescent="0.25">
      <c r="L6937" s="147">
        <f ca="1"/>
        <v>52176</v>
      </c>
      <c r="M6937" s="92">
        <f t="shared" ca="1" si="227"/>
        <v>6.25</v>
      </c>
      <c r="N6937" s="143">
        <f ca="1">(PRODUCT($O$5:$O6937)-1)*36000/_xlfn.DAYS(L6937, $C$2)</f>
        <v>13.310439398430702</v>
      </c>
      <c r="O6937" s="149">
        <f t="shared" ca="1" si="228"/>
        <v>1.000173611111111</v>
      </c>
    </row>
    <row r="6938" spans="12:15" x14ac:dyDescent="0.25">
      <c r="L6938" s="147">
        <f ca="1"/>
        <v>52177</v>
      </c>
      <c r="M6938" s="92">
        <f t="shared" ca="1" si="227"/>
        <v>6.25</v>
      </c>
      <c r="N6938" s="143">
        <f ca="1">(PRODUCT($O$5:$O6938)-1)*36000/_xlfn.DAYS(L6938, $C$2)</f>
        <v>13.311731670643468</v>
      </c>
      <c r="O6938" s="149">
        <f t="shared" ca="1" si="228"/>
        <v>1.000173611111111</v>
      </c>
    </row>
    <row r="6939" spans="12:15" x14ac:dyDescent="0.25">
      <c r="L6939" s="147">
        <f ca="1"/>
        <v>52178</v>
      </c>
      <c r="M6939" s="92">
        <f t="shared" ca="1" si="227"/>
        <v>6.25</v>
      </c>
      <c r="N6939" s="143">
        <f ca="1">(PRODUCT($O$5:$O6939)-1)*36000/_xlfn.DAYS(L6939, $C$2)</f>
        <v>13.313024127709607</v>
      </c>
      <c r="O6939" s="149">
        <f t="shared" ca="1" si="228"/>
        <v>1.000173611111111</v>
      </c>
    </row>
    <row r="6940" spans="12:15" x14ac:dyDescent="0.25">
      <c r="L6940" s="147">
        <f ca="1"/>
        <v>52179</v>
      </c>
      <c r="M6940" s="92">
        <f t="shared" ca="1" si="227"/>
        <v>6.25</v>
      </c>
      <c r="N6940" s="143">
        <f ca="1">(PRODUCT($O$5:$O6940)-1)*36000/_xlfn.DAYS(L6940, $C$2)</f>
        <v>13.314316769645952</v>
      </c>
      <c r="O6940" s="149">
        <f t="shared" ca="1" si="228"/>
        <v>1.000173611111111</v>
      </c>
    </row>
    <row r="6941" spans="12:15" x14ac:dyDescent="0.25">
      <c r="L6941" s="147">
        <f ca="1"/>
        <v>52180</v>
      </c>
      <c r="M6941" s="92">
        <f t="shared" ca="1" si="227"/>
        <v>6.25</v>
      </c>
      <c r="N6941" s="143">
        <f ca="1">(PRODUCT($O$5:$O6941)-1)*36000/_xlfn.DAYS(L6941, $C$2)</f>
        <v>13.315609596469333</v>
      </c>
      <c r="O6941" s="149">
        <f t="shared" ca="1" si="228"/>
        <v>1.000173611111111</v>
      </c>
    </row>
    <row r="6942" spans="12:15" x14ac:dyDescent="0.25">
      <c r="L6942" s="147">
        <f ca="1"/>
        <v>52181</v>
      </c>
      <c r="M6942" s="92">
        <f t="shared" ca="1" si="227"/>
        <v>6.25</v>
      </c>
      <c r="N6942" s="143">
        <f ca="1">(PRODUCT($O$5:$O6942)-1)*36000/_xlfn.DAYS(L6942, $C$2)</f>
        <v>13.316902608196589</v>
      </c>
      <c r="O6942" s="149">
        <f t="shared" ca="1" si="228"/>
        <v>1.000173611111111</v>
      </c>
    </row>
    <row r="6943" spans="12:15" x14ac:dyDescent="0.25">
      <c r="L6943" s="147">
        <f ca="1"/>
        <v>52182</v>
      </c>
      <c r="M6943" s="92">
        <f t="shared" ca="1" si="227"/>
        <v>6.25</v>
      </c>
      <c r="N6943" s="143">
        <f ca="1">(PRODUCT($O$5:$O6943)-1)*36000/_xlfn.DAYS(L6943, $C$2)</f>
        <v>13.318195804844569</v>
      </c>
      <c r="O6943" s="149">
        <f t="shared" ca="1" si="228"/>
        <v>1.000173611111111</v>
      </c>
    </row>
    <row r="6944" spans="12:15" x14ac:dyDescent="0.25">
      <c r="L6944" s="147">
        <f ca="1"/>
        <v>52183</v>
      </c>
      <c r="M6944" s="92">
        <f t="shared" ca="1" si="227"/>
        <v>6.25</v>
      </c>
      <c r="N6944" s="143">
        <f ca="1">(PRODUCT($O$5:$O6944)-1)*36000/_xlfn.DAYS(L6944, $C$2)</f>
        <v>13.319489186430131</v>
      </c>
      <c r="O6944" s="149">
        <f t="shared" ca="1" si="228"/>
        <v>1.000173611111111</v>
      </c>
    </row>
    <row r="6945" spans="12:15" x14ac:dyDescent="0.25">
      <c r="L6945" s="147">
        <f ca="1"/>
        <v>52184</v>
      </c>
      <c r="M6945" s="92">
        <f t="shared" ca="1" si="227"/>
        <v>6.25</v>
      </c>
      <c r="N6945" s="143">
        <f ca="1">(PRODUCT($O$5:$O6945)-1)*36000/_xlfn.DAYS(L6945, $C$2)</f>
        <v>13.320782752970132</v>
      </c>
      <c r="O6945" s="149">
        <f t="shared" ca="1" si="228"/>
        <v>1.000173611111111</v>
      </c>
    </row>
    <row r="6946" spans="12:15" x14ac:dyDescent="0.25">
      <c r="L6946" s="147">
        <f ca="1"/>
        <v>52185</v>
      </c>
      <c r="M6946" s="92">
        <f t="shared" ca="1" si="227"/>
        <v>6.25</v>
      </c>
      <c r="N6946" s="143">
        <f ca="1">(PRODUCT($O$5:$O6946)-1)*36000/_xlfn.DAYS(L6946, $C$2)</f>
        <v>13.322076504481444</v>
      </c>
      <c r="O6946" s="149">
        <f t="shared" ca="1" si="228"/>
        <v>1.000173611111111</v>
      </c>
    </row>
    <row r="6947" spans="12:15" x14ac:dyDescent="0.25">
      <c r="L6947" s="147">
        <f ca="1"/>
        <v>52186</v>
      </c>
      <c r="M6947" s="92">
        <f t="shared" ca="1" si="227"/>
        <v>6.25</v>
      </c>
      <c r="N6947" s="143">
        <f ca="1">(PRODUCT($O$5:$O6947)-1)*36000/_xlfn.DAYS(L6947, $C$2)</f>
        <v>13.323370440980943</v>
      </c>
      <c r="O6947" s="149">
        <f t="shared" ca="1" si="228"/>
        <v>1.000173611111111</v>
      </c>
    </row>
    <row r="6948" spans="12:15" x14ac:dyDescent="0.25">
      <c r="L6948" s="147">
        <f ca="1"/>
        <v>52187</v>
      </c>
      <c r="M6948" s="92">
        <f t="shared" ca="1" si="227"/>
        <v>6.25</v>
      </c>
      <c r="N6948" s="143">
        <f ca="1">(PRODUCT($O$5:$O6948)-1)*36000/_xlfn.DAYS(L6948, $C$2)</f>
        <v>13.324664562485511</v>
      </c>
      <c r="O6948" s="149">
        <f t="shared" ca="1" si="228"/>
        <v>1.000173611111111</v>
      </c>
    </row>
    <row r="6949" spans="12:15" x14ac:dyDescent="0.25">
      <c r="L6949" s="147">
        <f ca="1"/>
        <v>52188</v>
      </c>
      <c r="M6949" s="92">
        <f t="shared" ca="1" si="227"/>
        <v>6.25</v>
      </c>
      <c r="N6949" s="143">
        <f ca="1">(PRODUCT($O$5:$O6949)-1)*36000/_xlfn.DAYS(L6949, $C$2)</f>
        <v>13.325958869012036</v>
      </c>
      <c r="O6949" s="149">
        <f t="shared" ca="1" si="228"/>
        <v>1.000173611111111</v>
      </c>
    </row>
    <row r="6950" spans="12:15" x14ac:dyDescent="0.25">
      <c r="L6950" s="147">
        <f ca="1"/>
        <v>52189</v>
      </c>
      <c r="M6950" s="92">
        <f t="shared" ca="1" si="227"/>
        <v>6.25</v>
      </c>
      <c r="N6950" s="143">
        <f ca="1">(PRODUCT($O$5:$O6950)-1)*36000/_xlfn.DAYS(L6950, $C$2)</f>
        <v>13.327253360577419</v>
      </c>
      <c r="O6950" s="149">
        <f t="shared" ca="1" si="228"/>
        <v>1.000173611111111</v>
      </c>
    </row>
    <row r="6951" spans="12:15" x14ac:dyDescent="0.25">
      <c r="L6951" s="147">
        <f ca="1"/>
        <v>52190</v>
      </c>
      <c r="M6951" s="92">
        <f t="shared" ca="1" si="227"/>
        <v>6.25</v>
      </c>
      <c r="N6951" s="143">
        <f ca="1">(PRODUCT($O$5:$O6951)-1)*36000/_xlfn.DAYS(L6951, $C$2)</f>
        <v>13.328548037198564</v>
      </c>
      <c r="O6951" s="149">
        <f t="shared" ca="1" si="228"/>
        <v>1.000173611111111</v>
      </c>
    </row>
    <row r="6952" spans="12:15" x14ac:dyDescent="0.25">
      <c r="L6952" s="147">
        <f ca="1"/>
        <v>52191</v>
      </c>
      <c r="M6952" s="92">
        <f t="shared" ca="1" si="227"/>
        <v>6.25</v>
      </c>
      <c r="N6952" s="143">
        <f ca="1">(PRODUCT($O$5:$O6952)-1)*36000/_xlfn.DAYS(L6952, $C$2)</f>
        <v>13.329842898892377</v>
      </c>
      <c r="O6952" s="149">
        <f t="shared" ca="1" si="228"/>
        <v>1.000173611111111</v>
      </c>
    </row>
    <row r="6953" spans="12:15" x14ac:dyDescent="0.25">
      <c r="L6953" s="147">
        <f ca="1"/>
        <v>52192</v>
      </c>
      <c r="M6953" s="92">
        <f t="shared" ca="1" si="227"/>
        <v>6.25</v>
      </c>
      <c r="N6953" s="143">
        <f ca="1">(PRODUCT($O$5:$O6953)-1)*36000/_xlfn.DAYS(L6953, $C$2)</f>
        <v>13.331137945675783</v>
      </c>
      <c r="O6953" s="149">
        <f t="shared" ca="1" si="228"/>
        <v>1.000173611111111</v>
      </c>
    </row>
    <row r="6954" spans="12:15" x14ac:dyDescent="0.25">
      <c r="L6954" s="147">
        <f ca="1"/>
        <v>52193</v>
      </c>
      <c r="M6954" s="92">
        <f t="shared" ca="1" si="227"/>
        <v>6.25</v>
      </c>
      <c r="N6954" s="143">
        <f ca="1">(PRODUCT($O$5:$O6954)-1)*36000/_xlfn.DAYS(L6954, $C$2)</f>
        <v>13.332433177565704</v>
      </c>
      <c r="O6954" s="149">
        <f t="shared" ca="1" si="228"/>
        <v>1.000173611111111</v>
      </c>
    </row>
    <row r="6955" spans="12:15" x14ac:dyDescent="0.25">
      <c r="L6955" s="147">
        <f ca="1"/>
        <v>52194</v>
      </c>
      <c r="M6955" s="92">
        <f t="shared" ca="1" si="227"/>
        <v>6.25</v>
      </c>
      <c r="N6955" s="143">
        <f ca="1">(PRODUCT($O$5:$O6955)-1)*36000/_xlfn.DAYS(L6955, $C$2)</f>
        <v>13.333728594579073</v>
      </c>
      <c r="O6955" s="149">
        <f t="shared" ca="1" si="228"/>
        <v>1.000173611111111</v>
      </c>
    </row>
    <row r="6956" spans="12:15" x14ac:dyDescent="0.25">
      <c r="L6956" s="147">
        <f ca="1"/>
        <v>52195</v>
      </c>
      <c r="M6956" s="92">
        <f t="shared" ca="1" si="227"/>
        <v>6.25</v>
      </c>
      <c r="N6956" s="143">
        <f ca="1">(PRODUCT($O$5:$O6956)-1)*36000/_xlfn.DAYS(L6956, $C$2)</f>
        <v>13.335024196732833</v>
      </c>
      <c r="O6956" s="149">
        <f t="shared" ca="1" si="228"/>
        <v>1.000173611111111</v>
      </c>
    </row>
    <row r="6957" spans="12:15" x14ac:dyDescent="0.25">
      <c r="L6957" s="147">
        <f ca="1"/>
        <v>52196</v>
      </c>
      <c r="M6957" s="92">
        <f t="shared" ca="1" si="227"/>
        <v>6.25</v>
      </c>
      <c r="N6957" s="143">
        <f ca="1">(PRODUCT($O$5:$O6957)-1)*36000/_xlfn.DAYS(L6957, $C$2)</f>
        <v>13.336319984043927</v>
      </c>
      <c r="O6957" s="149">
        <f t="shared" ca="1" si="228"/>
        <v>1.000173611111111</v>
      </c>
    </row>
    <row r="6958" spans="12:15" x14ac:dyDescent="0.25">
      <c r="L6958" s="147">
        <f ca="1"/>
        <v>52197</v>
      </c>
      <c r="M6958" s="92">
        <f t="shared" ca="1" si="227"/>
        <v>6.25</v>
      </c>
      <c r="N6958" s="143">
        <f ca="1">(PRODUCT($O$5:$O6958)-1)*36000/_xlfn.DAYS(L6958, $C$2)</f>
        <v>13.33761595652931</v>
      </c>
      <c r="O6958" s="149">
        <f t="shared" ca="1" si="228"/>
        <v>1.000173611111111</v>
      </c>
    </row>
    <row r="6959" spans="12:15" x14ac:dyDescent="0.25">
      <c r="L6959" s="147">
        <f ca="1"/>
        <v>52198</v>
      </c>
      <c r="M6959" s="92">
        <f t="shared" ca="1" si="227"/>
        <v>6.25</v>
      </c>
      <c r="N6959" s="143">
        <f ca="1">(PRODUCT($O$5:$O6959)-1)*36000/_xlfn.DAYS(L6959, $C$2)</f>
        <v>13.338912114205941</v>
      </c>
      <c r="O6959" s="149">
        <f t="shared" ca="1" si="228"/>
        <v>1.000173611111111</v>
      </c>
    </row>
    <row r="6960" spans="12:15" x14ac:dyDescent="0.25">
      <c r="L6960" s="147">
        <f ca="1"/>
        <v>52199</v>
      </c>
      <c r="M6960" s="92">
        <f t="shared" ca="1" si="227"/>
        <v>6.25</v>
      </c>
      <c r="N6960" s="143">
        <f ca="1">(PRODUCT($O$5:$O6960)-1)*36000/_xlfn.DAYS(L6960, $C$2)</f>
        <v>13.340208457090792</v>
      </c>
      <c r="O6960" s="149">
        <f t="shared" ca="1" si="228"/>
        <v>1.000173611111111</v>
      </c>
    </row>
    <row r="6961" spans="12:15" x14ac:dyDescent="0.25">
      <c r="L6961" s="147">
        <f ca="1"/>
        <v>52200</v>
      </c>
      <c r="M6961" s="92">
        <f t="shared" ca="1" si="227"/>
        <v>6.25</v>
      </c>
      <c r="N6961" s="143">
        <f ca="1">(PRODUCT($O$5:$O6961)-1)*36000/_xlfn.DAYS(L6961, $C$2)</f>
        <v>13.341504985200835</v>
      </c>
      <c r="O6961" s="149">
        <f t="shared" ca="1" si="228"/>
        <v>1.000173611111111</v>
      </c>
    </row>
    <row r="6962" spans="12:15" x14ac:dyDescent="0.25">
      <c r="L6962" s="147">
        <f ca="1"/>
        <v>52201</v>
      </c>
      <c r="M6962" s="92">
        <f t="shared" ca="1" si="227"/>
        <v>6.25</v>
      </c>
      <c r="N6962" s="143">
        <f ca="1">(PRODUCT($O$5:$O6962)-1)*36000/_xlfn.DAYS(L6962, $C$2)</f>
        <v>13.342801698553052</v>
      </c>
      <c r="O6962" s="149">
        <f t="shared" ca="1" si="228"/>
        <v>1.000173611111111</v>
      </c>
    </row>
    <row r="6963" spans="12:15" x14ac:dyDescent="0.25">
      <c r="L6963" s="147">
        <f ca="1"/>
        <v>52202</v>
      </c>
      <c r="M6963" s="92">
        <f t="shared" ca="1" si="227"/>
        <v>6.25</v>
      </c>
      <c r="N6963" s="143">
        <f ca="1">(PRODUCT($O$5:$O6963)-1)*36000/_xlfn.DAYS(L6963, $C$2)</f>
        <v>13.344098597164434</v>
      </c>
      <c r="O6963" s="149">
        <f t="shared" ca="1" si="228"/>
        <v>1.000173611111111</v>
      </c>
    </row>
    <row r="6964" spans="12:15" x14ac:dyDescent="0.25">
      <c r="L6964" s="147">
        <f ca="1"/>
        <v>52203</v>
      </c>
      <c r="M6964" s="92">
        <f t="shared" ca="1" si="227"/>
        <v>6.25</v>
      </c>
      <c r="N6964" s="143">
        <f ca="1">(PRODUCT($O$5:$O6964)-1)*36000/_xlfn.DAYS(L6964, $C$2)</f>
        <v>13.345395681051974</v>
      </c>
      <c r="O6964" s="149">
        <f t="shared" ca="1" si="228"/>
        <v>1.000173611111111</v>
      </c>
    </row>
    <row r="6965" spans="12:15" x14ac:dyDescent="0.25">
      <c r="L6965" s="147">
        <f ca="1"/>
        <v>52204</v>
      </c>
      <c r="M6965" s="92">
        <f t="shared" ca="1" si="227"/>
        <v>6.25</v>
      </c>
      <c r="N6965" s="143">
        <f ca="1">(PRODUCT($O$5:$O6965)-1)*36000/_xlfn.DAYS(L6965, $C$2)</f>
        <v>13.346692950232676</v>
      </c>
      <c r="O6965" s="149">
        <f t="shared" ca="1" si="228"/>
        <v>1.000173611111111</v>
      </c>
    </row>
    <row r="6966" spans="12:15" x14ac:dyDescent="0.25">
      <c r="L6966" s="147">
        <f ca="1"/>
        <v>52205</v>
      </c>
      <c r="M6966" s="92">
        <f t="shared" ca="1" si="227"/>
        <v>6.25</v>
      </c>
      <c r="N6966" s="143">
        <f ca="1">(PRODUCT($O$5:$O6966)-1)*36000/_xlfn.DAYS(L6966, $C$2)</f>
        <v>13.34799040472355</v>
      </c>
      <c r="O6966" s="149">
        <f t="shared" ca="1" si="228"/>
        <v>1.000173611111111</v>
      </c>
    </row>
    <row r="6967" spans="12:15" x14ac:dyDescent="0.25">
      <c r="L6967" s="147">
        <f ca="1"/>
        <v>52206</v>
      </c>
      <c r="M6967" s="92">
        <f t="shared" ca="1" si="227"/>
        <v>6.25</v>
      </c>
      <c r="N6967" s="143">
        <f ca="1">(PRODUCT($O$5:$O6967)-1)*36000/_xlfn.DAYS(L6967, $C$2)</f>
        <v>13.349288044541616</v>
      </c>
      <c r="O6967" s="149">
        <f t="shared" ca="1" si="228"/>
        <v>1.000173611111111</v>
      </c>
    </row>
    <row r="6968" spans="12:15" x14ac:dyDescent="0.25">
      <c r="L6968" s="147">
        <f ca="1"/>
        <v>52207</v>
      </c>
      <c r="M6968" s="92">
        <f t="shared" ca="1" si="227"/>
        <v>6.25</v>
      </c>
      <c r="N6968" s="143">
        <f ca="1">(PRODUCT($O$5:$O6968)-1)*36000/_xlfn.DAYS(L6968, $C$2)</f>
        <v>13.350585869703897</v>
      </c>
      <c r="O6968" s="149">
        <f t="shared" ca="1" si="228"/>
        <v>1.000173611111111</v>
      </c>
    </row>
    <row r="6969" spans="12:15" x14ac:dyDescent="0.25">
      <c r="L6969" s="147">
        <f ca="1"/>
        <v>52208</v>
      </c>
      <c r="M6969" s="92">
        <f t="shared" ca="1" si="227"/>
        <v>6.25</v>
      </c>
      <c r="N6969" s="143">
        <f ca="1">(PRODUCT($O$5:$O6969)-1)*36000/_xlfn.DAYS(L6969, $C$2)</f>
        <v>13.351883880227426</v>
      </c>
      <c r="O6969" s="149">
        <f t="shared" ca="1" si="228"/>
        <v>1.000173611111111</v>
      </c>
    </row>
    <row r="6970" spans="12:15" x14ac:dyDescent="0.25">
      <c r="L6970" s="147">
        <f ca="1"/>
        <v>52209</v>
      </c>
      <c r="M6970" s="92">
        <f t="shared" ca="1" si="227"/>
        <v>6.25</v>
      </c>
      <c r="N6970" s="143">
        <f ca="1">(PRODUCT($O$5:$O6970)-1)*36000/_xlfn.DAYS(L6970, $C$2)</f>
        <v>13.353182076129237</v>
      </c>
      <c r="O6970" s="149">
        <f t="shared" ca="1" si="228"/>
        <v>1.000173611111111</v>
      </c>
    </row>
    <row r="6971" spans="12:15" x14ac:dyDescent="0.25">
      <c r="L6971" s="147">
        <f ca="1"/>
        <v>52210</v>
      </c>
      <c r="M6971" s="92">
        <f t="shared" ca="1" si="227"/>
        <v>6.25</v>
      </c>
      <c r="N6971" s="143">
        <f ca="1">(PRODUCT($O$5:$O6971)-1)*36000/_xlfn.DAYS(L6971, $C$2)</f>
        <v>13.354480457426376</v>
      </c>
      <c r="O6971" s="149">
        <f t="shared" ca="1" si="228"/>
        <v>1.000173611111111</v>
      </c>
    </row>
    <row r="6972" spans="12:15" x14ac:dyDescent="0.25">
      <c r="L6972" s="147">
        <f ca="1"/>
        <v>52211</v>
      </c>
      <c r="M6972" s="92">
        <f t="shared" ca="1" si="227"/>
        <v>6.25</v>
      </c>
      <c r="N6972" s="143">
        <f ca="1">(PRODUCT($O$5:$O6972)-1)*36000/_xlfn.DAYS(L6972, $C$2)</f>
        <v>13.3557790241359</v>
      </c>
      <c r="O6972" s="149">
        <f t="shared" ca="1" si="228"/>
        <v>1.000173611111111</v>
      </c>
    </row>
    <row r="6973" spans="12:15" x14ac:dyDescent="0.25">
      <c r="L6973" s="147">
        <f ca="1"/>
        <v>52212</v>
      </c>
      <c r="M6973" s="92">
        <f t="shared" ca="1" si="227"/>
        <v>6.25</v>
      </c>
      <c r="N6973" s="143">
        <f ca="1">(PRODUCT($O$5:$O6973)-1)*36000/_xlfn.DAYS(L6973, $C$2)</f>
        <v>13.357077776274865</v>
      </c>
      <c r="O6973" s="149">
        <f t="shared" ca="1" si="228"/>
        <v>1.000173611111111</v>
      </c>
    </row>
    <row r="6974" spans="12:15" x14ac:dyDescent="0.25">
      <c r="L6974" s="147">
        <f ca="1"/>
        <v>52213</v>
      </c>
      <c r="M6974" s="92">
        <f t="shared" ca="1" si="227"/>
        <v>6.25</v>
      </c>
      <c r="N6974" s="143">
        <f ca="1">(PRODUCT($O$5:$O6974)-1)*36000/_xlfn.DAYS(L6974, $C$2)</f>
        <v>13.358376713860336</v>
      </c>
      <c r="O6974" s="149">
        <f t="shared" ca="1" si="228"/>
        <v>1.000173611111111</v>
      </c>
    </row>
    <row r="6975" spans="12:15" x14ac:dyDescent="0.25">
      <c r="L6975" s="147">
        <f ca="1"/>
        <v>52214</v>
      </c>
      <c r="M6975" s="92">
        <f t="shared" ca="1" si="227"/>
        <v>6.25</v>
      </c>
      <c r="N6975" s="143">
        <f ca="1">(PRODUCT($O$5:$O6975)-1)*36000/_xlfn.DAYS(L6975, $C$2)</f>
        <v>13.359675836909387</v>
      </c>
      <c r="O6975" s="149">
        <f t="shared" ca="1" si="228"/>
        <v>1.000173611111111</v>
      </c>
    </row>
    <row r="6976" spans="12:15" x14ac:dyDescent="0.25">
      <c r="L6976" s="147">
        <f ca="1"/>
        <v>52215</v>
      </c>
      <c r="M6976" s="92">
        <f t="shared" ca="1" si="227"/>
        <v>6.25</v>
      </c>
      <c r="N6976" s="143">
        <f ca="1">(PRODUCT($O$5:$O6976)-1)*36000/_xlfn.DAYS(L6976, $C$2)</f>
        <v>13.360975145439104</v>
      </c>
      <c r="O6976" s="149">
        <f t="shared" ca="1" si="228"/>
        <v>1.000173611111111</v>
      </c>
    </row>
    <row r="6977" spans="12:15" x14ac:dyDescent="0.25">
      <c r="L6977" s="147">
        <f ca="1"/>
        <v>52216</v>
      </c>
      <c r="M6977" s="92">
        <f t="shared" ca="1" si="227"/>
        <v>6.25</v>
      </c>
      <c r="N6977" s="143">
        <f ca="1">(PRODUCT($O$5:$O6977)-1)*36000/_xlfn.DAYS(L6977, $C$2)</f>
        <v>13.362274639466566</v>
      </c>
      <c r="O6977" s="149">
        <f t="shared" ca="1" si="228"/>
        <v>1.000173611111111</v>
      </c>
    </row>
    <row r="6978" spans="12:15" x14ac:dyDescent="0.25">
      <c r="L6978" s="147">
        <f ca="1"/>
        <v>52217</v>
      </c>
      <c r="M6978" s="92">
        <f t="shared" ca="1" si="227"/>
        <v>6.25</v>
      </c>
      <c r="N6978" s="143">
        <f ca="1">(PRODUCT($O$5:$O6978)-1)*36000/_xlfn.DAYS(L6978, $C$2)</f>
        <v>13.363574319008876</v>
      </c>
      <c r="O6978" s="149">
        <f t="shared" ca="1" si="228"/>
        <v>1.000173611111111</v>
      </c>
    </row>
    <row r="6979" spans="12:15" x14ac:dyDescent="0.25">
      <c r="L6979" s="147">
        <f ca="1"/>
        <v>52218</v>
      </c>
      <c r="M6979" s="92">
        <f t="shared" ca="1" si="227"/>
        <v>6.25</v>
      </c>
      <c r="N6979" s="143">
        <f ca="1">(PRODUCT($O$5:$O6979)-1)*36000/_xlfn.DAYS(L6979, $C$2)</f>
        <v>13.364874184083128</v>
      </c>
      <c r="O6979" s="149">
        <f t="shared" ca="1" si="228"/>
        <v>1.000173611111111</v>
      </c>
    </row>
    <row r="6980" spans="12:15" x14ac:dyDescent="0.25">
      <c r="L6980" s="147">
        <f ca="1"/>
        <v>52219</v>
      </c>
      <c r="M6980" s="92">
        <f t="shared" ca="1" si="227"/>
        <v>6.25</v>
      </c>
      <c r="N6980" s="143">
        <f ca="1">(PRODUCT($O$5:$O6980)-1)*36000/_xlfn.DAYS(L6980, $C$2)</f>
        <v>13.366174234706438</v>
      </c>
      <c r="O6980" s="149">
        <f t="shared" ca="1" si="228"/>
        <v>1.000173611111111</v>
      </c>
    </row>
    <row r="6981" spans="12:15" x14ac:dyDescent="0.25">
      <c r="L6981" s="147">
        <f ca="1"/>
        <v>52220</v>
      </c>
      <c r="M6981" s="92">
        <f t="shared" ref="M6981:M7044" ca="1" si="229">IFERROR(INDEX($E$27:$H$47, MATCH(L6981, $F$27:$F$47, 0), 4), IF(ISNUMBER(M6980), M6980, $C$5))</f>
        <v>6.25</v>
      </c>
      <c r="N6981" s="143">
        <f ca="1">(PRODUCT($O$5:$O6981)-1)*36000/_xlfn.DAYS(L6981, $C$2)</f>
        <v>13.367474470895916</v>
      </c>
      <c r="O6981" s="149">
        <f t="shared" ca="1" si="228"/>
        <v>1.000173611111111</v>
      </c>
    </row>
    <row r="6982" spans="12:15" x14ac:dyDescent="0.25">
      <c r="L6982" s="147">
        <f ca="1"/>
        <v>52221</v>
      </c>
      <c r="M6982" s="92">
        <f t="shared" ca="1" si="229"/>
        <v>6.25</v>
      </c>
      <c r="N6982" s="143">
        <f ca="1">(PRODUCT($O$5:$O6982)-1)*36000/_xlfn.DAYS(L6982, $C$2)</f>
        <v>13.368774892668686</v>
      </c>
      <c r="O6982" s="149">
        <f t="shared" ref="O6982:O7045" ca="1" si="230">1+M6982*IFERROR(_xlfn.DAYS(L6982, L6981), _xlfn.DAYS(L6982, $C$2))/36000</f>
        <v>1.000173611111111</v>
      </c>
    </row>
    <row r="6983" spans="12:15" x14ac:dyDescent="0.25">
      <c r="L6983" s="147">
        <f ca="1"/>
        <v>52222</v>
      </c>
      <c r="M6983" s="92">
        <f t="shared" ca="1" si="229"/>
        <v>6.25</v>
      </c>
      <c r="N6983" s="143">
        <f ca="1">(PRODUCT($O$5:$O6983)-1)*36000/_xlfn.DAYS(L6983, $C$2)</f>
        <v>13.370075500041875</v>
      </c>
      <c r="O6983" s="149">
        <f t="shared" ca="1" si="230"/>
        <v>1.000173611111111</v>
      </c>
    </row>
    <row r="6984" spans="12:15" x14ac:dyDescent="0.25">
      <c r="L6984" s="147">
        <f ca="1"/>
        <v>52223</v>
      </c>
      <c r="M6984" s="92">
        <f t="shared" ca="1" si="229"/>
        <v>6.25</v>
      </c>
      <c r="N6984" s="143">
        <f ca="1">(PRODUCT($O$5:$O6984)-1)*36000/_xlfn.DAYS(L6984, $C$2)</f>
        <v>13.371376293032625</v>
      </c>
      <c r="O6984" s="149">
        <f t="shared" ca="1" si="230"/>
        <v>1.000173611111111</v>
      </c>
    </row>
    <row r="6985" spans="12:15" x14ac:dyDescent="0.25">
      <c r="L6985" s="147">
        <f ca="1"/>
        <v>52224</v>
      </c>
      <c r="M6985" s="92">
        <f t="shared" ca="1" si="229"/>
        <v>6.25</v>
      </c>
      <c r="N6985" s="143">
        <f ca="1">(PRODUCT($O$5:$O6985)-1)*36000/_xlfn.DAYS(L6985, $C$2)</f>
        <v>13.372677271658079</v>
      </c>
      <c r="O6985" s="149">
        <f t="shared" ca="1" si="230"/>
        <v>1.000173611111111</v>
      </c>
    </row>
    <row r="6986" spans="12:15" x14ac:dyDescent="0.25">
      <c r="L6986" s="147">
        <f ca="1"/>
        <v>52225</v>
      </c>
      <c r="M6986" s="92">
        <f t="shared" ca="1" si="229"/>
        <v>6.25</v>
      </c>
      <c r="N6986" s="143">
        <f ca="1">(PRODUCT($O$5:$O6986)-1)*36000/_xlfn.DAYS(L6986, $C$2)</f>
        <v>13.373978435935383</v>
      </c>
      <c r="O6986" s="149">
        <f t="shared" ca="1" si="230"/>
        <v>1.000173611111111</v>
      </c>
    </row>
    <row r="6987" spans="12:15" x14ac:dyDescent="0.25">
      <c r="L6987" s="147">
        <f ca="1"/>
        <v>52226</v>
      </c>
      <c r="M6987" s="92">
        <f t="shared" ca="1" si="229"/>
        <v>6.25</v>
      </c>
      <c r="N6987" s="143">
        <f ca="1">(PRODUCT($O$5:$O6987)-1)*36000/_xlfn.DAYS(L6987, $C$2)</f>
        <v>13.375279785881698</v>
      </c>
      <c r="O6987" s="149">
        <f t="shared" ca="1" si="230"/>
        <v>1.000173611111111</v>
      </c>
    </row>
    <row r="6988" spans="12:15" x14ac:dyDescent="0.25">
      <c r="L6988" s="147">
        <f ca="1"/>
        <v>52227</v>
      </c>
      <c r="M6988" s="92">
        <f t="shared" ca="1" si="229"/>
        <v>6.25</v>
      </c>
      <c r="N6988" s="143">
        <f ca="1">(PRODUCT($O$5:$O6988)-1)*36000/_xlfn.DAYS(L6988, $C$2)</f>
        <v>13.376581321514188</v>
      </c>
      <c r="O6988" s="149">
        <f t="shared" ca="1" si="230"/>
        <v>1.000173611111111</v>
      </c>
    </row>
    <row r="6989" spans="12:15" x14ac:dyDescent="0.25">
      <c r="L6989" s="147">
        <f ca="1"/>
        <v>52228</v>
      </c>
      <c r="M6989" s="92">
        <f t="shared" ca="1" si="229"/>
        <v>6.25</v>
      </c>
      <c r="N6989" s="143">
        <f ca="1">(PRODUCT($O$5:$O6989)-1)*36000/_xlfn.DAYS(L6989, $C$2)</f>
        <v>13.377883042850023</v>
      </c>
      <c r="O6989" s="149">
        <f t="shared" ca="1" si="230"/>
        <v>1.000173611111111</v>
      </c>
    </row>
    <row r="6990" spans="12:15" x14ac:dyDescent="0.25">
      <c r="L6990" s="147">
        <f ca="1"/>
        <v>52229</v>
      </c>
      <c r="M6990" s="92">
        <f t="shared" ca="1" si="229"/>
        <v>6.25</v>
      </c>
      <c r="N6990" s="143">
        <f ca="1">(PRODUCT($O$5:$O6990)-1)*36000/_xlfn.DAYS(L6990, $C$2)</f>
        <v>13.379184949906383</v>
      </c>
      <c r="O6990" s="149">
        <f t="shared" ca="1" si="230"/>
        <v>1.000173611111111</v>
      </c>
    </row>
    <row r="6991" spans="12:15" x14ac:dyDescent="0.25">
      <c r="L6991" s="147">
        <f ca="1"/>
        <v>52230</v>
      </c>
      <c r="M6991" s="92">
        <f t="shared" ca="1" si="229"/>
        <v>6.25</v>
      </c>
      <c r="N6991" s="143">
        <f ca="1">(PRODUCT($O$5:$O6991)-1)*36000/_xlfn.DAYS(L6991, $C$2)</f>
        <v>13.380487042700453</v>
      </c>
      <c r="O6991" s="149">
        <f t="shared" ca="1" si="230"/>
        <v>1.000173611111111</v>
      </c>
    </row>
    <row r="6992" spans="12:15" x14ac:dyDescent="0.25">
      <c r="L6992" s="147">
        <f ca="1"/>
        <v>52231</v>
      </c>
      <c r="M6992" s="92">
        <f t="shared" ca="1" si="229"/>
        <v>6.25</v>
      </c>
      <c r="N6992" s="143">
        <f ca="1">(PRODUCT($O$5:$O6992)-1)*36000/_xlfn.DAYS(L6992, $C$2)</f>
        <v>13.381789321249428</v>
      </c>
      <c r="O6992" s="149">
        <f t="shared" ca="1" si="230"/>
        <v>1.000173611111111</v>
      </c>
    </row>
    <row r="6993" spans="12:15" x14ac:dyDescent="0.25">
      <c r="L6993" s="147">
        <f ca="1"/>
        <v>52232</v>
      </c>
      <c r="M6993" s="92">
        <f t="shared" ca="1" si="229"/>
        <v>6.25</v>
      </c>
      <c r="N6993" s="143">
        <f ca="1">(PRODUCT($O$5:$O6993)-1)*36000/_xlfn.DAYS(L6993, $C$2)</f>
        <v>13.383091785570505</v>
      </c>
      <c r="O6993" s="149">
        <f t="shared" ca="1" si="230"/>
        <v>1.000173611111111</v>
      </c>
    </row>
    <row r="6994" spans="12:15" x14ac:dyDescent="0.25">
      <c r="L6994" s="147">
        <f ca="1"/>
        <v>52233</v>
      </c>
      <c r="M6994" s="92">
        <f t="shared" ca="1" si="229"/>
        <v>6.25</v>
      </c>
      <c r="N6994" s="143">
        <f ca="1">(PRODUCT($O$5:$O6994)-1)*36000/_xlfn.DAYS(L6994, $C$2)</f>
        <v>13.384394435680889</v>
      </c>
      <c r="O6994" s="149">
        <f t="shared" ca="1" si="230"/>
        <v>1.000173611111111</v>
      </c>
    </row>
    <row r="6995" spans="12:15" x14ac:dyDescent="0.25">
      <c r="L6995" s="147">
        <f ca="1"/>
        <v>52234</v>
      </c>
      <c r="M6995" s="92">
        <f t="shared" ca="1" si="229"/>
        <v>6.25</v>
      </c>
      <c r="N6995" s="143">
        <f ca="1">(PRODUCT($O$5:$O6995)-1)*36000/_xlfn.DAYS(L6995, $C$2)</f>
        <v>13.385697271597799</v>
      </c>
      <c r="O6995" s="149">
        <f t="shared" ca="1" si="230"/>
        <v>1.000173611111111</v>
      </c>
    </row>
    <row r="6996" spans="12:15" x14ac:dyDescent="0.25">
      <c r="L6996" s="147">
        <f ca="1"/>
        <v>52235</v>
      </c>
      <c r="M6996" s="92">
        <f t="shared" ca="1" si="229"/>
        <v>6.25</v>
      </c>
      <c r="N6996" s="143">
        <f ca="1">(PRODUCT($O$5:$O6996)-1)*36000/_xlfn.DAYS(L6996, $C$2)</f>
        <v>13.387000293338451</v>
      </c>
      <c r="O6996" s="149">
        <f t="shared" ca="1" si="230"/>
        <v>1.000173611111111</v>
      </c>
    </row>
    <row r="6997" spans="12:15" x14ac:dyDescent="0.25">
      <c r="L6997" s="147">
        <f ca="1"/>
        <v>52236</v>
      </c>
      <c r="M6997" s="92">
        <f t="shared" ca="1" si="229"/>
        <v>6.25</v>
      </c>
      <c r="N6997" s="143">
        <f ca="1">(PRODUCT($O$5:$O6997)-1)*36000/_xlfn.DAYS(L6997, $C$2)</f>
        <v>13.388303500920076</v>
      </c>
      <c r="O6997" s="149">
        <f t="shared" ca="1" si="230"/>
        <v>1.000173611111111</v>
      </c>
    </row>
    <row r="6998" spans="12:15" x14ac:dyDescent="0.25">
      <c r="L6998" s="147">
        <f ca="1"/>
        <v>52237</v>
      </c>
      <c r="M6998" s="92">
        <f t="shared" ca="1" si="229"/>
        <v>6.25</v>
      </c>
      <c r="N6998" s="143">
        <f ca="1">(PRODUCT($O$5:$O6998)-1)*36000/_xlfn.DAYS(L6998, $C$2)</f>
        <v>13.389606894359902</v>
      </c>
      <c r="O6998" s="149">
        <f t="shared" ca="1" si="230"/>
        <v>1.000173611111111</v>
      </c>
    </row>
    <row r="6999" spans="12:15" x14ac:dyDescent="0.25">
      <c r="L6999" s="147">
        <f ca="1"/>
        <v>52238</v>
      </c>
      <c r="M6999" s="92">
        <f t="shared" ca="1" si="229"/>
        <v>6.25</v>
      </c>
      <c r="N6999" s="143">
        <f ca="1">(PRODUCT($O$5:$O6999)-1)*36000/_xlfn.DAYS(L6999, $C$2)</f>
        <v>13.390910473675175</v>
      </c>
      <c r="O6999" s="149">
        <f t="shared" ca="1" si="230"/>
        <v>1.000173611111111</v>
      </c>
    </row>
    <row r="7000" spans="12:15" x14ac:dyDescent="0.25">
      <c r="L7000" s="147">
        <f ca="1"/>
        <v>52239</v>
      </c>
      <c r="M7000" s="92">
        <f t="shared" ca="1" si="229"/>
        <v>6.25</v>
      </c>
      <c r="N7000" s="143">
        <f ca="1">(PRODUCT($O$5:$O7000)-1)*36000/_xlfn.DAYS(L7000, $C$2)</f>
        <v>13.392214238883145</v>
      </c>
      <c r="O7000" s="149">
        <f t="shared" ca="1" si="230"/>
        <v>1.000173611111111</v>
      </c>
    </row>
    <row r="7001" spans="12:15" x14ac:dyDescent="0.25">
      <c r="L7001" s="147">
        <f ca="1"/>
        <v>52240</v>
      </c>
      <c r="M7001" s="92">
        <f t="shared" ca="1" si="229"/>
        <v>6.25</v>
      </c>
      <c r="N7001" s="143">
        <f ca="1">(PRODUCT($O$5:$O7001)-1)*36000/_xlfn.DAYS(L7001, $C$2)</f>
        <v>13.393518190001068</v>
      </c>
      <c r="O7001" s="149">
        <f t="shared" ca="1" si="230"/>
        <v>1.000173611111111</v>
      </c>
    </row>
    <row r="7002" spans="12:15" x14ac:dyDescent="0.25">
      <c r="L7002" s="147">
        <f ca="1"/>
        <v>52241</v>
      </c>
      <c r="M7002" s="92">
        <f t="shared" ca="1" si="229"/>
        <v>6.25</v>
      </c>
      <c r="N7002" s="143">
        <f ca="1">(PRODUCT($O$5:$O7002)-1)*36000/_xlfn.DAYS(L7002, $C$2)</f>
        <v>13.394822327046199</v>
      </c>
      <c r="O7002" s="149">
        <f t="shared" ca="1" si="230"/>
        <v>1.000173611111111</v>
      </c>
    </row>
    <row r="7003" spans="12:15" x14ac:dyDescent="0.25">
      <c r="L7003" s="147">
        <f ca="1"/>
        <v>52242</v>
      </c>
      <c r="M7003" s="92">
        <f t="shared" ca="1" si="229"/>
        <v>6.25</v>
      </c>
      <c r="N7003" s="143">
        <f ca="1">(PRODUCT($O$5:$O7003)-1)*36000/_xlfn.DAYS(L7003, $C$2)</f>
        <v>13.396126650035811</v>
      </c>
      <c r="O7003" s="149">
        <f t="shared" ca="1" si="230"/>
        <v>1.000173611111111</v>
      </c>
    </row>
    <row r="7004" spans="12:15" x14ac:dyDescent="0.25">
      <c r="L7004" s="147">
        <f ca="1"/>
        <v>52243</v>
      </c>
      <c r="M7004" s="92">
        <f t="shared" ca="1" si="229"/>
        <v>6.25</v>
      </c>
      <c r="N7004" s="143">
        <f ca="1">(PRODUCT($O$5:$O7004)-1)*36000/_xlfn.DAYS(L7004, $C$2)</f>
        <v>13.397431158987184</v>
      </c>
      <c r="O7004" s="149">
        <f t="shared" ca="1" si="230"/>
        <v>1.000173611111111</v>
      </c>
    </row>
    <row r="7005" spans="12:15" x14ac:dyDescent="0.25">
      <c r="L7005" s="147">
        <f ca="1"/>
        <v>52244</v>
      </c>
      <c r="M7005" s="92">
        <f t="shared" ca="1" si="229"/>
        <v>6.25</v>
      </c>
      <c r="N7005" s="143">
        <f ca="1">(PRODUCT($O$5:$O7005)-1)*36000/_xlfn.DAYS(L7005, $C$2)</f>
        <v>13.398735853917596</v>
      </c>
      <c r="O7005" s="149">
        <f t="shared" ca="1" si="230"/>
        <v>1.000173611111111</v>
      </c>
    </row>
    <row r="7006" spans="12:15" x14ac:dyDescent="0.25">
      <c r="L7006" s="147">
        <f ca="1"/>
        <v>52245</v>
      </c>
      <c r="M7006" s="92">
        <f t="shared" ca="1" si="229"/>
        <v>6.25</v>
      </c>
      <c r="N7006" s="143">
        <f ca="1">(PRODUCT($O$5:$O7006)-1)*36000/_xlfn.DAYS(L7006, $C$2)</f>
        <v>13.400040734844342</v>
      </c>
      <c r="O7006" s="149">
        <f t="shared" ca="1" si="230"/>
        <v>1.000173611111111</v>
      </c>
    </row>
    <row r="7007" spans="12:15" x14ac:dyDescent="0.25">
      <c r="L7007" s="147">
        <f ca="1"/>
        <v>52246</v>
      </c>
      <c r="M7007" s="92">
        <f t="shared" ca="1" si="229"/>
        <v>6.25</v>
      </c>
      <c r="N7007" s="143">
        <f ca="1">(PRODUCT($O$5:$O7007)-1)*36000/_xlfn.DAYS(L7007, $C$2)</f>
        <v>13.401345801784716</v>
      </c>
      <c r="O7007" s="149">
        <f t="shared" ca="1" si="230"/>
        <v>1.000173611111111</v>
      </c>
    </row>
    <row r="7008" spans="12:15" x14ac:dyDescent="0.25">
      <c r="L7008" s="147">
        <f ca="1"/>
        <v>52247</v>
      </c>
      <c r="M7008" s="92">
        <f t="shared" ca="1" si="229"/>
        <v>6.25</v>
      </c>
      <c r="N7008" s="143">
        <f ca="1">(PRODUCT($O$5:$O7008)-1)*36000/_xlfn.DAYS(L7008, $C$2)</f>
        <v>13.402651054756024</v>
      </c>
      <c r="O7008" s="149">
        <f t="shared" ca="1" si="230"/>
        <v>1.000173611111111</v>
      </c>
    </row>
    <row r="7009" spans="12:15" x14ac:dyDescent="0.25">
      <c r="L7009" s="147">
        <f ca="1"/>
        <v>52248</v>
      </c>
      <c r="M7009" s="92">
        <f t="shared" ca="1" si="229"/>
        <v>6.25</v>
      </c>
      <c r="N7009" s="143">
        <f ca="1">(PRODUCT($O$5:$O7009)-1)*36000/_xlfn.DAYS(L7009, $C$2)</f>
        <v>13.403956493775574</v>
      </c>
      <c r="O7009" s="149">
        <f t="shared" ca="1" si="230"/>
        <v>1.000173611111111</v>
      </c>
    </row>
    <row r="7010" spans="12:15" x14ac:dyDescent="0.25">
      <c r="L7010" s="147">
        <f ca="1"/>
        <v>52249</v>
      </c>
      <c r="M7010" s="92">
        <f t="shared" ca="1" si="229"/>
        <v>6.25</v>
      </c>
      <c r="N7010" s="143">
        <f ca="1">(PRODUCT($O$5:$O7010)-1)*36000/_xlfn.DAYS(L7010, $C$2)</f>
        <v>13.405262118860685</v>
      </c>
      <c r="O7010" s="149">
        <f t="shared" ca="1" si="230"/>
        <v>1.000173611111111</v>
      </c>
    </row>
    <row r="7011" spans="12:15" x14ac:dyDescent="0.25">
      <c r="L7011" s="147">
        <f ca="1"/>
        <v>52250</v>
      </c>
      <c r="M7011" s="92">
        <f t="shared" ca="1" si="229"/>
        <v>6.25</v>
      </c>
      <c r="N7011" s="143">
        <f ca="1">(PRODUCT($O$5:$O7011)-1)*36000/_xlfn.DAYS(L7011, $C$2)</f>
        <v>13.406567930028686</v>
      </c>
      <c r="O7011" s="149">
        <f t="shared" ca="1" si="230"/>
        <v>1.000173611111111</v>
      </c>
    </row>
    <row r="7012" spans="12:15" x14ac:dyDescent="0.25">
      <c r="L7012" s="147">
        <f ca="1"/>
        <v>52251</v>
      </c>
      <c r="M7012" s="92">
        <f t="shared" ca="1" si="229"/>
        <v>6.25</v>
      </c>
      <c r="N7012" s="143">
        <f ca="1">(PRODUCT($O$5:$O7012)-1)*36000/_xlfn.DAYS(L7012, $C$2)</f>
        <v>13.407873927296905</v>
      </c>
      <c r="O7012" s="149">
        <f t="shared" ca="1" si="230"/>
        <v>1.000173611111111</v>
      </c>
    </row>
    <row r="7013" spans="12:15" x14ac:dyDescent="0.25">
      <c r="L7013" s="147">
        <f ca="1"/>
        <v>52252</v>
      </c>
      <c r="M7013" s="92">
        <f t="shared" ca="1" si="229"/>
        <v>6.25</v>
      </c>
      <c r="N7013" s="143">
        <f ca="1">(PRODUCT($O$5:$O7013)-1)*36000/_xlfn.DAYS(L7013, $C$2)</f>
        <v>13.40918011068268</v>
      </c>
      <c r="O7013" s="149">
        <f t="shared" ca="1" si="230"/>
        <v>1.000173611111111</v>
      </c>
    </row>
    <row r="7014" spans="12:15" x14ac:dyDescent="0.25">
      <c r="L7014" s="147">
        <f ca="1"/>
        <v>52253</v>
      </c>
      <c r="M7014" s="92">
        <f t="shared" ca="1" si="229"/>
        <v>6.25</v>
      </c>
      <c r="N7014" s="143">
        <f ca="1">(PRODUCT($O$5:$O7014)-1)*36000/_xlfn.DAYS(L7014, $C$2)</f>
        <v>13.410486480203359</v>
      </c>
      <c r="O7014" s="149">
        <f t="shared" ca="1" si="230"/>
        <v>1.000173611111111</v>
      </c>
    </row>
    <row r="7015" spans="12:15" x14ac:dyDescent="0.25">
      <c r="L7015" s="147">
        <f ca="1"/>
        <v>52254</v>
      </c>
      <c r="M7015" s="92">
        <f t="shared" ca="1" si="229"/>
        <v>6.25</v>
      </c>
      <c r="N7015" s="143">
        <f ca="1">(PRODUCT($O$5:$O7015)-1)*36000/_xlfn.DAYS(L7015, $C$2)</f>
        <v>13.411793035876292</v>
      </c>
      <c r="O7015" s="149">
        <f t="shared" ca="1" si="230"/>
        <v>1.000173611111111</v>
      </c>
    </row>
    <row r="7016" spans="12:15" x14ac:dyDescent="0.25">
      <c r="L7016" s="147">
        <f ca="1"/>
        <v>52255</v>
      </c>
      <c r="M7016" s="92">
        <f t="shared" ca="1" si="229"/>
        <v>6.25</v>
      </c>
      <c r="N7016" s="143">
        <f ca="1">(PRODUCT($O$5:$O7016)-1)*36000/_xlfn.DAYS(L7016, $C$2)</f>
        <v>13.413099777718843</v>
      </c>
      <c r="O7016" s="149">
        <f t="shared" ca="1" si="230"/>
        <v>1.000173611111111</v>
      </c>
    </row>
    <row r="7017" spans="12:15" x14ac:dyDescent="0.25">
      <c r="L7017" s="147">
        <f ca="1"/>
        <v>52256</v>
      </c>
      <c r="M7017" s="92">
        <f t="shared" ca="1" si="229"/>
        <v>6.25</v>
      </c>
      <c r="N7017" s="143">
        <f ca="1">(PRODUCT($O$5:$O7017)-1)*36000/_xlfn.DAYS(L7017, $C$2)</f>
        <v>13.414406705748377</v>
      </c>
      <c r="O7017" s="149">
        <f t="shared" ca="1" si="230"/>
        <v>1.000173611111111</v>
      </c>
    </row>
    <row r="7018" spans="12:15" x14ac:dyDescent="0.25">
      <c r="L7018" s="147">
        <f ca="1"/>
        <v>52257</v>
      </c>
      <c r="M7018" s="92">
        <f t="shared" ca="1" si="229"/>
        <v>6.25</v>
      </c>
      <c r="N7018" s="143">
        <f ca="1">(PRODUCT($O$5:$O7018)-1)*36000/_xlfn.DAYS(L7018, $C$2)</f>
        <v>13.415713819982267</v>
      </c>
      <c r="O7018" s="149">
        <f t="shared" ca="1" si="230"/>
        <v>1.000173611111111</v>
      </c>
    </row>
    <row r="7019" spans="12:15" x14ac:dyDescent="0.25">
      <c r="L7019" s="147">
        <f ca="1"/>
        <v>52258</v>
      </c>
      <c r="M7019" s="92">
        <f t="shared" ca="1" si="229"/>
        <v>6.25</v>
      </c>
      <c r="N7019" s="143">
        <f ca="1">(PRODUCT($O$5:$O7019)-1)*36000/_xlfn.DAYS(L7019, $C$2)</f>
        <v>13.417021120437893</v>
      </c>
      <c r="O7019" s="149">
        <f t="shared" ca="1" si="230"/>
        <v>1.000173611111111</v>
      </c>
    </row>
    <row r="7020" spans="12:15" x14ac:dyDescent="0.25">
      <c r="L7020" s="147">
        <f ca="1"/>
        <v>52259</v>
      </c>
      <c r="M7020" s="92">
        <f t="shared" ca="1" si="229"/>
        <v>6.25</v>
      </c>
      <c r="N7020" s="143">
        <f ca="1">(PRODUCT($O$5:$O7020)-1)*36000/_xlfn.DAYS(L7020, $C$2)</f>
        <v>13.41832860713264</v>
      </c>
      <c r="O7020" s="149">
        <f t="shared" ca="1" si="230"/>
        <v>1.000173611111111</v>
      </c>
    </row>
    <row r="7021" spans="12:15" x14ac:dyDescent="0.25">
      <c r="L7021" s="147">
        <f ca="1"/>
        <v>52260</v>
      </c>
      <c r="M7021" s="92">
        <f t="shared" ca="1" si="229"/>
        <v>6.25</v>
      </c>
      <c r="N7021" s="143">
        <f ca="1">(PRODUCT($O$5:$O7021)-1)*36000/_xlfn.DAYS(L7021, $C$2)</f>
        <v>13.419636280083909</v>
      </c>
      <c r="O7021" s="149">
        <f t="shared" ca="1" si="230"/>
        <v>1.000173611111111</v>
      </c>
    </row>
    <row r="7022" spans="12:15" x14ac:dyDescent="0.25">
      <c r="L7022" s="147">
        <f ca="1"/>
        <v>52261</v>
      </c>
      <c r="M7022" s="92">
        <f t="shared" ca="1" si="229"/>
        <v>6.25</v>
      </c>
      <c r="N7022" s="143">
        <f ca="1">(PRODUCT($O$5:$O7022)-1)*36000/_xlfn.DAYS(L7022, $C$2)</f>
        <v>13.420944139309096</v>
      </c>
      <c r="O7022" s="149">
        <f t="shared" ca="1" si="230"/>
        <v>1.000173611111111</v>
      </c>
    </row>
    <row r="7023" spans="12:15" x14ac:dyDescent="0.25">
      <c r="L7023" s="147">
        <f ca="1"/>
        <v>52262</v>
      </c>
      <c r="M7023" s="92">
        <f t="shared" ca="1" si="229"/>
        <v>6.25</v>
      </c>
      <c r="N7023" s="143">
        <f ca="1">(PRODUCT($O$5:$O7023)-1)*36000/_xlfn.DAYS(L7023, $C$2)</f>
        <v>13.422252184825611</v>
      </c>
      <c r="O7023" s="149">
        <f t="shared" ca="1" si="230"/>
        <v>1.000173611111111</v>
      </c>
    </row>
    <row r="7024" spans="12:15" x14ac:dyDescent="0.25">
      <c r="L7024" s="147">
        <f ca="1"/>
        <v>52263</v>
      </c>
      <c r="M7024" s="92">
        <f t="shared" ca="1" si="229"/>
        <v>6.25</v>
      </c>
      <c r="N7024" s="143">
        <f ca="1">(PRODUCT($O$5:$O7024)-1)*36000/_xlfn.DAYS(L7024, $C$2)</f>
        <v>13.42356041665087</v>
      </c>
      <c r="O7024" s="149">
        <f t="shared" ca="1" si="230"/>
        <v>1.000173611111111</v>
      </c>
    </row>
    <row r="7025" spans="12:15" x14ac:dyDescent="0.25">
      <c r="L7025" s="147">
        <f ca="1"/>
        <v>52264</v>
      </c>
      <c r="M7025" s="92">
        <f t="shared" ca="1" si="229"/>
        <v>6.25</v>
      </c>
      <c r="N7025" s="143">
        <f ca="1">(PRODUCT($O$5:$O7025)-1)*36000/_xlfn.DAYS(L7025, $C$2)</f>
        <v>13.424868834802291</v>
      </c>
      <c r="O7025" s="149">
        <f t="shared" ca="1" si="230"/>
        <v>1.000173611111111</v>
      </c>
    </row>
    <row r="7026" spans="12:15" x14ac:dyDescent="0.25">
      <c r="L7026" s="147">
        <f ca="1"/>
        <v>52265</v>
      </c>
      <c r="M7026" s="92">
        <f t="shared" ca="1" si="229"/>
        <v>6.25</v>
      </c>
      <c r="N7026" s="143">
        <f ca="1">(PRODUCT($O$5:$O7026)-1)*36000/_xlfn.DAYS(L7026, $C$2)</f>
        <v>13.426177439297305</v>
      </c>
      <c r="O7026" s="149">
        <f t="shared" ca="1" si="230"/>
        <v>1.000173611111111</v>
      </c>
    </row>
    <row r="7027" spans="12:15" x14ac:dyDescent="0.25">
      <c r="L7027" s="147">
        <f ca="1"/>
        <v>52266</v>
      </c>
      <c r="M7027" s="92">
        <f t="shared" ca="1" si="229"/>
        <v>6.25</v>
      </c>
      <c r="N7027" s="143">
        <f ca="1">(PRODUCT($O$5:$O7027)-1)*36000/_xlfn.DAYS(L7027, $C$2)</f>
        <v>13.427486230153351</v>
      </c>
      <c r="O7027" s="149">
        <f t="shared" ca="1" si="230"/>
        <v>1.000173611111111</v>
      </c>
    </row>
    <row r="7028" spans="12:15" x14ac:dyDescent="0.25">
      <c r="L7028" s="147">
        <f ca="1"/>
        <v>52267</v>
      </c>
      <c r="M7028" s="92">
        <f t="shared" ca="1" si="229"/>
        <v>6.25</v>
      </c>
      <c r="N7028" s="143">
        <f ca="1">(PRODUCT($O$5:$O7028)-1)*36000/_xlfn.DAYS(L7028, $C$2)</f>
        <v>13.428795207387866</v>
      </c>
      <c r="O7028" s="149">
        <f t="shared" ca="1" si="230"/>
        <v>1.000173611111111</v>
      </c>
    </row>
    <row r="7029" spans="12:15" x14ac:dyDescent="0.25">
      <c r="L7029" s="147">
        <f ca="1"/>
        <v>52268</v>
      </c>
      <c r="M7029" s="92">
        <f t="shared" ca="1" si="229"/>
        <v>6.25</v>
      </c>
      <c r="N7029" s="143">
        <f ca="1">(PRODUCT($O$5:$O7029)-1)*36000/_xlfn.DAYS(L7029, $C$2)</f>
        <v>13.430104371018306</v>
      </c>
      <c r="O7029" s="149">
        <f t="shared" ca="1" si="230"/>
        <v>1.000173611111111</v>
      </c>
    </row>
    <row r="7030" spans="12:15" x14ac:dyDescent="0.25">
      <c r="L7030" s="147">
        <f ca="1"/>
        <v>52269</v>
      </c>
      <c r="M7030" s="92">
        <f t="shared" ca="1" si="229"/>
        <v>6.25</v>
      </c>
      <c r="N7030" s="143">
        <f ca="1">(PRODUCT($O$5:$O7030)-1)*36000/_xlfn.DAYS(L7030, $C$2)</f>
        <v>13.431413721062125</v>
      </c>
      <c r="O7030" s="149">
        <f t="shared" ca="1" si="230"/>
        <v>1.000173611111111</v>
      </c>
    </row>
    <row r="7031" spans="12:15" x14ac:dyDescent="0.25">
      <c r="L7031" s="147">
        <f ca="1"/>
        <v>52270</v>
      </c>
      <c r="M7031" s="92">
        <f t="shared" ca="1" si="229"/>
        <v>6.25</v>
      </c>
      <c r="N7031" s="143">
        <f ca="1">(PRODUCT($O$5:$O7031)-1)*36000/_xlfn.DAYS(L7031, $C$2)</f>
        <v>13.432723257536782</v>
      </c>
      <c r="O7031" s="149">
        <f t="shared" ca="1" si="230"/>
        <v>1.000173611111111</v>
      </c>
    </row>
    <row r="7032" spans="12:15" x14ac:dyDescent="0.25">
      <c r="L7032" s="147">
        <f ca="1"/>
        <v>52271</v>
      </c>
      <c r="M7032" s="92">
        <f t="shared" ca="1" si="229"/>
        <v>6.25</v>
      </c>
      <c r="N7032" s="143">
        <f ca="1">(PRODUCT($O$5:$O7032)-1)*36000/_xlfn.DAYS(L7032, $C$2)</f>
        <v>13.434032980459753</v>
      </c>
      <c r="O7032" s="149">
        <f t="shared" ca="1" si="230"/>
        <v>1.000173611111111</v>
      </c>
    </row>
    <row r="7033" spans="12:15" x14ac:dyDescent="0.25">
      <c r="L7033" s="147">
        <f ca="1"/>
        <v>52272</v>
      </c>
      <c r="M7033" s="92">
        <f t="shared" ca="1" si="229"/>
        <v>6.25</v>
      </c>
      <c r="N7033" s="143">
        <f ca="1">(PRODUCT($O$5:$O7033)-1)*36000/_xlfn.DAYS(L7033, $C$2)</f>
        <v>13.435342889848513</v>
      </c>
      <c r="O7033" s="149">
        <f t="shared" ca="1" si="230"/>
        <v>1.000173611111111</v>
      </c>
    </row>
    <row r="7034" spans="12:15" x14ac:dyDescent="0.25">
      <c r="L7034" s="147">
        <f ca="1"/>
        <v>52273</v>
      </c>
      <c r="M7034" s="92">
        <f t="shared" ca="1" si="229"/>
        <v>6.25</v>
      </c>
      <c r="N7034" s="143">
        <f ca="1">(PRODUCT($O$5:$O7034)-1)*36000/_xlfn.DAYS(L7034, $C$2)</f>
        <v>13.436652985720551</v>
      </c>
      <c r="O7034" s="149">
        <f t="shared" ca="1" si="230"/>
        <v>1.000173611111111</v>
      </c>
    </row>
    <row r="7035" spans="12:15" x14ac:dyDescent="0.25">
      <c r="L7035" s="147">
        <f ca="1"/>
        <v>52274</v>
      </c>
      <c r="M7035" s="92">
        <f t="shared" ca="1" si="229"/>
        <v>6.25</v>
      </c>
      <c r="N7035" s="143">
        <f ca="1">(PRODUCT($O$5:$O7035)-1)*36000/_xlfn.DAYS(L7035, $C$2)</f>
        <v>13.43796326809335</v>
      </c>
      <c r="O7035" s="149">
        <f t="shared" ca="1" si="230"/>
        <v>1.000173611111111</v>
      </c>
    </row>
    <row r="7036" spans="12:15" x14ac:dyDescent="0.25">
      <c r="L7036" s="147">
        <f ca="1"/>
        <v>52275</v>
      </c>
      <c r="M7036" s="92">
        <f t="shared" ca="1" si="229"/>
        <v>6.25</v>
      </c>
      <c r="N7036" s="143">
        <f ca="1">(PRODUCT($O$5:$O7036)-1)*36000/_xlfn.DAYS(L7036, $C$2)</f>
        <v>13.439273736984413</v>
      </c>
      <c r="O7036" s="149">
        <f t="shared" ca="1" si="230"/>
        <v>1.000173611111111</v>
      </c>
    </row>
    <row r="7037" spans="12:15" x14ac:dyDescent="0.25">
      <c r="L7037" s="147">
        <f ca="1"/>
        <v>52276</v>
      </c>
      <c r="M7037" s="92">
        <f t="shared" ca="1" si="229"/>
        <v>6.25</v>
      </c>
      <c r="N7037" s="143">
        <f ca="1">(PRODUCT($O$5:$O7037)-1)*36000/_xlfn.DAYS(L7037, $C$2)</f>
        <v>13.440584392411242</v>
      </c>
      <c r="O7037" s="149">
        <f t="shared" ca="1" si="230"/>
        <v>1.000173611111111</v>
      </c>
    </row>
    <row r="7038" spans="12:15" x14ac:dyDescent="0.25">
      <c r="L7038" s="147">
        <f ca="1"/>
        <v>52277</v>
      </c>
      <c r="M7038" s="92">
        <f t="shared" ca="1" si="229"/>
        <v>6.25</v>
      </c>
      <c r="N7038" s="143">
        <f ca="1">(PRODUCT($O$5:$O7038)-1)*36000/_xlfn.DAYS(L7038, $C$2)</f>
        <v>13.441895234391355</v>
      </c>
      <c r="O7038" s="149">
        <f t="shared" ca="1" si="230"/>
        <v>1.000173611111111</v>
      </c>
    </row>
    <row r="7039" spans="12:15" x14ac:dyDescent="0.25">
      <c r="L7039" s="147">
        <f ca="1"/>
        <v>52278</v>
      </c>
      <c r="M7039" s="92">
        <f t="shared" ca="1" si="229"/>
        <v>6.25</v>
      </c>
      <c r="N7039" s="143">
        <f ca="1">(PRODUCT($O$5:$O7039)-1)*36000/_xlfn.DAYS(L7039, $C$2)</f>
        <v>13.443206262942267</v>
      </c>
      <c r="O7039" s="149">
        <f t="shared" ca="1" si="230"/>
        <v>1.000173611111111</v>
      </c>
    </row>
    <row r="7040" spans="12:15" x14ac:dyDescent="0.25">
      <c r="L7040" s="147">
        <f ca="1"/>
        <v>52279</v>
      </c>
      <c r="M7040" s="92">
        <f t="shared" ca="1" si="229"/>
        <v>6.25</v>
      </c>
      <c r="N7040" s="143">
        <f ca="1">(PRODUCT($O$5:$O7040)-1)*36000/_xlfn.DAYS(L7040, $C$2)</f>
        <v>13.444517478081501</v>
      </c>
      <c r="O7040" s="149">
        <f t="shared" ca="1" si="230"/>
        <v>1.000173611111111</v>
      </c>
    </row>
    <row r="7041" spans="12:15" x14ac:dyDescent="0.25">
      <c r="L7041" s="147">
        <f ca="1"/>
        <v>52280</v>
      </c>
      <c r="M7041" s="92">
        <f t="shared" ca="1" si="229"/>
        <v>6.25</v>
      </c>
      <c r="N7041" s="143">
        <f ca="1">(PRODUCT($O$5:$O7041)-1)*36000/_xlfn.DAYS(L7041, $C$2)</f>
        <v>13.445828879826589</v>
      </c>
      <c r="O7041" s="149">
        <f t="shared" ca="1" si="230"/>
        <v>1.000173611111111</v>
      </c>
    </row>
    <row r="7042" spans="12:15" x14ac:dyDescent="0.25">
      <c r="L7042" s="147">
        <f ca="1"/>
        <v>52281</v>
      </c>
      <c r="M7042" s="92">
        <f t="shared" ca="1" si="229"/>
        <v>6.25</v>
      </c>
      <c r="N7042" s="143">
        <f ca="1">(PRODUCT($O$5:$O7042)-1)*36000/_xlfn.DAYS(L7042, $C$2)</f>
        <v>13.447140468195075</v>
      </c>
      <c r="O7042" s="149">
        <f t="shared" ca="1" si="230"/>
        <v>1.000173611111111</v>
      </c>
    </row>
    <row r="7043" spans="12:15" x14ac:dyDescent="0.25">
      <c r="L7043" s="147">
        <f ca="1"/>
        <v>52282</v>
      </c>
      <c r="M7043" s="92">
        <f t="shared" ca="1" si="229"/>
        <v>6.25</v>
      </c>
      <c r="N7043" s="143">
        <f ca="1">(PRODUCT($O$5:$O7043)-1)*36000/_xlfn.DAYS(L7043, $C$2)</f>
        <v>13.448452243204505</v>
      </c>
      <c r="O7043" s="149">
        <f t="shared" ca="1" si="230"/>
        <v>1.000173611111111</v>
      </c>
    </row>
    <row r="7044" spans="12:15" x14ac:dyDescent="0.25">
      <c r="L7044" s="147">
        <f ca="1"/>
        <v>52283</v>
      </c>
      <c r="M7044" s="92">
        <f t="shared" ca="1" si="229"/>
        <v>6.25</v>
      </c>
      <c r="N7044" s="143">
        <f ca="1">(PRODUCT($O$5:$O7044)-1)*36000/_xlfn.DAYS(L7044, $C$2)</f>
        <v>13.44976420487243</v>
      </c>
      <c r="O7044" s="149">
        <f t="shared" ca="1" si="230"/>
        <v>1.000173611111111</v>
      </c>
    </row>
    <row r="7045" spans="12:15" x14ac:dyDescent="0.25">
      <c r="L7045" s="147">
        <f ca="1"/>
        <v>52284</v>
      </c>
      <c r="M7045" s="92">
        <f t="shared" ref="M7045:M7108" ca="1" si="231">IFERROR(INDEX($E$27:$H$47, MATCH(L7045, $F$27:$F$47, 0), 4), IF(ISNUMBER(M7044), M7044, $C$5))</f>
        <v>6.25</v>
      </c>
      <c r="N7045" s="143">
        <f ca="1">(PRODUCT($O$5:$O7045)-1)*36000/_xlfn.DAYS(L7045, $C$2)</f>
        <v>13.451076353216409</v>
      </c>
      <c r="O7045" s="149">
        <f t="shared" ca="1" si="230"/>
        <v>1.000173611111111</v>
      </c>
    </row>
    <row r="7046" spans="12:15" x14ac:dyDescent="0.25">
      <c r="L7046" s="147">
        <f ca="1"/>
        <v>52285</v>
      </c>
      <c r="M7046" s="92">
        <f t="shared" ca="1" si="231"/>
        <v>6.25</v>
      </c>
      <c r="N7046" s="143">
        <f ca="1">(PRODUCT($O$5:$O7046)-1)*36000/_xlfn.DAYS(L7046, $C$2)</f>
        <v>13.452388688254011</v>
      </c>
      <c r="O7046" s="149">
        <f t="shared" ref="O7046:O7109" ca="1" si="232">1+M7046*IFERROR(_xlfn.DAYS(L7046, L7045), _xlfn.DAYS(L7046, $C$2))/36000</f>
        <v>1.000173611111111</v>
      </c>
    </row>
    <row r="7047" spans="12:15" x14ac:dyDescent="0.25">
      <c r="L7047" s="147">
        <f ca="1"/>
        <v>52286</v>
      </c>
      <c r="M7047" s="92">
        <f t="shared" ca="1" si="231"/>
        <v>6.25</v>
      </c>
      <c r="N7047" s="143">
        <f ca="1">(PRODUCT($O$5:$O7047)-1)*36000/_xlfn.DAYS(L7047, $C$2)</f>
        <v>13.45370121000281</v>
      </c>
      <c r="O7047" s="149">
        <f t="shared" ca="1" si="232"/>
        <v>1.000173611111111</v>
      </c>
    </row>
    <row r="7048" spans="12:15" x14ac:dyDescent="0.25">
      <c r="L7048" s="147">
        <f ca="1"/>
        <v>52287</v>
      </c>
      <c r="M7048" s="92">
        <f t="shared" ca="1" si="231"/>
        <v>6.25</v>
      </c>
      <c r="N7048" s="143">
        <f ca="1">(PRODUCT($O$5:$O7048)-1)*36000/_xlfn.DAYS(L7048, $C$2)</f>
        <v>13.455013918480384</v>
      </c>
      <c r="O7048" s="149">
        <f t="shared" ca="1" si="232"/>
        <v>1.000173611111111</v>
      </c>
    </row>
    <row r="7049" spans="12:15" x14ac:dyDescent="0.25">
      <c r="L7049" s="147">
        <f ca="1"/>
        <v>52288</v>
      </c>
      <c r="M7049" s="92">
        <f t="shared" ca="1" si="231"/>
        <v>6.25</v>
      </c>
      <c r="N7049" s="143">
        <f ca="1">(PRODUCT($O$5:$O7049)-1)*36000/_xlfn.DAYS(L7049, $C$2)</f>
        <v>13.456326813704324</v>
      </c>
      <c r="O7049" s="149">
        <f t="shared" ca="1" si="232"/>
        <v>1.000173611111111</v>
      </c>
    </row>
    <row r="7050" spans="12:15" x14ac:dyDescent="0.25">
      <c r="L7050" s="147">
        <f ca="1"/>
        <v>52289</v>
      </c>
      <c r="M7050" s="92">
        <f t="shared" ca="1" si="231"/>
        <v>6.25</v>
      </c>
      <c r="N7050" s="143">
        <f ca="1">(PRODUCT($O$5:$O7050)-1)*36000/_xlfn.DAYS(L7050, $C$2)</f>
        <v>13.457639895692221</v>
      </c>
      <c r="O7050" s="149">
        <f t="shared" ca="1" si="232"/>
        <v>1.000173611111111</v>
      </c>
    </row>
    <row r="7051" spans="12:15" x14ac:dyDescent="0.25">
      <c r="L7051" s="147">
        <f ca="1"/>
        <v>52290</v>
      </c>
      <c r="M7051" s="92">
        <f t="shared" ca="1" si="231"/>
        <v>6.25</v>
      </c>
      <c r="N7051" s="143">
        <f ca="1">(PRODUCT($O$5:$O7051)-1)*36000/_xlfn.DAYS(L7051, $C$2)</f>
        <v>13.458953164461679</v>
      </c>
      <c r="O7051" s="149">
        <f t="shared" ca="1" si="232"/>
        <v>1.000173611111111</v>
      </c>
    </row>
    <row r="7052" spans="12:15" x14ac:dyDescent="0.25">
      <c r="L7052" s="147">
        <f ca="1"/>
        <v>52291</v>
      </c>
      <c r="M7052" s="92">
        <f t="shared" ca="1" si="231"/>
        <v>6.25</v>
      </c>
      <c r="N7052" s="143">
        <f ca="1">(PRODUCT($O$5:$O7052)-1)*36000/_xlfn.DAYS(L7052, $C$2)</f>
        <v>13.460266620030303</v>
      </c>
      <c r="O7052" s="149">
        <f t="shared" ca="1" si="232"/>
        <v>1.000173611111111</v>
      </c>
    </row>
    <row r="7053" spans="12:15" x14ac:dyDescent="0.25">
      <c r="L7053" s="147">
        <f ca="1"/>
        <v>52292</v>
      </c>
      <c r="M7053" s="92">
        <f t="shared" ca="1" si="231"/>
        <v>6.25</v>
      </c>
      <c r="N7053" s="143">
        <f ca="1">(PRODUCT($O$5:$O7053)-1)*36000/_xlfn.DAYS(L7053, $C$2)</f>
        <v>13.461580262415712</v>
      </c>
      <c r="O7053" s="149">
        <f t="shared" ca="1" si="232"/>
        <v>1.000173611111111</v>
      </c>
    </row>
    <row r="7054" spans="12:15" x14ac:dyDescent="0.25">
      <c r="L7054" s="147">
        <f ca="1"/>
        <v>52293</v>
      </c>
      <c r="M7054" s="92">
        <f t="shared" ca="1" si="231"/>
        <v>6.25</v>
      </c>
      <c r="N7054" s="143">
        <f ca="1">(PRODUCT($O$5:$O7054)-1)*36000/_xlfn.DAYS(L7054, $C$2)</f>
        <v>13.462894091635524</v>
      </c>
      <c r="O7054" s="149">
        <f t="shared" ca="1" si="232"/>
        <v>1.000173611111111</v>
      </c>
    </row>
    <row r="7055" spans="12:15" x14ac:dyDescent="0.25">
      <c r="L7055" s="147">
        <f ca="1"/>
        <v>52294</v>
      </c>
      <c r="M7055" s="92">
        <f t="shared" ca="1" si="231"/>
        <v>6.25</v>
      </c>
      <c r="N7055" s="143">
        <f ca="1">(PRODUCT($O$5:$O7055)-1)*36000/_xlfn.DAYS(L7055, $C$2)</f>
        <v>13.464208107707371</v>
      </c>
      <c r="O7055" s="149">
        <f t="shared" ca="1" si="232"/>
        <v>1.000173611111111</v>
      </c>
    </row>
    <row r="7056" spans="12:15" x14ac:dyDescent="0.25">
      <c r="L7056" s="147">
        <f ca="1"/>
        <v>52295</v>
      </c>
      <c r="M7056" s="92">
        <f t="shared" ca="1" si="231"/>
        <v>6.25</v>
      </c>
      <c r="N7056" s="143">
        <f ca="1">(PRODUCT($O$5:$O7056)-1)*36000/_xlfn.DAYS(L7056, $C$2)</f>
        <v>13.465522310648888</v>
      </c>
      <c r="O7056" s="149">
        <f t="shared" ca="1" si="232"/>
        <v>1.000173611111111</v>
      </c>
    </row>
    <row r="7057" spans="12:15" x14ac:dyDescent="0.25">
      <c r="L7057" s="147">
        <f ca="1"/>
        <v>52296</v>
      </c>
      <c r="M7057" s="92">
        <f t="shared" ca="1" si="231"/>
        <v>6.25</v>
      </c>
      <c r="N7057" s="143">
        <f ca="1">(PRODUCT($O$5:$O7057)-1)*36000/_xlfn.DAYS(L7057, $C$2)</f>
        <v>13.466836700477716</v>
      </c>
      <c r="O7057" s="149">
        <f t="shared" ca="1" si="232"/>
        <v>1.000173611111111</v>
      </c>
    </row>
    <row r="7058" spans="12:15" x14ac:dyDescent="0.25">
      <c r="L7058" s="147">
        <f ca="1"/>
        <v>52297</v>
      </c>
      <c r="M7058" s="92">
        <f t="shared" ca="1" si="231"/>
        <v>6.25</v>
      </c>
      <c r="N7058" s="143">
        <f ca="1">(PRODUCT($O$5:$O7058)-1)*36000/_xlfn.DAYS(L7058, $C$2)</f>
        <v>13.468151277211504</v>
      </c>
      <c r="O7058" s="149">
        <f t="shared" ca="1" si="232"/>
        <v>1.000173611111111</v>
      </c>
    </row>
    <row r="7059" spans="12:15" x14ac:dyDescent="0.25">
      <c r="L7059" s="147">
        <f ca="1"/>
        <v>52298</v>
      </c>
      <c r="M7059" s="92">
        <f t="shared" ca="1" si="231"/>
        <v>6.25</v>
      </c>
      <c r="N7059" s="143">
        <f ca="1">(PRODUCT($O$5:$O7059)-1)*36000/_xlfn.DAYS(L7059, $C$2)</f>
        <v>13.469466040867909</v>
      </c>
      <c r="O7059" s="149">
        <f t="shared" ca="1" si="232"/>
        <v>1.000173611111111</v>
      </c>
    </row>
    <row r="7060" spans="12:15" x14ac:dyDescent="0.25">
      <c r="L7060" s="147">
        <f ca="1"/>
        <v>52299</v>
      </c>
      <c r="M7060" s="92">
        <f t="shared" ca="1" si="231"/>
        <v>6.25</v>
      </c>
      <c r="N7060" s="143">
        <f ca="1">(PRODUCT($O$5:$O7060)-1)*36000/_xlfn.DAYS(L7060, $C$2)</f>
        <v>13.470780991464597</v>
      </c>
      <c r="O7060" s="149">
        <f t="shared" ca="1" si="232"/>
        <v>1.000173611111111</v>
      </c>
    </row>
    <row r="7061" spans="12:15" x14ac:dyDescent="0.25">
      <c r="L7061" s="147">
        <f ca="1"/>
        <v>52300</v>
      </c>
      <c r="M7061" s="92">
        <f t="shared" ca="1" si="231"/>
        <v>6.25</v>
      </c>
      <c r="N7061" s="143">
        <f ca="1">(PRODUCT($O$5:$O7061)-1)*36000/_xlfn.DAYS(L7061, $C$2)</f>
        <v>13.472096129019233</v>
      </c>
      <c r="O7061" s="149">
        <f t="shared" ca="1" si="232"/>
        <v>1.000173611111111</v>
      </c>
    </row>
    <row r="7062" spans="12:15" x14ac:dyDescent="0.25">
      <c r="L7062" s="147">
        <f ca="1"/>
        <v>52301</v>
      </c>
      <c r="M7062" s="92">
        <f t="shared" ca="1" si="231"/>
        <v>6.25</v>
      </c>
      <c r="N7062" s="143">
        <f ca="1">(PRODUCT($O$5:$O7062)-1)*36000/_xlfn.DAYS(L7062, $C$2)</f>
        <v>13.473411453549497</v>
      </c>
      <c r="O7062" s="149">
        <f t="shared" ca="1" si="232"/>
        <v>1.000173611111111</v>
      </c>
    </row>
    <row r="7063" spans="12:15" x14ac:dyDescent="0.25">
      <c r="L7063" s="147">
        <f ca="1"/>
        <v>52302</v>
      </c>
      <c r="M7063" s="92">
        <f t="shared" ca="1" si="231"/>
        <v>6.25</v>
      </c>
      <c r="N7063" s="143">
        <f ca="1">(PRODUCT($O$5:$O7063)-1)*36000/_xlfn.DAYS(L7063, $C$2)</f>
        <v>13.474726965073069</v>
      </c>
      <c r="O7063" s="149">
        <f t="shared" ca="1" si="232"/>
        <v>1.000173611111111</v>
      </c>
    </row>
    <row r="7064" spans="12:15" x14ac:dyDescent="0.25">
      <c r="L7064" s="147">
        <f ca="1"/>
        <v>52303</v>
      </c>
      <c r="M7064" s="92">
        <f t="shared" ca="1" si="231"/>
        <v>6.25</v>
      </c>
      <c r="N7064" s="143">
        <f ca="1">(PRODUCT($O$5:$O7064)-1)*36000/_xlfn.DAYS(L7064, $C$2)</f>
        <v>13.476042663607643</v>
      </c>
      <c r="O7064" s="149">
        <f t="shared" ca="1" si="232"/>
        <v>1.000173611111111</v>
      </c>
    </row>
    <row r="7065" spans="12:15" x14ac:dyDescent="0.25">
      <c r="L7065" s="147">
        <f ca="1"/>
        <v>52304</v>
      </c>
      <c r="M7065" s="92">
        <f t="shared" ca="1" si="231"/>
        <v>6.25</v>
      </c>
      <c r="N7065" s="143">
        <f ca="1">(PRODUCT($O$5:$O7065)-1)*36000/_xlfn.DAYS(L7065, $C$2)</f>
        <v>13.477358549170917</v>
      </c>
      <c r="O7065" s="149">
        <f t="shared" ca="1" si="232"/>
        <v>1.000173611111111</v>
      </c>
    </row>
    <row r="7066" spans="12:15" x14ac:dyDescent="0.25">
      <c r="L7066" s="147">
        <f ca="1"/>
        <v>52305</v>
      </c>
      <c r="M7066" s="92">
        <f t="shared" ca="1" si="231"/>
        <v>6.25</v>
      </c>
      <c r="N7066" s="143">
        <f ca="1">(PRODUCT($O$5:$O7066)-1)*36000/_xlfn.DAYS(L7066, $C$2)</f>
        <v>13.47867462178059</v>
      </c>
      <c r="O7066" s="149">
        <f t="shared" ca="1" si="232"/>
        <v>1.000173611111111</v>
      </c>
    </row>
    <row r="7067" spans="12:15" x14ac:dyDescent="0.25">
      <c r="L7067" s="147">
        <f ca="1"/>
        <v>52306</v>
      </c>
      <c r="M7067" s="92">
        <f t="shared" ca="1" si="231"/>
        <v>6.25</v>
      </c>
      <c r="N7067" s="143">
        <f ca="1">(PRODUCT($O$5:$O7067)-1)*36000/_xlfn.DAYS(L7067, $C$2)</f>
        <v>13.479990881454375</v>
      </c>
      <c r="O7067" s="149">
        <f t="shared" ca="1" si="232"/>
        <v>1.000173611111111</v>
      </c>
    </row>
    <row r="7068" spans="12:15" x14ac:dyDescent="0.25">
      <c r="L7068" s="147">
        <f ca="1"/>
        <v>52307</v>
      </c>
      <c r="M7068" s="92">
        <f t="shared" ca="1" si="231"/>
        <v>6.25</v>
      </c>
      <c r="N7068" s="143">
        <f ca="1">(PRODUCT($O$5:$O7068)-1)*36000/_xlfn.DAYS(L7068, $C$2)</f>
        <v>13.48130732820999</v>
      </c>
      <c r="O7068" s="149">
        <f t="shared" ca="1" si="232"/>
        <v>1.000173611111111</v>
      </c>
    </row>
    <row r="7069" spans="12:15" x14ac:dyDescent="0.25">
      <c r="L7069" s="147">
        <f ca="1"/>
        <v>52308</v>
      </c>
      <c r="M7069" s="92">
        <f t="shared" ca="1" si="231"/>
        <v>6.25</v>
      </c>
      <c r="N7069" s="143">
        <f ca="1">(PRODUCT($O$5:$O7069)-1)*36000/_xlfn.DAYS(L7069, $C$2)</f>
        <v>13.482623962065162</v>
      </c>
      <c r="O7069" s="149">
        <f t="shared" ca="1" si="232"/>
        <v>1.000173611111111</v>
      </c>
    </row>
    <row r="7070" spans="12:15" x14ac:dyDescent="0.25">
      <c r="L7070" s="147">
        <f ca="1"/>
        <v>52309</v>
      </c>
      <c r="M7070" s="92">
        <f t="shared" ca="1" si="231"/>
        <v>6.25</v>
      </c>
      <c r="N7070" s="143">
        <f ca="1">(PRODUCT($O$5:$O7070)-1)*36000/_xlfn.DAYS(L7070, $C$2)</f>
        <v>13.483940783037619</v>
      </c>
      <c r="O7070" s="149">
        <f t="shared" ca="1" si="232"/>
        <v>1.000173611111111</v>
      </c>
    </row>
    <row r="7071" spans="12:15" x14ac:dyDescent="0.25">
      <c r="L7071" s="147">
        <f ca="1"/>
        <v>52310</v>
      </c>
      <c r="M7071" s="92">
        <f t="shared" ca="1" si="231"/>
        <v>6.25</v>
      </c>
      <c r="N7071" s="143">
        <f ca="1">(PRODUCT($O$5:$O7071)-1)*36000/_xlfn.DAYS(L7071, $C$2)</f>
        <v>13.485257791145106</v>
      </c>
      <c r="O7071" s="149">
        <f t="shared" ca="1" si="232"/>
        <v>1.000173611111111</v>
      </c>
    </row>
    <row r="7072" spans="12:15" x14ac:dyDescent="0.25">
      <c r="L7072" s="147">
        <f ca="1"/>
        <v>52311</v>
      </c>
      <c r="M7072" s="92">
        <f t="shared" ca="1" si="231"/>
        <v>6.25</v>
      </c>
      <c r="N7072" s="143">
        <f ca="1">(PRODUCT($O$5:$O7072)-1)*36000/_xlfn.DAYS(L7072, $C$2)</f>
        <v>13.486574986405358</v>
      </c>
      <c r="O7072" s="149">
        <f t="shared" ca="1" si="232"/>
        <v>1.000173611111111</v>
      </c>
    </row>
    <row r="7073" spans="12:15" x14ac:dyDescent="0.25">
      <c r="L7073" s="147">
        <f ca="1"/>
        <v>52312</v>
      </c>
      <c r="M7073" s="92">
        <f t="shared" ca="1" si="231"/>
        <v>6.25</v>
      </c>
      <c r="N7073" s="143">
        <f ca="1">(PRODUCT($O$5:$O7073)-1)*36000/_xlfn.DAYS(L7073, $C$2)</f>
        <v>13.487892368836134</v>
      </c>
      <c r="O7073" s="149">
        <f t="shared" ca="1" si="232"/>
        <v>1.000173611111111</v>
      </c>
    </row>
    <row r="7074" spans="12:15" x14ac:dyDescent="0.25">
      <c r="L7074" s="147">
        <f ca="1"/>
        <v>52313</v>
      </c>
      <c r="M7074" s="92">
        <f t="shared" ca="1" si="231"/>
        <v>6.25</v>
      </c>
      <c r="N7074" s="143">
        <f ca="1">(PRODUCT($O$5:$O7074)-1)*36000/_xlfn.DAYS(L7074, $C$2)</f>
        <v>13.489209938455192</v>
      </c>
      <c r="O7074" s="149">
        <f t="shared" ca="1" si="232"/>
        <v>1.000173611111111</v>
      </c>
    </row>
    <row r="7075" spans="12:15" x14ac:dyDescent="0.25">
      <c r="L7075" s="147">
        <f ca="1"/>
        <v>52314</v>
      </c>
      <c r="M7075" s="92">
        <f t="shared" ca="1" si="231"/>
        <v>6.25</v>
      </c>
      <c r="N7075" s="143">
        <f ca="1">(PRODUCT($O$5:$O7075)-1)*36000/_xlfn.DAYS(L7075, $C$2)</f>
        <v>13.490527695280294</v>
      </c>
      <c r="O7075" s="149">
        <f t="shared" ca="1" si="232"/>
        <v>1.000173611111111</v>
      </c>
    </row>
    <row r="7076" spans="12:15" x14ac:dyDescent="0.25">
      <c r="L7076" s="147">
        <f ca="1"/>
        <v>52315</v>
      </c>
      <c r="M7076" s="92">
        <f t="shared" ca="1" si="231"/>
        <v>6.25</v>
      </c>
      <c r="N7076" s="143">
        <f ca="1">(PRODUCT($O$5:$O7076)-1)*36000/_xlfn.DAYS(L7076, $C$2)</f>
        <v>13.491845639329213</v>
      </c>
      <c r="O7076" s="149">
        <f t="shared" ca="1" si="232"/>
        <v>1.000173611111111</v>
      </c>
    </row>
    <row r="7077" spans="12:15" x14ac:dyDescent="0.25">
      <c r="L7077" s="147">
        <f ca="1"/>
        <v>52316</v>
      </c>
      <c r="M7077" s="92">
        <f t="shared" ca="1" si="231"/>
        <v>6.25</v>
      </c>
      <c r="N7077" s="143">
        <f ca="1">(PRODUCT($O$5:$O7077)-1)*36000/_xlfn.DAYS(L7077, $C$2)</f>
        <v>13.493163770619734</v>
      </c>
      <c r="O7077" s="149">
        <f t="shared" ca="1" si="232"/>
        <v>1.000173611111111</v>
      </c>
    </row>
    <row r="7078" spans="12:15" x14ac:dyDescent="0.25">
      <c r="L7078" s="147">
        <f ca="1"/>
        <v>52317</v>
      </c>
      <c r="M7078" s="92">
        <f t="shared" ca="1" si="231"/>
        <v>6.25</v>
      </c>
      <c r="N7078" s="143">
        <f ca="1">(PRODUCT($O$5:$O7078)-1)*36000/_xlfn.DAYS(L7078, $C$2)</f>
        <v>13.494482089169635</v>
      </c>
      <c r="O7078" s="149">
        <f t="shared" ca="1" si="232"/>
        <v>1.000173611111111</v>
      </c>
    </row>
    <row r="7079" spans="12:15" x14ac:dyDescent="0.25">
      <c r="L7079" s="147">
        <f ca="1"/>
        <v>52318</v>
      </c>
      <c r="M7079" s="92">
        <f t="shared" ca="1" si="231"/>
        <v>6.25</v>
      </c>
      <c r="N7079" s="143">
        <f ca="1">(PRODUCT($O$5:$O7079)-1)*36000/_xlfn.DAYS(L7079, $C$2)</f>
        <v>13.495800594996712</v>
      </c>
      <c r="O7079" s="149">
        <f t="shared" ca="1" si="232"/>
        <v>1.000173611111111</v>
      </c>
    </row>
    <row r="7080" spans="12:15" x14ac:dyDescent="0.25">
      <c r="L7080" s="147">
        <f ca="1"/>
        <v>52319</v>
      </c>
      <c r="M7080" s="92">
        <f t="shared" ca="1" si="231"/>
        <v>6.25</v>
      </c>
      <c r="N7080" s="143">
        <f ca="1">(PRODUCT($O$5:$O7080)-1)*36000/_xlfn.DAYS(L7080, $C$2)</f>
        <v>13.497119288118768</v>
      </c>
      <c r="O7080" s="149">
        <f t="shared" ca="1" si="232"/>
        <v>1.000173611111111</v>
      </c>
    </row>
    <row r="7081" spans="12:15" x14ac:dyDescent="0.25">
      <c r="L7081" s="147">
        <f ca="1"/>
        <v>52320</v>
      </c>
      <c r="M7081" s="92">
        <f t="shared" ca="1" si="231"/>
        <v>6.25</v>
      </c>
      <c r="N7081" s="143">
        <f ca="1">(PRODUCT($O$5:$O7081)-1)*36000/_xlfn.DAYS(L7081, $C$2)</f>
        <v>13.498438168553605</v>
      </c>
      <c r="O7081" s="149">
        <f t="shared" ca="1" si="232"/>
        <v>1.000173611111111</v>
      </c>
    </row>
    <row r="7082" spans="12:15" x14ac:dyDescent="0.25">
      <c r="L7082" s="147">
        <f ca="1"/>
        <v>52321</v>
      </c>
      <c r="M7082" s="92">
        <f t="shared" ca="1" si="231"/>
        <v>6.25</v>
      </c>
      <c r="N7082" s="143">
        <f ca="1">(PRODUCT($O$5:$O7082)-1)*36000/_xlfn.DAYS(L7082, $C$2)</f>
        <v>13.499757236319038</v>
      </c>
      <c r="O7082" s="149">
        <f t="shared" ca="1" si="232"/>
        <v>1.000173611111111</v>
      </c>
    </row>
    <row r="7083" spans="12:15" x14ac:dyDescent="0.25">
      <c r="L7083" s="147">
        <f ca="1"/>
        <v>52322</v>
      </c>
      <c r="M7083" s="92">
        <f t="shared" ca="1" si="231"/>
        <v>6.25</v>
      </c>
      <c r="N7083" s="143">
        <f ca="1">(PRODUCT($O$5:$O7083)-1)*36000/_xlfn.DAYS(L7083, $C$2)</f>
        <v>13.501076491432887</v>
      </c>
      <c r="O7083" s="149">
        <f t="shared" ca="1" si="232"/>
        <v>1.000173611111111</v>
      </c>
    </row>
    <row r="7084" spans="12:15" x14ac:dyDescent="0.25">
      <c r="L7084" s="147">
        <f ca="1"/>
        <v>52323</v>
      </c>
      <c r="M7084" s="92">
        <f t="shared" ca="1" si="231"/>
        <v>6.25</v>
      </c>
      <c r="N7084" s="143">
        <f ca="1">(PRODUCT($O$5:$O7084)-1)*36000/_xlfn.DAYS(L7084, $C$2)</f>
        <v>13.502395933912979</v>
      </c>
      <c r="O7084" s="149">
        <f t="shared" ca="1" si="232"/>
        <v>1.000173611111111</v>
      </c>
    </row>
    <row r="7085" spans="12:15" x14ac:dyDescent="0.25">
      <c r="L7085" s="147">
        <f ca="1"/>
        <v>52324</v>
      </c>
      <c r="M7085" s="92">
        <f t="shared" ca="1" si="231"/>
        <v>6.25</v>
      </c>
      <c r="N7085" s="143">
        <f ca="1">(PRODUCT($O$5:$O7085)-1)*36000/_xlfn.DAYS(L7085, $C$2)</f>
        <v>13.503715563777147</v>
      </c>
      <c r="O7085" s="149">
        <f t="shared" ca="1" si="232"/>
        <v>1.000173611111111</v>
      </c>
    </row>
    <row r="7086" spans="12:15" x14ac:dyDescent="0.25">
      <c r="L7086" s="147">
        <f ca="1"/>
        <v>52325</v>
      </c>
      <c r="M7086" s="92">
        <f t="shared" ca="1" si="231"/>
        <v>6.25</v>
      </c>
      <c r="N7086" s="143">
        <f ca="1">(PRODUCT($O$5:$O7086)-1)*36000/_xlfn.DAYS(L7086, $C$2)</f>
        <v>13.505035381043234</v>
      </c>
      <c r="O7086" s="149">
        <f t="shared" ca="1" si="232"/>
        <v>1.000173611111111</v>
      </c>
    </row>
    <row r="7087" spans="12:15" x14ac:dyDescent="0.25">
      <c r="L7087" s="147">
        <f ca="1"/>
        <v>52326</v>
      </c>
      <c r="M7087" s="92">
        <f t="shared" ca="1" si="231"/>
        <v>6.25</v>
      </c>
      <c r="N7087" s="143">
        <f ca="1">(PRODUCT($O$5:$O7087)-1)*36000/_xlfn.DAYS(L7087, $C$2)</f>
        <v>13.506355385729083</v>
      </c>
      <c r="O7087" s="149">
        <f t="shared" ca="1" si="232"/>
        <v>1.000173611111111</v>
      </c>
    </row>
    <row r="7088" spans="12:15" x14ac:dyDescent="0.25">
      <c r="L7088" s="147">
        <f ca="1"/>
        <v>52327</v>
      </c>
      <c r="M7088" s="92">
        <f t="shared" ca="1" si="231"/>
        <v>6.25</v>
      </c>
      <c r="N7088" s="143">
        <f ca="1">(PRODUCT($O$5:$O7088)-1)*36000/_xlfn.DAYS(L7088, $C$2)</f>
        <v>13.507675577852552</v>
      </c>
      <c r="O7088" s="149">
        <f t="shared" ca="1" si="232"/>
        <v>1.000173611111111</v>
      </c>
    </row>
    <row r="7089" spans="12:15" x14ac:dyDescent="0.25">
      <c r="L7089" s="147">
        <f ca="1"/>
        <v>52328</v>
      </c>
      <c r="M7089" s="92">
        <f t="shared" ca="1" si="231"/>
        <v>6.25</v>
      </c>
      <c r="N7089" s="143">
        <f ca="1">(PRODUCT($O$5:$O7089)-1)*36000/_xlfn.DAYS(L7089, $C$2)</f>
        <v>13.508995957431498</v>
      </c>
      <c r="O7089" s="149">
        <f t="shared" ca="1" si="232"/>
        <v>1.000173611111111</v>
      </c>
    </row>
    <row r="7090" spans="12:15" x14ac:dyDescent="0.25">
      <c r="L7090" s="147">
        <f ca="1"/>
        <v>52329</v>
      </c>
      <c r="M7090" s="92">
        <f t="shared" ca="1" si="231"/>
        <v>6.25</v>
      </c>
      <c r="N7090" s="143">
        <f ca="1">(PRODUCT($O$5:$O7090)-1)*36000/_xlfn.DAYS(L7090, $C$2)</f>
        <v>13.510316524483793</v>
      </c>
      <c r="O7090" s="149">
        <f t="shared" ca="1" si="232"/>
        <v>1.000173611111111</v>
      </c>
    </row>
    <row r="7091" spans="12:15" x14ac:dyDescent="0.25">
      <c r="L7091" s="147">
        <f ca="1"/>
        <v>52330</v>
      </c>
      <c r="M7091" s="92">
        <f t="shared" ca="1" si="231"/>
        <v>6.25</v>
      </c>
      <c r="N7091" s="143">
        <f ca="1">(PRODUCT($O$5:$O7091)-1)*36000/_xlfn.DAYS(L7091, $C$2)</f>
        <v>13.511637279027308</v>
      </c>
      <c r="O7091" s="149">
        <f t="shared" ca="1" si="232"/>
        <v>1.000173611111111</v>
      </c>
    </row>
    <row r="7092" spans="12:15" x14ac:dyDescent="0.25">
      <c r="L7092" s="147">
        <f ca="1"/>
        <v>52331</v>
      </c>
      <c r="M7092" s="92">
        <f t="shared" ca="1" si="231"/>
        <v>6.25</v>
      </c>
      <c r="N7092" s="143">
        <f ca="1">(PRODUCT($O$5:$O7092)-1)*36000/_xlfn.DAYS(L7092, $C$2)</f>
        <v>13.512958221079925</v>
      </c>
      <c r="O7092" s="149">
        <f t="shared" ca="1" si="232"/>
        <v>1.000173611111111</v>
      </c>
    </row>
    <row r="7093" spans="12:15" x14ac:dyDescent="0.25">
      <c r="L7093" s="147">
        <f ca="1"/>
        <v>52332</v>
      </c>
      <c r="M7093" s="92">
        <f t="shared" ca="1" si="231"/>
        <v>6.25</v>
      </c>
      <c r="N7093" s="143">
        <f ca="1">(PRODUCT($O$5:$O7093)-1)*36000/_xlfn.DAYS(L7093, $C$2)</f>
        <v>13.514279350659535</v>
      </c>
      <c r="O7093" s="149">
        <f t="shared" ca="1" si="232"/>
        <v>1.000173611111111</v>
      </c>
    </row>
    <row r="7094" spans="12:15" x14ac:dyDescent="0.25">
      <c r="L7094" s="147">
        <f ca="1"/>
        <v>52333</v>
      </c>
      <c r="M7094" s="92">
        <f t="shared" ca="1" si="231"/>
        <v>6.25</v>
      </c>
      <c r="N7094" s="143">
        <f ca="1">(PRODUCT($O$5:$O7094)-1)*36000/_xlfn.DAYS(L7094, $C$2)</f>
        <v>13.515600667784028</v>
      </c>
      <c r="O7094" s="149">
        <f t="shared" ca="1" si="232"/>
        <v>1.000173611111111</v>
      </c>
    </row>
    <row r="7095" spans="12:15" x14ac:dyDescent="0.25">
      <c r="L7095" s="147">
        <f ca="1"/>
        <v>52334</v>
      </c>
      <c r="M7095" s="92">
        <f t="shared" ca="1" si="231"/>
        <v>6.25</v>
      </c>
      <c r="N7095" s="143">
        <f ca="1">(PRODUCT($O$5:$O7095)-1)*36000/_xlfn.DAYS(L7095, $C$2)</f>
        <v>13.516922172471311</v>
      </c>
      <c r="O7095" s="149">
        <f t="shared" ca="1" si="232"/>
        <v>1.000173611111111</v>
      </c>
    </row>
    <row r="7096" spans="12:15" x14ac:dyDescent="0.25">
      <c r="L7096" s="147">
        <f ca="1"/>
        <v>52335</v>
      </c>
      <c r="M7096" s="92">
        <f t="shared" ca="1" si="231"/>
        <v>6.25</v>
      </c>
      <c r="N7096" s="143">
        <f ca="1">(PRODUCT($O$5:$O7096)-1)*36000/_xlfn.DAYS(L7096, $C$2)</f>
        <v>13.518243864739288</v>
      </c>
      <c r="O7096" s="149">
        <f t="shared" ca="1" si="232"/>
        <v>1.000173611111111</v>
      </c>
    </row>
    <row r="7097" spans="12:15" x14ac:dyDescent="0.25">
      <c r="L7097" s="147">
        <f ca="1"/>
        <v>52336</v>
      </c>
      <c r="M7097" s="92">
        <f t="shared" ca="1" si="231"/>
        <v>6.25</v>
      </c>
      <c r="N7097" s="143">
        <f ca="1">(PRODUCT($O$5:$O7097)-1)*36000/_xlfn.DAYS(L7097, $C$2)</f>
        <v>13.519565744605874</v>
      </c>
      <c r="O7097" s="149">
        <f t="shared" ca="1" si="232"/>
        <v>1.000173611111111</v>
      </c>
    </row>
    <row r="7098" spans="12:15" x14ac:dyDescent="0.25">
      <c r="L7098" s="147">
        <f ca="1"/>
        <v>52337</v>
      </c>
      <c r="M7098" s="92">
        <f t="shared" ca="1" si="231"/>
        <v>6.25</v>
      </c>
      <c r="N7098" s="143">
        <f ca="1">(PRODUCT($O$5:$O7098)-1)*36000/_xlfn.DAYS(L7098, $C$2)</f>
        <v>13.520887812088995</v>
      </c>
      <c r="O7098" s="149">
        <f t="shared" ca="1" si="232"/>
        <v>1.000173611111111</v>
      </c>
    </row>
    <row r="7099" spans="12:15" x14ac:dyDescent="0.25">
      <c r="L7099" s="147">
        <f ca="1"/>
        <v>52338</v>
      </c>
      <c r="M7099" s="92">
        <f t="shared" ca="1" si="231"/>
        <v>6.25</v>
      </c>
      <c r="N7099" s="143">
        <f ca="1">(PRODUCT($O$5:$O7099)-1)*36000/_xlfn.DAYS(L7099, $C$2)</f>
        <v>13.522210067206577</v>
      </c>
      <c r="O7099" s="149">
        <f t="shared" ca="1" si="232"/>
        <v>1.000173611111111</v>
      </c>
    </row>
    <row r="7100" spans="12:15" x14ac:dyDescent="0.25">
      <c r="L7100" s="147">
        <f ca="1"/>
        <v>52339</v>
      </c>
      <c r="M7100" s="92">
        <f t="shared" ca="1" si="231"/>
        <v>6.25</v>
      </c>
      <c r="N7100" s="143">
        <f ca="1">(PRODUCT($O$5:$O7100)-1)*36000/_xlfn.DAYS(L7100, $C$2)</f>
        <v>13.523532509976558</v>
      </c>
      <c r="O7100" s="149">
        <f t="shared" ca="1" si="232"/>
        <v>1.000173611111111</v>
      </c>
    </row>
    <row r="7101" spans="12:15" x14ac:dyDescent="0.25">
      <c r="L7101" s="147">
        <f ca="1"/>
        <v>52340</v>
      </c>
      <c r="M7101" s="92">
        <f t="shared" ca="1" si="231"/>
        <v>6.25</v>
      </c>
      <c r="N7101" s="143">
        <f ca="1">(PRODUCT($O$5:$O7101)-1)*36000/_xlfn.DAYS(L7101, $C$2)</f>
        <v>13.524855140416875</v>
      </c>
      <c r="O7101" s="149">
        <f t="shared" ca="1" si="232"/>
        <v>1.000173611111111</v>
      </c>
    </row>
    <row r="7102" spans="12:15" x14ac:dyDescent="0.25">
      <c r="L7102" s="147">
        <f ca="1"/>
        <v>52341</v>
      </c>
      <c r="M7102" s="92">
        <f t="shared" ca="1" si="231"/>
        <v>6.25</v>
      </c>
      <c r="N7102" s="143">
        <f ca="1">(PRODUCT($O$5:$O7102)-1)*36000/_xlfn.DAYS(L7102, $C$2)</f>
        <v>13.526177958545484</v>
      </c>
      <c r="O7102" s="149">
        <f t="shared" ca="1" si="232"/>
        <v>1.000173611111111</v>
      </c>
    </row>
    <row r="7103" spans="12:15" x14ac:dyDescent="0.25">
      <c r="L7103" s="147">
        <f ca="1"/>
        <v>52342</v>
      </c>
      <c r="M7103" s="92">
        <f t="shared" ca="1" si="231"/>
        <v>6.25</v>
      </c>
      <c r="N7103" s="143">
        <f ca="1">(PRODUCT($O$5:$O7103)-1)*36000/_xlfn.DAYS(L7103, $C$2)</f>
        <v>13.527500964380337</v>
      </c>
      <c r="O7103" s="149">
        <f t="shared" ca="1" si="232"/>
        <v>1.000173611111111</v>
      </c>
    </row>
    <row r="7104" spans="12:15" x14ac:dyDescent="0.25">
      <c r="L7104" s="147">
        <f ca="1"/>
        <v>52343</v>
      </c>
      <c r="M7104" s="92">
        <f t="shared" ca="1" si="231"/>
        <v>6.25</v>
      </c>
      <c r="N7104" s="143">
        <f ca="1">(PRODUCT($O$5:$O7104)-1)*36000/_xlfn.DAYS(L7104, $C$2)</f>
        <v>13.528824157939393</v>
      </c>
      <c r="O7104" s="149">
        <f t="shared" ca="1" si="232"/>
        <v>1.000173611111111</v>
      </c>
    </row>
    <row r="7105" spans="12:15" x14ac:dyDescent="0.25">
      <c r="L7105" s="147">
        <f ca="1"/>
        <v>52344</v>
      </c>
      <c r="M7105" s="92">
        <f t="shared" ca="1" si="231"/>
        <v>6.25</v>
      </c>
      <c r="N7105" s="143">
        <f ca="1">(PRODUCT($O$5:$O7105)-1)*36000/_xlfn.DAYS(L7105, $C$2)</f>
        <v>13.530147539240629</v>
      </c>
      <c r="O7105" s="149">
        <f t="shared" ca="1" si="232"/>
        <v>1.000173611111111</v>
      </c>
    </row>
    <row r="7106" spans="12:15" x14ac:dyDescent="0.25">
      <c r="L7106" s="147">
        <f ca="1"/>
        <v>52345</v>
      </c>
      <c r="M7106" s="92">
        <f t="shared" ca="1" si="231"/>
        <v>6.25</v>
      </c>
      <c r="N7106" s="143">
        <f ca="1">(PRODUCT($O$5:$O7106)-1)*36000/_xlfn.DAYS(L7106, $C$2)</f>
        <v>13.531471108302014</v>
      </c>
      <c r="O7106" s="149">
        <f t="shared" ca="1" si="232"/>
        <v>1.000173611111111</v>
      </c>
    </row>
    <row r="7107" spans="12:15" x14ac:dyDescent="0.25">
      <c r="L7107" s="147">
        <f ca="1"/>
        <v>52346</v>
      </c>
      <c r="M7107" s="92">
        <f t="shared" ca="1" si="231"/>
        <v>6.25</v>
      </c>
      <c r="N7107" s="143">
        <f ca="1">(PRODUCT($O$5:$O7107)-1)*36000/_xlfn.DAYS(L7107, $C$2)</f>
        <v>13.532794865141538</v>
      </c>
      <c r="O7107" s="149">
        <f t="shared" ca="1" si="232"/>
        <v>1.000173611111111</v>
      </c>
    </row>
    <row r="7108" spans="12:15" x14ac:dyDescent="0.25">
      <c r="L7108" s="147">
        <f ca="1"/>
        <v>52347</v>
      </c>
      <c r="M7108" s="92">
        <f t="shared" ca="1" si="231"/>
        <v>6.25</v>
      </c>
      <c r="N7108" s="143">
        <f ca="1">(PRODUCT($O$5:$O7108)-1)*36000/_xlfn.DAYS(L7108, $C$2)</f>
        <v>13.534118809777182</v>
      </c>
      <c r="O7108" s="149">
        <f t="shared" ca="1" si="232"/>
        <v>1.000173611111111</v>
      </c>
    </row>
    <row r="7109" spans="12:15" x14ac:dyDescent="0.25">
      <c r="L7109" s="147">
        <f ca="1"/>
        <v>52348</v>
      </c>
      <c r="M7109" s="92">
        <f t="shared" ref="M7109:M7172" ca="1" si="233">IFERROR(INDEX($E$27:$H$47, MATCH(L7109, $F$27:$F$47, 0), 4), IF(ISNUMBER(M7108), M7108, $C$5))</f>
        <v>6.25</v>
      </c>
      <c r="N7109" s="143">
        <f ca="1">(PRODUCT($O$5:$O7109)-1)*36000/_xlfn.DAYS(L7109, $C$2)</f>
        <v>13.535442942226952</v>
      </c>
      <c r="O7109" s="149">
        <f t="shared" ca="1" si="232"/>
        <v>1.000173611111111</v>
      </c>
    </row>
    <row r="7110" spans="12:15" x14ac:dyDescent="0.25">
      <c r="L7110" s="147">
        <f ca="1"/>
        <v>52349</v>
      </c>
      <c r="M7110" s="92">
        <f t="shared" ca="1" si="233"/>
        <v>6.25</v>
      </c>
      <c r="N7110" s="143">
        <f ca="1">(PRODUCT($O$5:$O7110)-1)*36000/_xlfn.DAYS(L7110, $C$2)</f>
        <v>13.536767262508846</v>
      </c>
      <c r="O7110" s="149">
        <f t="shared" ref="O7110:O7173" ca="1" si="234">1+M7110*IFERROR(_xlfn.DAYS(L7110, L7109), _xlfn.DAYS(L7110, $C$2))/36000</f>
        <v>1.000173611111111</v>
      </c>
    </row>
    <row r="7111" spans="12:15" x14ac:dyDescent="0.25">
      <c r="L7111" s="147">
        <f ca="1"/>
        <v>52350</v>
      </c>
      <c r="M7111" s="92">
        <f t="shared" ca="1" si="233"/>
        <v>6.25</v>
      </c>
      <c r="N7111" s="143">
        <f ca="1">(PRODUCT($O$5:$O7111)-1)*36000/_xlfn.DAYS(L7111, $C$2)</f>
        <v>13.538091770640873</v>
      </c>
      <c r="O7111" s="149">
        <f t="shared" ca="1" si="234"/>
        <v>1.000173611111111</v>
      </c>
    </row>
    <row r="7112" spans="12:15" x14ac:dyDescent="0.25">
      <c r="L7112" s="147">
        <f ca="1"/>
        <v>52351</v>
      </c>
      <c r="M7112" s="92">
        <f t="shared" ca="1" si="233"/>
        <v>6.25</v>
      </c>
      <c r="N7112" s="143">
        <f ca="1">(PRODUCT($O$5:$O7112)-1)*36000/_xlfn.DAYS(L7112, $C$2)</f>
        <v>13.539416466641052</v>
      </c>
      <c r="O7112" s="149">
        <f t="shared" ca="1" si="234"/>
        <v>1.000173611111111</v>
      </c>
    </row>
    <row r="7113" spans="12:15" x14ac:dyDescent="0.25">
      <c r="L7113" s="147">
        <f ca="1"/>
        <v>52352</v>
      </c>
      <c r="M7113" s="92">
        <f t="shared" ca="1" si="233"/>
        <v>6.25</v>
      </c>
      <c r="N7113" s="143">
        <f ca="1">(PRODUCT($O$5:$O7113)-1)*36000/_xlfn.DAYS(L7113, $C$2)</f>
        <v>13.540741350527405</v>
      </c>
      <c r="O7113" s="149">
        <f t="shared" ca="1" si="234"/>
        <v>1.000173611111111</v>
      </c>
    </row>
    <row r="7114" spans="12:15" x14ac:dyDescent="0.25">
      <c r="L7114" s="147">
        <f ca="1"/>
        <v>52353</v>
      </c>
      <c r="M7114" s="92">
        <f t="shared" ca="1" si="233"/>
        <v>6.25</v>
      </c>
      <c r="N7114" s="143">
        <f ca="1">(PRODUCT($O$5:$O7114)-1)*36000/_xlfn.DAYS(L7114, $C$2)</f>
        <v>13.542066422317962</v>
      </c>
      <c r="O7114" s="149">
        <f t="shared" ca="1" si="234"/>
        <v>1.000173611111111</v>
      </c>
    </row>
    <row r="7115" spans="12:15" x14ac:dyDescent="0.25">
      <c r="L7115" s="147">
        <f ca="1"/>
        <v>52354</v>
      </c>
      <c r="M7115" s="92">
        <f t="shared" ca="1" si="233"/>
        <v>6.25</v>
      </c>
      <c r="N7115" s="143">
        <f ca="1">(PRODUCT($O$5:$O7115)-1)*36000/_xlfn.DAYS(L7115, $C$2)</f>
        <v>13.543391682030762</v>
      </c>
      <c r="O7115" s="149">
        <f t="shared" ca="1" si="234"/>
        <v>1.000173611111111</v>
      </c>
    </row>
    <row r="7116" spans="12:15" x14ac:dyDescent="0.25">
      <c r="L7116" s="147">
        <f ca="1"/>
        <v>52355</v>
      </c>
      <c r="M7116" s="92">
        <f t="shared" ca="1" si="233"/>
        <v>6.25</v>
      </c>
      <c r="N7116" s="143">
        <f ca="1">(PRODUCT($O$5:$O7116)-1)*36000/_xlfn.DAYS(L7116, $C$2)</f>
        <v>13.544717129683848</v>
      </c>
      <c r="O7116" s="149">
        <f t="shared" ca="1" si="234"/>
        <v>1.000173611111111</v>
      </c>
    </row>
    <row r="7117" spans="12:15" x14ac:dyDescent="0.25">
      <c r="L7117" s="147">
        <f ca="1"/>
        <v>52356</v>
      </c>
      <c r="M7117" s="92">
        <f t="shared" ca="1" si="233"/>
        <v>6.25</v>
      </c>
      <c r="N7117" s="143">
        <f ca="1">(PRODUCT($O$5:$O7117)-1)*36000/_xlfn.DAYS(L7117, $C$2)</f>
        <v>13.546042765295269</v>
      </c>
      <c r="O7117" s="149">
        <f t="shared" ca="1" si="234"/>
        <v>1.000173611111111</v>
      </c>
    </row>
    <row r="7118" spans="12:15" x14ac:dyDescent="0.25">
      <c r="L7118" s="147">
        <f ca="1"/>
        <v>52357</v>
      </c>
      <c r="M7118" s="92">
        <f t="shared" ca="1" si="233"/>
        <v>6.25</v>
      </c>
      <c r="N7118" s="143">
        <f ca="1">(PRODUCT($O$5:$O7118)-1)*36000/_xlfn.DAYS(L7118, $C$2)</f>
        <v>13.547368588883083</v>
      </c>
      <c r="O7118" s="149">
        <f t="shared" ca="1" si="234"/>
        <v>1.000173611111111</v>
      </c>
    </row>
    <row r="7119" spans="12:15" x14ac:dyDescent="0.25">
      <c r="L7119" s="147">
        <f ca="1"/>
        <v>52358</v>
      </c>
      <c r="M7119" s="92">
        <f t="shared" ca="1" si="233"/>
        <v>6.25</v>
      </c>
      <c r="N7119" s="143">
        <f ca="1">(PRODUCT($O$5:$O7119)-1)*36000/_xlfn.DAYS(L7119, $C$2)</f>
        <v>13.548694600465355</v>
      </c>
      <c r="O7119" s="149">
        <f t="shared" ca="1" si="234"/>
        <v>1.000173611111111</v>
      </c>
    </row>
    <row r="7120" spans="12:15" x14ac:dyDescent="0.25">
      <c r="L7120" s="147">
        <f ca="1"/>
        <v>52359</v>
      </c>
      <c r="M7120" s="92">
        <f t="shared" ca="1" si="233"/>
        <v>6.25</v>
      </c>
      <c r="N7120" s="143">
        <f ca="1">(PRODUCT($O$5:$O7120)-1)*36000/_xlfn.DAYS(L7120, $C$2)</f>
        <v>13.550020800060153</v>
      </c>
      <c r="O7120" s="149">
        <f t="shared" ca="1" si="234"/>
        <v>1.000173611111111</v>
      </c>
    </row>
    <row r="7121" spans="12:15" x14ac:dyDescent="0.25">
      <c r="L7121" s="147">
        <f ca="1"/>
        <v>52360</v>
      </c>
      <c r="M7121" s="92">
        <f t="shared" ca="1" si="233"/>
        <v>6.25</v>
      </c>
      <c r="N7121" s="143">
        <f ca="1">(PRODUCT($O$5:$O7121)-1)*36000/_xlfn.DAYS(L7121, $C$2)</f>
        <v>13.551347187685558</v>
      </c>
      <c r="O7121" s="149">
        <f t="shared" ca="1" si="234"/>
        <v>1.000173611111111</v>
      </c>
    </row>
    <row r="7122" spans="12:15" x14ac:dyDescent="0.25">
      <c r="L7122" s="147">
        <f ca="1"/>
        <v>52361</v>
      </c>
      <c r="M7122" s="92">
        <f t="shared" ca="1" si="233"/>
        <v>6.25</v>
      </c>
      <c r="N7122" s="143">
        <f ca="1">(PRODUCT($O$5:$O7122)-1)*36000/_xlfn.DAYS(L7122, $C$2)</f>
        <v>13.552673763359651</v>
      </c>
      <c r="O7122" s="149">
        <f t="shared" ca="1" si="234"/>
        <v>1.000173611111111</v>
      </c>
    </row>
    <row r="7123" spans="12:15" x14ac:dyDescent="0.25">
      <c r="L7123" s="147">
        <f ca="1"/>
        <v>52362</v>
      </c>
      <c r="M7123" s="92">
        <f t="shared" ca="1" si="233"/>
        <v>6.25</v>
      </c>
      <c r="N7123" s="143">
        <f ca="1">(PRODUCT($O$5:$O7123)-1)*36000/_xlfn.DAYS(L7123, $C$2)</f>
        <v>13.554000527100525</v>
      </c>
      <c r="O7123" s="149">
        <f t="shared" ca="1" si="234"/>
        <v>1.000173611111111</v>
      </c>
    </row>
    <row r="7124" spans="12:15" x14ac:dyDescent="0.25">
      <c r="L7124" s="147">
        <f ca="1"/>
        <v>52363</v>
      </c>
      <c r="M7124" s="92">
        <f t="shared" ca="1" si="233"/>
        <v>6.25</v>
      </c>
      <c r="N7124" s="143">
        <f ca="1">(PRODUCT($O$5:$O7124)-1)*36000/_xlfn.DAYS(L7124, $C$2)</f>
        <v>13.555327478926277</v>
      </c>
      <c r="O7124" s="149">
        <f t="shared" ca="1" si="234"/>
        <v>1.000173611111111</v>
      </c>
    </row>
    <row r="7125" spans="12:15" x14ac:dyDescent="0.25">
      <c r="L7125" s="147">
        <f ca="1"/>
        <v>52364</v>
      </c>
      <c r="M7125" s="92">
        <f t="shared" ca="1" si="233"/>
        <v>6.25</v>
      </c>
      <c r="N7125" s="143">
        <f ca="1">(PRODUCT($O$5:$O7125)-1)*36000/_xlfn.DAYS(L7125, $C$2)</f>
        <v>13.556654618855012</v>
      </c>
      <c r="O7125" s="149">
        <f t="shared" ca="1" si="234"/>
        <v>1.000173611111111</v>
      </c>
    </row>
    <row r="7126" spans="12:15" x14ac:dyDescent="0.25">
      <c r="L7126" s="147">
        <f ca="1"/>
        <v>52365</v>
      </c>
      <c r="M7126" s="92">
        <f t="shared" ca="1" si="233"/>
        <v>6.25</v>
      </c>
      <c r="N7126" s="143">
        <f ca="1">(PRODUCT($O$5:$O7126)-1)*36000/_xlfn.DAYS(L7126, $C$2)</f>
        <v>13.557981946904837</v>
      </c>
      <c r="O7126" s="149">
        <f t="shared" ca="1" si="234"/>
        <v>1.000173611111111</v>
      </c>
    </row>
    <row r="7127" spans="12:15" x14ac:dyDescent="0.25">
      <c r="L7127" s="147">
        <f ca="1"/>
        <v>52366</v>
      </c>
      <c r="M7127" s="92">
        <f t="shared" ca="1" si="233"/>
        <v>6.25</v>
      </c>
      <c r="N7127" s="143">
        <f ca="1">(PRODUCT($O$5:$O7127)-1)*36000/_xlfn.DAYS(L7127, $C$2)</f>
        <v>13.559309463093877</v>
      </c>
      <c r="O7127" s="149">
        <f t="shared" ca="1" si="234"/>
        <v>1.000173611111111</v>
      </c>
    </row>
    <row r="7128" spans="12:15" x14ac:dyDescent="0.25">
      <c r="L7128" s="147">
        <f ca="1"/>
        <v>52367</v>
      </c>
      <c r="M7128" s="92">
        <f t="shared" ca="1" si="233"/>
        <v>6.25</v>
      </c>
      <c r="N7128" s="143">
        <f ca="1">(PRODUCT($O$5:$O7128)-1)*36000/_xlfn.DAYS(L7128, $C$2)</f>
        <v>13.560637167440252</v>
      </c>
      <c r="O7128" s="149">
        <f t="shared" ca="1" si="234"/>
        <v>1.000173611111111</v>
      </c>
    </row>
    <row r="7129" spans="12:15" x14ac:dyDescent="0.25">
      <c r="L7129" s="147">
        <f ca="1"/>
        <v>52368</v>
      </c>
      <c r="M7129" s="92">
        <f t="shared" ca="1" si="233"/>
        <v>6.25</v>
      </c>
      <c r="N7129" s="143">
        <f ca="1">(PRODUCT($O$5:$O7129)-1)*36000/_xlfn.DAYS(L7129, $C$2)</f>
        <v>13.561965059962093</v>
      </c>
      <c r="O7129" s="149">
        <f t="shared" ca="1" si="234"/>
        <v>1.000173611111111</v>
      </c>
    </row>
    <row r="7130" spans="12:15" x14ac:dyDescent="0.25">
      <c r="L7130" s="147">
        <f ca="1"/>
        <v>52369</v>
      </c>
      <c r="M7130" s="92">
        <f t="shared" ca="1" si="233"/>
        <v>6.25</v>
      </c>
      <c r="N7130" s="143">
        <f ca="1">(PRODUCT($O$5:$O7130)-1)*36000/_xlfn.DAYS(L7130, $C$2)</f>
        <v>13.563293140677539</v>
      </c>
      <c r="O7130" s="149">
        <f t="shared" ca="1" si="234"/>
        <v>1.000173611111111</v>
      </c>
    </row>
    <row r="7131" spans="12:15" x14ac:dyDescent="0.25">
      <c r="L7131" s="147">
        <f ca="1"/>
        <v>52370</v>
      </c>
      <c r="M7131" s="92">
        <f t="shared" ca="1" si="233"/>
        <v>6.25</v>
      </c>
      <c r="N7131" s="143">
        <f ca="1">(PRODUCT($O$5:$O7131)-1)*36000/_xlfn.DAYS(L7131, $C$2)</f>
        <v>13.564621409604735</v>
      </c>
      <c r="O7131" s="149">
        <f t="shared" ca="1" si="234"/>
        <v>1.000173611111111</v>
      </c>
    </row>
    <row r="7132" spans="12:15" x14ac:dyDescent="0.25">
      <c r="L7132" s="147">
        <f ca="1"/>
        <v>52371</v>
      </c>
      <c r="M7132" s="92">
        <f t="shared" ca="1" si="233"/>
        <v>6.25</v>
      </c>
      <c r="N7132" s="143">
        <f ca="1">(PRODUCT($O$5:$O7132)-1)*36000/_xlfn.DAYS(L7132, $C$2)</f>
        <v>13.565949866761828</v>
      </c>
      <c r="O7132" s="149">
        <f t="shared" ca="1" si="234"/>
        <v>1.000173611111111</v>
      </c>
    </row>
    <row r="7133" spans="12:15" x14ac:dyDescent="0.25">
      <c r="L7133" s="147">
        <f ca="1"/>
        <v>52372</v>
      </c>
      <c r="M7133" s="92">
        <f t="shared" ca="1" si="233"/>
        <v>6.25</v>
      </c>
      <c r="N7133" s="143">
        <f ca="1">(PRODUCT($O$5:$O7133)-1)*36000/_xlfn.DAYS(L7133, $C$2)</f>
        <v>13.567278512166983</v>
      </c>
      <c r="O7133" s="149">
        <f t="shared" ca="1" si="234"/>
        <v>1.000173611111111</v>
      </c>
    </row>
    <row r="7134" spans="12:15" x14ac:dyDescent="0.25">
      <c r="L7134" s="147">
        <f ca="1"/>
        <v>52373</v>
      </c>
      <c r="M7134" s="92">
        <f t="shared" ca="1" si="233"/>
        <v>6.25</v>
      </c>
      <c r="N7134" s="143">
        <f ca="1">(PRODUCT($O$5:$O7134)-1)*36000/_xlfn.DAYS(L7134, $C$2)</f>
        <v>13.568607345838362</v>
      </c>
      <c r="O7134" s="149">
        <f t="shared" ca="1" si="234"/>
        <v>1.000173611111111</v>
      </c>
    </row>
    <row r="7135" spans="12:15" x14ac:dyDescent="0.25">
      <c r="L7135" s="147">
        <f ca="1"/>
        <v>52374</v>
      </c>
      <c r="M7135" s="92">
        <f t="shared" ca="1" si="233"/>
        <v>6.25</v>
      </c>
      <c r="N7135" s="143">
        <f ca="1">(PRODUCT($O$5:$O7135)-1)*36000/_xlfn.DAYS(L7135, $C$2)</f>
        <v>13.569936367794137</v>
      </c>
      <c r="O7135" s="149">
        <f t="shared" ca="1" si="234"/>
        <v>1.000173611111111</v>
      </c>
    </row>
    <row r="7136" spans="12:15" x14ac:dyDescent="0.25">
      <c r="L7136" s="147">
        <f ca="1"/>
        <v>52375</v>
      </c>
      <c r="M7136" s="92">
        <f t="shared" ca="1" si="233"/>
        <v>6.25</v>
      </c>
      <c r="N7136" s="143">
        <f ca="1">(PRODUCT($O$5:$O7136)-1)*36000/_xlfn.DAYS(L7136, $C$2)</f>
        <v>13.571265578052481</v>
      </c>
      <c r="O7136" s="149">
        <f t="shared" ca="1" si="234"/>
        <v>1.000173611111111</v>
      </c>
    </row>
    <row r="7137" spans="12:15" x14ac:dyDescent="0.25">
      <c r="L7137" s="147">
        <f ca="1"/>
        <v>52376</v>
      </c>
      <c r="M7137" s="92">
        <f t="shared" ca="1" si="233"/>
        <v>6.25</v>
      </c>
      <c r="N7137" s="143">
        <f ca="1">(PRODUCT($O$5:$O7137)-1)*36000/_xlfn.DAYS(L7137, $C$2)</f>
        <v>13.572594976631589</v>
      </c>
      <c r="O7137" s="149">
        <f t="shared" ca="1" si="234"/>
        <v>1.000173611111111</v>
      </c>
    </row>
    <row r="7138" spans="12:15" x14ac:dyDescent="0.25">
      <c r="L7138" s="147">
        <f ca="1"/>
        <v>52377</v>
      </c>
      <c r="M7138" s="92">
        <f t="shared" ca="1" si="233"/>
        <v>6.25</v>
      </c>
      <c r="N7138" s="143">
        <f ca="1">(PRODUCT($O$5:$O7138)-1)*36000/_xlfn.DAYS(L7138, $C$2)</f>
        <v>13.573924563549644</v>
      </c>
      <c r="O7138" s="149">
        <f t="shared" ca="1" si="234"/>
        <v>1.000173611111111</v>
      </c>
    </row>
    <row r="7139" spans="12:15" x14ac:dyDescent="0.25">
      <c r="L7139" s="147">
        <f ca="1"/>
        <v>52378</v>
      </c>
      <c r="M7139" s="92">
        <f t="shared" ca="1" si="233"/>
        <v>6.25</v>
      </c>
      <c r="N7139" s="143">
        <f ca="1">(PRODUCT($O$5:$O7139)-1)*36000/_xlfn.DAYS(L7139, $C$2)</f>
        <v>13.575254338824848</v>
      </c>
      <c r="O7139" s="149">
        <f t="shared" ca="1" si="234"/>
        <v>1.000173611111111</v>
      </c>
    </row>
    <row r="7140" spans="12:15" x14ac:dyDescent="0.25">
      <c r="L7140" s="147">
        <f ca="1"/>
        <v>52379</v>
      </c>
      <c r="M7140" s="92">
        <f t="shared" ca="1" si="233"/>
        <v>6.25</v>
      </c>
      <c r="N7140" s="143">
        <f ca="1">(PRODUCT($O$5:$O7140)-1)*36000/_xlfn.DAYS(L7140, $C$2)</f>
        <v>13.576584302475407</v>
      </c>
      <c r="O7140" s="149">
        <f t="shared" ca="1" si="234"/>
        <v>1.000173611111111</v>
      </c>
    </row>
    <row r="7141" spans="12:15" x14ac:dyDescent="0.25">
      <c r="L7141" s="147">
        <f ca="1"/>
        <v>52380</v>
      </c>
      <c r="M7141" s="92">
        <f t="shared" ca="1" si="233"/>
        <v>6.25</v>
      </c>
      <c r="N7141" s="143">
        <f ca="1">(PRODUCT($O$5:$O7141)-1)*36000/_xlfn.DAYS(L7141, $C$2)</f>
        <v>13.577914454519533</v>
      </c>
      <c r="O7141" s="149">
        <f t="shared" ca="1" si="234"/>
        <v>1.000173611111111</v>
      </c>
    </row>
    <row r="7142" spans="12:15" x14ac:dyDescent="0.25">
      <c r="L7142" s="147">
        <f ca="1"/>
        <v>52381</v>
      </c>
      <c r="M7142" s="92">
        <f t="shared" ca="1" si="233"/>
        <v>6.25</v>
      </c>
      <c r="N7142" s="143">
        <f ca="1">(PRODUCT($O$5:$O7142)-1)*36000/_xlfn.DAYS(L7142, $C$2)</f>
        <v>13.579244794975439</v>
      </c>
      <c r="O7142" s="149">
        <f t="shared" ca="1" si="234"/>
        <v>1.000173611111111</v>
      </c>
    </row>
    <row r="7143" spans="12:15" x14ac:dyDescent="0.25">
      <c r="L7143" s="147">
        <f ca="1"/>
        <v>52382</v>
      </c>
      <c r="M7143" s="92">
        <f t="shared" ca="1" si="233"/>
        <v>6.25</v>
      </c>
      <c r="N7143" s="143">
        <f ca="1">(PRODUCT($O$5:$O7143)-1)*36000/_xlfn.DAYS(L7143, $C$2)</f>
        <v>13.580575323861355</v>
      </c>
      <c r="O7143" s="149">
        <f t="shared" ca="1" si="234"/>
        <v>1.000173611111111</v>
      </c>
    </row>
    <row r="7144" spans="12:15" x14ac:dyDescent="0.25">
      <c r="L7144" s="147">
        <f ca="1"/>
        <v>52383</v>
      </c>
      <c r="M7144" s="92">
        <f t="shared" ca="1" si="233"/>
        <v>6.25</v>
      </c>
      <c r="N7144" s="143">
        <f ca="1">(PRODUCT($O$5:$O7144)-1)*36000/_xlfn.DAYS(L7144, $C$2)</f>
        <v>13.581906041195516</v>
      </c>
      <c r="O7144" s="149">
        <f t="shared" ca="1" si="234"/>
        <v>1.000173611111111</v>
      </c>
    </row>
    <row r="7145" spans="12:15" x14ac:dyDescent="0.25">
      <c r="L7145" s="147">
        <f ca="1"/>
        <v>52384</v>
      </c>
      <c r="M7145" s="92">
        <f t="shared" ca="1" si="233"/>
        <v>6.25</v>
      </c>
      <c r="N7145" s="143">
        <f ca="1">(PRODUCT($O$5:$O7145)-1)*36000/_xlfn.DAYS(L7145, $C$2)</f>
        <v>13.583236946996152</v>
      </c>
      <c r="O7145" s="149">
        <f t="shared" ca="1" si="234"/>
        <v>1.000173611111111</v>
      </c>
    </row>
    <row r="7146" spans="12:15" x14ac:dyDescent="0.25">
      <c r="L7146" s="147">
        <f ca="1"/>
        <v>52385</v>
      </c>
      <c r="M7146" s="92">
        <f t="shared" ca="1" si="233"/>
        <v>6.25</v>
      </c>
      <c r="N7146" s="143">
        <f ca="1">(PRODUCT($O$5:$O7146)-1)*36000/_xlfn.DAYS(L7146, $C$2)</f>
        <v>13.584568041281516</v>
      </c>
      <c r="O7146" s="149">
        <f t="shared" ca="1" si="234"/>
        <v>1.000173611111111</v>
      </c>
    </row>
    <row r="7147" spans="12:15" x14ac:dyDescent="0.25">
      <c r="L7147" s="147">
        <f ca="1"/>
        <v>52386</v>
      </c>
      <c r="M7147" s="92">
        <f t="shared" ca="1" si="233"/>
        <v>6.25</v>
      </c>
      <c r="N7147" s="143">
        <f ca="1">(PRODUCT($O$5:$O7147)-1)*36000/_xlfn.DAYS(L7147, $C$2)</f>
        <v>13.585899324069855</v>
      </c>
      <c r="O7147" s="149">
        <f t="shared" ca="1" si="234"/>
        <v>1.000173611111111</v>
      </c>
    </row>
    <row r="7148" spans="12:15" x14ac:dyDescent="0.25">
      <c r="L7148" s="147">
        <f ca="1"/>
        <v>52387</v>
      </c>
      <c r="M7148" s="92">
        <f t="shared" ca="1" si="233"/>
        <v>6.25</v>
      </c>
      <c r="N7148" s="143">
        <f ca="1">(PRODUCT($O$5:$O7148)-1)*36000/_xlfn.DAYS(L7148, $C$2)</f>
        <v>13.587230795379432</v>
      </c>
      <c r="O7148" s="149">
        <f t="shared" ca="1" si="234"/>
        <v>1.000173611111111</v>
      </c>
    </row>
    <row r="7149" spans="12:15" x14ac:dyDescent="0.25">
      <c r="L7149" s="147">
        <f ca="1"/>
        <v>52388</v>
      </c>
      <c r="M7149" s="92">
        <f t="shared" ca="1" si="233"/>
        <v>6.25</v>
      </c>
      <c r="N7149" s="143">
        <f ca="1">(PRODUCT($O$5:$O7149)-1)*36000/_xlfn.DAYS(L7149, $C$2)</f>
        <v>13.588562455228509</v>
      </c>
      <c r="O7149" s="149">
        <f t="shared" ca="1" si="234"/>
        <v>1.000173611111111</v>
      </c>
    </row>
    <row r="7150" spans="12:15" x14ac:dyDescent="0.25">
      <c r="L7150" s="147">
        <f ca="1"/>
        <v>52389</v>
      </c>
      <c r="M7150" s="92">
        <f t="shared" ca="1" si="233"/>
        <v>6.25</v>
      </c>
      <c r="N7150" s="143">
        <f ca="1">(PRODUCT($O$5:$O7150)-1)*36000/_xlfn.DAYS(L7150, $C$2)</f>
        <v>13.58989430363536</v>
      </c>
      <c r="O7150" s="149">
        <f t="shared" ca="1" si="234"/>
        <v>1.000173611111111</v>
      </c>
    </row>
    <row r="7151" spans="12:15" x14ac:dyDescent="0.25">
      <c r="L7151" s="147">
        <f ca="1"/>
        <v>52390</v>
      </c>
      <c r="M7151" s="92">
        <f t="shared" ca="1" si="233"/>
        <v>6.25</v>
      </c>
      <c r="N7151" s="143">
        <f ca="1">(PRODUCT($O$5:$O7151)-1)*36000/_xlfn.DAYS(L7151, $C$2)</f>
        <v>13.591226340618261</v>
      </c>
      <c r="O7151" s="149">
        <f t="shared" ca="1" si="234"/>
        <v>1.000173611111111</v>
      </c>
    </row>
    <row r="7152" spans="12:15" x14ac:dyDescent="0.25">
      <c r="L7152" s="147">
        <f ca="1"/>
        <v>52391</v>
      </c>
      <c r="M7152" s="92">
        <f t="shared" ca="1" si="233"/>
        <v>6.25</v>
      </c>
      <c r="N7152" s="143">
        <f ca="1">(PRODUCT($O$5:$O7152)-1)*36000/_xlfn.DAYS(L7152, $C$2)</f>
        <v>13.592558566195502</v>
      </c>
      <c r="O7152" s="149">
        <f t="shared" ca="1" si="234"/>
        <v>1.000173611111111</v>
      </c>
    </row>
    <row r="7153" spans="12:15" x14ac:dyDescent="0.25">
      <c r="L7153" s="147">
        <f ca="1"/>
        <v>52392</v>
      </c>
      <c r="M7153" s="92">
        <f t="shared" ca="1" si="233"/>
        <v>6.25</v>
      </c>
      <c r="N7153" s="143">
        <f ca="1">(PRODUCT($O$5:$O7153)-1)*36000/_xlfn.DAYS(L7153, $C$2)</f>
        <v>13.593890980385369</v>
      </c>
      <c r="O7153" s="149">
        <f t="shared" ca="1" si="234"/>
        <v>1.000173611111111</v>
      </c>
    </row>
    <row r="7154" spans="12:15" x14ac:dyDescent="0.25">
      <c r="L7154" s="147">
        <f ca="1"/>
        <v>52393</v>
      </c>
      <c r="M7154" s="92">
        <f t="shared" ca="1" si="233"/>
        <v>6.25</v>
      </c>
      <c r="N7154" s="143">
        <f ca="1">(PRODUCT($O$5:$O7154)-1)*36000/_xlfn.DAYS(L7154, $C$2)</f>
        <v>13.595223583206167</v>
      </c>
      <c r="O7154" s="149">
        <f t="shared" ca="1" si="234"/>
        <v>1.000173611111111</v>
      </c>
    </row>
    <row r="7155" spans="12:15" x14ac:dyDescent="0.25">
      <c r="L7155" s="147">
        <f ca="1"/>
        <v>52394</v>
      </c>
      <c r="M7155" s="92">
        <f t="shared" ca="1" si="233"/>
        <v>6.25</v>
      </c>
      <c r="N7155" s="143">
        <f ca="1">(PRODUCT($O$5:$O7155)-1)*36000/_xlfn.DAYS(L7155, $C$2)</f>
        <v>13.596556374676197</v>
      </c>
      <c r="O7155" s="149">
        <f t="shared" ca="1" si="234"/>
        <v>1.000173611111111</v>
      </c>
    </row>
    <row r="7156" spans="12:15" x14ac:dyDescent="0.25">
      <c r="L7156" s="147">
        <f ca="1"/>
        <v>52395</v>
      </c>
      <c r="M7156" s="92">
        <f t="shared" ca="1" si="233"/>
        <v>6.25</v>
      </c>
      <c r="N7156" s="143">
        <f ca="1">(PRODUCT($O$5:$O7156)-1)*36000/_xlfn.DAYS(L7156, $C$2)</f>
        <v>13.597889354813772</v>
      </c>
      <c r="O7156" s="149">
        <f t="shared" ca="1" si="234"/>
        <v>1.000173611111111</v>
      </c>
    </row>
    <row r="7157" spans="12:15" x14ac:dyDescent="0.25">
      <c r="L7157" s="147">
        <f ca="1"/>
        <v>52396</v>
      </c>
      <c r="M7157" s="92">
        <f t="shared" ca="1" si="233"/>
        <v>6.25</v>
      </c>
      <c r="N7157" s="143">
        <f ca="1">(PRODUCT($O$5:$O7157)-1)*36000/_xlfn.DAYS(L7157, $C$2)</f>
        <v>13.599222523637211</v>
      </c>
      <c r="O7157" s="149">
        <f t="shared" ca="1" si="234"/>
        <v>1.000173611111111</v>
      </c>
    </row>
    <row r="7158" spans="12:15" x14ac:dyDescent="0.25">
      <c r="L7158" s="147">
        <f ca="1"/>
        <v>52397</v>
      </c>
      <c r="M7158" s="92">
        <f t="shared" ca="1" si="233"/>
        <v>6.25</v>
      </c>
      <c r="N7158" s="143">
        <f ca="1">(PRODUCT($O$5:$O7158)-1)*36000/_xlfn.DAYS(L7158, $C$2)</f>
        <v>13.600555881164842</v>
      </c>
      <c r="O7158" s="149">
        <f t="shared" ca="1" si="234"/>
        <v>1.000173611111111</v>
      </c>
    </row>
    <row r="7159" spans="12:15" x14ac:dyDescent="0.25">
      <c r="L7159" s="147">
        <f ca="1"/>
        <v>52398</v>
      </c>
      <c r="M7159" s="92">
        <f t="shared" ca="1" si="233"/>
        <v>6.25</v>
      </c>
      <c r="N7159" s="143">
        <f ca="1">(PRODUCT($O$5:$O7159)-1)*36000/_xlfn.DAYS(L7159, $C$2)</f>
        <v>13.601889427414994</v>
      </c>
      <c r="O7159" s="149">
        <f t="shared" ca="1" si="234"/>
        <v>1.000173611111111</v>
      </c>
    </row>
    <row r="7160" spans="12:15" x14ac:dyDescent="0.25">
      <c r="L7160" s="147">
        <f ca="1"/>
        <v>52399</v>
      </c>
      <c r="M7160" s="92">
        <f t="shared" ca="1" si="233"/>
        <v>6.25</v>
      </c>
      <c r="N7160" s="143">
        <f ca="1">(PRODUCT($O$5:$O7160)-1)*36000/_xlfn.DAYS(L7160, $C$2)</f>
        <v>13.603223162406008</v>
      </c>
      <c r="O7160" s="149">
        <f t="shared" ca="1" si="234"/>
        <v>1.000173611111111</v>
      </c>
    </row>
    <row r="7161" spans="12:15" x14ac:dyDescent="0.25">
      <c r="L7161" s="147">
        <f ca="1"/>
        <v>52400</v>
      </c>
      <c r="M7161" s="92">
        <f t="shared" ca="1" si="233"/>
        <v>6.25</v>
      </c>
      <c r="N7161" s="143">
        <f ca="1">(PRODUCT($O$5:$O7161)-1)*36000/_xlfn.DAYS(L7161, $C$2)</f>
        <v>13.604557086156227</v>
      </c>
      <c r="O7161" s="149">
        <f t="shared" ca="1" si="234"/>
        <v>1.000173611111111</v>
      </c>
    </row>
    <row r="7162" spans="12:15" x14ac:dyDescent="0.25">
      <c r="L7162" s="147">
        <f ca="1"/>
        <v>52401</v>
      </c>
      <c r="M7162" s="92">
        <f t="shared" ca="1" si="233"/>
        <v>6.25</v>
      </c>
      <c r="N7162" s="143">
        <f ca="1">(PRODUCT($O$5:$O7162)-1)*36000/_xlfn.DAYS(L7162, $C$2)</f>
        <v>13.605891198684004</v>
      </c>
      <c r="O7162" s="149">
        <f t="shared" ca="1" si="234"/>
        <v>1.000173611111111</v>
      </c>
    </row>
    <row r="7163" spans="12:15" x14ac:dyDescent="0.25">
      <c r="L7163" s="147">
        <f ca="1"/>
        <v>52402</v>
      </c>
      <c r="M7163" s="92">
        <f t="shared" ca="1" si="233"/>
        <v>6.25</v>
      </c>
      <c r="N7163" s="143">
        <f ca="1">(PRODUCT($O$5:$O7163)-1)*36000/_xlfn.DAYS(L7163, $C$2)</f>
        <v>13.607225500007701</v>
      </c>
      <c r="O7163" s="149">
        <f t="shared" ca="1" si="234"/>
        <v>1.000173611111111</v>
      </c>
    </row>
    <row r="7164" spans="12:15" x14ac:dyDescent="0.25">
      <c r="L7164" s="147">
        <f ca="1"/>
        <v>52403</v>
      </c>
      <c r="M7164" s="92">
        <f t="shared" ca="1" si="233"/>
        <v>6.25</v>
      </c>
      <c r="N7164" s="143">
        <f ca="1">(PRODUCT($O$5:$O7164)-1)*36000/_xlfn.DAYS(L7164, $C$2)</f>
        <v>13.608559990145677</v>
      </c>
      <c r="O7164" s="149">
        <f t="shared" ca="1" si="234"/>
        <v>1.000173611111111</v>
      </c>
    </row>
    <row r="7165" spans="12:15" x14ac:dyDescent="0.25">
      <c r="L7165" s="147">
        <f ca="1"/>
        <v>52404</v>
      </c>
      <c r="M7165" s="92">
        <f t="shared" ca="1" si="233"/>
        <v>6.25</v>
      </c>
      <c r="N7165" s="143">
        <f ca="1">(PRODUCT($O$5:$O7165)-1)*36000/_xlfn.DAYS(L7165, $C$2)</f>
        <v>13.609894669116311</v>
      </c>
      <c r="O7165" s="149">
        <f t="shared" ca="1" si="234"/>
        <v>1.000173611111111</v>
      </c>
    </row>
    <row r="7166" spans="12:15" x14ac:dyDescent="0.25">
      <c r="L7166" s="147">
        <f ca="1"/>
        <v>52405</v>
      </c>
      <c r="M7166" s="92">
        <f t="shared" ca="1" si="233"/>
        <v>6.25</v>
      </c>
      <c r="N7166" s="143">
        <f ca="1">(PRODUCT($O$5:$O7166)-1)*36000/_xlfn.DAYS(L7166, $C$2)</f>
        <v>13.611229536937977</v>
      </c>
      <c r="O7166" s="149">
        <f t="shared" ca="1" si="234"/>
        <v>1.000173611111111</v>
      </c>
    </row>
    <row r="7167" spans="12:15" x14ac:dyDescent="0.25">
      <c r="L7167" s="147">
        <f ca="1"/>
        <v>52406</v>
      </c>
      <c r="M7167" s="92">
        <f t="shared" ca="1" si="233"/>
        <v>6.25</v>
      </c>
      <c r="N7167" s="143">
        <f ca="1">(PRODUCT($O$5:$O7167)-1)*36000/_xlfn.DAYS(L7167, $C$2)</f>
        <v>13.612564593629063</v>
      </c>
      <c r="O7167" s="149">
        <f t="shared" ca="1" si="234"/>
        <v>1.000173611111111</v>
      </c>
    </row>
    <row r="7168" spans="12:15" x14ac:dyDescent="0.25">
      <c r="L7168" s="147">
        <f ca="1"/>
        <v>52407</v>
      </c>
      <c r="M7168" s="92">
        <f t="shared" ca="1" si="233"/>
        <v>6.25</v>
      </c>
      <c r="N7168" s="143">
        <f ca="1">(PRODUCT($O$5:$O7168)-1)*36000/_xlfn.DAYS(L7168, $C$2)</f>
        <v>13.613899839207962</v>
      </c>
      <c r="O7168" s="149">
        <f t="shared" ca="1" si="234"/>
        <v>1.000173611111111</v>
      </c>
    </row>
    <row r="7169" spans="12:15" x14ac:dyDescent="0.25">
      <c r="L7169" s="147">
        <f ca="1"/>
        <v>52408</v>
      </c>
      <c r="M7169" s="92">
        <f t="shared" ca="1" si="233"/>
        <v>6.25</v>
      </c>
      <c r="N7169" s="143">
        <f ca="1">(PRODUCT($O$5:$O7169)-1)*36000/_xlfn.DAYS(L7169, $C$2)</f>
        <v>13.615235273693068</v>
      </c>
      <c r="O7169" s="149">
        <f t="shared" ca="1" si="234"/>
        <v>1.000173611111111</v>
      </c>
    </row>
    <row r="7170" spans="12:15" x14ac:dyDescent="0.25">
      <c r="L7170" s="147">
        <f ca="1"/>
        <v>52409</v>
      </c>
      <c r="M7170" s="92">
        <f t="shared" ca="1" si="233"/>
        <v>6.25</v>
      </c>
      <c r="N7170" s="143">
        <f ca="1">(PRODUCT($O$5:$O7170)-1)*36000/_xlfn.DAYS(L7170, $C$2)</f>
        <v>13.616570897102791</v>
      </c>
      <c r="O7170" s="149">
        <f t="shared" ca="1" si="234"/>
        <v>1.000173611111111</v>
      </c>
    </row>
    <row r="7171" spans="12:15" x14ac:dyDescent="0.25">
      <c r="L7171" s="147">
        <f ca="1"/>
        <v>52410</v>
      </c>
      <c r="M7171" s="92">
        <f t="shared" ca="1" si="233"/>
        <v>6.25</v>
      </c>
      <c r="N7171" s="143">
        <f ca="1">(PRODUCT($O$5:$O7171)-1)*36000/_xlfn.DAYS(L7171, $C$2)</f>
        <v>13.617906709455543</v>
      </c>
      <c r="O7171" s="149">
        <f t="shared" ca="1" si="234"/>
        <v>1.000173611111111</v>
      </c>
    </row>
    <row r="7172" spans="12:15" x14ac:dyDescent="0.25">
      <c r="L7172" s="147">
        <f ca="1"/>
        <v>52411</v>
      </c>
      <c r="M7172" s="92">
        <f t="shared" ca="1" si="233"/>
        <v>6.25</v>
      </c>
      <c r="N7172" s="143">
        <f ca="1">(PRODUCT($O$5:$O7172)-1)*36000/_xlfn.DAYS(L7172, $C$2)</f>
        <v>13.619242710769738</v>
      </c>
      <c r="O7172" s="149">
        <f t="shared" ca="1" si="234"/>
        <v>1.000173611111111</v>
      </c>
    </row>
    <row r="7173" spans="12:15" x14ac:dyDescent="0.25">
      <c r="L7173" s="147">
        <f ca="1"/>
        <v>52412</v>
      </c>
      <c r="M7173" s="92">
        <f t="shared" ref="M7173:M7236" ca="1" si="235">IFERROR(INDEX($E$27:$H$47, MATCH(L7173, $F$27:$F$47, 0), 4), IF(ISNUMBER(M7172), M7172, $C$5))</f>
        <v>6.25</v>
      </c>
      <c r="N7173" s="143">
        <f ca="1">(PRODUCT($O$5:$O7173)-1)*36000/_xlfn.DAYS(L7173, $C$2)</f>
        <v>13.620578901063805</v>
      </c>
      <c r="O7173" s="149">
        <f t="shared" ca="1" si="234"/>
        <v>1.000173611111111</v>
      </c>
    </row>
    <row r="7174" spans="12:15" x14ac:dyDescent="0.25">
      <c r="L7174" s="147">
        <f ca="1"/>
        <v>52413</v>
      </c>
      <c r="M7174" s="92">
        <f t="shared" ca="1" si="235"/>
        <v>6.25</v>
      </c>
      <c r="N7174" s="143">
        <f ca="1">(PRODUCT($O$5:$O7174)-1)*36000/_xlfn.DAYS(L7174, $C$2)</f>
        <v>13.621915280356179</v>
      </c>
      <c r="O7174" s="149">
        <f t="shared" ref="O7174:O7237" ca="1" si="236">1+M7174*IFERROR(_xlfn.DAYS(L7174, L7173), _xlfn.DAYS(L7174, $C$2))/36000</f>
        <v>1.000173611111111</v>
      </c>
    </row>
    <row r="7175" spans="12:15" x14ac:dyDescent="0.25">
      <c r="L7175" s="147">
        <f ca="1"/>
        <v>52414</v>
      </c>
      <c r="M7175" s="92">
        <f t="shared" ca="1" si="235"/>
        <v>6.25</v>
      </c>
      <c r="N7175" s="143">
        <f ca="1">(PRODUCT($O$5:$O7175)-1)*36000/_xlfn.DAYS(L7175, $C$2)</f>
        <v>13.623251848665292</v>
      </c>
      <c r="O7175" s="149">
        <f t="shared" ca="1" si="236"/>
        <v>1.000173611111111</v>
      </c>
    </row>
    <row r="7176" spans="12:15" x14ac:dyDescent="0.25">
      <c r="L7176" s="147">
        <f ca="1"/>
        <v>52415</v>
      </c>
      <c r="M7176" s="92">
        <f t="shared" ca="1" si="235"/>
        <v>6.25</v>
      </c>
      <c r="N7176" s="143">
        <f ca="1">(PRODUCT($O$5:$O7176)-1)*36000/_xlfn.DAYS(L7176, $C$2)</f>
        <v>13.624588606009594</v>
      </c>
      <c r="O7176" s="149">
        <f t="shared" ca="1" si="236"/>
        <v>1.000173611111111</v>
      </c>
    </row>
    <row r="7177" spans="12:15" x14ac:dyDescent="0.25">
      <c r="L7177" s="147">
        <f ca="1"/>
        <v>52416</v>
      </c>
      <c r="M7177" s="92">
        <f t="shared" ca="1" si="235"/>
        <v>6.25</v>
      </c>
      <c r="N7177" s="143">
        <f ca="1">(PRODUCT($O$5:$O7177)-1)*36000/_xlfn.DAYS(L7177, $C$2)</f>
        <v>13.625925552407534</v>
      </c>
      <c r="O7177" s="149">
        <f t="shared" ca="1" si="236"/>
        <v>1.000173611111111</v>
      </c>
    </row>
    <row r="7178" spans="12:15" x14ac:dyDescent="0.25">
      <c r="L7178" s="147">
        <f ca="1"/>
        <v>52417</v>
      </c>
      <c r="M7178" s="92">
        <f t="shared" ca="1" si="235"/>
        <v>6.25</v>
      </c>
      <c r="N7178" s="143">
        <f ca="1">(PRODUCT($O$5:$O7178)-1)*36000/_xlfn.DAYS(L7178, $C$2)</f>
        <v>13.627262687877574</v>
      </c>
      <c r="O7178" s="149">
        <f t="shared" ca="1" si="236"/>
        <v>1.000173611111111</v>
      </c>
    </row>
    <row r="7179" spans="12:15" x14ac:dyDescent="0.25">
      <c r="L7179" s="147">
        <f ca="1"/>
        <v>52418</v>
      </c>
      <c r="M7179" s="92">
        <f t="shared" ca="1" si="235"/>
        <v>6.25</v>
      </c>
      <c r="N7179" s="143">
        <f ca="1">(PRODUCT($O$5:$O7179)-1)*36000/_xlfn.DAYS(L7179, $C$2)</f>
        <v>13.628600012438179</v>
      </c>
      <c r="O7179" s="149">
        <f t="shared" ca="1" si="236"/>
        <v>1.000173611111111</v>
      </c>
    </row>
    <row r="7180" spans="12:15" x14ac:dyDescent="0.25">
      <c r="L7180" s="147">
        <f ca="1"/>
        <v>52419</v>
      </c>
      <c r="M7180" s="92">
        <f t="shared" ca="1" si="235"/>
        <v>6.25</v>
      </c>
      <c r="N7180" s="143">
        <f ca="1">(PRODUCT($O$5:$O7180)-1)*36000/_xlfn.DAYS(L7180, $C$2)</f>
        <v>13.629937526107815</v>
      </c>
      <c r="O7180" s="149">
        <f t="shared" ca="1" si="236"/>
        <v>1.000173611111111</v>
      </c>
    </row>
    <row r="7181" spans="12:15" x14ac:dyDescent="0.25">
      <c r="L7181" s="147">
        <f ca="1"/>
        <v>52420</v>
      </c>
      <c r="M7181" s="92">
        <f t="shared" ca="1" si="235"/>
        <v>6.25</v>
      </c>
      <c r="N7181" s="143">
        <f ca="1">(PRODUCT($O$5:$O7181)-1)*36000/_xlfn.DAYS(L7181, $C$2)</f>
        <v>13.631275228904967</v>
      </c>
      <c r="O7181" s="149">
        <f t="shared" ca="1" si="236"/>
        <v>1.000173611111111</v>
      </c>
    </row>
    <row r="7182" spans="12:15" x14ac:dyDescent="0.25">
      <c r="L7182" s="147">
        <f ca="1"/>
        <v>52421</v>
      </c>
      <c r="M7182" s="92">
        <f t="shared" ca="1" si="235"/>
        <v>6.25</v>
      </c>
      <c r="N7182" s="143">
        <f ca="1">(PRODUCT($O$5:$O7182)-1)*36000/_xlfn.DAYS(L7182, $C$2)</f>
        <v>13.632613120848116</v>
      </c>
      <c r="O7182" s="149">
        <f t="shared" ca="1" si="236"/>
        <v>1.000173611111111</v>
      </c>
    </row>
    <row r="7183" spans="12:15" x14ac:dyDescent="0.25">
      <c r="L7183" s="147">
        <f ca="1"/>
        <v>52422</v>
      </c>
      <c r="M7183" s="92">
        <f t="shared" ca="1" si="235"/>
        <v>6.25</v>
      </c>
      <c r="N7183" s="143">
        <f ca="1">(PRODUCT($O$5:$O7183)-1)*36000/_xlfn.DAYS(L7183, $C$2)</f>
        <v>13.633951201955757</v>
      </c>
      <c r="O7183" s="149">
        <f t="shared" ca="1" si="236"/>
        <v>1.000173611111111</v>
      </c>
    </row>
    <row r="7184" spans="12:15" x14ac:dyDescent="0.25">
      <c r="L7184" s="147">
        <f ca="1"/>
        <v>52423</v>
      </c>
      <c r="M7184" s="92">
        <f t="shared" ca="1" si="235"/>
        <v>6.25</v>
      </c>
      <c r="N7184" s="143">
        <f ca="1">(PRODUCT($O$5:$O7184)-1)*36000/_xlfn.DAYS(L7184, $C$2)</f>
        <v>13.635289472246386</v>
      </c>
      <c r="O7184" s="149">
        <f t="shared" ca="1" si="236"/>
        <v>1.000173611111111</v>
      </c>
    </row>
    <row r="7185" spans="12:15" x14ac:dyDescent="0.25">
      <c r="L7185" s="147">
        <f ca="1"/>
        <v>52424</v>
      </c>
      <c r="M7185" s="92">
        <f t="shared" ca="1" si="235"/>
        <v>6.25</v>
      </c>
      <c r="N7185" s="143">
        <f ca="1">(PRODUCT($O$5:$O7185)-1)*36000/_xlfn.DAYS(L7185, $C$2)</f>
        <v>13.636627931738509</v>
      </c>
      <c r="O7185" s="149">
        <f t="shared" ca="1" si="236"/>
        <v>1.000173611111111</v>
      </c>
    </row>
    <row r="7186" spans="12:15" x14ac:dyDescent="0.25">
      <c r="L7186" s="147">
        <f ca="1"/>
        <v>52425</v>
      </c>
      <c r="M7186" s="92">
        <f t="shared" ca="1" si="235"/>
        <v>6.25</v>
      </c>
      <c r="N7186" s="143">
        <f ca="1">(PRODUCT($O$5:$O7186)-1)*36000/_xlfn.DAYS(L7186, $C$2)</f>
        <v>13.637966580450637</v>
      </c>
      <c r="O7186" s="149">
        <f t="shared" ca="1" si="236"/>
        <v>1.000173611111111</v>
      </c>
    </row>
    <row r="7187" spans="12:15" x14ac:dyDescent="0.25">
      <c r="L7187" s="147">
        <f ca="1"/>
        <v>52426</v>
      </c>
      <c r="M7187" s="92">
        <f t="shared" ca="1" si="235"/>
        <v>6.25</v>
      </c>
      <c r="N7187" s="143">
        <f ca="1">(PRODUCT($O$5:$O7187)-1)*36000/_xlfn.DAYS(L7187, $C$2)</f>
        <v>13.639305418401293</v>
      </c>
      <c r="O7187" s="149">
        <f t="shared" ca="1" si="236"/>
        <v>1.000173611111111</v>
      </c>
    </row>
    <row r="7188" spans="12:15" x14ac:dyDescent="0.25">
      <c r="L7188" s="147">
        <f ca="1"/>
        <v>52427</v>
      </c>
      <c r="M7188" s="92">
        <f t="shared" ca="1" si="235"/>
        <v>6.25</v>
      </c>
      <c r="N7188" s="143">
        <f ca="1">(PRODUCT($O$5:$O7188)-1)*36000/_xlfn.DAYS(L7188, $C$2)</f>
        <v>13.640644445608991</v>
      </c>
      <c r="O7188" s="149">
        <f t="shared" ca="1" si="236"/>
        <v>1.000173611111111</v>
      </c>
    </row>
    <row r="7189" spans="12:15" x14ac:dyDescent="0.25">
      <c r="L7189" s="147">
        <f ca="1"/>
        <v>52428</v>
      </c>
      <c r="M7189" s="92">
        <f t="shared" ca="1" si="235"/>
        <v>6.25</v>
      </c>
      <c r="N7189" s="143">
        <f ca="1">(PRODUCT($O$5:$O7189)-1)*36000/_xlfn.DAYS(L7189, $C$2)</f>
        <v>13.641983662092274</v>
      </c>
      <c r="O7189" s="149">
        <f t="shared" ca="1" si="236"/>
        <v>1.000173611111111</v>
      </c>
    </row>
    <row r="7190" spans="12:15" x14ac:dyDescent="0.25">
      <c r="L7190" s="147">
        <f ca="1"/>
        <v>52429</v>
      </c>
      <c r="M7190" s="92">
        <f t="shared" ca="1" si="235"/>
        <v>6.25</v>
      </c>
      <c r="N7190" s="143">
        <f ca="1">(PRODUCT($O$5:$O7190)-1)*36000/_xlfn.DAYS(L7190, $C$2)</f>
        <v>13.643323067869673</v>
      </c>
      <c r="O7190" s="149">
        <f t="shared" ca="1" si="236"/>
        <v>1.000173611111111</v>
      </c>
    </row>
    <row r="7191" spans="12:15" x14ac:dyDescent="0.25">
      <c r="L7191" s="147">
        <f ca="1"/>
        <v>52430</v>
      </c>
      <c r="M7191" s="92">
        <f t="shared" ca="1" si="235"/>
        <v>6.25</v>
      </c>
      <c r="N7191" s="143">
        <f ca="1">(PRODUCT($O$5:$O7191)-1)*36000/_xlfn.DAYS(L7191, $C$2)</f>
        <v>13.644662662959734</v>
      </c>
      <c r="O7191" s="149">
        <f t="shared" ca="1" si="236"/>
        <v>1.000173611111111</v>
      </c>
    </row>
    <row r="7192" spans="12:15" x14ac:dyDescent="0.25">
      <c r="L7192" s="147">
        <f ca="1"/>
        <v>52431</v>
      </c>
      <c r="M7192" s="92">
        <f t="shared" ca="1" si="235"/>
        <v>6.25</v>
      </c>
      <c r="N7192" s="143">
        <f ca="1">(PRODUCT($O$5:$O7192)-1)*36000/_xlfn.DAYS(L7192, $C$2)</f>
        <v>13.646002447381012</v>
      </c>
      <c r="O7192" s="149">
        <f t="shared" ca="1" si="236"/>
        <v>1.000173611111111</v>
      </c>
    </row>
    <row r="7193" spans="12:15" x14ac:dyDescent="0.25">
      <c r="L7193" s="147">
        <f ca="1"/>
        <v>52432</v>
      </c>
      <c r="M7193" s="92">
        <f t="shared" ca="1" si="235"/>
        <v>6.25</v>
      </c>
      <c r="N7193" s="143">
        <f ca="1">(PRODUCT($O$5:$O7193)-1)*36000/_xlfn.DAYS(L7193, $C$2)</f>
        <v>13.647342421152061</v>
      </c>
      <c r="O7193" s="149">
        <f t="shared" ca="1" si="236"/>
        <v>1.000173611111111</v>
      </c>
    </row>
    <row r="7194" spans="12:15" x14ac:dyDescent="0.25">
      <c r="L7194" s="147">
        <f ca="1"/>
        <v>52433</v>
      </c>
      <c r="M7194" s="92">
        <f t="shared" ca="1" si="235"/>
        <v>6.25</v>
      </c>
      <c r="N7194" s="143">
        <f ca="1">(PRODUCT($O$5:$O7194)-1)*36000/_xlfn.DAYS(L7194, $C$2)</f>
        <v>13.648682584291445</v>
      </c>
      <c r="O7194" s="149">
        <f t="shared" ca="1" si="236"/>
        <v>1.000173611111111</v>
      </c>
    </row>
    <row r="7195" spans="12:15" x14ac:dyDescent="0.25">
      <c r="L7195" s="147">
        <f ca="1"/>
        <v>52434</v>
      </c>
      <c r="M7195" s="92">
        <f t="shared" ca="1" si="235"/>
        <v>6.25</v>
      </c>
      <c r="N7195" s="143">
        <f ca="1">(PRODUCT($O$5:$O7195)-1)*36000/_xlfn.DAYS(L7195, $C$2)</f>
        <v>13.65002293681774</v>
      </c>
      <c r="O7195" s="149">
        <f t="shared" ca="1" si="236"/>
        <v>1.000173611111111</v>
      </c>
    </row>
    <row r="7196" spans="12:15" x14ac:dyDescent="0.25">
      <c r="L7196" s="147">
        <f ca="1"/>
        <v>52435</v>
      </c>
      <c r="M7196" s="92">
        <f t="shared" ca="1" si="235"/>
        <v>6.25</v>
      </c>
      <c r="N7196" s="143">
        <f ca="1">(PRODUCT($O$5:$O7196)-1)*36000/_xlfn.DAYS(L7196, $C$2)</f>
        <v>13.65136347874952</v>
      </c>
      <c r="O7196" s="149">
        <f t="shared" ca="1" si="236"/>
        <v>1.000173611111111</v>
      </c>
    </row>
    <row r="7197" spans="12:15" x14ac:dyDescent="0.25">
      <c r="L7197" s="147">
        <f ca="1"/>
        <v>52436</v>
      </c>
      <c r="M7197" s="92">
        <f t="shared" ca="1" si="235"/>
        <v>6.25</v>
      </c>
      <c r="N7197" s="143">
        <f ca="1">(PRODUCT($O$5:$O7197)-1)*36000/_xlfn.DAYS(L7197, $C$2)</f>
        <v>13.652704210105366</v>
      </c>
      <c r="O7197" s="149">
        <f t="shared" ca="1" si="236"/>
        <v>1.000173611111111</v>
      </c>
    </row>
    <row r="7198" spans="12:15" x14ac:dyDescent="0.25">
      <c r="L7198" s="147">
        <f ca="1"/>
        <v>52437</v>
      </c>
      <c r="M7198" s="92">
        <f t="shared" ca="1" si="235"/>
        <v>6.25</v>
      </c>
      <c r="N7198" s="143">
        <f ca="1">(PRODUCT($O$5:$O7198)-1)*36000/_xlfn.DAYS(L7198, $C$2)</f>
        <v>13.654045130903876</v>
      </c>
      <c r="O7198" s="149">
        <f t="shared" ca="1" si="236"/>
        <v>1.000173611111111</v>
      </c>
    </row>
    <row r="7199" spans="12:15" x14ac:dyDescent="0.25">
      <c r="L7199" s="147">
        <f ca="1"/>
        <v>52438</v>
      </c>
      <c r="M7199" s="92">
        <f t="shared" ca="1" si="235"/>
        <v>6.25</v>
      </c>
      <c r="N7199" s="143">
        <f ca="1">(PRODUCT($O$5:$O7199)-1)*36000/_xlfn.DAYS(L7199, $C$2)</f>
        <v>13.655386241163644</v>
      </c>
      <c r="O7199" s="149">
        <f t="shared" ca="1" si="236"/>
        <v>1.000173611111111</v>
      </c>
    </row>
    <row r="7200" spans="12:15" x14ac:dyDescent="0.25">
      <c r="L7200" s="147">
        <f ca="1"/>
        <v>52439</v>
      </c>
      <c r="M7200" s="92">
        <f t="shared" ca="1" si="235"/>
        <v>6.25</v>
      </c>
      <c r="N7200" s="143">
        <f ca="1">(PRODUCT($O$5:$O7200)-1)*36000/_xlfn.DAYS(L7200, $C$2)</f>
        <v>13.656727540903276</v>
      </c>
      <c r="O7200" s="149">
        <f t="shared" ca="1" si="236"/>
        <v>1.000173611111111</v>
      </c>
    </row>
    <row r="7201" spans="12:15" x14ac:dyDescent="0.25">
      <c r="L7201" s="147">
        <f ca="1"/>
        <v>52440</v>
      </c>
      <c r="M7201" s="92">
        <f t="shared" ca="1" si="235"/>
        <v>6.25</v>
      </c>
      <c r="N7201" s="143">
        <f ca="1">(PRODUCT($O$5:$O7201)-1)*36000/_xlfn.DAYS(L7201, $C$2)</f>
        <v>13.65806903014138</v>
      </c>
      <c r="O7201" s="149">
        <f t="shared" ca="1" si="236"/>
        <v>1.000173611111111</v>
      </c>
    </row>
    <row r="7202" spans="12:15" x14ac:dyDescent="0.25">
      <c r="L7202" s="147">
        <f ca="1"/>
        <v>52441</v>
      </c>
      <c r="M7202" s="92">
        <f t="shared" ca="1" si="235"/>
        <v>6.25</v>
      </c>
      <c r="N7202" s="143">
        <f ca="1">(PRODUCT($O$5:$O7202)-1)*36000/_xlfn.DAYS(L7202, $C$2)</f>
        <v>13.659410708896578</v>
      </c>
      <c r="O7202" s="149">
        <f t="shared" ca="1" si="236"/>
        <v>1.000173611111111</v>
      </c>
    </row>
    <row r="7203" spans="12:15" x14ac:dyDescent="0.25">
      <c r="L7203" s="147">
        <f ca="1"/>
        <v>52442</v>
      </c>
      <c r="M7203" s="92">
        <f t="shared" ca="1" si="235"/>
        <v>6.25</v>
      </c>
      <c r="N7203" s="143">
        <f ca="1">(PRODUCT($O$5:$O7203)-1)*36000/_xlfn.DAYS(L7203, $C$2)</f>
        <v>13.660752577187489</v>
      </c>
      <c r="O7203" s="149">
        <f t="shared" ca="1" si="236"/>
        <v>1.000173611111111</v>
      </c>
    </row>
    <row r="7204" spans="12:15" x14ac:dyDescent="0.25">
      <c r="L7204" s="147">
        <f ca="1"/>
        <v>52443</v>
      </c>
      <c r="M7204" s="92">
        <f t="shared" ca="1" si="235"/>
        <v>6.25</v>
      </c>
      <c r="N7204" s="143">
        <f ca="1">(PRODUCT($O$5:$O7204)-1)*36000/_xlfn.DAYS(L7204, $C$2)</f>
        <v>13.662094635032746</v>
      </c>
      <c r="O7204" s="149">
        <f t="shared" ca="1" si="236"/>
        <v>1.000173611111111</v>
      </c>
    </row>
    <row r="7205" spans="12:15" x14ac:dyDescent="0.25">
      <c r="L7205" s="147">
        <f ca="1"/>
        <v>52444</v>
      </c>
      <c r="M7205" s="92">
        <f t="shared" ca="1" si="235"/>
        <v>6.25</v>
      </c>
      <c r="N7205" s="143">
        <f ca="1">(PRODUCT($O$5:$O7205)-1)*36000/_xlfn.DAYS(L7205, $C$2)</f>
        <v>13.663436882450986</v>
      </c>
      <c r="O7205" s="149">
        <f t="shared" ca="1" si="236"/>
        <v>1.000173611111111</v>
      </c>
    </row>
    <row r="7206" spans="12:15" x14ac:dyDescent="0.25">
      <c r="L7206" s="147">
        <f ca="1"/>
        <v>52445</v>
      </c>
      <c r="M7206" s="92">
        <f t="shared" ca="1" si="235"/>
        <v>6.25</v>
      </c>
      <c r="N7206" s="143">
        <f ca="1">(PRODUCT($O$5:$O7206)-1)*36000/_xlfn.DAYS(L7206, $C$2)</f>
        <v>13.664779319460854</v>
      </c>
      <c r="O7206" s="149">
        <f t="shared" ca="1" si="236"/>
        <v>1.000173611111111</v>
      </c>
    </row>
    <row r="7207" spans="12:15" x14ac:dyDescent="0.25">
      <c r="L7207" s="147">
        <f ca="1"/>
        <v>52446</v>
      </c>
      <c r="M7207" s="92">
        <f t="shared" ca="1" si="235"/>
        <v>6.25</v>
      </c>
      <c r="N7207" s="143">
        <f ca="1">(PRODUCT($O$5:$O7207)-1)*36000/_xlfn.DAYS(L7207, $C$2)</f>
        <v>13.666121946080999</v>
      </c>
      <c r="O7207" s="149">
        <f t="shared" ca="1" si="236"/>
        <v>1.000173611111111</v>
      </c>
    </row>
    <row r="7208" spans="12:15" x14ac:dyDescent="0.25">
      <c r="L7208" s="147">
        <f ca="1"/>
        <v>52447</v>
      </c>
      <c r="M7208" s="92">
        <f t="shared" ca="1" si="235"/>
        <v>6.25</v>
      </c>
      <c r="N7208" s="143">
        <f ca="1">(PRODUCT($O$5:$O7208)-1)*36000/_xlfn.DAYS(L7208, $C$2)</f>
        <v>13.667464762330077</v>
      </c>
      <c r="O7208" s="149">
        <f t="shared" ca="1" si="236"/>
        <v>1.000173611111111</v>
      </c>
    </row>
    <row r="7209" spans="12:15" x14ac:dyDescent="0.25">
      <c r="L7209" s="147">
        <f ca="1"/>
        <v>52448</v>
      </c>
      <c r="M7209" s="92">
        <f t="shared" ca="1" si="235"/>
        <v>6.25</v>
      </c>
      <c r="N7209" s="143">
        <f ca="1">(PRODUCT($O$5:$O7209)-1)*36000/_xlfn.DAYS(L7209, $C$2)</f>
        <v>13.668807768226753</v>
      </c>
      <c r="O7209" s="149">
        <f t="shared" ca="1" si="236"/>
        <v>1.000173611111111</v>
      </c>
    </row>
    <row r="7210" spans="12:15" x14ac:dyDescent="0.25">
      <c r="L7210" s="147">
        <f ca="1"/>
        <v>52449</v>
      </c>
      <c r="M7210" s="92">
        <f t="shared" ca="1" si="235"/>
        <v>6.25</v>
      </c>
      <c r="N7210" s="143">
        <f ca="1">(PRODUCT($O$5:$O7210)-1)*36000/_xlfn.DAYS(L7210, $C$2)</f>
        <v>13.670150963789695</v>
      </c>
      <c r="O7210" s="149">
        <f t="shared" ca="1" si="236"/>
        <v>1.000173611111111</v>
      </c>
    </row>
    <row r="7211" spans="12:15" x14ac:dyDescent="0.25">
      <c r="L7211" s="147">
        <f ca="1"/>
        <v>52450</v>
      </c>
      <c r="M7211" s="92">
        <f t="shared" ca="1" si="235"/>
        <v>6.25</v>
      </c>
      <c r="N7211" s="143">
        <f ca="1">(PRODUCT($O$5:$O7211)-1)*36000/_xlfn.DAYS(L7211, $C$2)</f>
        <v>13.671494349037584</v>
      </c>
      <c r="O7211" s="149">
        <f t="shared" ca="1" si="236"/>
        <v>1.000173611111111</v>
      </c>
    </row>
    <row r="7212" spans="12:15" x14ac:dyDescent="0.25">
      <c r="L7212" s="147">
        <f ca="1"/>
        <v>52451</v>
      </c>
      <c r="M7212" s="92">
        <f t="shared" ca="1" si="235"/>
        <v>6.25</v>
      </c>
      <c r="N7212" s="143">
        <f ca="1">(PRODUCT($O$5:$O7212)-1)*36000/_xlfn.DAYS(L7212, $C$2)</f>
        <v>13.6728379239891</v>
      </c>
      <c r="O7212" s="149">
        <f t="shared" ca="1" si="236"/>
        <v>1.000173611111111</v>
      </c>
    </row>
    <row r="7213" spans="12:15" x14ac:dyDescent="0.25">
      <c r="L7213" s="147">
        <f ca="1"/>
        <v>52452</v>
      </c>
      <c r="M7213" s="92">
        <f t="shared" ca="1" si="235"/>
        <v>6.25</v>
      </c>
      <c r="N7213" s="143">
        <f ca="1">(PRODUCT($O$5:$O7213)-1)*36000/_xlfn.DAYS(L7213, $C$2)</f>
        <v>13.674181688662932</v>
      </c>
      <c r="O7213" s="149">
        <f t="shared" ca="1" si="236"/>
        <v>1.000173611111111</v>
      </c>
    </row>
    <row r="7214" spans="12:15" x14ac:dyDescent="0.25">
      <c r="L7214" s="147">
        <f ca="1"/>
        <v>52453</v>
      </c>
      <c r="M7214" s="92">
        <f t="shared" ca="1" si="235"/>
        <v>6.25</v>
      </c>
      <c r="N7214" s="143">
        <f ca="1">(PRODUCT($O$5:$O7214)-1)*36000/_xlfn.DAYS(L7214, $C$2)</f>
        <v>13.675525643077778</v>
      </c>
      <c r="O7214" s="149">
        <f t="shared" ca="1" si="236"/>
        <v>1.000173611111111</v>
      </c>
    </row>
    <row r="7215" spans="12:15" x14ac:dyDescent="0.25">
      <c r="L7215" s="147">
        <f ca="1"/>
        <v>52454</v>
      </c>
      <c r="M7215" s="92">
        <f t="shared" ca="1" si="235"/>
        <v>6.25</v>
      </c>
      <c r="N7215" s="143">
        <f ca="1">(PRODUCT($O$5:$O7215)-1)*36000/_xlfn.DAYS(L7215, $C$2)</f>
        <v>13.67686978725234</v>
      </c>
      <c r="O7215" s="149">
        <f t="shared" ca="1" si="236"/>
        <v>1.000173611111111</v>
      </c>
    </row>
    <row r="7216" spans="12:15" x14ac:dyDescent="0.25">
      <c r="L7216" s="147">
        <f ca="1"/>
        <v>52455</v>
      </c>
      <c r="M7216" s="92">
        <f t="shared" ca="1" si="235"/>
        <v>6.25</v>
      </c>
      <c r="N7216" s="143">
        <f ca="1">(PRODUCT($O$5:$O7216)-1)*36000/_xlfn.DAYS(L7216, $C$2)</f>
        <v>13.678214121205333</v>
      </c>
      <c r="O7216" s="149">
        <f t="shared" ca="1" si="236"/>
        <v>1.000173611111111</v>
      </c>
    </row>
    <row r="7217" spans="12:15" x14ac:dyDescent="0.25">
      <c r="L7217" s="147">
        <f ca="1"/>
        <v>52456</v>
      </c>
      <c r="M7217" s="92">
        <f t="shared" ca="1" si="235"/>
        <v>6.25</v>
      </c>
      <c r="N7217" s="143">
        <f ca="1">(PRODUCT($O$5:$O7217)-1)*36000/_xlfn.DAYS(L7217, $C$2)</f>
        <v>13.679558644955465</v>
      </c>
      <c r="O7217" s="149">
        <f t="shared" ca="1" si="236"/>
        <v>1.000173611111111</v>
      </c>
    </row>
    <row r="7218" spans="12:15" x14ac:dyDescent="0.25">
      <c r="L7218" s="147">
        <f ca="1"/>
        <v>52457</v>
      </c>
      <c r="M7218" s="92">
        <f t="shared" ca="1" si="235"/>
        <v>6.25</v>
      </c>
      <c r="N7218" s="143">
        <f ca="1">(PRODUCT($O$5:$O7218)-1)*36000/_xlfn.DAYS(L7218, $C$2)</f>
        <v>13.680903358521464</v>
      </c>
      <c r="O7218" s="149">
        <f t="shared" ca="1" si="236"/>
        <v>1.000173611111111</v>
      </c>
    </row>
    <row r="7219" spans="12:15" x14ac:dyDescent="0.25">
      <c r="L7219" s="147">
        <f ca="1"/>
        <v>52458</v>
      </c>
      <c r="M7219" s="92">
        <f t="shared" ca="1" si="235"/>
        <v>6.25</v>
      </c>
      <c r="N7219" s="143">
        <f ca="1">(PRODUCT($O$5:$O7219)-1)*36000/_xlfn.DAYS(L7219, $C$2)</f>
        <v>13.682248261922057</v>
      </c>
      <c r="O7219" s="149">
        <f t="shared" ca="1" si="236"/>
        <v>1.000173611111111</v>
      </c>
    </row>
    <row r="7220" spans="12:15" x14ac:dyDescent="0.25">
      <c r="L7220" s="147">
        <f ca="1"/>
        <v>52459</v>
      </c>
      <c r="M7220" s="92">
        <f t="shared" ca="1" si="235"/>
        <v>6.25</v>
      </c>
      <c r="N7220" s="143">
        <f ca="1">(PRODUCT($O$5:$O7220)-1)*36000/_xlfn.DAYS(L7220, $C$2)</f>
        <v>13.683593355175979</v>
      </c>
      <c r="O7220" s="149">
        <f t="shared" ca="1" si="236"/>
        <v>1.000173611111111</v>
      </c>
    </row>
    <row r="7221" spans="12:15" x14ac:dyDescent="0.25">
      <c r="L7221" s="147">
        <f ca="1"/>
        <v>52460</v>
      </c>
      <c r="M7221" s="92">
        <f t="shared" ca="1" si="235"/>
        <v>6.25</v>
      </c>
      <c r="N7221" s="143">
        <f ca="1">(PRODUCT($O$5:$O7221)-1)*36000/_xlfn.DAYS(L7221, $C$2)</f>
        <v>13.684938638301979</v>
      </c>
      <c r="O7221" s="149">
        <f t="shared" ca="1" si="236"/>
        <v>1.000173611111111</v>
      </c>
    </row>
    <row r="7222" spans="12:15" x14ac:dyDescent="0.25">
      <c r="L7222" s="147">
        <f ca="1"/>
        <v>52461</v>
      </c>
      <c r="M7222" s="92">
        <f t="shared" ca="1" si="235"/>
        <v>6.25</v>
      </c>
      <c r="N7222" s="143">
        <f ca="1">(PRODUCT($O$5:$O7222)-1)*36000/_xlfn.DAYS(L7222, $C$2)</f>
        <v>13.686284111318798</v>
      </c>
      <c r="O7222" s="149">
        <f t="shared" ca="1" si="236"/>
        <v>1.000173611111111</v>
      </c>
    </row>
    <row r="7223" spans="12:15" x14ac:dyDescent="0.25">
      <c r="L7223" s="147">
        <f ca="1"/>
        <v>52462</v>
      </c>
      <c r="M7223" s="92">
        <f t="shared" ca="1" si="235"/>
        <v>6.25</v>
      </c>
      <c r="N7223" s="143">
        <f ca="1">(PRODUCT($O$5:$O7223)-1)*36000/_xlfn.DAYS(L7223, $C$2)</f>
        <v>13.687629774245199</v>
      </c>
      <c r="O7223" s="149">
        <f t="shared" ca="1" si="236"/>
        <v>1.000173611111111</v>
      </c>
    </row>
    <row r="7224" spans="12:15" x14ac:dyDescent="0.25">
      <c r="L7224" s="147">
        <f ca="1"/>
        <v>52463</v>
      </c>
      <c r="M7224" s="92">
        <f t="shared" ca="1" si="235"/>
        <v>6.25</v>
      </c>
      <c r="N7224" s="143">
        <f ca="1">(PRODUCT($O$5:$O7224)-1)*36000/_xlfn.DAYS(L7224, $C$2)</f>
        <v>13.688975627099936</v>
      </c>
      <c r="O7224" s="149">
        <f t="shared" ca="1" si="236"/>
        <v>1.000173611111111</v>
      </c>
    </row>
    <row r="7225" spans="12:15" x14ac:dyDescent="0.25">
      <c r="L7225" s="147">
        <f ca="1"/>
        <v>52464</v>
      </c>
      <c r="M7225" s="92">
        <f t="shared" ca="1" si="235"/>
        <v>6.25</v>
      </c>
      <c r="N7225" s="143">
        <f ca="1">(PRODUCT($O$5:$O7225)-1)*36000/_xlfn.DAYS(L7225, $C$2)</f>
        <v>13.690321669901781</v>
      </c>
      <c r="O7225" s="149">
        <f t="shared" ca="1" si="236"/>
        <v>1.000173611111111</v>
      </c>
    </row>
    <row r="7226" spans="12:15" x14ac:dyDescent="0.25">
      <c r="L7226" s="147">
        <f ca="1"/>
        <v>52465</v>
      </c>
      <c r="M7226" s="92">
        <f t="shared" ca="1" si="235"/>
        <v>6.25</v>
      </c>
      <c r="N7226" s="143">
        <f ca="1">(PRODUCT($O$5:$O7226)-1)*36000/_xlfn.DAYS(L7226, $C$2)</f>
        <v>13.691667902669511</v>
      </c>
      <c r="O7226" s="149">
        <f t="shared" ca="1" si="236"/>
        <v>1.000173611111111</v>
      </c>
    </row>
    <row r="7227" spans="12:15" x14ac:dyDescent="0.25">
      <c r="L7227" s="147">
        <f ca="1"/>
        <v>52466</v>
      </c>
      <c r="M7227" s="92">
        <f t="shared" ca="1" si="235"/>
        <v>6.25</v>
      </c>
      <c r="N7227" s="143">
        <f ca="1">(PRODUCT($O$5:$O7227)-1)*36000/_xlfn.DAYS(L7227, $C$2)</f>
        <v>13.693014325421908</v>
      </c>
      <c r="O7227" s="149">
        <f t="shared" ca="1" si="236"/>
        <v>1.000173611111111</v>
      </c>
    </row>
    <row r="7228" spans="12:15" x14ac:dyDescent="0.25">
      <c r="L7228" s="147">
        <f ca="1"/>
        <v>52467</v>
      </c>
      <c r="M7228" s="92">
        <f t="shared" ca="1" si="235"/>
        <v>6.25</v>
      </c>
      <c r="N7228" s="143">
        <f ca="1">(PRODUCT($O$5:$O7228)-1)*36000/_xlfn.DAYS(L7228, $C$2)</f>
        <v>13.694360938177759</v>
      </c>
      <c r="O7228" s="149">
        <f t="shared" ca="1" si="236"/>
        <v>1.000173611111111</v>
      </c>
    </row>
    <row r="7229" spans="12:15" x14ac:dyDescent="0.25">
      <c r="L7229" s="147">
        <f ca="1"/>
        <v>52468</v>
      </c>
      <c r="M7229" s="92">
        <f t="shared" ca="1" si="235"/>
        <v>6.25</v>
      </c>
      <c r="N7229" s="143">
        <f ca="1">(PRODUCT($O$5:$O7229)-1)*36000/_xlfn.DAYS(L7229, $C$2)</f>
        <v>13.695707740955859</v>
      </c>
      <c r="O7229" s="149">
        <f t="shared" ca="1" si="236"/>
        <v>1.000173611111111</v>
      </c>
    </row>
    <row r="7230" spans="12:15" x14ac:dyDescent="0.25">
      <c r="L7230" s="147">
        <f ca="1"/>
        <v>52469</v>
      </c>
      <c r="M7230" s="92">
        <f t="shared" ca="1" si="235"/>
        <v>6.25</v>
      </c>
      <c r="N7230" s="143">
        <f ca="1">(PRODUCT($O$5:$O7230)-1)*36000/_xlfn.DAYS(L7230, $C$2)</f>
        <v>13.69705473377501</v>
      </c>
      <c r="O7230" s="149">
        <f t="shared" ca="1" si="236"/>
        <v>1.000173611111111</v>
      </c>
    </row>
    <row r="7231" spans="12:15" x14ac:dyDescent="0.25">
      <c r="L7231" s="147">
        <f ca="1"/>
        <v>52470</v>
      </c>
      <c r="M7231" s="92">
        <f t="shared" ca="1" si="235"/>
        <v>6.25</v>
      </c>
      <c r="N7231" s="143">
        <f ca="1">(PRODUCT($O$5:$O7231)-1)*36000/_xlfn.DAYS(L7231, $C$2)</f>
        <v>13.698401916654021</v>
      </c>
      <c r="O7231" s="149">
        <f t="shared" ca="1" si="236"/>
        <v>1.000173611111111</v>
      </c>
    </row>
    <row r="7232" spans="12:15" x14ac:dyDescent="0.25">
      <c r="L7232" s="147">
        <f ca="1"/>
        <v>52471</v>
      </c>
      <c r="M7232" s="92">
        <f t="shared" ca="1" si="235"/>
        <v>6.25</v>
      </c>
      <c r="N7232" s="143">
        <f ca="1">(PRODUCT($O$5:$O7232)-1)*36000/_xlfn.DAYS(L7232, $C$2)</f>
        <v>13.699749289611704</v>
      </c>
      <c r="O7232" s="149">
        <f t="shared" ca="1" si="236"/>
        <v>1.000173611111111</v>
      </c>
    </row>
    <row r="7233" spans="12:15" x14ac:dyDescent="0.25">
      <c r="L7233" s="147">
        <f ca="1"/>
        <v>52472</v>
      </c>
      <c r="M7233" s="92">
        <f t="shared" ca="1" si="235"/>
        <v>6.25</v>
      </c>
      <c r="N7233" s="143">
        <f ca="1">(PRODUCT($O$5:$O7233)-1)*36000/_xlfn.DAYS(L7233, $C$2)</f>
        <v>13.701096852666883</v>
      </c>
      <c r="O7233" s="149">
        <f t="shared" ca="1" si="236"/>
        <v>1.000173611111111</v>
      </c>
    </row>
    <row r="7234" spans="12:15" x14ac:dyDescent="0.25">
      <c r="L7234" s="147">
        <f ca="1"/>
        <v>52473</v>
      </c>
      <c r="M7234" s="92">
        <f t="shared" ca="1" si="235"/>
        <v>6.25</v>
      </c>
      <c r="N7234" s="143">
        <f ca="1">(PRODUCT($O$5:$O7234)-1)*36000/_xlfn.DAYS(L7234, $C$2)</f>
        <v>13.702444605838382</v>
      </c>
      <c r="O7234" s="149">
        <f t="shared" ca="1" si="236"/>
        <v>1.000173611111111</v>
      </c>
    </row>
    <row r="7235" spans="12:15" x14ac:dyDescent="0.25">
      <c r="L7235" s="147">
        <f ca="1"/>
        <v>52474</v>
      </c>
      <c r="M7235" s="92">
        <f t="shared" ca="1" si="235"/>
        <v>6.25</v>
      </c>
      <c r="N7235" s="143">
        <f ca="1">(PRODUCT($O$5:$O7235)-1)*36000/_xlfn.DAYS(L7235, $C$2)</f>
        <v>13.703792549145041</v>
      </c>
      <c r="O7235" s="149">
        <f t="shared" ca="1" si="236"/>
        <v>1.000173611111111</v>
      </c>
    </row>
    <row r="7236" spans="12:15" x14ac:dyDescent="0.25">
      <c r="L7236" s="147">
        <f ca="1"/>
        <v>52475</v>
      </c>
      <c r="M7236" s="92">
        <f t="shared" ca="1" si="235"/>
        <v>6.25</v>
      </c>
      <c r="N7236" s="143">
        <f ca="1">(PRODUCT($O$5:$O7236)-1)*36000/_xlfn.DAYS(L7236, $C$2)</f>
        <v>13.705140682605695</v>
      </c>
      <c r="O7236" s="149">
        <f t="shared" ca="1" si="236"/>
        <v>1.000173611111111</v>
      </c>
    </row>
    <row r="7237" spans="12:15" x14ac:dyDescent="0.25">
      <c r="L7237" s="147">
        <f ca="1"/>
        <v>52476</v>
      </c>
      <c r="M7237" s="92">
        <f t="shared" ref="M7237:M7300" ca="1" si="237">IFERROR(INDEX($E$27:$H$47, MATCH(L7237, $F$27:$F$47, 0), 4), IF(ISNUMBER(M7236), M7236, $C$5))</f>
        <v>6.25</v>
      </c>
      <c r="N7237" s="143">
        <f ca="1">(PRODUCT($O$5:$O7237)-1)*36000/_xlfn.DAYS(L7237, $C$2)</f>
        <v>13.706489006239194</v>
      </c>
      <c r="O7237" s="149">
        <f t="shared" ca="1" si="236"/>
        <v>1.000173611111111</v>
      </c>
    </row>
    <row r="7238" spans="12:15" x14ac:dyDescent="0.25">
      <c r="L7238" s="147">
        <f ca="1"/>
        <v>52477</v>
      </c>
      <c r="M7238" s="92">
        <f t="shared" ca="1" si="237"/>
        <v>6.25</v>
      </c>
      <c r="N7238" s="143">
        <f ca="1">(PRODUCT($O$5:$O7238)-1)*36000/_xlfn.DAYS(L7238, $C$2)</f>
        <v>13.707837520064393</v>
      </c>
      <c r="O7238" s="149">
        <f t="shared" ref="O7238:O7301" ca="1" si="238">1+M7238*IFERROR(_xlfn.DAYS(L7238, L7237), _xlfn.DAYS(L7238, $C$2))/36000</f>
        <v>1.000173611111111</v>
      </c>
    </row>
    <row r="7239" spans="12:15" x14ac:dyDescent="0.25">
      <c r="L7239" s="147">
        <f ca="1"/>
        <v>52478</v>
      </c>
      <c r="M7239" s="92">
        <f t="shared" ca="1" si="237"/>
        <v>6.25</v>
      </c>
      <c r="N7239" s="143">
        <f ca="1">(PRODUCT($O$5:$O7239)-1)*36000/_xlfn.DAYS(L7239, $C$2)</f>
        <v>13.709186224100149</v>
      </c>
      <c r="O7239" s="149">
        <f t="shared" ca="1" si="238"/>
        <v>1.000173611111111</v>
      </c>
    </row>
    <row r="7240" spans="12:15" x14ac:dyDescent="0.25">
      <c r="L7240" s="147">
        <f ca="1"/>
        <v>52479</v>
      </c>
      <c r="M7240" s="92">
        <f t="shared" ca="1" si="237"/>
        <v>6.25</v>
      </c>
      <c r="N7240" s="143">
        <f ca="1">(PRODUCT($O$5:$O7240)-1)*36000/_xlfn.DAYS(L7240, $C$2)</f>
        <v>13.710535118365332</v>
      </c>
      <c r="O7240" s="149">
        <f t="shared" ca="1" si="238"/>
        <v>1.000173611111111</v>
      </c>
    </row>
    <row r="7241" spans="12:15" x14ac:dyDescent="0.25">
      <c r="L7241" s="147">
        <f ca="1"/>
        <v>52480</v>
      </c>
      <c r="M7241" s="92">
        <f t="shared" ca="1" si="237"/>
        <v>6.25</v>
      </c>
      <c r="N7241" s="143">
        <f ca="1">(PRODUCT($O$5:$O7241)-1)*36000/_xlfn.DAYS(L7241, $C$2)</f>
        <v>13.711884202878814</v>
      </c>
      <c r="O7241" s="149">
        <f t="shared" ca="1" si="238"/>
        <v>1.000173611111111</v>
      </c>
    </row>
    <row r="7242" spans="12:15" x14ac:dyDescent="0.25">
      <c r="L7242" s="147">
        <f ca="1"/>
        <v>52481</v>
      </c>
      <c r="M7242" s="92">
        <f t="shared" ca="1" si="237"/>
        <v>6.25</v>
      </c>
      <c r="N7242" s="143">
        <f ca="1">(PRODUCT($O$5:$O7242)-1)*36000/_xlfn.DAYS(L7242, $C$2)</f>
        <v>13.713233477659474</v>
      </c>
      <c r="O7242" s="149">
        <f t="shared" ca="1" si="238"/>
        <v>1.000173611111111</v>
      </c>
    </row>
    <row r="7243" spans="12:15" x14ac:dyDescent="0.25">
      <c r="L7243" s="147">
        <f ca="1"/>
        <v>52482</v>
      </c>
      <c r="M7243" s="92">
        <f t="shared" ca="1" si="237"/>
        <v>6.25</v>
      </c>
      <c r="N7243" s="143">
        <f ca="1">(PRODUCT($O$5:$O7243)-1)*36000/_xlfn.DAYS(L7243, $C$2)</f>
        <v>13.714582942726203</v>
      </c>
      <c r="O7243" s="149">
        <f t="shared" ca="1" si="238"/>
        <v>1.000173611111111</v>
      </c>
    </row>
    <row r="7244" spans="12:15" x14ac:dyDescent="0.25">
      <c r="L7244" s="147">
        <f ca="1"/>
        <v>52483</v>
      </c>
      <c r="M7244" s="92">
        <f t="shared" ca="1" si="237"/>
        <v>6.25</v>
      </c>
      <c r="N7244" s="143">
        <f ca="1">(PRODUCT($O$5:$O7244)-1)*36000/_xlfn.DAYS(L7244, $C$2)</f>
        <v>13.715932598097888</v>
      </c>
      <c r="O7244" s="149">
        <f t="shared" ca="1" si="238"/>
        <v>1.000173611111111</v>
      </c>
    </row>
    <row r="7245" spans="12:15" x14ac:dyDescent="0.25">
      <c r="L7245" s="147">
        <f ca="1"/>
        <v>52484</v>
      </c>
      <c r="M7245" s="92">
        <f t="shared" ca="1" si="237"/>
        <v>6.25</v>
      </c>
      <c r="N7245" s="143">
        <f ca="1">(PRODUCT($O$5:$O7245)-1)*36000/_xlfn.DAYS(L7245, $C$2)</f>
        <v>13.717282443793433</v>
      </c>
      <c r="O7245" s="149">
        <f t="shared" ca="1" si="238"/>
        <v>1.000173611111111</v>
      </c>
    </row>
    <row r="7246" spans="12:15" x14ac:dyDescent="0.25">
      <c r="L7246" s="147">
        <f ca="1"/>
        <v>52485</v>
      </c>
      <c r="M7246" s="92">
        <f t="shared" ca="1" si="237"/>
        <v>6.25</v>
      </c>
      <c r="N7246" s="143">
        <f ca="1">(PRODUCT($O$5:$O7246)-1)*36000/_xlfn.DAYS(L7246, $C$2)</f>
        <v>13.718632479831745</v>
      </c>
      <c r="O7246" s="149">
        <f t="shared" ca="1" si="238"/>
        <v>1.000173611111111</v>
      </c>
    </row>
    <row r="7247" spans="12:15" x14ac:dyDescent="0.25">
      <c r="L7247" s="147">
        <f ca="1"/>
        <v>52486</v>
      </c>
      <c r="M7247" s="92">
        <f t="shared" ca="1" si="237"/>
        <v>6.25</v>
      </c>
      <c r="N7247" s="143">
        <f ca="1">(PRODUCT($O$5:$O7247)-1)*36000/_xlfn.DAYS(L7247, $C$2)</f>
        <v>13.719982706231733</v>
      </c>
      <c r="O7247" s="149">
        <f t="shared" ca="1" si="238"/>
        <v>1.000173611111111</v>
      </c>
    </row>
    <row r="7248" spans="12:15" x14ac:dyDescent="0.25">
      <c r="L7248" s="147">
        <f ca="1"/>
        <v>52487</v>
      </c>
      <c r="M7248" s="92">
        <f t="shared" ca="1" si="237"/>
        <v>6.25</v>
      </c>
      <c r="N7248" s="143">
        <f ca="1">(PRODUCT($O$5:$O7248)-1)*36000/_xlfn.DAYS(L7248, $C$2)</f>
        <v>13.721333123012316</v>
      </c>
      <c r="O7248" s="149">
        <f t="shared" ca="1" si="238"/>
        <v>1.000173611111111</v>
      </c>
    </row>
    <row r="7249" spans="12:15" x14ac:dyDescent="0.25">
      <c r="L7249" s="147">
        <f ca="1"/>
        <v>52488</v>
      </c>
      <c r="M7249" s="92">
        <f t="shared" ca="1" si="237"/>
        <v>6.25</v>
      </c>
      <c r="N7249" s="143">
        <f ca="1">(PRODUCT($O$5:$O7249)-1)*36000/_xlfn.DAYS(L7249, $C$2)</f>
        <v>13.722683730192424</v>
      </c>
      <c r="O7249" s="149">
        <f t="shared" ca="1" si="238"/>
        <v>1.000173611111111</v>
      </c>
    </row>
    <row r="7250" spans="12:15" x14ac:dyDescent="0.25">
      <c r="L7250" s="147">
        <f ca="1"/>
        <v>52489</v>
      </c>
      <c r="M7250" s="92">
        <f t="shared" ca="1" si="237"/>
        <v>6.25</v>
      </c>
      <c r="N7250" s="143">
        <f ca="1">(PRODUCT($O$5:$O7250)-1)*36000/_xlfn.DAYS(L7250, $C$2)</f>
        <v>13.724034527790984</v>
      </c>
      <c r="O7250" s="149">
        <f t="shared" ca="1" si="238"/>
        <v>1.000173611111111</v>
      </c>
    </row>
    <row r="7251" spans="12:15" x14ac:dyDescent="0.25">
      <c r="L7251" s="147">
        <f ca="1"/>
        <v>52490</v>
      </c>
      <c r="M7251" s="92">
        <f t="shared" ca="1" si="237"/>
        <v>6.25</v>
      </c>
      <c r="N7251" s="143">
        <f ca="1">(PRODUCT($O$5:$O7251)-1)*36000/_xlfn.DAYS(L7251, $C$2)</f>
        <v>13.72538551582694</v>
      </c>
      <c r="O7251" s="149">
        <f t="shared" ca="1" si="238"/>
        <v>1.000173611111111</v>
      </c>
    </row>
    <row r="7252" spans="12:15" x14ac:dyDescent="0.25">
      <c r="L7252" s="147">
        <f ca="1"/>
        <v>52491</v>
      </c>
      <c r="M7252" s="92">
        <f t="shared" ca="1" si="237"/>
        <v>6.25</v>
      </c>
      <c r="N7252" s="143">
        <f ca="1">(PRODUCT($O$5:$O7252)-1)*36000/_xlfn.DAYS(L7252, $C$2)</f>
        <v>13.726736694319236</v>
      </c>
      <c r="O7252" s="149">
        <f t="shared" ca="1" si="238"/>
        <v>1.000173611111111</v>
      </c>
    </row>
    <row r="7253" spans="12:15" x14ac:dyDescent="0.25">
      <c r="L7253" s="147">
        <f ca="1"/>
        <v>52492</v>
      </c>
      <c r="M7253" s="92">
        <f t="shared" ca="1" si="237"/>
        <v>6.25</v>
      </c>
      <c r="N7253" s="143">
        <f ca="1">(PRODUCT($O$5:$O7253)-1)*36000/_xlfn.DAYS(L7253, $C$2)</f>
        <v>13.728088063286819</v>
      </c>
      <c r="O7253" s="149">
        <f t="shared" ca="1" si="238"/>
        <v>1.000173611111111</v>
      </c>
    </row>
    <row r="7254" spans="12:15" x14ac:dyDescent="0.25">
      <c r="L7254" s="147">
        <f ca="1"/>
        <v>52493</v>
      </c>
      <c r="M7254" s="92">
        <f t="shared" ca="1" si="237"/>
        <v>6.25</v>
      </c>
      <c r="N7254" s="143">
        <f ca="1">(PRODUCT($O$5:$O7254)-1)*36000/_xlfn.DAYS(L7254, $C$2)</f>
        <v>13.729439622748655</v>
      </c>
      <c r="O7254" s="149">
        <f t="shared" ca="1" si="238"/>
        <v>1.000173611111111</v>
      </c>
    </row>
    <row r="7255" spans="12:15" x14ac:dyDescent="0.25">
      <c r="L7255" s="147">
        <f ca="1"/>
        <v>52494</v>
      </c>
      <c r="M7255" s="92">
        <f t="shared" ca="1" si="237"/>
        <v>6.25</v>
      </c>
      <c r="N7255" s="143">
        <f ca="1">(PRODUCT($O$5:$O7255)-1)*36000/_xlfn.DAYS(L7255, $C$2)</f>
        <v>13.730791372723703</v>
      </c>
      <c r="O7255" s="149">
        <f t="shared" ca="1" si="238"/>
        <v>1.000173611111111</v>
      </c>
    </row>
    <row r="7256" spans="12:15" x14ac:dyDescent="0.25">
      <c r="L7256" s="147">
        <f ca="1"/>
        <v>52495</v>
      </c>
      <c r="M7256" s="92">
        <f t="shared" ca="1" si="237"/>
        <v>6.25</v>
      </c>
      <c r="N7256" s="143">
        <f ca="1">(PRODUCT($O$5:$O7256)-1)*36000/_xlfn.DAYS(L7256, $C$2)</f>
        <v>13.732143313230935</v>
      </c>
      <c r="O7256" s="149">
        <f t="shared" ca="1" si="238"/>
        <v>1.000173611111111</v>
      </c>
    </row>
    <row r="7257" spans="12:15" x14ac:dyDescent="0.25">
      <c r="L7257" s="147">
        <f ca="1"/>
        <v>52496</v>
      </c>
      <c r="M7257" s="92">
        <f t="shared" ca="1" si="237"/>
        <v>6.25</v>
      </c>
      <c r="N7257" s="143">
        <f ca="1">(PRODUCT($O$5:$O7257)-1)*36000/_xlfn.DAYS(L7257, $C$2)</f>
        <v>13.73349544428933</v>
      </c>
      <c r="O7257" s="149">
        <f t="shared" ca="1" si="238"/>
        <v>1.000173611111111</v>
      </c>
    </row>
    <row r="7258" spans="12:15" x14ac:dyDescent="0.25">
      <c r="L7258" s="147">
        <f ca="1"/>
        <v>52497</v>
      </c>
      <c r="M7258" s="92">
        <f t="shared" ca="1" si="237"/>
        <v>6.25</v>
      </c>
      <c r="N7258" s="143">
        <f ca="1">(PRODUCT($O$5:$O7258)-1)*36000/_xlfn.DAYS(L7258, $C$2)</f>
        <v>13.734847765917873</v>
      </c>
      <c r="O7258" s="149">
        <f t="shared" ca="1" si="238"/>
        <v>1.000173611111111</v>
      </c>
    </row>
    <row r="7259" spans="12:15" x14ac:dyDescent="0.25">
      <c r="L7259" s="147">
        <f ca="1"/>
        <v>52498</v>
      </c>
      <c r="M7259" s="92">
        <f t="shared" ca="1" si="237"/>
        <v>6.25</v>
      </c>
      <c r="N7259" s="143">
        <f ca="1">(PRODUCT($O$5:$O7259)-1)*36000/_xlfn.DAYS(L7259, $C$2)</f>
        <v>13.736200278135554</v>
      </c>
      <c r="O7259" s="149">
        <f t="shared" ca="1" si="238"/>
        <v>1.000173611111111</v>
      </c>
    </row>
    <row r="7260" spans="12:15" x14ac:dyDescent="0.25">
      <c r="L7260" s="147">
        <f ca="1"/>
        <v>52499</v>
      </c>
      <c r="M7260" s="92">
        <f t="shared" ca="1" si="237"/>
        <v>6.25</v>
      </c>
      <c r="N7260" s="143">
        <f ca="1">(PRODUCT($O$5:$O7260)-1)*36000/_xlfn.DAYS(L7260, $C$2)</f>
        <v>13.737552980961372</v>
      </c>
      <c r="O7260" s="149">
        <f t="shared" ca="1" si="238"/>
        <v>1.000173611111111</v>
      </c>
    </row>
    <row r="7261" spans="12:15" x14ac:dyDescent="0.25">
      <c r="L7261" s="147">
        <f ca="1"/>
        <v>52500</v>
      </c>
      <c r="M7261" s="92">
        <f t="shared" ca="1" si="237"/>
        <v>6.25</v>
      </c>
      <c r="N7261" s="143">
        <f ca="1">(PRODUCT($O$5:$O7261)-1)*36000/_xlfn.DAYS(L7261, $C$2)</f>
        <v>13.738905874414327</v>
      </c>
      <c r="O7261" s="149">
        <f t="shared" ca="1" si="238"/>
        <v>1.000173611111111</v>
      </c>
    </row>
    <row r="7262" spans="12:15" x14ac:dyDescent="0.25">
      <c r="L7262" s="147">
        <f ca="1"/>
        <v>52501</v>
      </c>
      <c r="M7262" s="92">
        <f t="shared" ca="1" si="237"/>
        <v>6.25</v>
      </c>
      <c r="N7262" s="143">
        <f ca="1">(PRODUCT($O$5:$O7262)-1)*36000/_xlfn.DAYS(L7262, $C$2)</f>
        <v>13.740258958513429</v>
      </c>
      <c r="O7262" s="149">
        <f t="shared" ca="1" si="238"/>
        <v>1.000173611111111</v>
      </c>
    </row>
    <row r="7263" spans="12:15" x14ac:dyDescent="0.25">
      <c r="L7263" s="147">
        <f ca="1"/>
        <v>52502</v>
      </c>
      <c r="M7263" s="92">
        <f t="shared" ca="1" si="237"/>
        <v>6.25</v>
      </c>
      <c r="N7263" s="143">
        <f ca="1">(PRODUCT($O$5:$O7263)-1)*36000/_xlfn.DAYS(L7263, $C$2)</f>
        <v>13.741612233277705</v>
      </c>
      <c r="O7263" s="149">
        <f t="shared" ca="1" si="238"/>
        <v>1.000173611111111</v>
      </c>
    </row>
    <row r="7264" spans="12:15" x14ac:dyDescent="0.25">
      <c r="L7264" s="147">
        <f ca="1"/>
        <v>52503</v>
      </c>
      <c r="M7264" s="92">
        <f t="shared" ca="1" si="237"/>
        <v>6.25</v>
      </c>
      <c r="N7264" s="143">
        <f ca="1">(PRODUCT($O$5:$O7264)-1)*36000/_xlfn.DAYS(L7264, $C$2)</f>
        <v>13.742965698726165</v>
      </c>
      <c r="O7264" s="149">
        <f t="shared" ca="1" si="238"/>
        <v>1.000173611111111</v>
      </c>
    </row>
    <row r="7265" spans="12:15" x14ac:dyDescent="0.25">
      <c r="L7265" s="147">
        <f ca="1"/>
        <v>52504</v>
      </c>
      <c r="M7265" s="92">
        <f t="shared" ca="1" si="237"/>
        <v>6.25</v>
      </c>
      <c r="N7265" s="143">
        <f ca="1">(PRODUCT($O$5:$O7265)-1)*36000/_xlfn.DAYS(L7265, $C$2)</f>
        <v>13.744319354877847</v>
      </c>
      <c r="O7265" s="149">
        <f t="shared" ca="1" si="238"/>
        <v>1.000173611111111</v>
      </c>
    </row>
    <row r="7266" spans="12:15" x14ac:dyDescent="0.25">
      <c r="L7266" s="147">
        <f ca="1"/>
        <v>52505</v>
      </c>
      <c r="M7266" s="92">
        <f t="shared" ca="1" si="237"/>
        <v>6.25</v>
      </c>
      <c r="N7266" s="143">
        <f ca="1">(PRODUCT($O$5:$O7266)-1)*36000/_xlfn.DAYS(L7266, $C$2)</f>
        <v>13.745673201751785</v>
      </c>
      <c r="O7266" s="149">
        <f t="shared" ca="1" si="238"/>
        <v>1.000173611111111</v>
      </c>
    </row>
    <row r="7267" spans="12:15" x14ac:dyDescent="0.25">
      <c r="L7267" s="147">
        <f ca="1"/>
        <v>52506</v>
      </c>
      <c r="M7267" s="92">
        <f t="shared" ca="1" si="237"/>
        <v>6.25</v>
      </c>
      <c r="N7267" s="143">
        <f ca="1">(PRODUCT($O$5:$O7267)-1)*36000/_xlfn.DAYS(L7267, $C$2)</f>
        <v>13.747027239367023</v>
      </c>
      <c r="O7267" s="149">
        <f t="shared" ca="1" si="238"/>
        <v>1.000173611111111</v>
      </c>
    </row>
    <row r="7268" spans="12:15" x14ac:dyDescent="0.25">
      <c r="L7268" s="147">
        <f ca="1"/>
        <v>52507</v>
      </c>
      <c r="M7268" s="92">
        <f t="shared" ca="1" si="237"/>
        <v>6.25</v>
      </c>
      <c r="N7268" s="143">
        <f ca="1">(PRODUCT($O$5:$O7268)-1)*36000/_xlfn.DAYS(L7268, $C$2)</f>
        <v>13.748381467742607</v>
      </c>
      <c r="O7268" s="149">
        <f t="shared" ca="1" si="238"/>
        <v>1.000173611111111</v>
      </c>
    </row>
    <row r="7269" spans="12:15" x14ac:dyDescent="0.25">
      <c r="L7269" s="147">
        <f ca="1"/>
        <v>52508</v>
      </c>
      <c r="M7269" s="92">
        <f t="shared" ca="1" si="237"/>
        <v>6.25</v>
      </c>
      <c r="N7269" s="143">
        <f ca="1">(PRODUCT($O$5:$O7269)-1)*36000/_xlfn.DAYS(L7269, $C$2)</f>
        <v>13.7497358868976</v>
      </c>
      <c r="O7269" s="149">
        <f t="shared" ca="1" si="238"/>
        <v>1.000173611111111</v>
      </c>
    </row>
    <row r="7270" spans="12:15" x14ac:dyDescent="0.25">
      <c r="L7270" s="147">
        <f ca="1"/>
        <v>52509</v>
      </c>
      <c r="M7270" s="92">
        <f t="shared" ca="1" si="237"/>
        <v>6.25</v>
      </c>
      <c r="N7270" s="143">
        <f ca="1">(PRODUCT($O$5:$O7270)-1)*36000/_xlfn.DAYS(L7270, $C$2)</f>
        <v>13.751090496851059</v>
      </c>
      <c r="O7270" s="149">
        <f t="shared" ca="1" si="238"/>
        <v>1.000173611111111</v>
      </c>
    </row>
    <row r="7271" spans="12:15" x14ac:dyDescent="0.25">
      <c r="L7271" s="147">
        <f ca="1"/>
        <v>52510</v>
      </c>
      <c r="M7271" s="92">
        <f t="shared" ca="1" si="237"/>
        <v>6.25</v>
      </c>
      <c r="N7271" s="143">
        <f ca="1">(PRODUCT($O$5:$O7271)-1)*36000/_xlfn.DAYS(L7271, $C$2)</f>
        <v>13.752445297622053</v>
      </c>
      <c r="O7271" s="149">
        <f t="shared" ca="1" si="238"/>
        <v>1.000173611111111</v>
      </c>
    </row>
    <row r="7272" spans="12:15" x14ac:dyDescent="0.25">
      <c r="L7272" s="147">
        <f ca="1"/>
        <v>52511</v>
      </c>
      <c r="M7272" s="92">
        <f t="shared" ca="1" si="237"/>
        <v>6.25</v>
      </c>
      <c r="N7272" s="143">
        <f ca="1">(PRODUCT($O$5:$O7272)-1)*36000/_xlfn.DAYS(L7272, $C$2)</f>
        <v>13.753800289229659</v>
      </c>
      <c r="O7272" s="149">
        <f t="shared" ca="1" si="238"/>
        <v>1.000173611111111</v>
      </c>
    </row>
    <row r="7273" spans="12:15" x14ac:dyDescent="0.25">
      <c r="L7273" s="147">
        <f ca="1"/>
        <v>52512</v>
      </c>
      <c r="M7273" s="92">
        <f t="shared" ca="1" si="237"/>
        <v>6.25</v>
      </c>
      <c r="N7273" s="143">
        <f ca="1">(PRODUCT($O$5:$O7273)-1)*36000/_xlfn.DAYS(L7273, $C$2)</f>
        <v>13.755155471692957</v>
      </c>
      <c r="O7273" s="149">
        <f t="shared" ca="1" si="238"/>
        <v>1.000173611111111</v>
      </c>
    </row>
    <row r="7274" spans="12:15" x14ac:dyDescent="0.25">
      <c r="L7274" s="147">
        <f ca="1"/>
        <v>52513</v>
      </c>
      <c r="M7274" s="92">
        <f t="shared" ca="1" si="237"/>
        <v>6.25</v>
      </c>
      <c r="N7274" s="143">
        <f ca="1">(PRODUCT($O$5:$O7274)-1)*36000/_xlfn.DAYS(L7274, $C$2)</f>
        <v>13.756510845031036</v>
      </c>
      <c r="O7274" s="149">
        <f t="shared" ca="1" si="238"/>
        <v>1.000173611111111</v>
      </c>
    </row>
    <row r="7275" spans="12:15" x14ac:dyDescent="0.25">
      <c r="L7275" s="147">
        <f ca="1"/>
        <v>52514</v>
      </c>
      <c r="M7275" s="92">
        <f t="shared" ca="1" si="237"/>
        <v>6.25</v>
      </c>
      <c r="N7275" s="143">
        <f ca="1">(PRODUCT($O$5:$O7275)-1)*36000/_xlfn.DAYS(L7275, $C$2)</f>
        <v>13.757866409262991</v>
      </c>
      <c r="O7275" s="149">
        <f t="shared" ca="1" si="238"/>
        <v>1.000173611111111</v>
      </c>
    </row>
    <row r="7276" spans="12:15" x14ac:dyDescent="0.25">
      <c r="L7276" s="147">
        <f ca="1"/>
        <v>52515</v>
      </c>
      <c r="M7276" s="92">
        <f t="shared" ca="1" si="237"/>
        <v>6.25</v>
      </c>
      <c r="N7276" s="143">
        <f ca="1">(PRODUCT($O$5:$O7276)-1)*36000/_xlfn.DAYS(L7276, $C$2)</f>
        <v>13.759222164407923</v>
      </c>
      <c r="O7276" s="149">
        <f t="shared" ca="1" si="238"/>
        <v>1.000173611111111</v>
      </c>
    </row>
    <row r="7277" spans="12:15" x14ac:dyDescent="0.25">
      <c r="L7277" s="147">
        <f ca="1"/>
        <v>52516</v>
      </c>
      <c r="M7277" s="92">
        <f t="shared" ca="1" si="237"/>
        <v>6.25</v>
      </c>
      <c r="N7277" s="143">
        <f ca="1">(PRODUCT($O$5:$O7277)-1)*36000/_xlfn.DAYS(L7277, $C$2)</f>
        <v>13.760578110484941</v>
      </c>
      <c r="O7277" s="149">
        <f t="shared" ca="1" si="238"/>
        <v>1.000173611111111</v>
      </c>
    </row>
    <row r="7278" spans="12:15" x14ac:dyDescent="0.25">
      <c r="L7278" s="147">
        <f ca="1"/>
        <v>52517</v>
      </c>
      <c r="M7278" s="92">
        <f t="shared" ca="1" si="237"/>
        <v>6.25</v>
      </c>
      <c r="N7278" s="143">
        <f ca="1">(PRODUCT($O$5:$O7278)-1)*36000/_xlfn.DAYS(L7278, $C$2)</f>
        <v>13.761934247513157</v>
      </c>
      <c r="O7278" s="149">
        <f t="shared" ca="1" si="238"/>
        <v>1.000173611111111</v>
      </c>
    </row>
    <row r="7279" spans="12:15" x14ac:dyDescent="0.25">
      <c r="L7279" s="147">
        <f ca="1"/>
        <v>52518</v>
      </c>
      <c r="M7279" s="92">
        <f t="shared" ca="1" si="237"/>
        <v>6.25</v>
      </c>
      <c r="N7279" s="143">
        <f ca="1">(PRODUCT($O$5:$O7279)-1)*36000/_xlfn.DAYS(L7279, $C$2)</f>
        <v>13.763290575511693</v>
      </c>
      <c r="O7279" s="149">
        <f t="shared" ca="1" si="238"/>
        <v>1.000173611111111</v>
      </c>
    </row>
    <row r="7280" spans="12:15" x14ac:dyDescent="0.25">
      <c r="L7280" s="147">
        <f ca="1"/>
        <v>52519</v>
      </c>
      <c r="M7280" s="92">
        <f t="shared" ca="1" si="237"/>
        <v>6.25</v>
      </c>
      <c r="N7280" s="143">
        <f ca="1">(PRODUCT($O$5:$O7280)-1)*36000/_xlfn.DAYS(L7280, $C$2)</f>
        <v>13.764647094499676</v>
      </c>
      <c r="O7280" s="149">
        <f t="shared" ca="1" si="238"/>
        <v>1.000173611111111</v>
      </c>
    </row>
    <row r="7281" spans="12:15" x14ac:dyDescent="0.25">
      <c r="L7281" s="147">
        <f ca="1"/>
        <v>52520</v>
      </c>
      <c r="M7281" s="92">
        <f t="shared" ca="1" si="237"/>
        <v>6.25</v>
      </c>
      <c r="N7281" s="143">
        <f ca="1">(PRODUCT($O$5:$O7281)-1)*36000/_xlfn.DAYS(L7281, $C$2)</f>
        <v>13.76600380449624</v>
      </c>
      <c r="O7281" s="149">
        <f t="shared" ca="1" si="238"/>
        <v>1.000173611111111</v>
      </c>
    </row>
    <row r="7282" spans="12:15" x14ac:dyDescent="0.25">
      <c r="L7282" s="147">
        <f ca="1"/>
        <v>52521</v>
      </c>
      <c r="M7282" s="92">
        <f t="shared" ca="1" si="237"/>
        <v>6.25</v>
      </c>
      <c r="N7282" s="143">
        <f ca="1">(PRODUCT($O$5:$O7282)-1)*36000/_xlfn.DAYS(L7282, $C$2)</f>
        <v>13.767360705520524</v>
      </c>
      <c r="O7282" s="149">
        <f t="shared" ca="1" si="238"/>
        <v>1.000173611111111</v>
      </c>
    </row>
    <row r="7283" spans="12:15" x14ac:dyDescent="0.25">
      <c r="L7283" s="147">
        <f ca="1"/>
        <v>52522</v>
      </c>
      <c r="M7283" s="92">
        <f t="shared" ca="1" si="237"/>
        <v>6.25</v>
      </c>
      <c r="N7283" s="143">
        <f ca="1">(PRODUCT($O$5:$O7283)-1)*36000/_xlfn.DAYS(L7283, $C$2)</f>
        <v>13.768717797591677</v>
      </c>
      <c r="O7283" s="149">
        <f t="shared" ca="1" si="238"/>
        <v>1.000173611111111</v>
      </c>
    </row>
    <row r="7284" spans="12:15" x14ac:dyDescent="0.25">
      <c r="L7284" s="147">
        <f ca="1"/>
        <v>52523</v>
      </c>
      <c r="M7284" s="92">
        <f t="shared" ca="1" si="237"/>
        <v>6.25</v>
      </c>
      <c r="N7284" s="143">
        <f ca="1">(PRODUCT($O$5:$O7284)-1)*36000/_xlfn.DAYS(L7284, $C$2)</f>
        <v>13.77007508072885</v>
      </c>
      <c r="O7284" s="149">
        <f t="shared" ca="1" si="238"/>
        <v>1.000173611111111</v>
      </c>
    </row>
    <row r="7285" spans="12:15" x14ac:dyDescent="0.25">
      <c r="L7285" s="147">
        <f ca="1"/>
        <v>52524</v>
      </c>
      <c r="M7285" s="92">
        <f t="shared" ca="1" si="237"/>
        <v>6.25</v>
      </c>
      <c r="N7285" s="143">
        <f ca="1">(PRODUCT($O$5:$O7285)-1)*36000/_xlfn.DAYS(L7285, $C$2)</f>
        <v>13.771432554951204</v>
      </c>
      <c r="O7285" s="149">
        <f t="shared" ca="1" si="238"/>
        <v>1.000173611111111</v>
      </c>
    </row>
    <row r="7286" spans="12:15" x14ac:dyDescent="0.25">
      <c r="L7286" s="147">
        <f ca="1"/>
        <v>52525</v>
      </c>
      <c r="M7286" s="92">
        <f t="shared" ca="1" si="237"/>
        <v>6.25</v>
      </c>
      <c r="N7286" s="143">
        <f ca="1">(PRODUCT($O$5:$O7286)-1)*36000/_xlfn.DAYS(L7286, $C$2)</f>
        <v>13.772790220277903</v>
      </c>
      <c r="O7286" s="149">
        <f t="shared" ca="1" si="238"/>
        <v>1.000173611111111</v>
      </c>
    </row>
    <row r="7287" spans="12:15" x14ac:dyDescent="0.25">
      <c r="L7287" s="147">
        <f ca="1"/>
        <v>52526</v>
      </c>
      <c r="M7287" s="92">
        <f t="shared" ca="1" si="237"/>
        <v>6.25</v>
      </c>
      <c r="N7287" s="143">
        <f ca="1">(PRODUCT($O$5:$O7287)-1)*36000/_xlfn.DAYS(L7287, $C$2)</f>
        <v>13.774148076728123</v>
      </c>
      <c r="O7287" s="149">
        <f t="shared" ca="1" si="238"/>
        <v>1.000173611111111</v>
      </c>
    </row>
    <row r="7288" spans="12:15" x14ac:dyDescent="0.25">
      <c r="L7288" s="147">
        <f ca="1"/>
        <v>52527</v>
      </c>
      <c r="M7288" s="92">
        <f t="shared" ca="1" si="237"/>
        <v>6.25</v>
      </c>
      <c r="N7288" s="143">
        <f ca="1">(PRODUCT($O$5:$O7288)-1)*36000/_xlfn.DAYS(L7288, $C$2)</f>
        <v>13.775506124321041</v>
      </c>
      <c r="O7288" s="149">
        <f t="shared" ca="1" si="238"/>
        <v>1.000173611111111</v>
      </c>
    </row>
    <row r="7289" spans="12:15" x14ac:dyDescent="0.25">
      <c r="L7289" s="147">
        <f ca="1"/>
        <v>52528</v>
      </c>
      <c r="M7289" s="92">
        <f t="shared" ca="1" si="237"/>
        <v>6.25</v>
      </c>
      <c r="N7289" s="143">
        <f ca="1">(PRODUCT($O$5:$O7289)-1)*36000/_xlfn.DAYS(L7289, $C$2)</f>
        <v>13.776864363075839</v>
      </c>
      <c r="O7289" s="149">
        <f t="shared" ca="1" si="238"/>
        <v>1.000173611111111</v>
      </c>
    </row>
    <row r="7290" spans="12:15" x14ac:dyDescent="0.25">
      <c r="L7290" s="147">
        <f ca="1"/>
        <v>52529</v>
      </c>
      <c r="M7290" s="92">
        <f t="shared" ca="1" si="237"/>
        <v>6.25</v>
      </c>
      <c r="N7290" s="143">
        <f ca="1">(PRODUCT($O$5:$O7290)-1)*36000/_xlfn.DAYS(L7290, $C$2)</f>
        <v>13.778222793011714</v>
      </c>
      <c r="O7290" s="149">
        <f t="shared" ca="1" si="238"/>
        <v>1.000173611111111</v>
      </c>
    </row>
    <row r="7291" spans="12:15" x14ac:dyDescent="0.25">
      <c r="L7291" s="147">
        <f ca="1"/>
        <v>52530</v>
      </c>
      <c r="M7291" s="92">
        <f t="shared" ca="1" si="237"/>
        <v>6.25</v>
      </c>
      <c r="N7291" s="143">
        <f ca="1">(PRODUCT($O$5:$O7291)-1)*36000/_xlfn.DAYS(L7291, $C$2)</f>
        <v>13.779581414147859</v>
      </c>
      <c r="O7291" s="149">
        <f t="shared" ca="1" si="238"/>
        <v>1.000173611111111</v>
      </c>
    </row>
    <row r="7292" spans="12:15" x14ac:dyDescent="0.25">
      <c r="L7292" s="147">
        <f ca="1"/>
        <v>52531</v>
      </c>
      <c r="M7292" s="92">
        <f t="shared" ca="1" si="237"/>
        <v>6.25</v>
      </c>
      <c r="N7292" s="143">
        <f ca="1">(PRODUCT($O$5:$O7292)-1)*36000/_xlfn.DAYS(L7292, $C$2)</f>
        <v>13.780940226503487</v>
      </c>
      <c r="O7292" s="149">
        <f t="shared" ca="1" si="238"/>
        <v>1.000173611111111</v>
      </c>
    </row>
    <row r="7293" spans="12:15" x14ac:dyDescent="0.25">
      <c r="L7293" s="147">
        <f ca="1"/>
        <v>52532</v>
      </c>
      <c r="M7293" s="92">
        <f t="shared" ca="1" si="237"/>
        <v>6.25</v>
      </c>
      <c r="N7293" s="143">
        <f ca="1">(PRODUCT($O$5:$O7293)-1)*36000/_xlfn.DAYS(L7293, $C$2)</f>
        <v>13.782299230097804</v>
      </c>
      <c r="O7293" s="149">
        <f t="shared" ca="1" si="238"/>
        <v>1.000173611111111</v>
      </c>
    </row>
    <row r="7294" spans="12:15" x14ac:dyDescent="0.25">
      <c r="L7294" s="147">
        <f ca="1"/>
        <v>52533</v>
      </c>
      <c r="M7294" s="92">
        <f t="shared" ca="1" si="237"/>
        <v>6.25</v>
      </c>
      <c r="N7294" s="143">
        <f ca="1">(PRODUCT($O$5:$O7294)-1)*36000/_xlfn.DAYS(L7294, $C$2)</f>
        <v>13.783658424950024</v>
      </c>
      <c r="O7294" s="149">
        <f t="shared" ca="1" si="238"/>
        <v>1.000173611111111</v>
      </c>
    </row>
    <row r="7295" spans="12:15" x14ac:dyDescent="0.25">
      <c r="L7295" s="147">
        <f ca="1"/>
        <v>52534</v>
      </c>
      <c r="M7295" s="92">
        <f t="shared" ca="1" si="237"/>
        <v>6.25</v>
      </c>
      <c r="N7295" s="143">
        <f ca="1">(PRODUCT($O$5:$O7295)-1)*36000/_xlfn.DAYS(L7295, $C$2)</f>
        <v>13.785017811079378</v>
      </c>
      <c r="O7295" s="149">
        <f t="shared" ca="1" si="238"/>
        <v>1.000173611111111</v>
      </c>
    </row>
    <row r="7296" spans="12:15" x14ac:dyDescent="0.25">
      <c r="L7296" s="147">
        <f ca="1"/>
        <v>52535</v>
      </c>
      <c r="M7296" s="92">
        <f t="shared" ca="1" si="237"/>
        <v>6.25</v>
      </c>
      <c r="N7296" s="143">
        <f ca="1">(PRODUCT($O$5:$O7296)-1)*36000/_xlfn.DAYS(L7296, $C$2)</f>
        <v>13.786377388505095</v>
      </c>
      <c r="O7296" s="149">
        <f t="shared" ca="1" si="238"/>
        <v>1.000173611111111</v>
      </c>
    </row>
    <row r="7297" spans="12:15" x14ac:dyDescent="0.25">
      <c r="L7297" s="147">
        <f ca="1"/>
        <v>52536</v>
      </c>
      <c r="M7297" s="92">
        <f t="shared" ca="1" si="237"/>
        <v>6.25</v>
      </c>
      <c r="N7297" s="143">
        <f ca="1">(PRODUCT($O$5:$O7297)-1)*36000/_xlfn.DAYS(L7297, $C$2)</f>
        <v>13.787737157246408</v>
      </c>
      <c r="O7297" s="149">
        <f t="shared" ca="1" si="238"/>
        <v>1.000173611111111</v>
      </c>
    </row>
    <row r="7298" spans="12:15" x14ac:dyDescent="0.25">
      <c r="L7298" s="147">
        <f ca="1"/>
        <v>52537</v>
      </c>
      <c r="M7298" s="92">
        <f t="shared" ca="1" si="237"/>
        <v>6.25</v>
      </c>
      <c r="N7298" s="143">
        <f ca="1">(PRODUCT($O$5:$O7298)-1)*36000/_xlfn.DAYS(L7298, $C$2)</f>
        <v>13.789097117322564</v>
      </c>
      <c r="O7298" s="149">
        <f t="shared" ca="1" si="238"/>
        <v>1.000173611111111</v>
      </c>
    </row>
    <row r="7299" spans="12:15" x14ac:dyDescent="0.25">
      <c r="L7299" s="147">
        <f ca="1"/>
        <v>52538</v>
      </c>
      <c r="M7299" s="92">
        <f t="shared" ca="1" si="237"/>
        <v>6.25</v>
      </c>
      <c r="N7299" s="143">
        <f ca="1">(PRODUCT($O$5:$O7299)-1)*36000/_xlfn.DAYS(L7299, $C$2)</f>
        <v>13.790457268752814</v>
      </c>
      <c r="O7299" s="149">
        <f t="shared" ca="1" si="238"/>
        <v>1.000173611111111</v>
      </c>
    </row>
    <row r="7300" spans="12:15" x14ac:dyDescent="0.25">
      <c r="L7300" s="147">
        <f ca="1"/>
        <v>52539</v>
      </c>
      <c r="M7300" s="92">
        <f t="shared" ca="1" si="237"/>
        <v>6.25</v>
      </c>
      <c r="N7300" s="143">
        <f ca="1">(PRODUCT($O$5:$O7300)-1)*36000/_xlfn.DAYS(L7300, $C$2)</f>
        <v>13.791817611556411</v>
      </c>
      <c r="O7300" s="149">
        <f t="shared" ca="1" si="238"/>
        <v>1.000173611111111</v>
      </c>
    </row>
    <row r="7301" spans="12:15" x14ac:dyDescent="0.25">
      <c r="L7301" s="147">
        <f ca="1"/>
        <v>52540</v>
      </c>
      <c r="M7301" s="92">
        <f t="shared" ref="M7301:M7364" ca="1" si="239">IFERROR(INDEX($E$27:$H$47, MATCH(L7301, $F$27:$F$47, 0), 4), IF(ISNUMBER(M7300), M7300, $C$5))</f>
        <v>6.25</v>
      </c>
      <c r="N7301" s="143">
        <f ca="1">(PRODUCT($O$5:$O7301)-1)*36000/_xlfn.DAYS(L7301, $C$2)</f>
        <v>13.79317814575262</v>
      </c>
      <c r="O7301" s="149">
        <f t="shared" ca="1" si="238"/>
        <v>1.000173611111111</v>
      </c>
    </row>
    <row r="7302" spans="12:15" x14ac:dyDescent="0.25">
      <c r="L7302" s="147">
        <f ca="1"/>
        <v>52541</v>
      </c>
      <c r="M7302" s="92">
        <f t="shared" ca="1" si="239"/>
        <v>6.25</v>
      </c>
      <c r="N7302" s="143">
        <f ca="1">(PRODUCT($O$5:$O7302)-1)*36000/_xlfn.DAYS(L7302, $C$2)</f>
        <v>13.794538871360709</v>
      </c>
      <c r="O7302" s="149">
        <f t="shared" ref="O7302:O7365" ca="1" si="240">1+M7302*IFERROR(_xlfn.DAYS(L7302, L7301), _xlfn.DAYS(L7302, $C$2))/36000</f>
        <v>1.000173611111111</v>
      </c>
    </row>
    <row r="7303" spans="12:15" x14ac:dyDescent="0.25">
      <c r="L7303" s="147">
        <f ca="1"/>
        <v>52542</v>
      </c>
      <c r="M7303" s="92">
        <f t="shared" ca="1" si="239"/>
        <v>6.25</v>
      </c>
      <c r="N7303" s="143">
        <f ca="1">(PRODUCT($O$5:$O7303)-1)*36000/_xlfn.DAYS(L7303, $C$2)</f>
        <v>13.795899788399955</v>
      </c>
      <c r="O7303" s="149">
        <f t="shared" ca="1" si="240"/>
        <v>1.000173611111111</v>
      </c>
    </row>
    <row r="7304" spans="12:15" x14ac:dyDescent="0.25">
      <c r="L7304" s="147">
        <f ca="1"/>
        <v>52543</v>
      </c>
      <c r="M7304" s="92">
        <f t="shared" ca="1" si="239"/>
        <v>6.25</v>
      </c>
      <c r="N7304" s="143">
        <f ca="1">(PRODUCT($O$5:$O7304)-1)*36000/_xlfn.DAYS(L7304, $C$2)</f>
        <v>13.79726089688964</v>
      </c>
      <c r="O7304" s="149">
        <f t="shared" ca="1" si="240"/>
        <v>1.000173611111111</v>
      </c>
    </row>
    <row r="7305" spans="12:15" x14ac:dyDescent="0.25">
      <c r="L7305" s="147">
        <f ca="1"/>
        <v>52544</v>
      </c>
      <c r="M7305" s="92">
        <f t="shared" ca="1" si="239"/>
        <v>6.25</v>
      </c>
      <c r="N7305" s="143">
        <f ca="1">(PRODUCT($O$5:$O7305)-1)*36000/_xlfn.DAYS(L7305, $C$2)</f>
        <v>13.798622196849054</v>
      </c>
      <c r="O7305" s="149">
        <f t="shared" ca="1" si="240"/>
        <v>1.000173611111111</v>
      </c>
    </row>
    <row r="7306" spans="12:15" x14ac:dyDescent="0.25">
      <c r="L7306" s="147">
        <f ca="1"/>
        <v>52545</v>
      </c>
      <c r="M7306" s="92">
        <f t="shared" ca="1" si="239"/>
        <v>6.25</v>
      </c>
      <c r="N7306" s="143">
        <f ca="1">(PRODUCT($O$5:$O7306)-1)*36000/_xlfn.DAYS(L7306, $C$2)</f>
        <v>13.799983688297488</v>
      </c>
      <c r="O7306" s="149">
        <f t="shared" ca="1" si="240"/>
        <v>1.000173611111111</v>
      </c>
    </row>
    <row r="7307" spans="12:15" x14ac:dyDescent="0.25">
      <c r="L7307" s="147">
        <f ca="1"/>
        <v>52546</v>
      </c>
      <c r="M7307" s="92">
        <f t="shared" ca="1" si="239"/>
        <v>6.25</v>
      </c>
      <c r="N7307" s="143">
        <f ca="1">(PRODUCT($O$5:$O7307)-1)*36000/_xlfn.DAYS(L7307, $C$2)</f>
        <v>13.801345371254248</v>
      </c>
      <c r="O7307" s="149">
        <f t="shared" ca="1" si="240"/>
        <v>1.000173611111111</v>
      </c>
    </row>
    <row r="7308" spans="12:15" x14ac:dyDescent="0.25">
      <c r="L7308" s="147">
        <f ca="1"/>
        <v>52547</v>
      </c>
      <c r="M7308" s="92">
        <f t="shared" ca="1" si="239"/>
        <v>6.25</v>
      </c>
      <c r="N7308" s="143">
        <f ca="1">(PRODUCT($O$5:$O7308)-1)*36000/_xlfn.DAYS(L7308, $C$2)</f>
        <v>13.80270724573864</v>
      </c>
      <c r="O7308" s="149">
        <f t="shared" ca="1" si="240"/>
        <v>1.000173611111111</v>
      </c>
    </row>
    <row r="7309" spans="12:15" x14ac:dyDescent="0.25">
      <c r="L7309" s="147">
        <f ca="1"/>
        <v>52548</v>
      </c>
      <c r="M7309" s="92">
        <f t="shared" ca="1" si="239"/>
        <v>6.25</v>
      </c>
      <c r="N7309" s="143">
        <f ca="1">(PRODUCT($O$5:$O7309)-1)*36000/_xlfn.DAYS(L7309, $C$2)</f>
        <v>13.804069311769977</v>
      </c>
      <c r="O7309" s="149">
        <f t="shared" ca="1" si="240"/>
        <v>1.000173611111111</v>
      </c>
    </row>
    <row r="7310" spans="12:15" x14ac:dyDescent="0.25">
      <c r="L7310" s="147">
        <f ca="1"/>
        <v>52549</v>
      </c>
      <c r="M7310" s="92">
        <f t="shared" ca="1" si="239"/>
        <v>6.25</v>
      </c>
      <c r="N7310" s="143">
        <f ca="1">(PRODUCT($O$5:$O7310)-1)*36000/_xlfn.DAYS(L7310, $C$2)</f>
        <v>13.805431569367583</v>
      </c>
      <c r="O7310" s="149">
        <f t="shared" ca="1" si="240"/>
        <v>1.000173611111111</v>
      </c>
    </row>
    <row r="7311" spans="12:15" x14ac:dyDescent="0.25">
      <c r="L7311" s="147">
        <f ca="1"/>
        <v>52550</v>
      </c>
      <c r="M7311" s="92">
        <f t="shared" ca="1" si="239"/>
        <v>6.25</v>
      </c>
      <c r="N7311" s="143">
        <f ca="1">(PRODUCT($O$5:$O7311)-1)*36000/_xlfn.DAYS(L7311, $C$2)</f>
        <v>13.80679401855078</v>
      </c>
      <c r="O7311" s="149">
        <f t="shared" ca="1" si="240"/>
        <v>1.000173611111111</v>
      </c>
    </row>
    <row r="7312" spans="12:15" x14ac:dyDescent="0.25">
      <c r="L7312" s="147">
        <f ca="1"/>
        <v>52551</v>
      </c>
      <c r="M7312" s="92">
        <f t="shared" ca="1" si="239"/>
        <v>6.25</v>
      </c>
      <c r="N7312" s="143">
        <f ca="1">(PRODUCT($O$5:$O7312)-1)*36000/_xlfn.DAYS(L7312, $C$2)</f>
        <v>13.808156659338906</v>
      </c>
      <c r="O7312" s="149">
        <f t="shared" ca="1" si="240"/>
        <v>1.000173611111111</v>
      </c>
    </row>
    <row r="7313" spans="12:15" x14ac:dyDescent="0.25">
      <c r="L7313" s="147">
        <f ca="1"/>
        <v>52552</v>
      </c>
      <c r="M7313" s="92">
        <f t="shared" ca="1" si="239"/>
        <v>6.25</v>
      </c>
      <c r="N7313" s="143">
        <f ca="1">(PRODUCT($O$5:$O7313)-1)*36000/_xlfn.DAYS(L7313, $C$2)</f>
        <v>13.809519491751299</v>
      </c>
      <c r="O7313" s="149">
        <f t="shared" ca="1" si="240"/>
        <v>1.000173611111111</v>
      </c>
    </row>
    <row r="7314" spans="12:15" x14ac:dyDescent="0.25">
      <c r="L7314" s="147">
        <f ca="1"/>
        <v>52553</v>
      </c>
      <c r="M7314" s="92">
        <f t="shared" ca="1" si="239"/>
        <v>6.25</v>
      </c>
      <c r="N7314" s="143">
        <f ca="1">(PRODUCT($O$5:$O7314)-1)*36000/_xlfn.DAYS(L7314, $C$2)</f>
        <v>13.810882515807309</v>
      </c>
      <c r="O7314" s="149">
        <f t="shared" ca="1" si="240"/>
        <v>1.000173611111111</v>
      </c>
    </row>
    <row r="7315" spans="12:15" x14ac:dyDescent="0.25">
      <c r="L7315" s="147">
        <f ca="1"/>
        <v>52554</v>
      </c>
      <c r="M7315" s="92">
        <f t="shared" ca="1" si="239"/>
        <v>6.25</v>
      </c>
      <c r="N7315" s="143">
        <f ca="1">(PRODUCT($O$5:$O7315)-1)*36000/_xlfn.DAYS(L7315, $C$2)</f>
        <v>13.812245731526284</v>
      </c>
      <c r="O7315" s="149">
        <f t="shared" ca="1" si="240"/>
        <v>1.000173611111111</v>
      </c>
    </row>
    <row r="7316" spans="12:15" x14ac:dyDescent="0.25">
      <c r="L7316" s="147">
        <f ca="1"/>
        <v>52555</v>
      </c>
      <c r="M7316" s="92">
        <f t="shared" ca="1" si="239"/>
        <v>6.25</v>
      </c>
      <c r="N7316" s="143">
        <f ca="1">(PRODUCT($O$5:$O7316)-1)*36000/_xlfn.DAYS(L7316, $C$2)</f>
        <v>13.813609138927587</v>
      </c>
      <c r="O7316" s="149">
        <f t="shared" ca="1" si="240"/>
        <v>1.000173611111111</v>
      </c>
    </row>
    <row r="7317" spans="12:15" x14ac:dyDescent="0.25">
      <c r="L7317" s="147">
        <f ca="1"/>
        <v>52556</v>
      </c>
      <c r="M7317" s="92">
        <f t="shared" ca="1" si="239"/>
        <v>6.25</v>
      </c>
      <c r="N7317" s="143">
        <f ca="1">(PRODUCT($O$5:$O7317)-1)*36000/_xlfn.DAYS(L7317, $C$2)</f>
        <v>13.814972738030582</v>
      </c>
      <c r="O7317" s="149">
        <f t="shared" ca="1" si="240"/>
        <v>1.000173611111111</v>
      </c>
    </row>
    <row r="7318" spans="12:15" x14ac:dyDescent="0.25">
      <c r="L7318" s="147">
        <f ca="1"/>
        <v>52557</v>
      </c>
      <c r="M7318" s="92">
        <f t="shared" ca="1" si="239"/>
        <v>6.25</v>
      </c>
      <c r="N7318" s="143">
        <f ca="1">(PRODUCT($O$5:$O7318)-1)*36000/_xlfn.DAYS(L7318, $C$2)</f>
        <v>13.816336528854642</v>
      </c>
      <c r="O7318" s="149">
        <f t="shared" ca="1" si="240"/>
        <v>1.000173611111111</v>
      </c>
    </row>
    <row r="7319" spans="12:15" x14ac:dyDescent="0.25">
      <c r="L7319" s="147">
        <f ca="1"/>
        <v>52558</v>
      </c>
      <c r="M7319" s="92">
        <f t="shared" ca="1" si="239"/>
        <v>6.25</v>
      </c>
      <c r="N7319" s="143">
        <f ca="1">(PRODUCT($O$5:$O7319)-1)*36000/_xlfn.DAYS(L7319, $C$2)</f>
        <v>13.817700511419144</v>
      </c>
      <c r="O7319" s="149">
        <f t="shared" ca="1" si="240"/>
        <v>1.000173611111111</v>
      </c>
    </row>
    <row r="7320" spans="12:15" x14ac:dyDescent="0.25">
      <c r="L7320" s="147">
        <f ca="1"/>
        <v>52559</v>
      </c>
      <c r="M7320" s="92">
        <f t="shared" ca="1" si="239"/>
        <v>6.25</v>
      </c>
      <c r="N7320" s="143">
        <f ca="1">(PRODUCT($O$5:$O7320)-1)*36000/_xlfn.DAYS(L7320, $C$2)</f>
        <v>13.819064685743475</v>
      </c>
      <c r="O7320" s="149">
        <f t="shared" ca="1" si="240"/>
        <v>1.000173611111111</v>
      </c>
    </row>
    <row r="7321" spans="12:15" x14ac:dyDescent="0.25">
      <c r="L7321" s="147">
        <f ca="1"/>
        <v>52560</v>
      </c>
      <c r="M7321" s="92">
        <f t="shared" ca="1" si="239"/>
        <v>6.25</v>
      </c>
      <c r="N7321" s="143">
        <f ca="1">(PRODUCT($O$5:$O7321)-1)*36000/_xlfn.DAYS(L7321, $C$2)</f>
        <v>13.820429051847023</v>
      </c>
      <c r="O7321" s="149">
        <f t="shared" ca="1" si="240"/>
        <v>1.000173611111111</v>
      </c>
    </row>
    <row r="7322" spans="12:15" x14ac:dyDescent="0.25">
      <c r="L7322" s="147">
        <f ca="1"/>
        <v>52561</v>
      </c>
      <c r="M7322" s="92">
        <f t="shared" ca="1" si="239"/>
        <v>6.25</v>
      </c>
      <c r="N7322" s="143">
        <f ca="1">(PRODUCT($O$5:$O7322)-1)*36000/_xlfn.DAYS(L7322, $C$2)</f>
        <v>13.821793609749191</v>
      </c>
      <c r="O7322" s="149">
        <f t="shared" ca="1" si="240"/>
        <v>1.000173611111111</v>
      </c>
    </row>
    <row r="7323" spans="12:15" x14ac:dyDescent="0.25">
      <c r="L7323" s="147">
        <f ca="1"/>
        <v>52562</v>
      </c>
      <c r="M7323" s="92">
        <f t="shared" ca="1" si="239"/>
        <v>6.25</v>
      </c>
      <c r="N7323" s="143">
        <f ca="1">(PRODUCT($O$5:$O7323)-1)*36000/_xlfn.DAYS(L7323, $C$2)</f>
        <v>13.823158359469382</v>
      </c>
      <c r="O7323" s="149">
        <f t="shared" ca="1" si="240"/>
        <v>1.000173611111111</v>
      </c>
    </row>
    <row r="7324" spans="12:15" x14ac:dyDescent="0.25">
      <c r="L7324" s="147">
        <f ca="1"/>
        <v>52563</v>
      </c>
      <c r="M7324" s="92">
        <f t="shared" ca="1" si="239"/>
        <v>6.25</v>
      </c>
      <c r="N7324" s="143">
        <f ca="1">(PRODUCT($O$5:$O7324)-1)*36000/_xlfn.DAYS(L7324, $C$2)</f>
        <v>13.824523301027003</v>
      </c>
      <c r="O7324" s="149">
        <f t="shared" ca="1" si="240"/>
        <v>1.000173611111111</v>
      </c>
    </row>
    <row r="7325" spans="12:15" x14ac:dyDescent="0.25">
      <c r="L7325" s="147">
        <f ca="1"/>
        <v>52564</v>
      </c>
      <c r="M7325" s="92">
        <f t="shared" ca="1" si="239"/>
        <v>6.25</v>
      </c>
      <c r="N7325" s="143">
        <f ca="1">(PRODUCT($O$5:$O7325)-1)*36000/_xlfn.DAYS(L7325, $C$2)</f>
        <v>13.825888434441476</v>
      </c>
      <c r="O7325" s="149">
        <f t="shared" ca="1" si="240"/>
        <v>1.000173611111111</v>
      </c>
    </row>
    <row r="7326" spans="12:15" x14ac:dyDescent="0.25">
      <c r="L7326" s="147">
        <f ca="1"/>
        <v>52565</v>
      </c>
      <c r="M7326" s="92">
        <f t="shared" ca="1" si="239"/>
        <v>6.25</v>
      </c>
      <c r="N7326" s="143">
        <f ca="1">(PRODUCT($O$5:$O7326)-1)*36000/_xlfn.DAYS(L7326, $C$2)</f>
        <v>13.827253759732223</v>
      </c>
      <c r="O7326" s="149">
        <f t="shared" ca="1" si="240"/>
        <v>1.000173611111111</v>
      </c>
    </row>
    <row r="7327" spans="12:15" x14ac:dyDescent="0.25">
      <c r="L7327" s="147">
        <f ca="1"/>
        <v>52566</v>
      </c>
      <c r="M7327" s="92">
        <f t="shared" ca="1" si="239"/>
        <v>6.25</v>
      </c>
      <c r="N7327" s="143">
        <f ca="1">(PRODUCT($O$5:$O7327)-1)*36000/_xlfn.DAYS(L7327, $C$2)</f>
        <v>13.828619276918669</v>
      </c>
      <c r="O7327" s="149">
        <f t="shared" ca="1" si="240"/>
        <v>1.000173611111111</v>
      </c>
    </row>
    <row r="7328" spans="12:15" x14ac:dyDescent="0.25">
      <c r="L7328" s="147">
        <f ca="1"/>
        <v>52567</v>
      </c>
      <c r="M7328" s="92">
        <f t="shared" ca="1" si="239"/>
        <v>6.25</v>
      </c>
      <c r="N7328" s="143">
        <f ca="1">(PRODUCT($O$5:$O7328)-1)*36000/_xlfn.DAYS(L7328, $C$2)</f>
        <v>13.829984986020255</v>
      </c>
      <c r="O7328" s="149">
        <f t="shared" ca="1" si="240"/>
        <v>1.000173611111111</v>
      </c>
    </row>
    <row r="7329" spans="12:15" x14ac:dyDescent="0.25">
      <c r="L7329" s="147">
        <f ca="1"/>
        <v>52568</v>
      </c>
      <c r="M7329" s="92">
        <f t="shared" ca="1" si="239"/>
        <v>6.25</v>
      </c>
      <c r="N7329" s="143">
        <f ca="1">(PRODUCT($O$5:$O7329)-1)*36000/_xlfn.DAYS(L7329, $C$2)</f>
        <v>13.831350887056425</v>
      </c>
      <c r="O7329" s="149">
        <f t="shared" ca="1" si="240"/>
        <v>1.000173611111111</v>
      </c>
    </row>
    <row r="7330" spans="12:15" x14ac:dyDescent="0.25">
      <c r="L7330" s="147">
        <f ca="1"/>
        <v>52569</v>
      </c>
      <c r="M7330" s="92">
        <f t="shared" ca="1" si="239"/>
        <v>6.25</v>
      </c>
      <c r="N7330" s="143">
        <f ca="1">(PRODUCT($O$5:$O7330)-1)*36000/_xlfn.DAYS(L7330, $C$2)</f>
        <v>13.832716980046625</v>
      </c>
      <c r="O7330" s="149">
        <f t="shared" ca="1" si="240"/>
        <v>1.000173611111111</v>
      </c>
    </row>
    <row r="7331" spans="12:15" x14ac:dyDescent="0.25">
      <c r="L7331" s="147">
        <f ca="1"/>
        <v>52570</v>
      </c>
      <c r="M7331" s="92">
        <f t="shared" ca="1" si="239"/>
        <v>6.25</v>
      </c>
      <c r="N7331" s="143">
        <f ca="1">(PRODUCT($O$5:$O7331)-1)*36000/_xlfn.DAYS(L7331, $C$2)</f>
        <v>13.83408326501031</v>
      </c>
      <c r="O7331" s="149">
        <f t="shared" ca="1" si="240"/>
        <v>1.000173611111111</v>
      </c>
    </row>
    <row r="7332" spans="12:15" x14ac:dyDescent="0.25">
      <c r="L7332" s="147">
        <f ca="1"/>
        <v>52571</v>
      </c>
      <c r="M7332" s="92">
        <f t="shared" ca="1" si="239"/>
        <v>6.25</v>
      </c>
      <c r="N7332" s="143">
        <f ca="1">(PRODUCT($O$5:$O7332)-1)*36000/_xlfn.DAYS(L7332, $C$2)</f>
        <v>13.835449741966945</v>
      </c>
      <c r="O7332" s="149">
        <f t="shared" ca="1" si="240"/>
        <v>1.000173611111111</v>
      </c>
    </row>
    <row r="7333" spans="12:15" x14ac:dyDescent="0.25">
      <c r="L7333" s="147">
        <f ca="1"/>
        <v>52572</v>
      </c>
      <c r="M7333" s="92">
        <f t="shared" ca="1" si="239"/>
        <v>6.25</v>
      </c>
      <c r="N7333" s="143">
        <f ca="1">(PRODUCT($O$5:$O7333)-1)*36000/_xlfn.DAYS(L7333, $C$2)</f>
        <v>13.836816410936001</v>
      </c>
      <c r="O7333" s="149">
        <f t="shared" ca="1" si="240"/>
        <v>1.000173611111111</v>
      </c>
    </row>
    <row r="7334" spans="12:15" x14ac:dyDescent="0.25">
      <c r="L7334" s="147">
        <f ca="1"/>
        <v>52573</v>
      </c>
      <c r="M7334" s="92">
        <f t="shared" ca="1" si="239"/>
        <v>6.25</v>
      </c>
      <c r="N7334" s="143">
        <f ca="1">(PRODUCT($O$5:$O7334)-1)*36000/_xlfn.DAYS(L7334, $C$2)</f>
        <v>13.838183271936947</v>
      </c>
      <c r="O7334" s="149">
        <f t="shared" ca="1" si="240"/>
        <v>1.000173611111111</v>
      </c>
    </row>
    <row r="7335" spans="12:15" x14ac:dyDescent="0.25">
      <c r="L7335" s="147">
        <f ca="1"/>
        <v>52574</v>
      </c>
      <c r="M7335" s="92">
        <f t="shared" ca="1" si="239"/>
        <v>6.25</v>
      </c>
      <c r="N7335" s="143">
        <f ca="1">(PRODUCT($O$5:$O7335)-1)*36000/_xlfn.DAYS(L7335, $C$2)</f>
        <v>13.839550324989263</v>
      </c>
      <c r="O7335" s="149">
        <f t="shared" ca="1" si="240"/>
        <v>1.000173611111111</v>
      </c>
    </row>
    <row r="7336" spans="12:15" x14ac:dyDescent="0.25">
      <c r="L7336" s="147">
        <f ca="1"/>
        <v>52575</v>
      </c>
      <c r="M7336" s="92">
        <f t="shared" ca="1" si="239"/>
        <v>6.25</v>
      </c>
      <c r="N7336" s="143">
        <f ca="1">(PRODUCT($O$5:$O7336)-1)*36000/_xlfn.DAYS(L7336, $C$2)</f>
        <v>13.840917570112442</v>
      </c>
      <c r="O7336" s="149">
        <f t="shared" ca="1" si="240"/>
        <v>1.000173611111111</v>
      </c>
    </row>
    <row r="7337" spans="12:15" x14ac:dyDescent="0.25">
      <c r="L7337" s="147">
        <f ca="1"/>
        <v>52576</v>
      </c>
      <c r="M7337" s="92">
        <f t="shared" ca="1" si="239"/>
        <v>6.25</v>
      </c>
      <c r="N7337" s="143">
        <f ca="1">(PRODUCT($O$5:$O7337)-1)*36000/_xlfn.DAYS(L7337, $C$2)</f>
        <v>13.842285007325971</v>
      </c>
      <c r="O7337" s="149">
        <f t="shared" ca="1" si="240"/>
        <v>1.000173611111111</v>
      </c>
    </row>
    <row r="7338" spans="12:15" x14ac:dyDescent="0.25">
      <c r="L7338" s="147">
        <f ca="1"/>
        <v>52577</v>
      </c>
      <c r="M7338" s="92">
        <f t="shared" ca="1" si="239"/>
        <v>6.25</v>
      </c>
      <c r="N7338" s="143">
        <f ca="1">(PRODUCT($O$5:$O7338)-1)*36000/_xlfn.DAYS(L7338, $C$2)</f>
        <v>13.84365263664936</v>
      </c>
      <c r="O7338" s="149">
        <f t="shared" ca="1" si="240"/>
        <v>1.000173611111111</v>
      </c>
    </row>
    <row r="7339" spans="12:15" x14ac:dyDescent="0.25">
      <c r="L7339" s="147">
        <f ca="1"/>
        <v>52578</v>
      </c>
      <c r="M7339" s="92">
        <f t="shared" ca="1" si="239"/>
        <v>6.25</v>
      </c>
      <c r="N7339" s="143">
        <f ca="1">(PRODUCT($O$5:$O7339)-1)*36000/_xlfn.DAYS(L7339, $C$2)</f>
        <v>13.845020458102107</v>
      </c>
      <c r="O7339" s="149">
        <f t="shared" ca="1" si="240"/>
        <v>1.000173611111111</v>
      </c>
    </row>
    <row r="7340" spans="12:15" x14ac:dyDescent="0.25">
      <c r="L7340" s="147">
        <f ca="1"/>
        <v>52579</v>
      </c>
      <c r="M7340" s="92">
        <f t="shared" ca="1" si="239"/>
        <v>6.25</v>
      </c>
      <c r="N7340" s="143">
        <f ca="1">(PRODUCT($O$5:$O7340)-1)*36000/_xlfn.DAYS(L7340, $C$2)</f>
        <v>13.84638847170373</v>
      </c>
      <c r="O7340" s="149">
        <f t="shared" ca="1" si="240"/>
        <v>1.000173611111111</v>
      </c>
    </row>
    <row r="7341" spans="12:15" x14ac:dyDescent="0.25">
      <c r="L7341" s="147">
        <f ca="1"/>
        <v>52580</v>
      </c>
      <c r="M7341" s="92">
        <f t="shared" ca="1" si="239"/>
        <v>6.25</v>
      </c>
      <c r="N7341" s="143">
        <f ca="1">(PRODUCT($O$5:$O7341)-1)*36000/_xlfn.DAYS(L7341, $C$2)</f>
        <v>13.847756677473745</v>
      </c>
      <c r="O7341" s="149">
        <f t="shared" ca="1" si="240"/>
        <v>1.000173611111111</v>
      </c>
    </row>
    <row r="7342" spans="12:15" x14ac:dyDescent="0.25">
      <c r="L7342" s="147">
        <f ca="1"/>
        <v>52581</v>
      </c>
      <c r="M7342" s="92">
        <f t="shared" ca="1" si="239"/>
        <v>6.25</v>
      </c>
      <c r="N7342" s="143">
        <f ca="1">(PRODUCT($O$5:$O7342)-1)*36000/_xlfn.DAYS(L7342, $C$2)</f>
        <v>13.849125075431681</v>
      </c>
      <c r="O7342" s="149">
        <f t="shared" ca="1" si="240"/>
        <v>1.000173611111111</v>
      </c>
    </row>
    <row r="7343" spans="12:15" x14ac:dyDescent="0.25">
      <c r="L7343" s="147">
        <f ca="1"/>
        <v>52582</v>
      </c>
      <c r="M7343" s="92">
        <f t="shared" ca="1" si="239"/>
        <v>6.25</v>
      </c>
      <c r="N7343" s="143">
        <f ca="1">(PRODUCT($O$5:$O7343)-1)*36000/_xlfn.DAYS(L7343, $C$2)</f>
        <v>13.850493665597067</v>
      </c>
      <c r="O7343" s="149">
        <f t="shared" ca="1" si="240"/>
        <v>1.000173611111111</v>
      </c>
    </row>
    <row r="7344" spans="12:15" x14ac:dyDescent="0.25">
      <c r="L7344" s="147">
        <f ca="1"/>
        <v>52583</v>
      </c>
      <c r="M7344" s="92">
        <f t="shared" ca="1" si="239"/>
        <v>6.25</v>
      </c>
      <c r="N7344" s="143">
        <f ca="1">(PRODUCT($O$5:$O7344)-1)*36000/_xlfn.DAYS(L7344, $C$2)</f>
        <v>13.851862447989445</v>
      </c>
      <c r="O7344" s="149">
        <f t="shared" ca="1" si="240"/>
        <v>1.000173611111111</v>
      </c>
    </row>
    <row r="7345" spans="12:15" x14ac:dyDescent="0.25">
      <c r="L7345" s="147">
        <f ca="1"/>
        <v>52584</v>
      </c>
      <c r="M7345" s="92">
        <f t="shared" ca="1" si="239"/>
        <v>6.25</v>
      </c>
      <c r="N7345" s="143">
        <f ca="1">(PRODUCT($O$5:$O7345)-1)*36000/_xlfn.DAYS(L7345, $C$2)</f>
        <v>13.853231422628358</v>
      </c>
      <c r="O7345" s="149">
        <f t="shared" ca="1" si="240"/>
        <v>1.000173611111111</v>
      </c>
    </row>
    <row r="7346" spans="12:15" x14ac:dyDescent="0.25">
      <c r="L7346" s="147">
        <f ca="1"/>
        <v>52585</v>
      </c>
      <c r="M7346" s="92">
        <f t="shared" ca="1" si="239"/>
        <v>6.25</v>
      </c>
      <c r="N7346" s="143">
        <f ca="1">(PRODUCT($O$5:$O7346)-1)*36000/_xlfn.DAYS(L7346, $C$2)</f>
        <v>13.854600589533359</v>
      </c>
      <c r="O7346" s="149">
        <f t="shared" ca="1" si="240"/>
        <v>1.000173611111111</v>
      </c>
    </row>
    <row r="7347" spans="12:15" x14ac:dyDescent="0.25">
      <c r="L7347" s="147">
        <f ca="1"/>
        <v>52586</v>
      </c>
      <c r="M7347" s="92">
        <f t="shared" ca="1" si="239"/>
        <v>6.25</v>
      </c>
      <c r="N7347" s="143">
        <f ca="1">(PRODUCT($O$5:$O7347)-1)*36000/_xlfn.DAYS(L7347, $C$2)</f>
        <v>13.855969948724004</v>
      </c>
      <c r="O7347" s="149">
        <f t="shared" ca="1" si="240"/>
        <v>1.000173611111111</v>
      </c>
    </row>
    <row r="7348" spans="12:15" x14ac:dyDescent="0.25">
      <c r="L7348" s="147">
        <f ca="1"/>
        <v>52587</v>
      </c>
      <c r="M7348" s="92">
        <f t="shared" ca="1" si="239"/>
        <v>6.25</v>
      </c>
      <c r="N7348" s="143">
        <f ca="1">(PRODUCT($O$5:$O7348)-1)*36000/_xlfn.DAYS(L7348, $C$2)</f>
        <v>13.857339500219858</v>
      </c>
      <c r="O7348" s="149">
        <f t="shared" ca="1" si="240"/>
        <v>1.000173611111111</v>
      </c>
    </row>
    <row r="7349" spans="12:15" x14ac:dyDescent="0.25">
      <c r="L7349" s="147">
        <f ca="1"/>
        <v>52588</v>
      </c>
      <c r="M7349" s="92">
        <f t="shared" ca="1" si="239"/>
        <v>6.25</v>
      </c>
      <c r="N7349" s="143">
        <f ca="1">(PRODUCT($O$5:$O7349)-1)*36000/_xlfn.DAYS(L7349, $C$2)</f>
        <v>13.85870924404049</v>
      </c>
      <c r="O7349" s="149">
        <f t="shared" ca="1" si="240"/>
        <v>1.000173611111111</v>
      </c>
    </row>
    <row r="7350" spans="12:15" x14ac:dyDescent="0.25">
      <c r="L7350" s="147">
        <f ca="1"/>
        <v>52589</v>
      </c>
      <c r="M7350" s="92">
        <f t="shared" ca="1" si="239"/>
        <v>6.25</v>
      </c>
      <c r="N7350" s="143">
        <f ca="1">(PRODUCT($O$5:$O7350)-1)*36000/_xlfn.DAYS(L7350, $C$2)</f>
        <v>13.86007918020548</v>
      </c>
      <c r="O7350" s="149">
        <f t="shared" ca="1" si="240"/>
        <v>1.000173611111111</v>
      </c>
    </row>
    <row r="7351" spans="12:15" x14ac:dyDescent="0.25">
      <c r="L7351" s="147">
        <f ca="1"/>
        <v>52590</v>
      </c>
      <c r="M7351" s="92">
        <f t="shared" ca="1" si="239"/>
        <v>6.25</v>
      </c>
      <c r="N7351" s="143">
        <f ca="1">(PRODUCT($O$5:$O7351)-1)*36000/_xlfn.DAYS(L7351, $C$2)</f>
        <v>13.861449308734407</v>
      </c>
      <c r="O7351" s="149">
        <f t="shared" ca="1" si="240"/>
        <v>1.000173611111111</v>
      </c>
    </row>
    <row r="7352" spans="12:15" x14ac:dyDescent="0.25">
      <c r="L7352" s="147">
        <f ca="1"/>
        <v>52591</v>
      </c>
      <c r="M7352" s="92">
        <f t="shared" ca="1" si="239"/>
        <v>6.25</v>
      </c>
      <c r="N7352" s="143">
        <f ca="1">(PRODUCT($O$5:$O7352)-1)*36000/_xlfn.DAYS(L7352, $C$2)</f>
        <v>13.862819629646864</v>
      </c>
      <c r="O7352" s="149">
        <f t="shared" ca="1" si="240"/>
        <v>1.000173611111111</v>
      </c>
    </row>
    <row r="7353" spans="12:15" x14ac:dyDescent="0.25">
      <c r="L7353" s="147">
        <f ca="1"/>
        <v>52592</v>
      </c>
      <c r="M7353" s="92">
        <f t="shared" ca="1" si="239"/>
        <v>6.25</v>
      </c>
      <c r="N7353" s="143">
        <f ca="1">(PRODUCT($O$5:$O7353)-1)*36000/_xlfn.DAYS(L7353, $C$2)</f>
        <v>13.864190142962448</v>
      </c>
      <c r="O7353" s="149">
        <f t="shared" ca="1" si="240"/>
        <v>1.000173611111111</v>
      </c>
    </row>
    <row r="7354" spans="12:15" x14ac:dyDescent="0.25">
      <c r="L7354" s="147">
        <f ca="1"/>
        <v>52593</v>
      </c>
      <c r="M7354" s="92">
        <f t="shared" ca="1" si="239"/>
        <v>6.25</v>
      </c>
      <c r="N7354" s="143">
        <f ca="1">(PRODUCT($O$5:$O7354)-1)*36000/_xlfn.DAYS(L7354, $C$2)</f>
        <v>13.865560848700756</v>
      </c>
      <c r="O7354" s="149">
        <f t="shared" ca="1" si="240"/>
        <v>1.000173611111111</v>
      </c>
    </row>
    <row r="7355" spans="12:15" x14ac:dyDescent="0.25">
      <c r="L7355" s="147">
        <f ca="1"/>
        <v>52594</v>
      </c>
      <c r="M7355" s="92">
        <f t="shared" ca="1" si="239"/>
        <v>6.25</v>
      </c>
      <c r="N7355" s="143">
        <f ca="1">(PRODUCT($O$5:$O7355)-1)*36000/_xlfn.DAYS(L7355, $C$2)</f>
        <v>13.866931746881402</v>
      </c>
      <c r="O7355" s="149">
        <f t="shared" ca="1" si="240"/>
        <v>1.000173611111111</v>
      </c>
    </row>
    <row r="7356" spans="12:15" x14ac:dyDescent="0.25">
      <c r="L7356" s="147">
        <f ca="1"/>
        <v>52595</v>
      </c>
      <c r="M7356" s="92">
        <f t="shared" ca="1" si="239"/>
        <v>6.25</v>
      </c>
      <c r="N7356" s="143">
        <f ca="1">(PRODUCT($O$5:$O7356)-1)*36000/_xlfn.DAYS(L7356, $C$2)</f>
        <v>13.868302837524002</v>
      </c>
      <c r="O7356" s="149">
        <f t="shared" ca="1" si="240"/>
        <v>1.000173611111111</v>
      </c>
    </row>
    <row r="7357" spans="12:15" x14ac:dyDescent="0.25">
      <c r="L7357" s="147">
        <f ca="1"/>
        <v>52596</v>
      </c>
      <c r="M7357" s="92">
        <f t="shared" ca="1" si="239"/>
        <v>6.25</v>
      </c>
      <c r="N7357" s="143">
        <f ca="1">(PRODUCT($O$5:$O7357)-1)*36000/_xlfn.DAYS(L7357, $C$2)</f>
        <v>13.86967412064817</v>
      </c>
      <c r="O7357" s="149">
        <f t="shared" ca="1" si="240"/>
        <v>1.000173611111111</v>
      </c>
    </row>
    <row r="7358" spans="12:15" x14ac:dyDescent="0.25">
      <c r="L7358" s="147">
        <f ca="1"/>
        <v>52597</v>
      </c>
      <c r="M7358" s="92">
        <f t="shared" ca="1" si="239"/>
        <v>6.25</v>
      </c>
      <c r="N7358" s="143">
        <f ca="1">(PRODUCT($O$5:$O7358)-1)*36000/_xlfn.DAYS(L7358, $C$2)</f>
        <v>13.871045596273543</v>
      </c>
      <c r="O7358" s="149">
        <f t="shared" ca="1" si="240"/>
        <v>1.000173611111111</v>
      </c>
    </row>
    <row r="7359" spans="12:15" x14ac:dyDescent="0.25">
      <c r="L7359" s="147">
        <f ca="1"/>
        <v>52598</v>
      </c>
      <c r="M7359" s="92">
        <f t="shared" ca="1" si="239"/>
        <v>6.25</v>
      </c>
      <c r="N7359" s="143">
        <f ca="1">(PRODUCT($O$5:$O7359)-1)*36000/_xlfn.DAYS(L7359, $C$2)</f>
        <v>13.872417264419751</v>
      </c>
      <c r="O7359" s="149">
        <f t="shared" ca="1" si="240"/>
        <v>1.000173611111111</v>
      </c>
    </row>
    <row r="7360" spans="12:15" x14ac:dyDescent="0.25">
      <c r="L7360" s="147">
        <f ca="1"/>
        <v>52599</v>
      </c>
      <c r="M7360" s="92">
        <f t="shared" ca="1" si="239"/>
        <v>6.25</v>
      </c>
      <c r="N7360" s="143">
        <f ca="1">(PRODUCT($O$5:$O7360)-1)*36000/_xlfn.DAYS(L7360, $C$2)</f>
        <v>13.87378912510643</v>
      </c>
      <c r="O7360" s="149">
        <f t="shared" ca="1" si="240"/>
        <v>1.000173611111111</v>
      </c>
    </row>
    <row r="7361" spans="12:15" x14ac:dyDescent="0.25">
      <c r="L7361" s="147">
        <f ca="1"/>
        <v>52600</v>
      </c>
      <c r="M7361" s="92">
        <f t="shared" ca="1" si="239"/>
        <v>6.25</v>
      </c>
      <c r="N7361" s="143">
        <f ca="1">(PRODUCT($O$5:$O7361)-1)*36000/_xlfn.DAYS(L7361, $C$2)</f>
        <v>13.875161178353235</v>
      </c>
      <c r="O7361" s="149">
        <f t="shared" ca="1" si="240"/>
        <v>1.000173611111111</v>
      </c>
    </row>
    <row r="7362" spans="12:15" x14ac:dyDescent="0.25">
      <c r="L7362" s="147">
        <f ca="1"/>
        <v>52601</v>
      </c>
      <c r="M7362" s="92">
        <f t="shared" ca="1" si="239"/>
        <v>6.25</v>
      </c>
      <c r="N7362" s="143">
        <f ca="1">(PRODUCT($O$5:$O7362)-1)*36000/_xlfn.DAYS(L7362, $C$2)</f>
        <v>13.876533424179813</v>
      </c>
      <c r="O7362" s="149">
        <f t="shared" ca="1" si="240"/>
        <v>1.000173611111111</v>
      </c>
    </row>
    <row r="7363" spans="12:15" x14ac:dyDescent="0.25">
      <c r="L7363" s="147">
        <f ca="1"/>
        <v>52602</v>
      </c>
      <c r="M7363" s="92">
        <f t="shared" ca="1" si="239"/>
        <v>6.25</v>
      </c>
      <c r="N7363" s="143">
        <f ca="1">(PRODUCT($O$5:$O7363)-1)*36000/_xlfn.DAYS(L7363, $C$2)</f>
        <v>13.877905862605829</v>
      </c>
      <c r="O7363" s="149">
        <f t="shared" ca="1" si="240"/>
        <v>1.000173611111111</v>
      </c>
    </row>
    <row r="7364" spans="12:15" x14ac:dyDescent="0.25">
      <c r="L7364" s="147">
        <f ca="1"/>
        <v>52603</v>
      </c>
      <c r="M7364" s="92">
        <f t="shared" ca="1" si="239"/>
        <v>6.25</v>
      </c>
      <c r="N7364" s="143">
        <f ca="1">(PRODUCT($O$5:$O7364)-1)*36000/_xlfn.DAYS(L7364, $C$2)</f>
        <v>13.879278493650943</v>
      </c>
      <c r="O7364" s="149">
        <f t="shared" ca="1" si="240"/>
        <v>1.000173611111111</v>
      </c>
    </row>
    <row r="7365" spans="12:15" x14ac:dyDescent="0.25">
      <c r="L7365" s="147">
        <f ca="1"/>
        <v>52604</v>
      </c>
      <c r="M7365" s="92">
        <f t="shared" ref="M7365:M7428" ca="1" si="241">IFERROR(INDEX($E$27:$H$47, MATCH(L7365, $F$27:$F$47, 0), 4), IF(ISNUMBER(M7364), M7364, $C$5))</f>
        <v>6.25</v>
      </c>
      <c r="N7365" s="143">
        <f ca="1">(PRODUCT($O$5:$O7365)-1)*36000/_xlfn.DAYS(L7365, $C$2)</f>
        <v>13.880651317334834</v>
      </c>
      <c r="O7365" s="149">
        <f t="shared" ca="1" si="240"/>
        <v>1.000173611111111</v>
      </c>
    </row>
    <row r="7366" spans="12:15" x14ac:dyDescent="0.25">
      <c r="L7366" s="147">
        <f ca="1"/>
        <v>52605</v>
      </c>
      <c r="M7366" s="92">
        <f t="shared" ca="1" si="241"/>
        <v>6.25</v>
      </c>
      <c r="N7366" s="143">
        <f ca="1">(PRODUCT($O$5:$O7366)-1)*36000/_xlfn.DAYS(L7366, $C$2)</f>
        <v>13.882024333677174</v>
      </c>
      <c r="O7366" s="149">
        <f t="shared" ref="O7366:O7429" ca="1" si="242">1+M7366*IFERROR(_xlfn.DAYS(L7366, L7365), _xlfn.DAYS(L7366, $C$2))/36000</f>
        <v>1.000173611111111</v>
      </c>
    </row>
    <row r="7367" spans="12:15" x14ac:dyDescent="0.25">
      <c r="L7367" s="147">
        <f ca="1"/>
        <v>52606</v>
      </c>
      <c r="M7367" s="92">
        <f t="shared" ca="1" si="241"/>
        <v>6.25</v>
      </c>
      <c r="N7367" s="143">
        <f ca="1">(PRODUCT($O$5:$O7367)-1)*36000/_xlfn.DAYS(L7367, $C$2)</f>
        <v>13.883397542697654</v>
      </c>
      <c r="O7367" s="149">
        <f t="shared" ca="1" si="242"/>
        <v>1.000173611111111</v>
      </c>
    </row>
    <row r="7368" spans="12:15" x14ac:dyDescent="0.25">
      <c r="L7368" s="147">
        <f ca="1"/>
        <v>52607</v>
      </c>
      <c r="M7368" s="92">
        <f t="shared" ca="1" si="241"/>
        <v>6.25</v>
      </c>
      <c r="N7368" s="143">
        <f ca="1">(PRODUCT($O$5:$O7368)-1)*36000/_xlfn.DAYS(L7368, $C$2)</f>
        <v>13.884770944415964</v>
      </c>
      <c r="O7368" s="149">
        <f t="shared" ca="1" si="242"/>
        <v>1.000173611111111</v>
      </c>
    </row>
    <row r="7369" spans="12:15" x14ac:dyDescent="0.25">
      <c r="L7369" s="147">
        <f ca="1"/>
        <v>52608</v>
      </c>
      <c r="M7369" s="92">
        <f t="shared" ca="1" si="241"/>
        <v>6.25</v>
      </c>
      <c r="N7369" s="143">
        <f ca="1">(PRODUCT($O$5:$O7369)-1)*36000/_xlfn.DAYS(L7369, $C$2)</f>
        <v>13.886144538851799</v>
      </c>
      <c r="O7369" s="149">
        <f t="shared" ca="1" si="242"/>
        <v>1.000173611111111</v>
      </c>
    </row>
    <row r="7370" spans="12:15" x14ac:dyDescent="0.25">
      <c r="L7370" s="147">
        <f ca="1"/>
        <v>52609</v>
      </c>
      <c r="M7370" s="92">
        <f t="shared" ca="1" si="241"/>
        <v>6.25</v>
      </c>
      <c r="N7370" s="143">
        <f ca="1">(PRODUCT($O$5:$O7370)-1)*36000/_xlfn.DAYS(L7370, $C$2)</f>
        <v>13.887518326024866</v>
      </c>
      <c r="O7370" s="149">
        <f t="shared" ca="1" si="242"/>
        <v>1.000173611111111</v>
      </c>
    </row>
    <row r="7371" spans="12:15" x14ac:dyDescent="0.25">
      <c r="L7371" s="147">
        <f ca="1"/>
        <v>52610</v>
      </c>
      <c r="M7371" s="92">
        <f t="shared" ca="1" si="241"/>
        <v>6.25</v>
      </c>
      <c r="N7371" s="143">
        <f ca="1">(PRODUCT($O$5:$O7371)-1)*36000/_xlfn.DAYS(L7371, $C$2)</f>
        <v>13.888892305954871</v>
      </c>
      <c r="O7371" s="149">
        <f t="shared" ca="1" si="242"/>
        <v>1.000173611111111</v>
      </c>
    </row>
    <row r="7372" spans="12:15" x14ac:dyDescent="0.25">
      <c r="L7372" s="147">
        <f ca="1"/>
        <v>52611</v>
      </c>
      <c r="M7372" s="92">
        <f t="shared" ca="1" si="241"/>
        <v>6.25</v>
      </c>
      <c r="N7372" s="143">
        <f ca="1">(PRODUCT($O$5:$O7372)-1)*36000/_xlfn.DAYS(L7372, $C$2)</f>
        <v>13.890266478661538</v>
      </c>
      <c r="O7372" s="149">
        <f t="shared" ca="1" si="242"/>
        <v>1.000173611111111</v>
      </c>
    </row>
    <row r="7373" spans="12:15" x14ac:dyDescent="0.25">
      <c r="L7373" s="147">
        <f ca="1"/>
        <v>52612</v>
      </c>
      <c r="M7373" s="92">
        <f t="shared" ca="1" si="241"/>
        <v>6.25</v>
      </c>
      <c r="N7373" s="143">
        <f ca="1">(PRODUCT($O$5:$O7373)-1)*36000/_xlfn.DAYS(L7373, $C$2)</f>
        <v>13.891640844164582</v>
      </c>
      <c r="O7373" s="149">
        <f t="shared" ca="1" si="242"/>
        <v>1.000173611111111</v>
      </c>
    </row>
    <row r="7374" spans="12:15" x14ac:dyDescent="0.25">
      <c r="L7374" s="147">
        <f ca="1"/>
        <v>52613</v>
      </c>
      <c r="M7374" s="92">
        <f t="shared" ca="1" si="241"/>
        <v>6.25</v>
      </c>
      <c r="N7374" s="143">
        <f ca="1">(PRODUCT($O$5:$O7374)-1)*36000/_xlfn.DAYS(L7374, $C$2)</f>
        <v>13.893015402483741</v>
      </c>
      <c r="O7374" s="149">
        <f t="shared" ca="1" si="242"/>
        <v>1.000173611111111</v>
      </c>
    </row>
    <row r="7375" spans="12:15" x14ac:dyDescent="0.25">
      <c r="L7375" s="147">
        <f ca="1"/>
        <v>52614</v>
      </c>
      <c r="M7375" s="92">
        <f t="shared" ca="1" si="241"/>
        <v>6.25</v>
      </c>
      <c r="N7375" s="143">
        <f ca="1">(PRODUCT($O$5:$O7375)-1)*36000/_xlfn.DAYS(L7375, $C$2)</f>
        <v>13.894390153638744</v>
      </c>
      <c r="O7375" s="149">
        <f t="shared" ca="1" si="242"/>
        <v>1.000173611111111</v>
      </c>
    </row>
    <row r="7376" spans="12:15" x14ac:dyDescent="0.25">
      <c r="L7376" s="147">
        <f ca="1"/>
        <v>52615</v>
      </c>
      <c r="M7376" s="92">
        <f t="shared" ca="1" si="241"/>
        <v>6.25</v>
      </c>
      <c r="N7376" s="143">
        <f ca="1">(PRODUCT($O$5:$O7376)-1)*36000/_xlfn.DAYS(L7376, $C$2)</f>
        <v>13.895765097649335</v>
      </c>
      <c r="O7376" s="149">
        <f t="shared" ca="1" si="242"/>
        <v>1.000173611111111</v>
      </c>
    </row>
    <row r="7377" spans="12:15" x14ac:dyDescent="0.25">
      <c r="L7377" s="147">
        <f ca="1"/>
        <v>52616</v>
      </c>
      <c r="M7377" s="92">
        <f t="shared" ca="1" si="241"/>
        <v>6.25</v>
      </c>
      <c r="N7377" s="143">
        <f ca="1">(PRODUCT($O$5:$O7377)-1)*36000/_xlfn.DAYS(L7377, $C$2)</f>
        <v>13.897140234535264</v>
      </c>
      <c r="O7377" s="149">
        <f t="shared" ca="1" si="242"/>
        <v>1.000173611111111</v>
      </c>
    </row>
    <row r="7378" spans="12:15" x14ac:dyDescent="0.25">
      <c r="L7378" s="147">
        <f ca="1"/>
        <v>52617</v>
      </c>
      <c r="M7378" s="92">
        <f t="shared" ca="1" si="241"/>
        <v>6.25</v>
      </c>
      <c r="N7378" s="143">
        <f ca="1">(PRODUCT($O$5:$O7378)-1)*36000/_xlfn.DAYS(L7378, $C$2)</f>
        <v>13.898515564316286</v>
      </c>
      <c r="O7378" s="149">
        <f t="shared" ca="1" si="242"/>
        <v>1.000173611111111</v>
      </c>
    </row>
    <row r="7379" spans="12:15" x14ac:dyDescent="0.25">
      <c r="L7379" s="147">
        <f ca="1"/>
        <v>52618</v>
      </c>
      <c r="M7379" s="92">
        <f t="shared" ca="1" si="241"/>
        <v>6.25</v>
      </c>
      <c r="N7379" s="143">
        <f ca="1">(PRODUCT($O$5:$O7379)-1)*36000/_xlfn.DAYS(L7379, $C$2)</f>
        <v>13.899891087012158</v>
      </c>
      <c r="O7379" s="149">
        <f t="shared" ca="1" si="242"/>
        <v>1.000173611111111</v>
      </c>
    </row>
    <row r="7380" spans="12:15" x14ac:dyDescent="0.25">
      <c r="L7380" s="147">
        <f ca="1"/>
        <v>52619</v>
      </c>
      <c r="M7380" s="92">
        <f t="shared" ca="1" si="241"/>
        <v>6.25</v>
      </c>
      <c r="N7380" s="143">
        <f ca="1">(PRODUCT($O$5:$O7380)-1)*36000/_xlfn.DAYS(L7380, $C$2)</f>
        <v>13.901266802642654</v>
      </c>
      <c r="O7380" s="149">
        <f t="shared" ca="1" si="242"/>
        <v>1.000173611111111</v>
      </c>
    </row>
    <row r="7381" spans="12:15" x14ac:dyDescent="0.25">
      <c r="L7381" s="147">
        <f ca="1"/>
        <v>52620</v>
      </c>
      <c r="M7381" s="92">
        <f t="shared" ca="1" si="241"/>
        <v>6.25</v>
      </c>
      <c r="N7381" s="143">
        <f ca="1">(PRODUCT($O$5:$O7381)-1)*36000/_xlfn.DAYS(L7381, $C$2)</f>
        <v>13.902642711227543</v>
      </c>
      <c r="O7381" s="149">
        <f t="shared" ca="1" si="242"/>
        <v>1.000173611111111</v>
      </c>
    </row>
    <row r="7382" spans="12:15" x14ac:dyDescent="0.25">
      <c r="L7382" s="147">
        <f ca="1"/>
        <v>52621</v>
      </c>
      <c r="M7382" s="92">
        <f t="shared" ca="1" si="241"/>
        <v>6.25</v>
      </c>
      <c r="N7382" s="143">
        <f ca="1">(PRODUCT($O$5:$O7382)-1)*36000/_xlfn.DAYS(L7382, $C$2)</f>
        <v>13.904018812786607</v>
      </c>
      <c r="O7382" s="149">
        <f t="shared" ca="1" si="242"/>
        <v>1.000173611111111</v>
      </c>
    </row>
    <row r="7383" spans="12:15" x14ac:dyDescent="0.25">
      <c r="L7383" s="147">
        <f ca="1"/>
        <v>52622</v>
      </c>
      <c r="M7383" s="92">
        <f t="shared" ca="1" si="241"/>
        <v>6.25</v>
      </c>
      <c r="N7383" s="143">
        <f ca="1">(PRODUCT($O$5:$O7383)-1)*36000/_xlfn.DAYS(L7383, $C$2)</f>
        <v>13.905395107339634</v>
      </c>
      <c r="O7383" s="149">
        <f t="shared" ca="1" si="242"/>
        <v>1.000173611111111</v>
      </c>
    </row>
    <row r="7384" spans="12:15" x14ac:dyDescent="0.25">
      <c r="L7384" s="147">
        <f ca="1"/>
        <v>52623</v>
      </c>
      <c r="M7384" s="92">
        <f t="shared" ca="1" si="241"/>
        <v>6.25</v>
      </c>
      <c r="N7384" s="143">
        <f ca="1">(PRODUCT($O$5:$O7384)-1)*36000/_xlfn.DAYS(L7384, $C$2)</f>
        <v>13.906771594906413</v>
      </c>
      <c r="O7384" s="149">
        <f t="shared" ca="1" si="242"/>
        <v>1.000173611111111</v>
      </c>
    </row>
    <row r="7385" spans="12:15" x14ac:dyDescent="0.25">
      <c r="L7385" s="147">
        <f ca="1"/>
        <v>52624</v>
      </c>
      <c r="M7385" s="92">
        <f t="shared" ca="1" si="241"/>
        <v>6.25</v>
      </c>
      <c r="N7385" s="143">
        <f ca="1">(PRODUCT($O$5:$O7385)-1)*36000/_xlfn.DAYS(L7385, $C$2)</f>
        <v>13.908148275506745</v>
      </c>
      <c r="O7385" s="149">
        <f t="shared" ca="1" si="242"/>
        <v>1.000173611111111</v>
      </c>
    </row>
    <row r="7386" spans="12:15" x14ac:dyDescent="0.25">
      <c r="L7386" s="147">
        <f ca="1"/>
        <v>52625</v>
      </c>
      <c r="M7386" s="92">
        <f t="shared" ca="1" si="241"/>
        <v>6.25</v>
      </c>
      <c r="N7386" s="143">
        <f ca="1">(PRODUCT($O$5:$O7386)-1)*36000/_xlfn.DAYS(L7386, $C$2)</f>
        <v>13.909525149160439</v>
      </c>
      <c r="O7386" s="149">
        <f t="shared" ca="1" si="242"/>
        <v>1.000173611111111</v>
      </c>
    </row>
    <row r="7387" spans="12:15" x14ac:dyDescent="0.25">
      <c r="L7387" s="147">
        <f ca="1"/>
        <v>52626</v>
      </c>
      <c r="M7387" s="92">
        <f t="shared" ca="1" si="241"/>
        <v>6.25</v>
      </c>
      <c r="N7387" s="143">
        <f ca="1">(PRODUCT($O$5:$O7387)-1)*36000/_xlfn.DAYS(L7387, $C$2)</f>
        <v>13.910902215887299</v>
      </c>
      <c r="O7387" s="149">
        <f t="shared" ca="1" si="242"/>
        <v>1.000173611111111</v>
      </c>
    </row>
    <row r="7388" spans="12:15" x14ac:dyDescent="0.25">
      <c r="L7388" s="147">
        <f ca="1"/>
        <v>52627</v>
      </c>
      <c r="M7388" s="92">
        <f t="shared" ca="1" si="241"/>
        <v>6.25</v>
      </c>
      <c r="N7388" s="143">
        <f ca="1">(PRODUCT($O$5:$O7388)-1)*36000/_xlfn.DAYS(L7388, $C$2)</f>
        <v>13.91227947570715</v>
      </c>
      <c r="O7388" s="149">
        <f t="shared" ca="1" si="242"/>
        <v>1.000173611111111</v>
      </c>
    </row>
    <row r="7389" spans="12:15" x14ac:dyDescent="0.25">
      <c r="L7389" s="147">
        <f ca="1"/>
        <v>52628</v>
      </c>
      <c r="M7389" s="92">
        <f t="shared" ca="1" si="241"/>
        <v>6.25</v>
      </c>
      <c r="N7389" s="143">
        <f ca="1">(PRODUCT($O$5:$O7389)-1)*36000/_xlfn.DAYS(L7389, $C$2)</f>
        <v>13.913656928639812</v>
      </c>
      <c r="O7389" s="149">
        <f t="shared" ca="1" si="242"/>
        <v>1.000173611111111</v>
      </c>
    </row>
    <row r="7390" spans="12:15" x14ac:dyDescent="0.25">
      <c r="L7390" s="147">
        <f ca="1"/>
        <v>52629</v>
      </c>
      <c r="M7390" s="92">
        <f t="shared" ca="1" si="241"/>
        <v>6.25</v>
      </c>
      <c r="N7390" s="143">
        <f ca="1">(PRODUCT($O$5:$O7390)-1)*36000/_xlfn.DAYS(L7390, $C$2)</f>
        <v>13.915034574705121</v>
      </c>
      <c r="O7390" s="149">
        <f t="shared" ca="1" si="242"/>
        <v>1.000173611111111</v>
      </c>
    </row>
    <row r="7391" spans="12:15" x14ac:dyDescent="0.25">
      <c r="L7391" s="147">
        <f ca="1"/>
        <v>52630</v>
      </c>
      <c r="M7391" s="92">
        <f t="shared" ca="1" si="241"/>
        <v>6.25</v>
      </c>
      <c r="N7391" s="143">
        <f ca="1">(PRODUCT($O$5:$O7391)-1)*36000/_xlfn.DAYS(L7391, $C$2)</f>
        <v>13.91641241392291</v>
      </c>
      <c r="O7391" s="149">
        <f t="shared" ca="1" si="242"/>
        <v>1.000173611111111</v>
      </c>
    </row>
    <row r="7392" spans="12:15" x14ac:dyDescent="0.25">
      <c r="L7392" s="147">
        <f ca="1"/>
        <v>52631</v>
      </c>
      <c r="M7392" s="92">
        <f t="shared" ca="1" si="241"/>
        <v>6.25</v>
      </c>
      <c r="N7392" s="143">
        <f ca="1">(PRODUCT($O$5:$O7392)-1)*36000/_xlfn.DAYS(L7392, $C$2)</f>
        <v>13.917790446313022</v>
      </c>
      <c r="O7392" s="149">
        <f t="shared" ca="1" si="242"/>
        <v>1.000173611111111</v>
      </c>
    </row>
    <row r="7393" spans="12:15" x14ac:dyDescent="0.25">
      <c r="L7393" s="147">
        <f ca="1"/>
        <v>52632</v>
      </c>
      <c r="M7393" s="92">
        <f t="shared" ca="1" si="241"/>
        <v>6.25</v>
      </c>
      <c r="N7393" s="143">
        <f ca="1">(PRODUCT($O$5:$O7393)-1)*36000/_xlfn.DAYS(L7393, $C$2)</f>
        <v>13.91916867189531</v>
      </c>
      <c r="O7393" s="149">
        <f t="shared" ca="1" si="242"/>
        <v>1.000173611111111</v>
      </c>
    </row>
    <row r="7394" spans="12:15" x14ac:dyDescent="0.25">
      <c r="L7394" s="147">
        <f ca="1"/>
        <v>52633</v>
      </c>
      <c r="M7394" s="92">
        <f t="shared" ca="1" si="241"/>
        <v>6.25</v>
      </c>
      <c r="N7394" s="143">
        <f ca="1">(PRODUCT($O$5:$O7394)-1)*36000/_xlfn.DAYS(L7394, $C$2)</f>
        <v>13.920547090689627</v>
      </c>
      <c r="O7394" s="149">
        <f t="shared" ca="1" si="242"/>
        <v>1.000173611111111</v>
      </c>
    </row>
    <row r="7395" spans="12:15" x14ac:dyDescent="0.25">
      <c r="L7395" s="147">
        <f ca="1"/>
        <v>52634</v>
      </c>
      <c r="M7395" s="92">
        <f t="shared" ca="1" si="241"/>
        <v>6.25</v>
      </c>
      <c r="N7395" s="143">
        <f ca="1">(PRODUCT($O$5:$O7395)-1)*36000/_xlfn.DAYS(L7395, $C$2)</f>
        <v>13.921925702715837</v>
      </c>
      <c r="O7395" s="149">
        <f t="shared" ca="1" si="242"/>
        <v>1.000173611111111</v>
      </c>
    </row>
    <row r="7396" spans="12:15" x14ac:dyDescent="0.25">
      <c r="L7396" s="147">
        <f ca="1"/>
        <v>52635</v>
      </c>
      <c r="M7396" s="92">
        <f t="shared" ca="1" si="241"/>
        <v>6.25</v>
      </c>
      <c r="N7396" s="143">
        <f ca="1">(PRODUCT($O$5:$O7396)-1)*36000/_xlfn.DAYS(L7396, $C$2)</f>
        <v>13.923304507993809</v>
      </c>
      <c r="O7396" s="149">
        <f t="shared" ca="1" si="242"/>
        <v>1.000173611111111</v>
      </c>
    </row>
    <row r="7397" spans="12:15" x14ac:dyDescent="0.25">
      <c r="L7397" s="147">
        <f ca="1"/>
        <v>52636</v>
      </c>
      <c r="M7397" s="92">
        <f t="shared" ca="1" si="241"/>
        <v>6.25</v>
      </c>
      <c r="N7397" s="143">
        <f ca="1">(PRODUCT($O$5:$O7397)-1)*36000/_xlfn.DAYS(L7397, $C$2)</f>
        <v>13.924683506543415</v>
      </c>
      <c r="O7397" s="149">
        <f t="shared" ca="1" si="242"/>
        <v>1.000173611111111</v>
      </c>
    </row>
    <row r="7398" spans="12:15" x14ac:dyDescent="0.25">
      <c r="L7398" s="147">
        <f ca="1"/>
        <v>52637</v>
      </c>
      <c r="M7398" s="92">
        <f t="shared" ca="1" si="241"/>
        <v>6.25</v>
      </c>
      <c r="N7398" s="143">
        <f ca="1">(PRODUCT($O$5:$O7398)-1)*36000/_xlfn.DAYS(L7398, $C$2)</f>
        <v>13.926062698384543</v>
      </c>
      <c r="O7398" s="149">
        <f t="shared" ca="1" si="242"/>
        <v>1.000173611111111</v>
      </c>
    </row>
    <row r="7399" spans="12:15" x14ac:dyDescent="0.25">
      <c r="L7399" s="147">
        <f ca="1"/>
        <v>52638</v>
      </c>
      <c r="M7399" s="92">
        <f t="shared" ca="1" si="241"/>
        <v>6.25</v>
      </c>
      <c r="N7399" s="143">
        <f ca="1">(PRODUCT($O$5:$O7399)-1)*36000/_xlfn.DAYS(L7399, $C$2)</f>
        <v>13.927442083537073</v>
      </c>
      <c r="O7399" s="149">
        <f t="shared" ca="1" si="242"/>
        <v>1.000173611111111</v>
      </c>
    </row>
    <row r="7400" spans="12:15" x14ac:dyDescent="0.25">
      <c r="L7400" s="147">
        <f ca="1"/>
        <v>52639</v>
      </c>
      <c r="M7400" s="92">
        <f t="shared" ca="1" si="241"/>
        <v>6.25</v>
      </c>
      <c r="N7400" s="143">
        <f ca="1">(PRODUCT($O$5:$O7400)-1)*36000/_xlfn.DAYS(L7400, $C$2)</f>
        <v>13.928821662020901</v>
      </c>
      <c r="O7400" s="149">
        <f t="shared" ca="1" si="242"/>
        <v>1.000173611111111</v>
      </c>
    </row>
    <row r="7401" spans="12:15" x14ac:dyDescent="0.25">
      <c r="L7401" s="147">
        <f ca="1"/>
        <v>52640</v>
      </c>
      <c r="M7401" s="92">
        <f t="shared" ca="1" si="241"/>
        <v>6.25</v>
      </c>
      <c r="N7401" s="143">
        <f ca="1">(PRODUCT($O$5:$O7401)-1)*36000/_xlfn.DAYS(L7401, $C$2)</f>
        <v>13.930201433855931</v>
      </c>
      <c r="O7401" s="149">
        <f t="shared" ca="1" si="242"/>
        <v>1.000173611111111</v>
      </c>
    </row>
    <row r="7402" spans="12:15" x14ac:dyDescent="0.25">
      <c r="L7402" s="147">
        <f ca="1"/>
        <v>52641</v>
      </c>
      <c r="M7402" s="92">
        <f t="shared" ca="1" si="241"/>
        <v>6.25</v>
      </c>
      <c r="N7402" s="143">
        <f ca="1">(PRODUCT($O$5:$O7402)-1)*36000/_xlfn.DAYS(L7402, $C$2)</f>
        <v>13.931581399062066</v>
      </c>
      <c r="O7402" s="149">
        <f t="shared" ca="1" si="242"/>
        <v>1.000173611111111</v>
      </c>
    </row>
    <row r="7403" spans="12:15" x14ac:dyDescent="0.25">
      <c r="L7403" s="147">
        <f ca="1"/>
        <v>52642</v>
      </c>
      <c r="M7403" s="92">
        <f t="shared" ca="1" si="241"/>
        <v>6.25</v>
      </c>
      <c r="N7403" s="143">
        <f ca="1">(PRODUCT($O$5:$O7403)-1)*36000/_xlfn.DAYS(L7403, $C$2)</f>
        <v>13.932961557659221</v>
      </c>
      <c r="O7403" s="149">
        <f t="shared" ca="1" si="242"/>
        <v>1.000173611111111</v>
      </c>
    </row>
    <row r="7404" spans="12:15" x14ac:dyDescent="0.25">
      <c r="L7404" s="147">
        <f ca="1"/>
        <v>52643</v>
      </c>
      <c r="M7404" s="92">
        <f t="shared" ca="1" si="241"/>
        <v>6.25</v>
      </c>
      <c r="N7404" s="143">
        <f ca="1">(PRODUCT($O$5:$O7404)-1)*36000/_xlfn.DAYS(L7404, $C$2)</f>
        <v>13.934341909667312</v>
      </c>
      <c r="O7404" s="149">
        <f t="shared" ca="1" si="242"/>
        <v>1.000173611111111</v>
      </c>
    </row>
    <row r="7405" spans="12:15" x14ac:dyDescent="0.25">
      <c r="L7405" s="147">
        <f ca="1"/>
        <v>52644</v>
      </c>
      <c r="M7405" s="92">
        <f t="shared" ca="1" si="241"/>
        <v>6.25</v>
      </c>
      <c r="N7405" s="143">
        <f ca="1">(PRODUCT($O$5:$O7405)-1)*36000/_xlfn.DAYS(L7405, $C$2)</f>
        <v>13.935722455106269</v>
      </c>
      <c r="O7405" s="149">
        <f t="shared" ca="1" si="242"/>
        <v>1.000173611111111</v>
      </c>
    </row>
    <row r="7406" spans="12:15" x14ac:dyDescent="0.25">
      <c r="L7406" s="147">
        <f ca="1"/>
        <v>52645</v>
      </c>
      <c r="M7406" s="92">
        <f t="shared" ca="1" si="241"/>
        <v>6.25</v>
      </c>
      <c r="N7406" s="143">
        <f ca="1">(PRODUCT($O$5:$O7406)-1)*36000/_xlfn.DAYS(L7406, $C$2)</f>
        <v>13.93710319399602</v>
      </c>
      <c r="O7406" s="149">
        <f t="shared" ca="1" si="242"/>
        <v>1.000173611111111</v>
      </c>
    </row>
    <row r="7407" spans="12:15" x14ac:dyDescent="0.25">
      <c r="L7407" s="147">
        <f ca="1"/>
        <v>52646</v>
      </c>
      <c r="M7407" s="92">
        <f t="shared" ca="1" si="241"/>
        <v>6.25</v>
      </c>
      <c r="N7407" s="143">
        <f ca="1">(PRODUCT($O$5:$O7407)-1)*36000/_xlfn.DAYS(L7407, $C$2)</f>
        <v>13.938484126356505</v>
      </c>
      <c r="O7407" s="149">
        <f t="shared" ca="1" si="242"/>
        <v>1.000173611111111</v>
      </c>
    </row>
    <row r="7408" spans="12:15" x14ac:dyDescent="0.25">
      <c r="L7408" s="147">
        <f ca="1"/>
        <v>52647</v>
      </c>
      <c r="M7408" s="92">
        <f t="shared" ca="1" si="241"/>
        <v>6.25</v>
      </c>
      <c r="N7408" s="143">
        <f ca="1">(PRODUCT($O$5:$O7408)-1)*36000/_xlfn.DAYS(L7408, $C$2)</f>
        <v>13.939865252207667</v>
      </c>
      <c r="O7408" s="149">
        <f t="shared" ca="1" si="242"/>
        <v>1.000173611111111</v>
      </c>
    </row>
    <row r="7409" spans="12:15" x14ac:dyDescent="0.25">
      <c r="L7409" s="147">
        <f ca="1"/>
        <v>52648</v>
      </c>
      <c r="M7409" s="92">
        <f t="shared" ca="1" si="241"/>
        <v>6.25</v>
      </c>
      <c r="N7409" s="143">
        <f ca="1">(PRODUCT($O$5:$O7409)-1)*36000/_xlfn.DAYS(L7409, $C$2)</f>
        <v>13.941246571569458</v>
      </c>
      <c r="O7409" s="149">
        <f t="shared" ca="1" si="242"/>
        <v>1.000173611111111</v>
      </c>
    </row>
    <row r="7410" spans="12:15" x14ac:dyDescent="0.25">
      <c r="L7410" s="147">
        <f ca="1"/>
        <v>52649</v>
      </c>
      <c r="M7410" s="92">
        <f t="shared" ca="1" si="241"/>
        <v>6.25</v>
      </c>
      <c r="N7410" s="143">
        <f ca="1">(PRODUCT($O$5:$O7410)-1)*36000/_xlfn.DAYS(L7410, $C$2)</f>
        <v>13.942628084461834</v>
      </c>
      <c r="O7410" s="149">
        <f t="shared" ca="1" si="242"/>
        <v>1.000173611111111</v>
      </c>
    </row>
    <row r="7411" spans="12:15" x14ac:dyDescent="0.25">
      <c r="L7411" s="147">
        <f ca="1"/>
        <v>52650</v>
      </c>
      <c r="M7411" s="92">
        <f t="shared" ca="1" si="241"/>
        <v>6.25</v>
      </c>
      <c r="N7411" s="143">
        <f ca="1">(PRODUCT($O$5:$O7411)-1)*36000/_xlfn.DAYS(L7411, $C$2)</f>
        <v>13.944009790904758</v>
      </c>
      <c r="O7411" s="149">
        <f t="shared" ca="1" si="242"/>
        <v>1.000173611111111</v>
      </c>
    </row>
    <row r="7412" spans="12:15" x14ac:dyDescent="0.25">
      <c r="L7412" s="147">
        <f ca="1"/>
        <v>52651</v>
      </c>
      <c r="M7412" s="92">
        <f t="shared" ca="1" si="241"/>
        <v>6.25</v>
      </c>
      <c r="N7412" s="143">
        <f ca="1">(PRODUCT($O$5:$O7412)-1)*36000/_xlfn.DAYS(L7412, $C$2)</f>
        <v>13.945391690918198</v>
      </c>
      <c r="O7412" s="149">
        <f t="shared" ca="1" si="242"/>
        <v>1.000173611111111</v>
      </c>
    </row>
    <row r="7413" spans="12:15" x14ac:dyDescent="0.25">
      <c r="L7413" s="147">
        <f ca="1"/>
        <v>52652</v>
      </c>
      <c r="M7413" s="92">
        <f t="shared" ca="1" si="241"/>
        <v>6.25</v>
      </c>
      <c r="N7413" s="143">
        <f ca="1">(PRODUCT($O$5:$O7413)-1)*36000/_xlfn.DAYS(L7413, $C$2)</f>
        <v>13.946773784522133</v>
      </c>
      <c r="O7413" s="149">
        <f t="shared" ca="1" si="242"/>
        <v>1.000173611111111</v>
      </c>
    </row>
    <row r="7414" spans="12:15" x14ac:dyDescent="0.25">
      <c r="L7414" s="147">
        <f ca="1"/>
        <v>52653</v>
      </c>
      <c r="M7414" s="92">
        <f t="shared" ca="1" si="241"/>
        <v>6.25</v>
      </c>
      <c r="N7414" s="143">
        <f ca="1">(PRODUCT($O$5:$O7414)-1)*36000/_xlfn.DAYS(L7414, $C$2)</f>
        <v>13.948156071736545</v>
      </c>
      <c r="O7414" s="149">
        <f t="shared" ca="1" si="242"/>
        <v>1.000173611111111</v>
      </c>
    </row>
    <row r="7415" spans="12:15" x14ac:dyDescent="0.25">
      <c r="L7415" s="147">
        <f ca="1"/>
        <v>52654</v>
      </c>
      <c r="M7415" s="92">
        <f t="shared" ca="1" si="241"/>
        <v>6.25</v>
      </c>
      <c r="N7415" s="143">
        <f ca="1">(PRODUCT($O$5:$O7415)-1)*36000/_xlfn.DAYS(L7415, $C$2)</f>
        <v>13.949538552581419</v>
      </c>
      <c r="O7415" s="149">
        <f t="shared" ca="1" si="242"/>
        <v>1.000173611111111</v>
      </c>
    </row>
    <row r="7416" spans="12:15" x14ac:dyDescent="0.25">
      <c r="L7416" s="147">
        <f ca="1"/>
        <v>52655</v>
      </c>
      <c r="M7416" s="92">
        <f t="shared" ca="1" si="241"/>
        <v>6.25</v>
      </c>
      <c r="N7416" s="143">
        <f ca="1">(PRODUCT($O$5:$O7416)-1)*36000/_xlfn.DAYS(L7416, $C$2)</f>
        <v>13.950921227076753</v>
      </c>
      <c r="O7416" s="149">
        <f t="shared" ca="1" si="242"/>
        <v>1.000173611111111</v>
      </c>
    </row>
    <row r="7417" spans="12:15" x14ac:dyDescent="0.25">
      <c r="L7417" s="147">
        <f ca="1"/>
        <v>52656</v>
      </c>
      <c r="M7417" s="92">
        <f t="shared" ca="1" si="241"/>
        <v>6.25</v>
      </c>
      <c r="N7417" s="143">
        <f ca="1">(PRODUCT($O$5:$O7417)-1)*36000/_xlfn.DAYS(L7417, $C$2)</f>
        <v>13.952304095242546</v>
      </c>
      <c r="O7417" s="149">
        <f t="shared" ca="1" si="242"/>
        <v>1.000173611111111</v>
      </c>
    </row>
    <row r="7418" spans="12:15" x14ac:dyDescent="0.25">
      <c r="L7418" s="147">
        <f ca="1"/>
        <v>52657</v>
      </c>
      <c r="M7418" s="92">
        <f t="shared" ca="1" si="241"/>
        <v>6.25</v>
      </c>
      <c r="N7418" s="143">
        <f ca="1">(PRODUCT($O$5:$O7418)-1)*36000/_xlfn.DAYS(L7418, $C$2)</f>
        <v>13.953687157098809</v>
      </c>
      <c r="O7418" s="149">
        <f t="shared" ca="1" si="242"/>
        <v>1.000173611111111</v>
      </c>
    </row>
    <row r="7419" spans="12:15" x14ac:dyDescent="0.25">
      <c r="L7419" s="147">
        <f ca="1"/>
        <v>52658</v>
      </c>
      <c r="M7419" s="92">
        <f t="shared" ca="1" si="241"/>
        <v>6.25</v>
      </c>
      <c r="N7419" s="143">
        <f ca="1">(PRODUCT($O$5:$O7419)-1)*36000/_xlfn.DAYS(L7419, $C$2)</f>
        <v>13.955070412665549</v>
      </c>
      <c r="O7419" s="149">
        <f t="shared" ca="1" si="242"/>
        <v>1.000173611111111</v>
      </c>
    </row>
    <row r="7420" spans="12:15" x14ac:dyDescent="0.25">
      <c r="L7420" s="147">
        <f ca="1"/>
        <v>52659</v>
      </c>
      <c r="M7420" s="92">
        <f t="shared" ca="1" si="241"/>
        <v>6.25</v>
      </c>
      <c r="N7420" s="143">
        <f ca="1">(PRODUCT($O$5:$O7420)-1)*36000/_xlfn.DAYS(L7420, $C$2)</f>
        <v>13.956453861962792</v>
      </c>
      <c r="O7420" s="149">
        <f t="shared" ca="1" si="242"/>
        <v>1.000173611111111</v>
      </c>
    </row>
    <row r="7421" spans="12:15" x14ac:dyDescent="0.25">
      <c r="L7421" s="147">
        <f ca="1"/>
        <v>52660</v>
      </c>
      <c r="M7421" s="92">
        <f t="shared" ca="1" si="241"/>
        <v>6.25</v>
      </c>
      <c r="N7421" s="143">
        <f ca="1">(PRODUCT($O$5:$O7421)-1)*36000/_xlfn.DAYS(L7421, $C$2)</f>
        <v>13.957837505010561</v>
      </c>
      <c r="O7421" s="149">
        <f t="shared" ca="1" si="242"/>
        <v>1.000173611111111</v>
      </c>
    </row>
    <row r="7422" spans="12:15" x14ac:dyDescent="0.25">
      <c r="L7422" s="147">
        <f ca="1"/>
        <v>52661</v>
      </c>
      <c r="M7422" s="92">
        <f t="shared" ca="1" si="241"/>
        <v>6.25</v>
      </c>
      <c r="N7422" s="143">
        <f ca="1">(PRODUCT($O$5:$O7422)-1)*36000/_xlfn.DAYS(L7422, $C$2)</f>
        <v>13.959221341828888</v>
      </c>
      <c r="O7422" s="149">
        <f t="shared" ca="1" si="242"/>
        <v>1.000173611111111</v>
      </c>
    </row>
    <row r="7423" spans="12:15" x14ac:dyDescent="0.25">
      <c r="L7423" s="147">
        <f ca="1"/>
        <v>52662</v>
      </c>
      <c r="M7423" s="92">
        <f t="shared" ca="1" si="241"/>
        <v>6.25</v>
      </c>
      <c r="N7423" s="143">
        <f ca="1">(PRODUCT($O$5:$O7423)-1)*36000/_xlfn.DAYS(L7423, $C$2)</f>
        <v>13.960605372437815</v>
      </c>
      <c r="O7423" s="149">
        <f t="shared" ca="1" si="242"/>
        <v>1.000173611111111</v>
      </c>
    </row>
    <row r="7424" spans="12:15" x14ac:dyDescent="0.25">
      <c r="L7424" s="147">
        <f ca="1"/>
        <v>52663</v>
      </c>
      <c r="M7424" s="92">
        <f t="shared" ca="1" si="241"/>
        <v>6.25</v>
      </c>
      <c r="N7424" s="143">
        <f ca="1">(PRODUCT($O$5:$O7424)-1)*36000/_xlfn.DAYS(L7424, $C$2)</f>
        <v>13.961989596857384</v>
      </c>
      <c r="O7424" s="149">
        <f t="shared" ca="1" si="242"/>
        <v>1.000173611111111</v>
      </c>
    </row>
    <row r="7425" spans="12:15" x14ac:dyDescent="0.25">
      <c r="L7425" s="147">
        <f ca="1"/>
        <v>52664</v>
      </c>
      <c r="M7425" s="92">
        <f t="shared" ca="1" si="241"/>
        <v>6.25</v>
      </c>
      <c r="N7425" s="143">
        <f ca="1">(PRODUCT($O$5:$O7425)-1)*36000/_xlfn.DAYS(L7425, $C$2)</f>
        <v>13.963374015107647</v>
      </c>
      <c r="O7425" s="149">
        <f t="shared" ca="1" si="242"/>
        <v>1.000173611111111</v>
      </c>
    </row>
    <row r="7426" spans="12:15" x14ac:dyDescent="0.25">
      <c r="L7426" s="147">
        <f ca="1"/>
        <v>52665</v>
      </c>
      <c r="M7426" s="92">
        <f t="shared" ca="1" si="241"/>
        <v>6.25</v>
      </c>
      <c r="N7426" s="143">
        <f ca="1">(PRODUCT($O$5:$O7426)-1)*36000/_xlfn.DAYS(L7426, $C$2)</f>
        <v>13.964758627208658</v>
      </c>
      <c r="O7426" s="149">
        <f t="shared" ca="1" si="242"/>
        <v>1.000173611111111</v>
      </c>
    </row>
    <row r="7427" spans="12:15" x14ac:dyDescent="0.25">
      <c r="L7427" s="147">
        <f ca="1"/>
        <v>52666</v>
      </c>
      <c r="M7427" s="92">
        <f t="shared" ca="1" si="241"/>
        <v>6.25</v>
      </c>
      <c r="N7427" s="143">
        <f ca="1">(PRODUCT($O$5:$O7427)-1)*36000/_xlfn.DAYS(L7427, $C$2)</f>
        <v>13.966143433180488</v>
      </c>
      <c r="O7427" s="149">
        <f t="shared" ca="1" si="242"/>
        <v>1.000173611111111</v>
      </c>
    </row>
    <row r="7428" spans="12:15" x14ac:dyDescent="0.25">
      <c r="L7428" s="147">
        <f ca="1"/>
        <v>52667</v>
      </c>
      <c r="M7428" s="92">
        <f t="shared" ca="1" si="241"/>
        <v>6.25</v>
      </c>
      <c r="N7428" s="143">
        <f ca="1">(PRODUCT($O$5:$O7428)-1)*36000/_xlfn.DAYS(L7428, $C$2)</f>
        <v>13.967528433043199</v>
      </c>
      <c r="O7428" s="149">
        <f t="shared" ca="1" si="242"/>
        <v>1.000173611111111</v>
      </c>
    </row>
    <row r="7429" spans="12:15" x14ac:dyDescent="0.25">
      <c r="L7429" s="147">
        <f ca="1"/>
        <v>52668</v>
      </c>
      <c r="M7429" s="92">
        <f t="shared" ref="M7429:M7492" ca="1" si="243">IFERROR(INDEX($E$27:$H$47, MATCH(L7429, $F$27:$F$47, 0), 4), IF(ISNUMBER(M7428), M7428, $C$5))</f>
        <v>6.25</v>
      </c>
      <c r="N7429" s="143">
        <f ca="1">(PRODUCT($O$5:$O7429)-1)*36000/_xlfn.DAYS(L7429, $C$2)</f>
        <v>13.968913626816875</v>
      </c>
      <c r="O7429" s="149">
        <f t="shared" ca="1" si="242"/>
        <v>1.000173611111111</v>
      </c>
    </row>
    <row r="7430" spans="12:15" x14ac:dyDescent="0.25">
      <c r="L7430" s="147">
        <f ca="1"/>
        <v>52669</v>
      </c>
      <c r="M7430" s="92">
        <f t="shared" ca="1" si="243"/>
        <v>6.25</v>
      </c>
      <c r="N7430" s="143">
        <f ca="1">(PRODUCT($O$5:$O7430)-1)*36000/_xlfn.DAYS(L7430, $C$2)</f>
        <v>13.970299014521592</v>
      </c>
      <c r="O7430" s="149">
        <f t="shared" ref="O7430:O7493" ca="1" si="244">1+M7430*IFERROR(_xlfn.DAYS(L7430, L7429), _xlfn.DAYS(L7430, $C$2))/36000</f>
        <v>1.000173611111111</v>
      </c>
    </row>
    <row r="7431" spans="12:15" x14ac:dyDescent="0.25">
      <c r="L7431" s="147">
        <f ca="1"/>
        <v>52670</v>
      </c>
      <c r="M7431" s="92">
        <f t="shared" ca="1" si="243"/>
        <v>6.25</v>
      </c>
      <c r="N7431" s="143">
        <f ca="1">(PRODUCT($O$5:$O7431)-1)*36000/_xlfn.DAYS(L7431, $C$2)</f>
        <v>13.971684596177443</v>
      </c>
      <c r="O7431" s="149">
        <f t="shared" ca="1" si="244"/>
        <v>1.000173611111111</v>
      </c>
    </row>
    <row r="7432" spans="12:15" x14ac:dyDescent="0.25">
      <c r="L7432" s="147">
        <f ca="1"/>
        <v>52671</v>
      </c>
      <c r="M7432" s="92">
        <f t="shared" ca="1" si="243"/>
        <v>6.25</v>
      </c>
      <c r="N7432" s="143">
        <f ca="1">(PRODUCT($O$5:$O7432)-1)*36000/_xlfn.DAYS(L7432, $C$2)</f>
        <v>13.973070371804525</v>
      </c>
      <c r="O7432" s="149">
        <f t="shared" ca="1" si="244"/>
        <v>1.000173611111111</v>
      </c>
    </row>
    <row r="7433" spans="12:15" x14ac:dyDescent="0.25">
      <c r="L7433" s="147">
        <f ca="1"/>
        <v>52672</v>
      </c>
      <c r="M7433" s="92">
        <f t="shared" ca="1" si="243"/>
        <v>6.25</v>
      </c>
      <c r="N7433" s="143">
        <f ca="1">(PRODUCT($O$5:$O7433)-1)*36000/_xlfn.DAYS(L7433, $C$2)</f>
        <v>13.974456341422933</v>
      </c>
      <c r="O7433" s="149">
        <f t="shared" ca="1" si="244"/>
        <v>1.000173611111111</v>
      </c>
    </row>
    <row r="7434" spans="12:15" x14ac:dyDescent="0.25">
      <c r="L7434" s="147">
        <f ca="1"/>
        <v>52673</v>
      </c>
      <c r="M7434" s="92">
        <f t="shared" ca="1" si="243"/>
        <v>6.25</v>
      </c>
      <c r="N7434" s="143">
        <f ca="1">(PRODUCT($O$5:$O7434)-1)*36000/_xlfn.DAYS(L7434, $C$2)</f>
        <v>13.975842505052777</v>
      </c>
      <c r="O7434" s="149">
        <f t="shared" ca="1" si="244"/>
        <v>1.000173611111111</v>
      </c>
    </row>
    <row r="7435" spans="12:15" x14ac:dyDescent="0.25">
      <c r="L7435" s="147">
        <f ca="1"/>
        <v>52674</v>
      </c>
      <c r="M7435" s="92">
        <f t="shared" ca="1" si="243"/>
        <v>6.25</v>
      </c>
      <c r="N7435" s="143">
        <f ca="1">(PRODUCT($O$5:$O7435)-1)*36000/_xlfn.DAYS(L7435, $C$2)</f>
        <v>13.977228862714174</v>
      </c>
      <c r="O7435" s="149">
        <f t="shared" ca="1" si="244"/>
        <v>1.000173611111111</v>
      </c>
    </row>
    <row r="7436" spans="12:15" x14ac:dyDescent="0.25">
      <c r="L7436" s="147">
        <f ca="1"/>
        <v>52675</v>
      </c>
      <c r="M7436" s="92">
        <f t="shared" ca="1" si="243"/>
        <v>6.25</v>
      </c>
      <c r="N7436" s="143">
        <f ca="1">(PRODUCT($O$5:$O7436)-1)*36000/_xlfn.DAYS(L7436, $C$2)</f>
        <v>13.978615414427241</v>
      </c>
      <c r="O7436" s="149">
        <f t="shared" ca="1" si="244"/>
        <v>1.000173611111111</v>
      </c>
    </row>
    <row r="7437" spans="12:15" x14ac:dyDescent="0.25">
      <c r="L7437" s="147">
        <f ca="1"/>
        <v>52676</v>
      </c>
      <c r="M7437" s="92">
        <f t="shared" ca="1" si="243"/>
        <v>6.25</v>
      </c>
      <c r="N7437" s="143">
        <f ca="1">(PRODUCT($O$5:$O7437)-1)*36000/_xlfn.DAYS(L7437, $C$2)</f>
        <v>13.980002160212104</v>
      </c>
      <c r="O7437" s="149">
        <f t="shared" ca="1" si="244"/>
        <v>1.000173611111111</v>
      </c>
    </row>
    <row r="7438" spans="12:15" x14ac:dyDescent="0.25">
      <c r="L7438" s="147">
        <f ca="1"/>
        <v>52677</v>
      </c>
      <c r="M7438" s="92">
        <f t="shared" ca="1" si="243"/>
        <v>6.25</v>
      </c>
      <c r="N7438" s="143">
        <f ca="1">(PRODUCT($O$5:$O7438)-1)*36000/_xlfn.DAYS(L7438, $C$2)</f>
        <v>13.981389100088901</v>
      </c>
      <c r="O7438" s="149">
        <f t="shared" ca="1" si="244"/>
        <v>1.000173611111111</v>
      </c>
    </row>
    <row r="7439" spans="12:15" x14ac:dyDescent="0.25">
      <c r="L7439" s="147">
        <f ca="1"/>
        <v>52678</v>
      </c>
      <c r="M7439" s="92">
        <f t="shared" ca="1" si="243"/>
        <v>6.25</v>
      </c>
      <c r="N7439" s="143">
        <f ca="1">(PRODUCT($O$5:$O7439)-1)*36000/_xlfn.DAYS(L7439, $C$2)</f>
        <v>13.982776234077765</v>
      </c>
      <c r="O7439" s="149">
        <f t="shared" ca="1" si="244"/>
        <v>1.000173611111111</v>
      </c>
    </row>
    <row r="7440" spans="12:15" x14ac:dyDescent="0.25">
      <c r="L7440" s="147">
        <f ca="1"/>
        <v>52679</v>
      </c>
      <c r="M7440" s="92">
        <f t="shared" ca="1" si="243"/>
        <v>6.25</v>
      </c>
      <c r="N7440" s="143">
        <f ca="1">(PRODUCT($O$5:$O7440)-1)*36000/_xlfn.DAYS(L7440, $C$2)</f>
        <v>13.984163562198841</v>
      </c>
      <c r="O7440" s="149">
        <f t="shared" ca="1" si="244"/>
        <v>1.000173611111111</v>
      </c>
    </row>
    <row r="7441" spans="12:15" x14ac:dyDescent="0.25">
      <c r="L7441" s="147">
        <f ca="1"/>
        <v>52680</v>
      </c>
      <c r="M7441" s="92">
        <f t="shared" ca="1" si="243"/>
        <v>6.25</v>
      </c>
      <c r="N7441" s="143">
        <f ca="1">(PRODUCT($O$5:$O7441)-1)*36000/_xlfn.DAYS(L7441, $C$2)</f>
        <v>13.985551084472286</v>
      </c>
      <c r="O7441" s="149">
        <f t="shared" ca="1" si="244"/>
        <v>1.000173611111111</v>
      </c>
    </row>
    <row r="7442" spans="12:15" x14ac:dyDescent="0.25">
      <c r="L7442" s="147">
        <f ca="1"/>
        <v>52681</v>
      </c>
      <c r="M7442" s="92">
        <f t="shared" ca="1" si="243"/>
        <v>6.25</v>
      </c>
      <c r="N7442" s="143">
        <f ca="1">(PRODUCT($O$5:$O7442)-1)*36000/_xlfn.DAYS(L7442, $C$2)</f>
        <v>13.986938800918251</v>
      </c>
      <c r="O7442" s="149">
        <f t="shared" ca="1" si="244"/>
        <v>1.000173611111111</v>
      </c>
    </row>
    <row r="7443" spans="12:15" x14ac:dyDescent="0.25">
      <c r="L7443" s="147">
        <f ca="1"/>
        <v>52682</v>
      </c>
      <c r="M7443" s="92">
        <f t="shared" ca="1" si="243"/>
        <v>6.25</v>
      </c>
      <c r="N7443" s="143">
        <f ca="1">(PRODUCT($O$5:$O7443)-1)*36000/_xlfn.DAYS(L7443, $C$2)</f>
        <v>13.988326711556907</v>
      </c>
      <c r="O7443" s="149">
        <f t="shared" ca="1" si="244"/>
        <v>1.000173611111111</v>
      </c>
    </row>
    <row r="7444" spans="12:15" x14ac:dyDescent="0.25">
      <c r="L7444" s="147">
        <f ca="1"/>
        <v>52683</v>
      </c>
      <c r="M7444" s="92">
        <f t="shared" ca="1" si="243"/>
        <v>6.25</v>
      </c>
      <c r="N7444" s="143">
        <f ca="1">(PRODUCT($O$5:$O7444)-1)*36000/_xlfn.DAYS(L7444, $C$2)</f>
        <v>13.989714816408416</v>
      </c>
      <c r="O7444" s="149">
        <f t="shared" ca="1" si="244"/>
        <v>1.000173611111111</v>
      </c>
    </row>
    <row r="7445" spans="12:15" x14ac:dyDescent="0.25">
      <c r="L7445" s="147">
        <f ca="1"/>
        <v>52684</v>
      </c>
      <c r="M7445" s="92">
        <f t="shared" ca="1" si="243"/>
        <v>6.25</v>
      </c>
      <c r="N7445" s="143">
        <f ca="1">(PRODUCT($O$5:$O7445)-1)*36000/_xlfn.DAYS(L7445, $C$2)</f>
        <v>13.991103115492963</v>
      </c>
      <c r="O7445" s="149">
        <f t="shared" ca="1" si="244"/>
        <v>1.000173611111111</v>
      </c>
    </row>
    <row r="7446" spans="12:15" x14ac:dyDescent="0.25">
      <c r="L7446" s="147">
        <f ca="1"/>
        <v>52685</v>
      </c>
      <c r="M7446" s="92">
        <f t="shared" ca="1" si="243"/>
        <v>6.25</v>
      </c>
      <c r="N7446" s="143">
        <f ca="1">(PRODUCT($O$5:$O7446)-1)*36000/_xlfn.DAYS(L7446, $C$2)</f>
        <v>13.992491608830726</v>
      </c>
      <c r="O7446" s="149">
        <f t="shared" ca="1" si="244"/>
        <v>1.000173611111111</v>
      </c>
    </row>
    <row r="7447" spans="12:15" x14ac:dyDescent="0.25">
      <c r="L7447" s="147">
        <f ca="1"/>
        <v>52686</v>
      </c>
      <c r="M7447" s="92">
        <f t="shared" ca="1" si="243"/>
        <v>6.25</v>
      </c>
      <c r="N7447" s="143">
        <f ca="1">(PRODUCT($O$5:$O7447)-1)*36000/_xlfn.DAYS(L7447, $C$2)</f>
        <v>13.993880296441894</v>
      </c>
      <c r="O7447" s="149">
        <f t="shared" ca="1" si="244"/>
        <v>1.000173611111111</v>
      </c>
    </row>
    <row r="7448" spans="12:15" x14ac:dyDescent="0.25">
      <c r="L7448" s="147">
        <f ca="1"/>
        <v>52687</v>
      </c>
      <c r="M7448" s="92">
        <f t="shared" ca="1" si="243"/>
        <v>6.25</v>
      </c>
      <c r="N7448" s="143">
        <f ca="1">(PRODUCT($O$5:$O7448)-1)*36000/_xlfn.DAYS(L7448, $C$2)</f>
        <v>13.995269178346664</v>
      </c>
      <c r="O7448" s="149">
        <f t="shared" ca="1" si="244"/>
        <v>1.000173611111111</v>
      </c>
    </row>
    <row r="7449" spans="12:15" x14ac:dyDescent="0.25">
      <c r="L7449" s="147">
        <f ca="1"/>
        <v>52688</v>
      </c>
      <c r="M7449" s="92">
        <f t="shared" ca="1" si="243"/>
        <v>6.25</v>
      </c>
      <c r="N7449" s="143">
        <f ca="1">(PRODUCT($O$5:$O7449)-1)*36000/_xlfn.DAYS(L7449, $C$2)</f>
        <v>13.996658254565238</v>
      </c>
      <c r="O7449" s="149">
        <f t="shared" ca="1" si="244"/>
        <v>1.000173611111111</v>
      </c>
    </row>
    <row r="7450" spans="12:15" x14ac:dyDescent="0.25">
      <c r="L7450" s="147">
        <f ca="1"/>
        <v>52689</v>
      </c>
      <c r="M7450" s="92">
        <f t="shared" ca="1" si="243"/>
        <v>6.25</v>
      </c>
      <c r="N7450" s="143">
        <f ca="1">(PRODUCT($O$5:$O7450)-1)*36000/_xlfn.DAYS(L7450, $C$2)</f>
        <v>13.998047525117817</v>
      </c>
      <c r="O7450" s="149">
        <f t="shared" ca="1" si="244"/>
        <v>1.000173611111111</v>
      </c>
    </row>
    <row r="7451" spans="12:15" x14ac:dyDescent="0.25">
      <c r="L7451" s="147">
        <f ca="1"/>
        <v>52690</v>
      </c>
      <c r="M7451" s="92">
        <f t="shared" ca="1" si="243"/>
        <v>6.25</v>
      </c>
      <c r="N7451" s="143">
        <f ca="1">(PRODUCT($O$5:$O7451)-1)*36000/_xlfn.DAYS(L7451, $C$2)</f>
        <v>13.999436990024623</v>
      </c>
      <c r="O7451" s="149">
        <f t="shared" ca="1" si="244"/>
        <v>1.000173611111111</v>
      </c>
    </row>
    <row r="7452" spans="12:15" x14ac:dyDescent="0.25">
      <c r="L7452" s="147">
        <f ca="1"/>
        <v>52691</v>
      </c>
      <c r="M7452" s="92">
        <f t="shared" ca="1" si="243"/>
        <v>6.25</v>
      </c>
      <c r="N7452" s="143">
        <f ca="1">(PRODUCT($O$5:$O7452)-1)*36000/_xlfn.DAYS(L7452, $C$2)</f>
        <v>14.000826649305873</v>
      </c>
      <c r="O7452" s="149">
        <f t="shared" ca="1" si="244"/>
        <v>1.000173611111111</v>
      </c>
    </row>
    <row r="7453" spans="12:15" x14ac:dyDescent="0.25">
      <c r="L7453" s="147">
        <f ca="1"/>
        <v>52692</v>
      </c>
      <c r="M7453" s="92">
        <f t="shared" ca="1" si="243"/>
        <v>6.25</v>
      </c>
      <c r="N7453" s="143">
        <f ca="1">(PRODUCT($O$5:$O7453)-1)*36000/_xlfn.DAYS(L7453, $C$2)</f>
        <v>14.002216502981796</v>
      </c>
      <c r="O7453" s="149">
        <f t="shared" ca="1" si="244"/>
        <v>1.000173611111111</v>
      </c>
    </row>
    <row r="7454" spans="12:15" x14ac:dyDescent="0.25">
      <c r="L7454" s="147">
        <f ca="1"/>
        <v>52693</v>
      </c>
      <c r="M7454" s="92">
        <f t="shared" ca="1" si="243"/>
        <v>6.25</v>
      </c>
      <c r="N7454" s="143">
        <f ca="1">(PRODUCT($O$5:$O7454)-1)*36000/_xlfn.DAYS(L7454, $C$2)</f>
        <v>14.003606551072622</v>
      </c>
      <c r="O7454" s="149">
        <f t="shared" ca="1" si="244"/>
        <v>1.000173611111111</v>
      </c>
    </row>
    <row r="7455" spans="12:15" x14ac:dyDescent="0.25">
      <c r="L7455" s="147">
        <f ca="1"/>
        <v>52694</v>
      </c>
      <c r="M7455" s="92">
        <f t="shared" ca="1" si="243"/>
        <v>6.25</v>
      </c>
      <c r="N7455" s="143">
        <f ca="1">(PRODUCT($O$5:$O7455)-1)*36000/_xlfn.DAYS(L7455, $C$2)</f>
        <v>14.00499679359859</v>
      </c>
      <c r="O7455" s="149">
        <f t="shared" ca="1" si="244"/>
        <v>1.000173611111111</v>
      </c>
    </row>
    <row r="7456" spans="12:15" x14ac:dyDescent="0.25">
      <c r="L7456" s="147">
        <f ca="1"/>
        <v>52695</v>
      </c>
      <c r="M7456" s="92">
        <f t="shared" ca="1" si="243"/>
        <v>6.25</v>
      </c>
      <c r="N7456" s="143">
        <f ca="1">(PRODUCT($O$5:$O7456)-1)*36000/_xlfn.DAYS(L7456, $C$2)</f>
        <v>14.006387230579943</v>
      </c>
      <c r="O7456" s="149">
        <f t="shared" ca="1" si="244"/>
        <v>1.000173611111111</v>
      </c>
    </row>
    <row r="7457" spans="12:15" x14ac:dyDescent="0.25">
      <c r="L7457" s="147">
        <f ca="1"/>
        <v>52696</v>
      </c>
      <c r="M7457" s="92">
        <f t="shared" ca="1" si="243"/>
        <v>6.25</v>
      </c>
      <c r="N7457" s="143">
        <f ca="1">(PRODUCT($O$5:$O7457)-1)*36000/_xlfn.DAYS(L7457, $C$2)</f>
        <v>14.007777862036937</v>
      </c>
      <c r="O7457" s="149">
        <f t="shared" ca="1" si="244"/>
        <v>1.000173611111111</v>
      </c>
    </row>
    <row r="7458" spans="12:15" x14ac:dyDescent="0.25">
      <c r="L7458" s="147">
        <f ca="1"/>
        <v>52697</v>
      </c>
      <c r="M7458" s="92">
        <f t="shared" ca="1" si="243"/>
        <v>6.25</v>
      </c>
      <c r="N7458" s="143">
        <f ca="1">(PRODUCT($O$5:$O7458)-1)*36000/_xlfn.DAYS(L7458, $C$2)</f>
        <v>14.009168687989826</v>
      </c>
      <c r="O7458" s="149">
        <f t="shared" ca="1" si="244"/>
        <v>1.000173611111111</v>
      </c>
    </row>
    <row r="7459" spans="12:15" x14ac:dyDescent="0.25">
      <c r="L7459" s="147">
        <f ca="1"/>
        <v>52698</v>
      </c>
      <c r="M7459" s="92">
        <f t="shared" ca="1" si="243"/>
        <v>6.25</v>
      </c>
      <c r="N7459" s="143">
        <f ca="1">(PRODUCT($O$5:$O7459)-1)*36000/_xlfn.DAYS(L7459, $C$2)</f>
        <v>14.010559708458876</v>
      </c>
      <c r="O7459" s="149">
        <f t="shared" ca="1" si="244"/>
        <v>1.000173611111111</v>
      </c>
    </row>
    <row r="7460" spans="12:15" x14ac:dyDescent="0.25">
      <c r="L7460" s="147">
        <f ca="1"/>
        <v>52699</v>
      </c>
      <c r="M7460" s="92">
        <f t="shared" ca="1" si="243"/>
        <v>6.25</v>
      </c>
      <c r="N7460" s="143">
        <f ca="1">(PRODUCT($O$5:$O7460)-1)*36000/_xlfn.DAYS(L7460, $C$2)</f>
        <v>14.011950923464356</v>
      </c>
      <c r="O7460" s="149">
        <f t="shared" ca="1" si="244"/>
        <v>1.000173611111111</v>
      </c>
    </row>
    <row r="7461" spans="12:15" x14ac:dyDescent="0.25">
      <c r="L7461" s="147">
        <f ca="1"/>
        <v>52700</v>
      </c>
      <c r="M7461" s="92">
        <f t="shared" ca="1" si="243"/>
        <v>6.25</v>
      </c>
      <c r="N7461" s="143">
        <f ca="1">(PRODUCT($O$5:$O7461)-1)*36000/_xlfn.DAYS(L7461, $C$2)</f>
        <v>14.013342333026545</v>
      </c>
      <c r="O7461" s="149">
        <f t="shared" ca="1" si="244"/>
        <v>1.000173611111111</v>
      </c>
    </row>
    <row r="7462" spans="12:15" x14ac:dyDescent="0.25">
      <c r="L7462" s="147">
        <f ca="1"/>
        <v>52701</v>
      </c>
      <c r="M7462" s="92">
        <f t="shared" ca="1" si="243"/>
        <v>6.25</v>
      </c>
      <c r="N7462" s="143">
        <f ca="1">(PRODUCT($O$5:$O7462)-1)*36000/_xlfn.DAYS(L7462, $C$2)</f>
        <v>14.014733937165721</v>
      </c>
      <c r="O7462" s="149">
        <f t="shared" ca="1" si="244"/>
        <v>1.000173611111111</v>
      </c>
    </row>
    <row r="7463" spans="12:15" x14ac:dyDescent="0.25">
      <c r="L7463" s="147">
        <f ca="1"/>
        <v>52702</v>
      </c>
      <c r="M7463" s="92">
        <f t="shared" ca="1" si="243"/>
        <v>6.25</v>
      </c>
      <c r="N7463" s="143">
        <f ca="1">(PRODUCT($O$5:$O7463)-1)*36000/_xlfn.DAYS(L7463, $C$2)</f>
        <v>14.016125735902175</v>
      </c>
      <c r="O7463" s="149">
        <f t="shared" ca="1" si="244"/>
        <v>1.000173611111111</v>
      </c>
    </row>
    <row r="7464" spans="12:15" x14ac:dyDescent="0.25">
      <c r="L7464" s="147">
        <f ca="1"/>
        <v>52703</v>
      </c>
      <c r="M7464" s="92">
        <f t="shared" ca="1" si="243"/>
        <v>6.25</v>
      </c>
      <c r="N7464" s="143">
        <f ca="1">(PRODUCT($O$5:$O7464)-1)*36000/_xlfn.DAYS(L7464, $C$2)</f>
        <v>14.017517729256204</v>
      </c>
      <c r="O7464" s="149">
        <f t="shared" ca="1" si="244"/>
        <v>1.000173611111111</v>
      </c>
    </row>
    <row r="7465" spans="12:15" x14ac:dyDescent="0.25">
      <c r="L7465" s="147">
        <f ca="1"/>
        <v>52704</v>
      </c>
      <c r="M7465" s="92">
        <f t="shared" ca="1" si="243"/>
        <v>6.25</v>
      </c>
      <c r="N7465" s="143">
        <f ca="1">(PRODUCT($O$5:$O7465)-1)*36000/_xlfn.DAYS(L7465, $C$2)</f>
        <v>14.018909917248104</v>
      </c>
      <c r="O7465" s="149">
        <f t="shared" ca="1" si="244"/>
        <v>1.000173611111111</v>
      </c>
    </row>
    <row r="7466" spans="12:15" x14ac:dyDescent="0.25">
      <c r="L7466" s="147">
        <f ca="1"/>
        <v>52705</v>
      </c>
      <c r="M7466" s="92">
        <f t="shared" ca="1" si="243"/>
        <v>6.25</v>
      </c>
      <c r="N7466" s="143">
        <f ca="1">(PRODUCT($O$5:$O7466)-1)*36000/_xlfn.DAYS(L7466, $C$2)</f>
        <v>14.020302299898191</v>
      </c>
      <c r="O7466" s="149">
        <f t="shared" ca="1" si="244"/>
        <v>1.000173611111111</v>
      </c>
    </row>
    <row r="7467" spans="12:15" x14ac:dyDescent="0.25">
      <c r="L7467" s="147">
        <f ca="1"/>
        <v>52706</v>
      </c>
      <c r="M7467" s="92">
        <f t="shared" ca="1" si="243"/>
        <v>6.25</v>
      </c>
      <c r="N7467" s="143">
        <f ca="1">(PRODUCT($O$5:$O7467)-1)*36000/_xlfn.DAYS(L7467, $C$2)</f>
        <v>14.021694877226768</v>
      </c>
      <c r="O7467" s="149">
        <f t="shared" ca="1" si="244"/>
        <v>1.000173611111111</v>
      </c>
    </row>
    <row r="7468" spans="12:15" x14ac:dyDescent="0.25">
      <c r="L7468" s="147">
        <f ca="1"/>
        <v>52707</v>
      </c>
      <c r="M7468" s="92">
        <f t="shared" ca="1" si="243"/>
        <v>6.25</v>
      </c>
      <c r="N7468" s="143">
        <f ca="1">(PRODUCT($O$5:$O7468)-1)*36000/_xlfn.DAYS(L7468, $C$2)</f>
        <v>14.023087649254164</v>
      </c>
      <c r="O7468" s="149">
        <f t="shared" ca="1" si="244"/>
        <v>1.000173611111111</v>
      </c>
    </row>
    <row r="7469" spans="12:15" x14ac:dyDescent="0.25">
      <c r="L7469" s="147">
        <f ca="1"/>
        <v>52708</v>
      </c>
      <c r="M7469" s="92">
        <f t="shared" ca="1" si="243"/>
        <v>6.25</v>
      </c>
      <c r="N7469" s="143">
        <f ca="1">(PRODUCT($O$5:$O7469)-1)*36000/_xlfn.DAYS(L7469, $C$2)</f>
        <v>14.0244806160007</v>
      </c>
      <c r="O7469" s="149">
        <f t="shared" ca="1" si="244"/>
        <v>1.000173611111111</v>
      </c>
    </row>
    <row r="7470" spans="12:15" x14ac:dyDescent="0.25">
      <c r="L7470" s="147">
        <f ca="1"/>
        <v>52709</v>
      </c>
      <c r="M7470" s="92">
        <f t="shared" ca="1" si="243"/>
        <v>6.25</v>
      </c>
      <c r="N7470" s="143">
        <f ca="1">(PRODUCT($O$5:$O7470)-1)*36000/_xlfn.DAYS(L7470, $C$2)</f>
        <v>14.025873777486709</v>
      </c>
      <c r="O7470" s="149">
        <f t="shared" ca="1" si="244"/>
        <v>1.000173611111111</v>
      </c>
    </row>
    <row r="7471" spans="12:15" x14ac:dyDescent="0.25">
      <c r="L7471" s="147">
        <f ca="1"/>
        <v>52710</v>
      </c>
      <c r="M7471" s="92">
        <f t="shared" ca="1" si="243"/>
        <v>6.25</v>
      </c>
      <c r="N7471" s="143">
        <f ca="1">(PRODUCT($O$5:$O7471)-1)*36000/_xlfn.DAYS(L7471, $C$2)</f>
        <v>14.027267133732533</v>
      </c>
      <c r="O7471" s="149">
        <f t="shared" ca="1" si="244"/>
        <v>1.000173611111111</v>
      </c>
    </row>
    <row r="7472" spans="12:15" x14ac:dyDescent="0.25">
      <c r="L7472" s="147">
        <f ca="1"/>
        <v>52711</v>
      </c>
      <c r="M7472" s="92">
        <f t="shared" ca="1" si="243"/>
        <v>6.25</v>
      </c>
      <c r="N7472" s="143">
        <f ca="1">(PRODUCT($O$5:$O7472)-1)*36000/_xlfn.DAYS(L7472, $C$2)</f>
        <v>14.028660684758512</v>
      </c>
      <c r="O7472" s="149">
        <f t="shared" ca="1" si="244"/>
        <v>1.000173611111111</v>
      </c>
    </row>
    <row r="7473" spans="12:15" x14ac:dyDescent="0.25">
      <c r="L7473" s="147">
        <f ca="1"/>
        <v>52712</v>
      </c>
      <c r="M7473" s="92">
        <f t="shared" ca="1" si="243"/>
        <v>6.25</v>
      </c>
      <c r="N7473" s="143">
        <f ca="1">(PRODUCT($O$5:$O7473)-1)*36000/_xlfn.DAYS(L7473, $C$2)</f>
        <v>14.030054430584999</v>
      </c>
      <c r="O7473" s="149">
        <f t="shared" ca="1" si="244"/>
        <v>1.000173611111111</v>
      </c>
    </row>
    <row r="7474" spans="12:15" x14ac:dyDescent="0.25">
      <c r="L7474" s="147">
        <f ca="1"/>
        <v>52713</v>
      </c>
      <c r="M7474" s="92">
        <f t="shared" ca="1" si="243"/>
        <v>6.25</v>
      </c>
      <c r="N7474" s="143">
        <f ca="1">(PRODUCT($O$5:$O7474)-1)*36000/_xlfn.DAYS(L7474, $C$2)</f>
        <v>14.031448371232354</v>
      </c>
      <c r="O7474" s="149">
        <f t="shared" ca="1" si="244"/>
        <v>1.000173611111111</v>
      </c>
    </row>
    <row r="7475" spans="12:15" x14ac:dyDescent="0.25">
      <c r="L7475" s="147">
        <f ca="1"/>
        <v>52714</v>
      </c>
      <c r="M7475" s="92">
        <f t="shared" ca="1" si="243"/>
        <v>6.25</v>
      </c>
      <c r="N7475" s="143">
        <f ca="1">(PRODUCT($O$5:$O7475)-1)*36000/_xlfn.DAYS(L7475, $C$2)</f>
        <v>14.032842506720938</v>
      </c>
      <c r="O7475" s="149">
        <f t="shared" ca="1" si="244"/>
        <v>1.000173611111111</v>
      </c>
    </row>
    <row r="7476" spans="12:15" x14ac:dyDescent="0.25">
      <c r="L7476" s="147">
        <f ca="1"/>
        <v>52715</v>
      </c>
      <c r="M7476" s="92">
        <f t="shared" ca="1" si="243"/>
        <v>6.25</v>
      </c>
      <c r="N7476" s="143">
        <f ca="1">(PRODUCT($O$5:$O7476)-1)*36000/_xlfn.DAYS(L7476, $C$2)</f>
        <v>14.034236837071116</v>
      </c>
      <c r="O7476" s="149">
        <f t="shared" ca="1" si="244"/>
        <v>1.000173611111111</v>
      </c>
    </row>
    <row r="7477" spans="12:15" x14ac:dyDescent="0.25">
      <c r="L7477" s="147">
        <f ca="1"/>
        <v>52716</v>
      </c>
      <c r="M7477" s="92">
        <f t="shared" ca="1" si="243"/>
        <v>6.25</v>
      </c>
      <c r="N7477" s="143">
        <f ca="1">(PRODUCT($O$5:$O7477)-1)*36000/_xlfn.DAYS(L7477, $C$2)</f>
        <v>14.035631362303272</v>
      </c>
      <c r="O7477" s="149">
        <f t="shared" ca="1" si="244"/>
        <v>1.000173611111111</v>
      </c>
    </row>
    <row r="7478" spans="12:15" x14ac:dyDescent="0.25">
      <c r="L7478" s="147">
        <f ca="1"/>
        <v>52717</v>
      </c>
      <c r="M7478" s="92">
        <f t="shared" ca="1" si="243"/>
        <v>6.25</v>
      </c>
      <c r="N7478" s="143">
        <f ca="1">(PRODUCT($O$5:$O7478)-1)*36000/_xlfn.DAYS(L7478, $C$2)</f>
        <v>14.037026082437784</v>
      </c>
      <c r="O7478" s="149">
        <f t="shared" ca="1" si="244"/>
        <v>1.000173611111111</v>
      </c>
    </row>
    <row r="7479" spans="12:15" x14ac:dyDescent="0.25">
      <c r="L7479" s="147">
        <f ca="1"/>
        <v>52718</v>
      </c>
      <c r="M7479" s="92">
        <f t="shared" ca="1" si="243"/>
        <v>6.25</v>
      </c>
      <c r="N7479" s="143">
        <f ca="1">(PRODUCT($O$5:$O7479)-1)*36000/_xlfn.DAYS(L7479, $C$2)</f>
        <v>14.03842099749504</v>
      </c>
      <c r="O7479" s="149">
        <f t="shared" ca="1" si="244"/>
        <v>1.000173611111111</v>
      </c>
    </row>
    <row r="7480" spans="12:15" x14ac:dyDescent="0.25">
      <c r="L7480" s="147">
        <f ca="1"/>
        <v>52719</v>
      </c>
      <c r="M7480" s="92">
        <f t="shared" ca="1" si="243"/>
        <v>6.25</v>
      </c>
      <c r="N7480" s="143">
        <f ca="1">(PRODUCT($O$5:$O7480)-1)*36000/_xlfn.DAYS(L7480, $C$2)</f>
        <v>14.039816107495435</v>
      </c>
      <c r="O7480" s="149">
        <f t="shared" ca="1" si="244"/>
        <v>1.000173611111111</v>
      </c>
    </row>
    <row r="7481" spans="12:15" x14ac:dyDescent="0.25">
      <c r="L7481" s="147">
        <f ca="1"/>
        <v>52720</v>
      </c>
      <c r="M7481" s="92">
        <f t="shared" ca="1" si="243"/>
        <v>6.25</v>
      </c>
      <c r="N7481" s="143">
        <f ca="1">(PRODUCT($O$5:$O7481)-1)*36000/_xlfn.DAYS(L7481, $C$2)</f>
        <v>14.04121141245937</v>
      </c>
      <c r="O7481" s="149">
        <f t="shared" ca="1" si="244"/>
        <v>1.000173611111111</v>
      </c>
    </row>
    <row r="7482" spans="12:15" x14ac:dyDescent="0.25">
      <c r="L7482" s="147">
        <f ca="1"/>
        <v>52721</v>
      </c>
      <c r="M7482" s="92">
        <f t="shared" ca="1" si="243"/>
        <v>6.25</v>
      </c>
      <c r="N7482" s="143">
        <f ca="1">(PRODUCT($O$5:$O7482)-1)*36000/_xlfn.DAYS(L7482, $C$2)</f>
        <v>14.042606912407253</v>
      </c>
      <c r="O7482" s="149">
        <f t="shared" ca="1" si="244"/>
        <v>1.000173611111111</v>
      </c>
    </row>
    <row r="7483" spans="12:15" x14ac:dyDescent="0.25">
      <c r="L7483" s="147">
        <f ca="1"/>
        <v>52722</v>
      </c>
      <c r="M7483" s="92">
        <f t="shared" ca="1" si="243"/>
        <v>6.25</v>
      </c>
      <c r="N7483" s="143">
        <f ca="1">(PRODUCT($O$5:$O7483)-1)*36000/_xlfn.DAYS(L7483, $C$2)</f>
        <v>14.044002607359495</v>
      </c>
      <c r="O7483" s="149">
        <f t="shared" ca="1" si="244"/>
        <v>1.000173611111111</v>
      </c>
    </row>
    <row r="7484" spans="12:15" x14ac:dyDescent="0.25">
      <c r="L7484" s="147">
        <f ca="1"/>
        <v>52723</v>
      </c>
      <c r="M7484" s="92">
        <f t="shared" ca="1" si="243"/>
        <v>6.25</v>
      </c>
      <c r="N7484" s="143">
        <f ca="1">(PRODUCT($O$5:$O7484)-1)*36000/_xlfn.DAYS(L7484, $C$2)</f>
        <v>14.045398497336517</v>
      </c>
      <c r="O7484" s="149">
        <f t="shared" ca="1" si="244"/>
        <v>1.000173611111111</v>
      </c>
    </row>
    <row r="7485" spans="12:15" x14ac:dyDescent="0.25">
      <c r="L7485" s="147">
        <f ca="1"/>
        <v>52724</v>
      </c>
      <c r="M7485" s="92">
        <f t="shared" ca="1" si="243"/>
        <v>6.25</v>
      </c>
      <c r="N7485" s="143">
        <f ca="1">(PRODUCT($O$5:$O7485)-1)*36000/_xlfn.DAYS(L7485, $C$2)</f>
        <v>14.046794582358743</v>
      </c>
      <c r="O7485" s="149">
        <f t="shared" ca="1" si="244"/>
        <v>1.000173611111111</v>
      </c>
    </row>
    <row r="7486" spans="12:15" x14ac:dyDescent="0.25">
      <c r="L7486" s="147">
        <f ca="1"/>
        <v>52725</v>
      </c>
      <c r="M7486" s="92">
        <f t="shared" ca="1" si="243"/>
        <v>6.25</v>
      </c>
      <c r="N7486" s="143">
        <f ca="1">(PRODUCT($O$5:$O7486)-1)*36000/_xlfn.DAYS(L7486, $C$2)</f>
        <v>14.048190862446605</v>
      </c>
      <c r="O7486" s="149">
        <f t="shared" ca="1" si="244"/>
        <v>1.000173611111111</v>
      </c>
    </row>
    <row r="7487" spans="12:15" x14ac:dyDescent="0.25">
      <c r="L7487" s="147">
        <f ca="1"/>
        <v>52726</v>
      </c>
      <c r="M7487" s="92">
        <f t="shared" ca="1" si="243"/>
        <v>6.25</v>
      </c>
      <c r="N7487" s="143">
        <f ca="1">(PRODUCT($O$5:$O7487)-1)*36000/_xlfn.DAYS(L7487, $C$2)</f>
        <v>14.049587337620544</v>
      </c>
      <c r="O7487" s="149">
        <f t="shared" ca="1" si="244"/>
        <v>1.000173611111111</v>
      </c>
    </row>
    <row r="7488" spans="12:15" x14ac:dyDescent="0.25">
      <c r="L7488" s="147">
        <f ca="1"/>
        <v>52727</v>
      </c>
      <c r="M7488" s="92">
        <f t="shared" ca="1" si="243"/>
        <v>6.25</v>
      </c>
      <c r="N7488" s="143">
        <f ca="1">(PRODUCT($O$5:$O7488)-1)*36000/_xlfn.DAYS(L7488, $C$2)</f>
        <v>14.050984007900997</v>
      </c>
      <c r="O7488" s="149">
        <f t="shared" ca="1" si="244"/>
        <v>1.000173611111111</v>
      </c>
    </row>
    <row r="7489" spans="12:15" x14ac:dyDescent="0.25">
      <c r="L7489" s="147">
        <f ca="1"/>
        <v>52728</v>
      </c>
      <c r="M7489" s="92">
        <f t="shared" ca="1" si="243"/>
        <v>6.25</v>
      </c>
      <c r="N7489" s="143">
        <f ca="1">(PRODUCT($O$5:$O7489)-1)*36000/_xlfn.DAYS(L7489, $C$2)</f>
        <v>14.052380873308424</v>
      </c>
      <c r="O7489" s="149">
        <f t="shared" ca="1" si="244"/>
        <v>1.000173611111111</v>
      </c>
    </row>
    <row r="7490" spans="12:15" x14ac:dyDescent="0.25">
      <c r="L7490" s="147">
        <f ca="1"/>
        <v>52729</v>
      </c>
      <c r="M7490" s="92">
        <f t="shared" ca="1" si="243"/>
        <v>6.25</v>
      </c>
      <c r="N7490" s="143">
        <f ca="1">(PRODUCT($O$5:$O7490)-1)*36000/_xlfn.DAYS(L7490, $C$2)</f>
        <v>14.053777933863273</v>
      </c>
      <c r="O7490" s="149">
        <f t="shared" ca="1" si="244"/>
        <v>1.000173611111111</v>
      </c>
    </row>
    <row r="7491" spans="12:15" x14ac:dyDescent="0.25">
      <c r="L7491" s="147">
        <f ca="1"/>
        <v>52730</v>
      </c>
      <c r="M7491" s="92">
        <f t="shared" ca="1" si="243"/>
        <v>6.25</v>
      </c>
      <c r="N7491" s="143">
        <f ca="1">(PRODUCT($O$5:$O7491)-1)*36000/_xlfn.DAYS(L7491, $C$2)</f>
        <v>14.055175189586013</v>
      </c>
      <c r="O7491" s="149">
        <f t="shared" ca="1" si="244"/>
        <v>1.000173611111111</v>
      </c>
    </row>
    <row r="7492" spans="12:15" x14ac:dyDescent="0.25">
      <c r="L7492" s="147">
        <f ca="1"/>
        <v>52731</v>
      </c>
      <c r="M7492" s="92">
        <f t="shared" ca="1" si="243"/>
        <v>6.25</v>
      </c>
      <c r="N7492" s="143">
        <f ca="1">(PRODUCT($O$5:$O7492)-1)*36000/_xlfn.DAYS(L7492, $C$2)</f>
        <v>14.056572640497109</v>
      </c>
      <c r="O7492" s="149">
        <f t="shared" ca="1" si="244"/>
        <v>1.000173611111111</v>
      </c>
    </row>
    <row r="7493" spans="12:15" x14ac:dyDescent="0.25">
      <c r="L7493" s="147">
        <f ca="1"/>
        <v>52732</v>
      </c>
      <c r="M7493" s="92">
        <f t="shared" ref="M7493:M7556" ca="1" si="245">IFERROR(INDEX($E$27:$H$47, MATCH(L7493, $F$27:$F$47, 0), 4), IF(ISNUMBER(M7492), M7492, $C$5))</f>
        <v>6.25</v>
      </c>
      <c r="N7493" s="143">
        <f ca="1">(PRODUCT($O$5:$O7493)-1)*36000/_xlfn.DAYS(L7493, $C$2)</f>
        <v>14.057970286617037</v>
      </c>
      <c r="O7493" s="149">
        <f t="shared" ca="1" si="244"/>
        <v>1.000173611111111</v>
      </c>
    </row>
    <row r="7494" spans="12:15" x14ac:dyDescent="0.25">
      <c r="L7494" s="147">
        <f ca="1"/>
        <v>52733</v>
      </c>
      <c r="M7494" s="92">
        <f t="shared" ca="1" si="245"/>
        <v>6.25</v>
      </c>
      <c r="N7494" s="143">
        <f ca="1">(PRODUCT($O$5:$O7494)-1)*36000/_xlfn.DAYS(L7494, $C$2)</f>
        <v>14.059368127966277</v>
      </c>
      <c r="O7494" s="149">
        <f t="shared" ref="O7494:O7557" ca="1" si="246">1+M7494*IFERROR(_xlfn.DAYS(L7494, L7493), _xlfn.DAYS(L7494, $C$2))/36000</f>
        <v>1.000173611111111</v>
      </c>
    </row>
    <row r="7495" spans="12:15" x14ac:dyDescent="0.25">
      <c r="L7495" s="147">
        <f ca="1"/>
        <v>52734</v>
      </c>
      <c r="M7495" s="92">
        <f t="shared" ca="1" si="245"/>
        <v>6.25</v>
      </c>
      <c r="N7495" s="143">
        <f ca="1">(PRODUCT($O$5:$O7495)-1)*36000/_xlfn.DAYS(L7495, $C$2)</f>
        <v>14.060766164565319</v>
      </c>
      <c r="O7495" s="149">
        <f t="shared" ca="1" si="246"/>
        <v>1.000173611111111</v>
      </c>
    </row>
    <row r="7496" spans="12:15" x14ac:dyDescent="0.25">
      <c r="L7496" s="147">
        <f ca="1"/>
        <v>52735</v>
      </c>
      <c r="M7496" s="92">
        <f t="shared" ca="1" si="245"/>
        <v>6.25</v>
      </c>
      <c r="N7496" s="143">
        <f ca="1">(PRODUCT($O$5:$O7496)-1)*36000/_xlfn.DAYS(L7496, $C$2)</f>
        <v>14.062164396434655</v>
      </c>
      <c r="O7496" s="149">
        <f t="shared" ca="1" si="246"/>
        <v>1.000173611111111</v>
      </c>
    </row>
    <row r="7497" spans="12:15" x14ac:dyDescent="0.25">
      <c r="L7497" s="147">
        <f ca="1"/>
        <v>52736</v>
      </c>
      <c r="M7497" s="92">
        <f t="shared" ca="1" si="245"/>
        <v>6.25</v>
      </c>
      <c r="N7497" s="143">
        <f ca="1">(PRODUCT($O$5:$O7497)-1)*36000/_xlfn.DAYS(L7497, $C$2)</f>
        <v>14.063562823594786</v>
      </c>
      <c r="O7497" s="149">
        <f t="shared" ca="1" si="246"/>
        <v>1.000173611111111</v>
      </c>
    </row>
    <row r="7498" spans="12:15" x14ac:dyDescent="0.25">
      <c r="L7498" s="147">
        <f ca="1"/>
        <v>52737</v>
      </c>
      <c r="M7498" s="92">
        <f t="shared" ca="1" si="245"/>
        <v>6.25</v>
      </c>
      <c r="N7498" s="143">
        <f ca="1">(PRODUCT($O$5:$O7498)-1)*36000/_xlfn.DAYS(L7498, $C$2)</f>
        <v>14.064961446066219</v>
      </c>
      <c r="O7498" s="149">
        <f t="shared" ca="1" si="246"/>
        <v>1.000173611111111</v>
      </c>
    </row>
    <row r="7499" spans="12:15" x14ac:dyDescent="0.25">
      <c r="L7499" s="147">
        <f ca="1"/>
        <v>52738</v>
      </c>
      <c r="M7499" s="92">
        <f t="shared" ca="1" si="245"/>
        <v>6.25</v>
      </c>
      <c r="N7499" s="143">
        <f ca="1">(PRODUCT($O$5:$O7499)-1)*36000/_xlfn.DAYS(L7499, $C$2)</f>
        <v>14.066360263869463</v>
      </c>
      <c r="O7499" s="149">
        <f t="shared" ca="1" si="246"/>
        <v>1.000173611111111</v>
      </c>
    </row>
    <row r="7500" spans="12:15" x14ac:dyDescent="0.25">
      <c r="L7500" s="147">
        <f ca="1"/>
        <v>52739</v>
      </c>
      <c r="M7500" s="92">
        <f t="shared" ca="1" si="245"/>
        <v>6.25</v>
      </c>
      <c r="N7500" s="143">
        <f ca="1">(PRODUCT($O$5:$O7500)-1)*36000/_xlfn.DAYS(L7500, $C$2)</f>
        <v>14.067759277025036</v>
      </c>
      <c r="O7500" s="149">
        <f t="shared" ca="1" si="246"/>
        <v>1.000173611111111</v>
      </c>
    </row>
    <row r="7501" spans="12:15" x14ac:dyDescent="0.25">
      <c r="L7501" s="147">
        <f ca="1"/>
        <v>52740</v>
      </c>
      <c r="M7501" s="92">
        <f t="shared" ca="1" si="245"/>
        <v>6.25</v>
      </c>
      <c r="N7501" s="143">
        <f ca="1">(PRODUCT($O$5:$O7501)-1)*36000/_xlfn.DAYS(L7501, $C$2)</f>
        <v>14.069158485553469</v>
      </c>
      <c r="O7501" s="149">
        <f t="shared" ca="1" si="246"/>
        <v>1.000173611111111</v>
      </c>
    </row>
    <row r="7502" spans="12:15" x14ac:dyDescent="0.25">
      <c r="L7502" s="147">
        <f ca="1"/>
        <v>52741</v>
      </c>
      <c r="M7502" s="92">
        <f t="shared" ca="1" si="245"/>
        <v>6.25</v>
      </c>
      <c r="N7502" s="143">
        <f ca="1">(PRODUCT($O$5:$O7502)-1)*36000/_xlfn.DAYS(L7502, $C$2)</f>
        <v>14.070557889475287</v>
      </c>
      <c r="O7502" s="149">
        <f t="shared" ca="1" si="246"/>
        <v>1.000173611111111</v>
      </c>
    </row>
    <row r="7503" spans="12:15" x14ac:dyDescent="0.25">
      <c r="L7503" s="147">
        <f ca="1"/>
        <v>52742</v>
      </c>
      <c r="M7503" s="92">
        <f t="shared" ca="1" si="245"/>
        <v>6.25</v>
      </c>
      <c r="N7503" s="143">
        <f ca="1">(PRODUCT($O$5:$O7503)-1)*36000/_xlfn.DAYS(L7503, $C$2)</f>
        <v>14.071957488811028</v>
      </c>
      <c r="O7503" s="149">
        <f t="shared" ca="1" si="246"/>
        <v>1.000173611111111</v>
      </c>
    </row>
    <row r="7504" spans="12:15" x14ac:dyDescent="0.25">
      <c r="L7504" s="147">
        <f ca="1"/>
        <v>52743</v>
      </c>
      <c r="M7504" s="92">
        <f t="shared" ca="1" si="245"/>
        <v>6.25</v>
      </c>
      <c r="N7504" s="143">
        <f ca="1">(PRODUCT($O$5:$O7504)-1)*36000/_xlfn.DAYS(L7504, $C$2)</f>
        <v>14.073357283581236</v>
      </c>
      <c r="O7504" s="149">
        <f t="shared" ca="1" si="246"/>
        <v>1.000173611111111</v>
      </c>
    </row>
    <row r="7505" spans="12:15" x14ac:dyDescent="0.25">
      <c r="L7505" s="147">
        <f ca="1"/>
        <v>52744</v>
      </c>
      <c r="M7505" s="92">
        <f t="shared" ca="1" si="245"/>
        <v>6.25</v>
      </c>
      <c r="N7505" s="143">
        <f ca="1">(PRODUCT($O$5:$O7505)-1)*36000/_xlfn.DAYS(L7505, $C$2)</f>
        <v>14.07475727380646</v>
      </c>
      <c r="O7505" s="149">
        <f t="shared" ca="1" si="246"/>
        <v>1.000173611111111</v>
      </c>
    </row>
    <row r="7506" spans="12:15" x14ac:dyDescent="0.25">
      <c r="L7506" s="147">
        <f ca="1"/>
        <v>52745</v>
      </c>
      <c r="M7506" s="92">
        <f t="shared" ca="1" si="245"/>
        <v>6.25</v>
      </c>
      <c r="N7506" s="143">
        <f ca="1">(PRODUCT($O$5:$O7506)-1)*36000/_xlfn.DAYS(L7506, $C$2)</f>
        <v>14.076157459507256</v>
      </c>
      <c r="O7506" s="149">
        <f t="shared" ca="1" si="246"/>
        <v>1.000173611111111</v>
      </c>
    </row>
    <row r="7507" spans="12:15" x14ac:dyDescent="0.25">
      <c r="L7507" s="147">
        <f ca="1"/>
        <v>52746</v>
      </c>
      <c r="M7507" s="92">
        <f t="shared" ca="1" si="245"/>
        <v>6.25</v>
      </c>
      <c r="N7507" s="143">
        <f ca="1">(PRODUCT($O$5:$O7507)-1)*36000/_xlfn.DAYS(L7507, $C$2)</f>
        <v>14.077557840704184</v>
      </c>
      <c r="O7507" s="149">
        <f t="shared" ca="1" si="246"/>
        <v>1.000173611111111</v>
      </c>
    </row>
    <row r="7508" spans="12:15" x14ac:dyDescent="0.25">
      <c r="L7508" s="147">
        <f ca="1"/>
        <v>52747</v>
      </c>
      <c r="M7508" s="92">
        <f t="shared" ca="1" si="245"/>
        <v>6.25</v>
      </c>
      <c r="N7508" s="143">
        <f ca="1">(PRODUCT($O$5:$O7508)-1)*36000/_xlfn.DAYS(L7508, $C$2)</f>
        <v>14.078958417417814</v>
      </c>
      <c r="O7508" s="149">
        <f t="shared" ca="1" si="246"/>
        <v>1.000173611111111</v>
      </c>
    </row>
    <row r="7509" spans="12:15" x14ac:dyDescent="0.25">
      <c r="L7509" s="147">
        <f ca="1"/>
        <v>52748</v>
      </c>
      <c r="M7509" s="92">
        <f t="shared" ca="1" si="245"/>
        <v>6.25</v>
      </c>
      <c r="N7509" s="143">
        <f ca="1">(PRODUCT($O$5:$O7509)-1)*36000/_xlfn.DAYS(L7509, $C$2)</f>
        <v>14.080359189668719</v>
      </c>
      <c r="O7509" s="149">
        <f t="shared" ca="1" si="246"/>
        <v>1.000173611111111</v>
      </c>
    </row>
    <row r="7510" spans="12:15" x14ac:dyDescent="0.25">
      <c r="L7510" s="147">
        <f ca="1"/>
        <v>52749</v>
      </c>
      <c r="M7510" s="92">
        <f t="shared" ca="1" si="245"/>
        <v>6.25</v>
      </c>
      <c r="N7510" s="143">
        <f ca="1">(PRODUCT($O$5:$O7510)-1)*36000/_xlfn.DAYS(L7510, $C$2)</f>
        <v>14.081760157477479</v>
      </c>
      <c r="O7510" s="149">
        <f t="shared" ca="1" si="246"/>
        <v>1.000173611111111</v>
      </c>
    </row>
    <row r="7511" spans="12:15" x14ac:dyDescent="0.25">
      <c r="L7511" s="147">
        <f ca="1"/>
        <v>52750</v>
      </c>
      <c r="M7511" s="92">
        <f t="shared" ca="1" si="245"/>
        <v>6.25</v>
      </c>
      <c r="N7511" s="143">
        <f ca="1">(PRODUCT($O$5:$O7511)-1)*36000/_xlfn.DAYS(L7511, $C$2)</f>
        <v>14.083161320864679</v>
      </c>
      <c r="O7511" s="149">
        <f t="shared" ca="1" si="246"/>
        <v>1.000173611111111</v>
      </c>
    </row>
    <row r="7512" spans="12:15" x14ac:dyDescent="0.25">
      <c r="L7512" s="147">
        <f ca="1"/>
        <v>52751</v>
      </c>
      <c r="M7512" s="92">
        <f t="shared" ca="1" si="245"/>
        <v>6.25</v>
      </c>
      <c r="N7512" s="143">
        <f ca="1">(PRODUCT($O$5:$O7512)-1)*36000/_xlfn.DAYS(L7512, $C$2)</f>
        <v>14.084562679850917</v>
      </c>
      <c r="O7512" s="149">
        <f t="shared" ca="1" si="246"/>
        <v>1.000173611111111</v>
      </c>
    </row>
    <row r="7513" spans="12:15" x14ac:dyDescent="0.25">
      <c r="L7513" s="147">
        <f ca="1"/>
        <v>52752</v>
      </c>
      <c r="M7513" s="92">
        <f t="shared" ca="1" si="245"/>
        <v>6.25</v>
      </c>
      <c r="N7513" s="143">
        <f ca="1">(PRODUCT($O$5:$O7513)-1)*36000/_xlfn.DAYS(L7513, $C$2)</f>
        <v>14.085964234456787</v>
      </c>
      <c r="O7513" s="149">
        <f t="shared" ca="1" si="246"/>
        <v>1.000173611111111</v>
      </c>
    </row>
    <row r="7514" spans="12:15" x14ac:dyDescent="0.25">
      <c r="L7514" s="147">
        <f ca="1"/>
        <v>52753</v>
      </c>
      <c r="M7514" s="92">
        <f t="shared" ca="1" si="245"/>
        <v>6.25</v>
      </c>
      <c r="N7514" s="143">
        <f ca="1">(PRODUCT($O$5:$O7514)-1)*36000/_xlfn.DAYS(L7514, $C$2)</f>
        <v>14.087365984702894</v>
      </c>
      <c r="O7514" s="149">
        <f t="shared" ca="1" si="246"/>
        <v>1.000173611111111</v>
      </c>
    </row>
    <row r="7515" spans="12:15" x14ac:dyDescent="0.25">
      <c r="L7515" s="147">
        <f ca="1"/>
        <v>52754</v>
      </c>
      <c r="M7515" s="92">
        <f t="shared" ca="1" si="245"/>
        <v>6.25</v>
      </c>
      <c r="N7515" s="143">
        <f ca="1">(PRODUCT($O$5:$O7515)-1)*36000/_xlfn.DAYS(L7515, $C$2)</f>
        <v>14.088767930609849</v>
      </c>
      <c r="O7515" s="149">
        <f t="shared" ca="1" si="246"/>
        <v>1.000173611111111</v>
      </c>
    </row>
    <row r="7516" spans="12:15" x14ac:dyDescent="0.25">
      <c r="L7516" s="147">
        <f ca="1"/>
        <v>52755</v>
      </c>
      <c r="M7516" s="92">
        <f t="shared" ca="1" si="245"/>
        <v>6.25</v>
      </c>
      <c r="N7516" s="143">
        <f ca="1">(PRODUCT($O$5:$O7516)-1)*36000/_xlfn.DAYS(L7516, $C$2)</f>
        <v>14.090170072198269</v>
      </c>
      <c r="O7516" s="149">
        <f t="shared" ca="1" si="246"/>
        <v>1.000173611111111</v>
      </c>
    </row>
    <row r="7517" spans="12:15" x14ac:dyDescent="0.25">
      <c r="L7517" s="147">
        <f ca="1"/>
        <v>52756</v>
      </c>
      <c r="M7517" s="92">
        <f t="shared" ca="1" si="245"/>
        <v>6.25</v>
      </c>
      <c r="N7517" s="143">
        <f ca="1">(PRODUCT($O$5:$O7517)-1)*36000/_xlfn.DAYS(L7517, $C$2)</f>
        <v>14.091572409488784</v>
      </c>
      <c r="O7517" s="149">
        <f t="shared" ca="1" si="246"/>
        <v>1.000173611111111</v>
      </c>
    </row>
    <row r="7518" spans="12:15" x14ac:dyDescent="0.25">
      <c r="L7518" s="147">
        <f ca="1"/>
        <v>52757</v>
      </c>
      <c r="M7518" s="92">
        <f t="shared" ca="1" si="245"/>
        <v>6.25</v>
      </c>
      <c r="N7518" s="143">
        <f ca="1">(PRODUCT($O$5:$O7518)-1)*36000/_xlfn.DAYS(L7518, $C$2)</f>
        <v>14.092974942502014</v>
      </c>
      <c r="O7518" s="149">
        <f t="shared" ca="1" si="246"/>
        <v>1.000173611111111</v>
      </c>
    </row>
    <row r="7519" spans="12:15" x14ac:dyDescent="0.25">
      <c r="L7519" s="147">
        <f ca="1"/>
        <v>52758</v>
      </c>
      <c r="M7519" s="92">
        <f t="shared" ca="1" si="245"/>
        <v>6.25</v>
      </c>
      <c r="N7519" s="143">
        <f ca="1">(PRODUCT($O$5:$O7519)-1)*36000/_xlfn.DAYS(L7519, $C$2)</f>
        <v>14.0943776712586</v>
      </c>
      <c r="O7519" s="149">
        <f t="shared" ca="1" si="246"/>
        <v>1.000173611111111</v>
      </c>
    </row>
    <row r="7520" spans="12:15" x14ac:dyDescent="0.25">
      <c r="L7520" s="147">
        <f ca="1"/>
        <v>52759</v>
      </c>
      <c r="M7520" s="92">
        <f t="shared" ca="1" si="245"/>
        <v>6.25</v>
      </c>
      <c r="N7520" s="143">
        <f ca="1">(PRODUCT($O$5:$O7520)-1)*36000/_xlfn.DAYS(L7520, $C$2)</f>
        <v>14.095780595779182</v>
      </c>
      <c r="O7520" s="149">
        <f t="shared" ca="1" si="246"/>
        <v>1.000173611111111</v>
      </c>
    </row>
    <row r="7521" spans="12:15" x14ac:dyDescent="0.25">
      <c r="L7521" s="147">
        <f ca="1"/>
        <v>52760</v>
      </c>
      <c r="M7521" s="92">
        <f t="shared" ca="1" si="245"/>
        <v>6.25</v>
      </c>
      <c r="N7521" s="143">
        <f ca="1">(PRODUCT($O$5:$O7521)-1)*36000/_xlfn.DAYS(L7521, $C$2)</f>
        <v>14.097183716084411</v>
      </c>
      <c r="O7521" s="149">
        <f t="shared" ca="1" si="246"/>
        <v>1.000173611111111</v>
      </c>
    </row>
    <row r="7522" spans="12:15" x14ac:dyDescent="0.25">
      <c r="L7522" s="147">
        <f ca="1"/>
        <v>52761</v>
      </c>
      <c r="M7522" s="92">
        <f t="shared" ca="1" si="245"/>
        <v>6.25</v>
      </c>
      <c r="N7522" s="143">
        <f ca="1">(PRODUCT($O$5:$O7522)-1)*36000/_xlfn.DAYS(L7522, $C$2)</f>
        <v>14.098587032194938</v>
      </c>
      <c r="O7522" s="149">
        <f t="shared" ca="1" si="246"/>
        <v>1.000173611111111</v>
      </c>
    </row>
    <row r="7523" spans="12:15" x14ac:dyDescent="0.25">
      <c r="L7523" s="147">
        <f ca="1"/>
        <v>52762</v>
      </c>
      <c r="M7523" s="92">
        <f t="shared" ca="1" si="245"/>
        <v>6.25</v>
      </c>
      <c r="N7523" s="143">
        <f ca="1">(PRODUCT($O$5:$O7523)-1)*36000/_xlfn.DAYS(L7523, $C$2)</f>
        <v>14.099990544131424</v>
      </c>
      <c r="O7523" s="149">
        <f t="shared" ca="1" si="246"/>
        <v>1.000173611111111</v>
      </c>
    </row>
    <row r="7524" spans="12:15" x14ac:dyDescent="0.25">
      <c r="L7524" s="147">
        <f ca="1"/>
        <v>52763</v>
      </c>
      <c r="M7524" s="92">
        <f t="shared" ca="1" si="245"/>
        <v>6.25</v>
      </c>
      <c r="N7524" s="143">
        <f ca="1">(PRODUCT($O$5:$O7524)-1)*36000/_xlfn.DAYS(L7524, $C$2)</f>
        <v>14.101394251914536</v>
      </c>
      <c r="O7524" s="149">
        <f t="shared" ca="1" si="246"/>
        <v>1.000173611111111</v>
      </c>
    </row>
    <row r="7525" spans="12:15" x14ac:dyDescent="0.25">
      <c r="L7525" s="147">
        <f ca="1"/>
        <v>52764</v>
      </c>
      <c r="M7525" s="92">
        <f t="shared" ca="1" si="245"/>
        <v>6.25</v>
      </c>
      <c r="N7525" s="143">
        <f ca="1">(PRODUCT($O$5:$O7525)-1)*36000/_xlfn.DAYS(L7525, $C$2)</f>
        <v>14.102798155564948</v>
      </c>
      <c r="O7525" s="149">
        <f t="shared" ca="1" si="246"/>
        <v>1.000173611111111</v>
      </c>
    </row>
    <row r="7526" spans="12:15" x14ac:dyDescent="0.25">
      <c r="L7526" s="147">
        <f ca="1"/>
        <v>52765</v>
      </c>
      <c r="M7526" s="92">
        <f t="shared" ca="1" si="245"/>
        <v>6.25</v>
      </c>
      <c r="N7526" s="143">
        <f ca="1">(PRODUCT($O$5:$O7526)-1)*36000/_xlfn.DAYS(L7526, $C$2)</f>
        <v>14.104202255103335</v>
      </c>
      <c r="O7526" s="149">
        <f t="shared" ca="1" si="246"/>
        <v>1.000173611111111</v>
      </c>
    </row>
    <row r="7527" spans="12:15" x14ac:dyDescent="0.25">
      <c r="L7527" s="147">
        <f ca="1"/>
        <v>52766</v>
      </c>
      <c r="M7527" s="92">
        <f t="shared" ca="1" si="245"/>
        <v>6.25</v>
      </c>
      <c r="N7527" s="143">
        <f ca="1">(PRODUCT($O$5:$O7527)-1)*36000/_xlfn.DAYS(L7527, $C$2)</f>
        <v>14.105606550550386</v>
      </c>
      <c r="O7527" s="149">
        <f t="shared" ca="1" si="246"/>
        <v>1.000173611111111</v>
      </c>
    </row>
    <row r="7528" spans="12:15" x14ac:dyDescent="0.25">
      <c r="L7528" s="147">
        <f ca="1"/>
        <v>52767</v>
      </c>
      <c r="M7528" s="92">
        <f t="shared" ca="1" si="245"/>
        <v>6.25</v>
      </c>
      <c r="N7528" s="143">
        <f ca="1">(PRODUCT($O$5:$O7528)-1)*36000/_xlfn.DAYS(L7528, $C$2)</f>
        <v>14.107011041926789</v>
      </c>
      <c r="O7528" s="149">
        <f t="shared" ca="1" si="246"/>
        <v>1.000173611111111</v>
      </c>
    </row>
    <row r="7529" spans="12:15" x14ac:dyDescent="0.25">
      <c r="L7529" s="147">
        <f ca="1"/>
        <v>52768</v>
      </c>
      <c r="M7529" s="92">
        <f t="shared" ca="1" si="245"/>
        <v>6.25</v>
      </c>
      <c r="N7529" s="143">
        <f ca="1">(PRODUCT($O$5:$O7529)-1)*36000/_xlfn.DAYS(L7529, $C$2)</f>
        <v>14.108415729253247</v>
      </c>
      <c r="O7529" s="149">
        <f t="shared" ca="1" si="246"/>
        <v>1.000173611111111</v>
      </c>
    </row>
    <row r="7530" spans="12:15" x14ac:dyDescent="0.25">
      <c r="L7530" s="147">
        <f ca="1"/>
        <v>52769</v>
      </c>
      <c r="M7530" s="92">
        <f t="shared" ca="1" si="245"/>
        <v>6.25</v>
      </c>
      <c r="N7530" s="143">
        <f ca="1">(PRODUCT($O$5:$O7530)-1)*36000/_xlfn.DAYS(L7530, $C$2)</f>
        <v>14.109820612550456</v>
      </c>
      <c r="O7530" s="149">
        <f t="shared" ca="1" si="246"/>
        <v>1.000173611111111</v>
      </c>
    </row>
    <row r="7531" spans="12:15" x14ac:dyDescent="0.25">
      <c r="L7531" s="147">
        <f ca="1"/>
        <v>52770</v>
      </c>
      <c r="M7531" s="92">
        <f t="shared" ca="1" si="245"/>
        <v>6.25</v>
      </c>
      <c r="N7531" s="143">
        <f ca="1">(PRODUCT($O$5:$O7531)-1)*36000/_xlfn.DAYS(L7531, $C$2)</f>
        <v>14.111225691839131</v>
      </c>
      <c r="O7531" s="149">
        <f t="shared" ca="1" si="246"/>
        <v>1.000173611111111</v>
      </c>
    </row>
    <row r="7532" spans="12:15" x14ac:dyDescent="0.25">
      <c r="L7532" s="147">
        <f ca="1"/>
        <v>52771</v>
      </c>
      <c r="M7532" s="92">
        <f t="shared" ca="1" si="245"/>
        <v>6.25</v>
      </c>
      <c r="N7532" s="143">
        <f ca="1">(PRODUCT($O$5:$O7532)-1)*36000/_xlfn.DAYS(L7532, $C$2)</f>
        <v>14.112630967139985</v>
      </c>
      <c r="O7532" s="149">
        <f t="shared" ca="1" si="246"/>
        <v>1.000173611111111</v>
      </c>
    </row>
    <row r="7533" spans="12:15" x14ac:dyDescent="0.25">
      <c r="L7533" s="147">
        <f ca="1"/>
        <v>52772</v>
      </c>
      <c r="M7533" s="92">
        <f t="shared" ca="1" si="245"/>
        <v>6.25</v>
      </c>
      <c r="N7533" s="143">
        <f ca="1">(PRODUCT($O$5:$O7533)-1)*36000/_xlfn.DAYS(L7533, $C$2)</f>
        <v>14.114036438473741</v>
      </c>
      <c r="O7533" s="149">
        <f t="shared" ca="1" si="246"/>
        <v>1.000173611111111</v>
      </c>
    </row>
    <row r="7534" spans="12:15" x14ac:dyDescent="0.25">
      <c r="L7534" s="147">
        <f ca="1"/>
        <v>52773</v>
      </c>
      <c r="M7534" s="92">
        <f t="shared" ca="1" si="245"/>
        <v>6.25</v>
      </c>
      <c r="N7534" s="143">
        <f ca="1">(PRODUCT($O$5:$O7534)-1)*36000/_xlfn.DAYS(L7534, $C$2)</f>
        <v>14.115442105861126</v>
      </c>
      <c r="O7534" s="149">
        <f t="shared" ca="1" si="246"/>
        <v>1.000173611111111</v>
      </c>
    </row>
    <row r="7535" spans="12:15" x14ac:dyDescent="0.25">
      <c r="L7535" s="147">
        <f ca="1"/>
        <v>52774</v>
      </c>
      <c r="M7535" s="92">
        <f t="shared" ca="1" si="245"/>
        <v>6.25</v>
      </c>
      <c r="N7535" s="143">
        <f ca="1">(PRODUCT($O$5:$O7535)-1)*36000/_xlfn.DAYS(L7535, $C$2)</f>
        <v>14.116847969322876</v>
      </c>
      <c r="O7535" s="149">
        <f t="shared" ca="1" si="246"/>
        <v>1.000173611111111</v>
      </c>
    </row>
    <row r="7536" spans="12:15" x14ac:dyDescent="0.25">
      <c r="L7536" s="147">
        <f ca="1"/>
        <v>52775</v>
      </c>
      <c r="M7536" s="92">
        <f t="shared" ca="1" si="245"/>
        <v>6.25</v>
      </c>
      <c r="N7536" s="143">
        <f ca="1">(PRODUCT($O$5:$O7536)-1)*36000/_xlfn.DAYS(L7536, $C$2)</f>
        <v>14.118254028879729</v>
      </c>
      <c r="O7536" s="149">
        <f t="shared" ca="1" si="246"/>
        <v>1.000173611111111</v>
      </c>
    </row>
    <row r="7537" spans="12:15" x14ac:dyDescent="0.25">
      <c r="L7537" s="147">
        <f ca="1"/>
        <v>52776</v>
      </c>
      <c r="M7537" s="92">
        <f t="shared" ca="1" si="245"/>
        <v>6.25</v>
      </c>
      <c r="N7537" s="143">
        <f ca="1">(PRODUCT($O$5:$O7537)-1)*36000/_xlfn.DAYS(L7537, $C$2)</f>
        <v>14.119660284552433</v>
      </c>
      <c r="O7537" s="149">
        <f t="shared" ca="1" si="246"/>
        <v>1.000173611111111</v>
      </c>
    </row>
    <row r="7538" spans="12:15" x14ac:dyDescent="0.25">
      <c r="L7538" s="147">
        <f ca="1"/>
        <v>52777</v>
      </c>
      <c r="M7538" s="92">
        <f t="shared" ca="1" si="245"/>
        <v>6.25</v>
      </c>
      <c r="N7538" s="143">
        <f ca="1">(PRODUCT($O$5:$O7538)-1)*36000/_xlfn.DAYS(L7538, $C$2)</f>
        <v>14.121066736361744</v>
      </c>
      <c r="O7538" s="149">
        <f t="shared" ca="1" si="246"/>
        <v>1.000173611111111</v>
      </c>
    </row>
    <row r="7539" spans="12:15" x14ac:dyDescent="0.25">
      <c r="L7539" s="147">
        <f ca="1"/>
        <v>52778</v>
      </c>
      <c r="M7539" s="92">
        <f t="shared" ca="1" si="245"/>
        <v>6.25</v>
      </c>
      <c r="N7539" s="143">
        <f ca="1">(PRODUCT($O$5:$O7539)-1)*36000/_xlfn.DAYS(L7539, $C$2)</f>
        <v>14.122473384328414</v>
      </c>
      <c r="O7539" s="149">
        <f t="shared" ca="1" si="246"/>
        <v>1.000173611111111</v>
      </c>
    </row>
    <row r="7540" spans="12:15" x14ac:dyDescent="0.25">
      <c r="L7540" s="147">
        <f ca="1"/>
        <v>52779</v>
      </c>
      <c r="M7540" s="92">
        <f t="shared" ca="1" si="245"/>
        <v>6.25</v>
      </c>
      <c r="N7540" s="143">
        <f ca="1">(PRODUCT($O$5:$O7540)-1)*36000/_xlfn.DAYS(L7540, $C$2)</f>
        <v>14.123880228473212</v>
      </c>
      <c r="O7540" s="149">
        <f t="shared" ca="1" si="246"/>
        <v>1.000173611111111</v>
      </c>
    </row>
    <row r="7541" spans="12:15" x14ac:dyDescent="0.25">
      <c r="L7541" s="147">
        <f ca="1"/>
        <v>52780</v>
      </c>
      <c r="M7541" s="92">
        <f t="shared" ca="1" si="245"/>
        <v>6.25</v>
      </c>
      <c r="N7541" s="143">
        <f ca="1">(PRODUCT($O$5:$O7541)-1)*36000/_xlfn.DAYS(L7541, $C$2)</f>
        <v>14.125287268816905</v>
      </c>
      <c r="O7541" s="149">
        <f t="shared" ca="1" si="246"/>
        <v>1.000173611111111</v>
      </c>
    </row>
    <row r="7542" spans="12:15" x14ac:dyDescent="0.25">
      <c r="L7542" s="147">
        <f ca="1"/>
        <v>52781</v>
      </c>
      <c r="M7542" s="92">
        <f t="shared" ca="1" si="245"/>
        <v>6.25</v>
      </c>
      <c r="N7542" s="143">
        <f ca="1">(PRODUCT($O$5:$O7542)-1)*36000/_xlfn.DAYS(L7542, $C$2)</f>
        <v>14.126694505380279</v>
      </c>
      <c r="O7542" s="149">
        <f t="shared" ca="1" si="246"/>
        <v>1.000173611111111</v>
      </c>
    </row>
    <row r="7543" spans="12:15" x14ac:dyDescent="0.25">
      <c r="L7543" s="147">
        <f ca="1"/>
        <v>52782</v>
      </c>
      <c r="M7543" s="92">
        <f t="shared" ca="1" si="245"/>
        <v>6.25</v>
      </c>
      <c r="N7543" s="143">
        <f ca="1">(PRODUCT($O$5:$O7543)-1)*36000/_xlfn.DAYS(L7543, $C$2)</f>
        <v>14.128101938184107</v>
      </c>
      <c r="O7543" s="149">
        <f t="shared" ca="1" si="246"/>
        <v>1.000173611111111</v>
      </c>
    </row>
    <row r="7544" spans="12:15" x14ac:dyDescent="0.25">
      <c r="L7544" s="147">
        <f ca="1"/>
        <v>52783</v>
      </c>
      <c r="M7544" s="92">
        <f t="shared" ca="1" si="245"/>
        <v>6.25</v>
      </c>
      <c r="N7544" s="143">
        <f ca="1">(PRODUCT($O$5:$O7544)-1)*36000/_xlfn.DAYS(L7544, $C$2)</f>
        <v>14.129509567249187</v>
      </c>
      <c r="O7544" s="149">
        <f t="shared" ca="1" si="246"/>
        <v>1.000173611111111</v>
      </c>
    </row>
    <row r="7545" spans="12:15" x14ac:dyDescent="0.25">
      <c r="L7545" s="147">
        <f ca="1"/>
        <v>52784</v>
      </c>
      <c r="M7545" s="92">
        <f t="shared" ca="1" si="245"/>
        <v>6.25</v>
      </c>
      <c r="N7545" s="143">
        <f ca="1">(PRODUCT($O$5:$O7545)-1)*36000/_xlfn.DAYS(L7545, $C$2)</f>
        <v>14.130917392596309</v>
      </c>
      <c r="O7545" s="149">
        <f t="shared" ca="1" si="246"/>
        <v>1.000173611111111</v>
      </c>
    </row>
    <row r="7546" spans="12:15" x14ac:dyDescent="0.25">
      <c r="L7546" s="147">
        <f ca="1"/>
        <v>52785</v>
      </c>
      <c r="M7546" s="92">
        <f t="shared" ca="1" si="245"/>
        <v>6.25</v>
      </c>
      <c r="N7546" s="143">
        <f ca="1">(PRODUCT($O$5:$O7546)-1)*36000/_xlfn.DAYS(L7546, $C$2)</f>
        <v>14.132325414246276</v>
      </c>
      <c r="O7546" s="149">
        <f t="shared" ca="1" si="246"/>
        <v>1.000173611111111</v>
      </c>
    </row>
    <row r="7547" spans="12:15" x14ac:dyDescent="0.25">
      <c r="L7547" s="147">
        <f ca="1"/>
        <v>52786</v>
      </c>
      <c r="M7547" s="92">
        <f t="shared" ca="1" si="245"/>
        <v>6.25</v>
      </c>
      <c r="N7547" s="143">
        <f ca="1">(PRODUCT($O$5:$O7547)-1)*36000/_xlfn.DAYS(L7547, $C$2)</f>
        <v>14.133733632219897</v>
      </c>
      <c r="O7547" s="149">
        <f t="shared" ca="1" si="246"/>
        <v>1.000173611111111</v>
      </c>
    </row>
    <row r="7548" spans="12:15" x14ac:dyDescent="0.25">
      <c r="L7548" s="147">
        <f ca="1"/>
        <v>52787</v>
      </c>
      <c r="M7548" s="92">
        <f t="shared" ca="1" si="245"/>
        <v>6.25</v>
      </c>
      <c r="N7548" s="143">
        <f ca="1">(PRODUCT($O$5:$O7548)-1)*36000/_xlfn.DAYS(L7548, $C$2)</f>
        <v>14.135142046537984</v>
      </c>
      <c r="O7548" s="149">
        <f t="shared" ca="1" si="246"/>
        <v>1.000173611111111</v>
      </c>
    </row>
    <row r="7549" spans="12:15" x14ac:dyDescent="0.25">
      <c r="L7549" s="147">
        <f ca="1"/>
        <v>52788</v>
      </c>
      <c r="M7549" s="92">
        <f t="shared" ca="1" si="245"/>
        <v>6.25</v>
      </c>
      <c r="N7549" s="143">
        <f ca="1">(PRODUCT($O$5:$O7549)-1)*36000/_xlfn.DAYS(L7549, $C$2)</f>
        <v>14.13655065722136</v>
      </c>
      <c r="O7549" s="149">
        <f t="shared" ca="1" si="246"/>
        <v>1.000173611111111</v>
      </c>
    </row>
    <row r="7550" spans="12:15" x14ac:dyDescent="0.25">
      <c r="L7550" s="147">
        <f ca="1"/>
        <v>52789</v>
      </c>
      <c r="M7550" s="92">
        <f t="shared" ca="1" si="245"/>
        <v>6.25</v>
      </c>
      <c r="N7550" s="143">
        <f ca="1">(PRODUCT($O$5:$O7550)-1)*36000/_xlfn.DAYS(L7550, $C$2)</f>
        <v>14.137959464290851</v>
      </c>
      <c r="O7550" s="149">
        <f t="shared" ca="1" si="246"/>
        <v>1.000173611111111</v>
      </c>
    </row>
    <row r="7551" spans="12:15" x14ac:dyDescent="0.25">
      <c r="L7551" s="147">
        <f ca="1"/>
        <v>52790</v>
      </c>
      <c r="M7551" s="92">
        <f t="shared" ca="1" si="245"/>
        <v>6.25</v>
      </c>
      <c r="N7551" s="143">
        <f ca="1">(PRODUCT($O$5:$O7551)-1)*36000/_xlfn.DAYS(L7551, $C$2)</f>
        <v>14.139368467767287</v>
      </c>
      <c r="O7551" s="149">
        <f t="shared" ca="1" si="246"/>
        <v>1.000173611111111</v>
      </c>
    </row>
    <row r="7552" spans="12:15" x14ac:dyDescent="0.25">
      <c r="L7552" s="147">
        <f ca="1"/>
        <v>52791</v>
      </c>
      <c r="M7552" s="92">
        <f t="shared" ca="1" si="245"/>
        <v>6.25</v>
      </c>
      <c r="N7552" s="143">
        <f ca="1">(PRODUCT($O$5:$O7552)-1)*36000/_xlfn.DAYS(L7552, $C$2)</f>
        <v>14.140777667671507</v>
      </c>
      <c r="O7552" s="149">
        <f t="shared" ca="1" si="246"/>
        <v>1.000173611111111</v>
      </c>
    </row>
    <row r="7553" spans="12:15" x14ac:dyDescent="0.25">
      <c r="L7553" s="147">
        <f ca="1"/>
        <v>52792</v>
      </c>
      <c r="M7553" s="92">
        <f t="shared" ca="1" si="245"/>
        <v>6.25</v>
      </c>
      <c r="N7553" s="143">
        <f ca="1">(PRODUCT($O$5:$O7553)-1)*36000/_xlfn.DAYS(L7553, $C$2)</f>
        <v>14.142187064024359</v>
      </c>
      <c r="O7553" s="149">
        <f t="shared" ca="1" si="246"/>
        <v>1.000173611111111</v>
      </c>
    </row>
    <row r="7554" spans="12:15" x14ac:dyDescent="0.25">
      <c r="L7554" s="147">
        <f ca="1"/>
        <v>52793</v>
      </c>
      <c r="M7554" s="92">
        <f t="shared" ca="1" si="245"/>
        <v>6.25</v>
      </c>
      <c r="N7554" s="143">
        <f ca="1">(PRODUCT($O$5:$O7554)-1)*36000/_xlfn.DAYS(L7554, $C$2)</f>
        <v>14.143596656846686</v>
      </c>
      <c r="O7554" s="149">
        <f t="shared" ca="1" si="246"/>
        <v>1.000173611111111</v>
      </c>
    </row>
    <row r="7555" spans="12:15" x14ac:dyDescent="0.25">
      <c r="L7555" s="147">
        <f ca="1"/>
        <v>52794</v>
      </c>
      <c r="M7555" s="92">
        <f t="shared" ca="1" si="245"/>
        <v>6.25</v>
      </c>
      <c r="N7555" s="143">
        <f ca="1">(PRODUCT($O$5:$O7555)-1)*36000/_xlfn.DAYS(L7555, $C$2)</f>
        <v>14.145006446159353</v>
      </c>
      <c r="O7555" s="149">
        <f t="shared" ca="1" si="246"/>
        <v>1.000173611111111</v>
      </c>
    </row>
    <row r="7556" spans="12:15" x14ac:dyDescent="0.25">
      <c r="L7556" s="147">
        <f ca="1"/>
        <v>52795</v>
      </c>
      <c r="M7556" s="92">
        <f t="shared" ca="1" si="245"/>
        <v>6.25</v>
      </c>
      <c r="N7556" s="143">
        <f ca="1">(PRODUCT($O$5:$O7556)-1)*36000/_xlfn.DAYS(L7556, $C$2)</f>
        <v>14.146416431983219</v>
      </c>
      <c r="O7556" s="149">
        <f t="shared" ca="1" si="246"/>
        <v>1.000173611111111</v>
      </c>
    </row>
    <row r="7557" spans="12:15" x14ac:dyDescent="0.25">
      <c r="L7557" s="147">
        <f ca="1"/>
        <v>52796</v>
      </c>
      <c r="M7557" s="92">
        <f t="shared" ref="M7557:M7620" ca="1" si="247">IFERROR(INDEX($E$27:$H$47, MATCH(L7557, $F$27:$F$47, 0), 4), IF(ISNUMBER(M7556), M7556, $C$5))</f>
        <v>6.25</v>
      </c>
      <c r="N7557" s="143">
        <f ca="1">(PRODUCT($O$5:$O7557)-1)*36000/_xlfn.DAYS(L7557, $C$2)</f>
        <v>14.147826614339156</v>
      </c>
      <c r="O7557" s="149">
        <f t="shared" ca="1" si="246"/>
        <v>1.000173611111111</v>
      </c>
    </row>
    <row r="7558" spans="12:15" x14ac:dyDescent="0.25">
      <c r="L7558" s="147">
        <f ca="1"/>
        <v>52797</v>
      </c>
      <c r="M7558" s="92">
        <f t="shared" ca="1" si="247"/>
        <v>6.25</v>
      </c>
      <c r="N7558" s="143">
        <f ca="1">(PRODUCT($O$5:$O7558)-1)*36000/_xlfn.DAYS(L7558, $C$2)</f>
        <v>14.149236993248035</v>
      </c>
      <c r="O7558" s="149">
        <f t="shared" ref="O7558:O7621" ca="1" si="248">1+M7558*IFERROR(_xlfn.DAYS(L7558, L7557), _xlfn.DAYS(L7558, $C$2))/36000</f>
        <v>1.000173611111111</v>
      </c>
    </row>
    <row r="7559" spans="12:15" x14ac:dyDescent="0.25">
      <c r="L7559" s="147">
        <f ca="1"/>
        <v>52798</v>
      </c>
      <c r="M7559" s="92">
        <f t="shared" ca="1" si="247"/>
        <v>6.25</v>
      </c>
      <c r="N7559" s="143">
        <f ca="1">(PRODUCT($O$5:$O7559)-1)*36000/_xlfn.DAYS(L7559, $C$2)</f>
        <v>14.150647568730742</v>
      </c>
      <c r="O7559" s="149">
        <f t="shared" ca="1" si="248"/>
        <v>1.000173611111111</v>
      </c>
    </row>
    <row r="7560" spans="12:15" x14ac:dyDescent="0.25">
      <c r="L7560" s="147">
        <f ca="1"/>
        <v>52799</v>
      </c>
      <c r="M7560" s="92">
        <f t="shared" ca="1" si="247"/>
        <v>6.25</v>
      </c>
      <c r="N7560" s="143">
        <f ca="1">(PRODUCT($O$5:$O7560)-1)*36000/_xlfn.DAYS(L7560, $C$2)</f>
        <v>14.152058340808161</v>
      </c>
      <c r="O7560" s="149">
        <f t="shared" ca="1" si="248"/>
        <v>1.000173611111111</v>
      </c>
    </row>
    <row r="7561" spans="12:15" x14ac:dyDescent="0.25">
      <c r="L7561" s="147">
        <f ca="1"/>
        <v>52800</v>
      </c>
      <c r="M7561" s="92">
        <f t="shared" ca="1" si="247"/>
        <v>6.25</v>
      </c>
      <c r="N7561" s="143">
        <f ca="1">(PRODUCT($O$5:$O7561)-1)*36000/_xlfn.DAYS(L7561, $C$2)</f>
        <v>14.153469309501189</v>
      </c>
      <c r="O7561" s="149">
        <f t="shared" ca="1" si="248"/>
        <v>1.000173611111111</v>
      </c>
    </row>
    <row r="7562" spans="12:15" x14ac:dyDescent="0.25">
      <c r="L7562" s="147">
        <f ca="1"/>
        <v>52801</v>
      </c>
      <c r="M7562" s="92">
        <f t="shared" ca="1" si="247"/>
        <v>6.25</v>
      </c>
      <c r="N7562" s="143">
        <f ca="1">(PRODUCT($O$5:$O7562)-1)*36000/_xlfn.DAYS(L7562, $C$2)</f>
        <v>14.154880474830723</v>
      </c>
      <c r="O7562" s="149">
        <f t="shared" ca="1" si="248"/>
        <v>1.000173611111111</v>
      </c>
    </row>
    <row r="7563" spans="12:15" x14ac:dyDescent="0.25">
      <c r="L7563" s="147">
        <f ca="1"/>
        <v>52802</v>
      </c>
      <c r="M7563" s="92">
        <f t="shared" ca="1" si="247"/>
        <v>6.25</v>
      </c>
      <c r="N7563" s="143">
        <f ca="1">(PRODUCT($O$5:$O7563)-1)*36000/_xlfn.DAYS(L7563, $C$2)</f>
        <v>14.156291836817667</v>
      </c>
      <c r="O7563" s="149">
        <f t="shared" ca="1" si="248"/>
        <v>1.000173611111111</v>
      </c>
    </row>
    <row r="7564" spans="12:15" x14ac:dyDescent="0.25">
      <c r="L7564" s="147">
        <f ca="1"/>
        <v>52803</v>
      </c>
      <c r="M7564" s="92">
        <f t="shared" ca="1" si="247"/>
        <v>6.25</v>
      </c>
      <c r="N7564" s="143">
        <f ca="1">(PRODUCT($O$5:$O7564)-1)*36000/_xlfn.DAYS(L7564, $C$2)</f>
        <v>14.157703395482937</v>
      </c>
      <c r="O7564" s="149">
        <f t="shared" ca="1" si="248"/>
        <v>1.000173611111111</v>
      </c>
    </row>
    <row r="7565" spans="12:15" x14ac:dyDescent="0.25">
      <c r="L7565" s="147">
        <f ca="1"/>
        <v>52804</v>
      </c>
      <c r="M7565" s="92">
        <f t="shared" ca="1" si="247"/>
        <v>6.25</v>
      </c>
      <c r="N7565" s="143">
        <f ca="1">(PRODUCT($O$5:$O7565)-1)*36000/_xlfn.DAYS(L7565, $C$2)</f>
        <v>14.15911515084745</v>
      </c>
      <c r="O7565" s="149">
        <f t="shared" ca="1" si="248"/>
        <v>1.000173611111111</v>
      </c>
    </row>
    <row r="7566" spans="12:15" x14ac:dyDescent="0.25">
      <c r="L7566" s="147">
        <f ca="1"/>
        <v>52805</v>
      </c>
      <c r="M7566" s="92">
        <f t="shared" ca="1" si="247"/>
        <v>6.25</v>
      </c>
      <c r="N7566" s="143">
        <f ca="1">(PRODUCT($O$5:$O7566)-1)*36000/_xlfn.DAYS(L7566, $C$2)</f>
        <v>14.160527102932129</v>
      </c>
      <c r="O7566" s="149">
        <f t="shared" ca="1" si="248"/>
        <v>1.000173611111111</v>
      </c>
    </row>
    <row r="7567" spans="12:15" x14ac:dyDescent="0.25">
      <c r="L7567" s="147">
        <f ca="1"/>
        <v>52806</v>
      </c>
      <c r="M7567" s="92">
        <f t="shared" ca="1" si="247"/>
        <v>6.25</v>
      </c>
      <c r="N7567" s="143">
        <f ca="1">(PRODUCT($O$5:$O7567)-1)*36000/_xlfn.DAYS(L7567, $C$2)</f>
        <v>14.161939251757904</v>
      </c>
      <c r="O7567" s="149">
        <f t="shared" ca="1" si="248"/>
        <v>1.000173611111111</v>
      </c>
    </row>
    <row r="7568" spans="12:15" x14ac:dyDescent="0.25">
      <c r="L7568" s="147">
        <f ca="1"/>
        <v>52807</v>
      </c>
      <c r="M7568" s="92">
        <f t="shared" ca="1" si="247"/>
        <v>6.25</v>
      </c>
      <c r="N7568" s="143">
        <f ca="1">(PRODUCT($O$5:$O7568)-1)*36000/_xlfn.DAYS(L7568, $C$2)</f>
        <v>14.163351597345713</v>
      </c>
      <c r="O7568" s="149">
        <f t="shared" ca="1" si="248"/>
        <v>1.000173611111111</v>
      </c>
    </row>
    <row r="7569" spans="12:15" x14ac:dyDescent="0.25">
      <c r="L7569" s="147">
        <f ca="1"/>
        <v>52808</v>
      </c>
      <c r="M7569" s="92">
        <f t="shared" ca="1" si="247"/>
        <v>6.25</v>
      </c>
      <c r="N7569" s="143">
        <f ca="1">(PRODUCT($O$5:$O7569)-1)*36000/_xlfn.DAYS(L7569, $C$2)</f>
        <v>14.1647641397165</v>
      </c>
      <c r="O7569" s="149">
        <f t="shared" ca="1" si="248"/>
        <v>1.000173611111111</v>
      </c>
    </row>
    <row r="7570" spans="12:15" x14ac:dyDescent="0.25">
      <c r="L7570" s="147">
        <f ca="1"/>
        <v>52809</v>
      </c>
      <c r="M7570" s="92">
        <f t="shared" ca="1" si="247"/>
        <v>6.25</v>
      </c>
      <c r="N7570" s="143">
        <f ca="1">(PRODUCT($O$5:$O7570)-1)*36000/_xlfn.DAYS(L7570, $C$2)</f>
        <v>14.166176878891211</v>
      </c>
      <c r="O7570" s="149">
        <f t="shared" ca="1" si="248"/>
        <v>1.000173611111111</v>
      </c>
    </row>
    <row r="7571" spans="12:15" x14ac:dyDescent="0.25">
      <c r="L7571" s="147">
        <f ca="1"/>
        <v>52810</v>
      </c>
      <c r="M7571" s="92">
        <f t="shared" ca="1" si="247"/>
        <v>6.25</v>
      </c>
      <c r="N7571" s="143">
        <f ca="1">(PRODUCT($O$5:$O7571)-1)*36000/_xlfn.DAYS(L7571, $C$2)</f>
        <v>14.1675898148908</v>
      </c>
      <c r="O7571" s="149">
        <f t="shared" ca="1" si="248"/>
        <v>1.000173611111111</v>
      </c>
    </row>
    <row r="7572" spans="12:15" x14ac:dyDescent="0.25">
      <c r="L7572" s="147">
        <f ca="1"/>
        <v>52811</v>
      </c>
      <c r="M7572" s="92">
        <f t="shared" ca="1" si="247"/>
        <v>6.25</v>
      </c>
      <c r="N7572" s="143">
        <f ca="1">(PRODUCT($O$5:$O7572)-1)*36000/_xlfn.DAYS(L7572, $C$2)</f>
        <v>14.169002947736228</v>
      </c>
      <c r="O7572" s="149">
        <f t="shared" ca="1" si="248"/>
        <v>1.000173611111111</v>
      </c>
    </row>
    <row r="7573" spans="12:15" x14ac:dyDescent="0.25">
      <c r="L7573" s="147">
        <f ca="1"/>
        <v>52812</v>
      </c>
      <c r="M7573" s="92">
        <f t="shared" ca="1" si="247"/>
        <v>6.25</v>
      </c>
      <c r="N7573" s="143">
        <f ca="1">(PRODUCT($O$5:$O7573)-1)*36000/_xlfn.DAYS(L7573, $C$2)</f>
        <v>14.170416277448464</v>
      </c>
      <c r="O7573" s="149">
        <f t="shared" ca="1" si="248"/>
        <v>1.000173611111111</v>
      </c>
    </row>
    <row r="7574" spans="12:15" x14ac:dyDescent="0.25">
      <c r="L7574" s="147">
        <f ca="1"/>
        <v>52813</v>
      </c>
      <c r="M7574" s="92">
        <f t="shared" ca="1" si="247"/>
        <v>6.25</v>
      </c>
      <c r="N7574" s="143">
        <f ca="1">(PRODUCT($O$5:$O7574)-1)*36000/_xlfn.DAYS(L7574, $C$2)</f>
        <v>14.171829804048482</v>
      </c>
      <c r="O7574" s="149">
        <f t="shared" ca="1" si="248"/>
        <v>1.000173611111111</v>
      </c>
    </row>
    <row r="7575" spans="12:15" x14ac:dyDescent="0.25">
      <c r="L7575" s="147">
        <f ca="1"/>
        <v>52814</v>
      </c>
      <c r="M7575" s="92">
        <f t="shared" ca="1" si="247"/>
        <v>6.25</v>
      </c>
      <c r="N7575" s="143">
        <f ca="1">(PRODUCT($O$5:$O7575)-1)*36000/_xlfn.DAYS(L7575, $C$2)</f>
        <v>14.173243527557256</v>
      </c>
      <c r="O7575" s="149">
        <f t="shared" ca="1" si="248"/>
        <v>1.000173611111111</v>
      </c>
    </row>
    <row r="7576" spans="12:15" x14ac:dyDescent="0.25">
      <c r="L7576" s="147">
        <f ca="1"/>
        <v>52815</v>
      </c>
      <c r="M7576" s="92">
        <f t="shared" ca="1" si="247"/>
        <v>6.25</v>
      </c>
      <c r="N7576" s="143">
        <f ca="1">(PRODUCT($O$5:$O7576)-1)*36000/_xlfn.DAYS(L7576, $C$2)</f>
        <v>14.174657447995775</v>
      </c>
      <c r="O7576" s="149">
        <f t="shared" ca="1" si="248"/>
        <v>1.000173611111111</v>
      </c>
    </row>
    <row r="7577" spans="12:15" x14ac:dyDescent="0.25">
      <c r="L7577" s="147">
        <f ca="1"/>
        <v>52816</v>
      </c>
      <c r="M7577" s="92">
        <f t="shared" ca="1" si="247"/>
        <v>6.25</v>
      </c>
      <c r="N7577" s="143">
        <f ca="1">(PRODUCT($O$5:$O7577)-1)*36000/_xlfn.DAYS(L7577, $C$2)</f>
        <v>14.176071565385032</v>
      </c>
      <c r="O7577" s="149">
        <f t="shared" ca="1" si="248"/>
        <v>1.000173611111111</v>
      </c>
    </row>
    <row r="7578" spans="12:15" x14ac:dyDescent="0.25">
      <c r="L7578" s="147">
        <f ca="1"/>
        <v>52817</v>
      </c>
      <c r="M7578" s="92">
        <f t="shared" ca="1" si="247"/>
        <v>6.25</v>
      </c>
      <c r="N7578" s="143">
        <f ca="1">(PRODUCT($O$5:$O7578)-1)*36000/_xlfn.DAYS(L7578, $C$2)</f>
        <v>14.177485879746021</v>
      </c>
      <c r="O7578" s="149">
        <f t="shared" ca="1" si="248"/>
        <v>1.000173611111111</v>
      </c>
    </row>
    <row r="7579" spans="12:15" x14ac:dyDescent="0.25">
      <c r="L7579" s="147">
        <f ca="1"/>
        <v>52818</v>
      </c>
      <c r="M7579" s="92">
        <f t="shared" ca="1" si="247"/>
        <v>6.25</v>
      </c>
      <c r="N7579" s="143">
        <f ca="1">(PRODUCT($O$5:$O7579)-1)*36000/_xlfn.DAYS(L7579, $C$2)</f>
        <v>14.178900391099749</v>
      </c>
      <c r="O7579" s="149">
        <f t="shared" ca="1" si="248"/>
        <v>1.000173611111111</v>
      </c>
    </row>
    <row r="7580" spans="12:15" x14ac:dyDescent="0.25">
      <c r="L7580" s="147">
        <f ca="1"/>
        <v>52819</v>
      </c>
      <c r="M7580" s="92">
        <f t="shared" ca="1" si="247"/>
        <v>6.25</v>
      </c>
      <c r="N7580" s="143">
        <f ca="1">(PRODUCT($O$5:$O7580)-1)*36000/_xlfn.DAYS(L7580, $C$2)</f>
        <v>14.180315099467222</v>
      </c>
      <c r="O7580" s="149">
        <f t="shared" ca="1" si="248"/>
        <v>1.000173611111111</v>
      </c>
    </row>
    <row r="7581" spans="12:15" x14ac:dyDescent="0.25">
      <c r="L7581" s="147">
        <f ca="1"/>
        <v>52820</v>
      </c>
      <c r="M7581" s="92">
        <f t="shared" ca="1" si="247"/>
        <v>6.25</v>
      </c>
      <c r="N7581" s="143">
        <f ca="1">(PRODUCT($O$5:$O7581)-1)*36000/_xlfn.DAYS(L7581, $C$2)</f>
        <v>14.181730004869458</v>
      </c>
      <c r="O7581" s="149">
        <f t="shared" ca="1" si="248"/>
        <v>1.000173611111111</v>
      </c>
    </row>
    <row r="7582" spans="12:15" x14ac:dyDescent="0.25">
      <c r="L7582" s="147">
        <f ca="1"/>
        <v>52821</v>
      </c>
      <c r="M7582" s="92">
        <f t="shared" ca="1" si="247"/>
        <v>6.25</v>
      </c>
      <c r="N7582" s="143">
        <f ca="1">(PRODUCT($O$5:$O7582)-1)*36000/_xlfn.DAYS(L7582, $C$2)</f>
        <v>14.183145107327478</v>
      </c>
      <c r="O7582" s="149">
        <f t="shared" ca="1" si="248"/>
        <v>1.000173611111111</v>
      </c>
    </row>
    <row r="7583" spans="12:15" x14ac:dyDescent="0.25">
      <c r="L7583" s="147">
        <f ca="1"/>
        <v>52822</v>
      </c>
      <c r="M7583" s="92">
        <f t="shared" ca="1" si="247"/>
        <v>6.25</v>
      </c>
      <c r="N7583" s="143">
        <f ca="1">(PRODUCT($O$5:$O7583)-1)*36000/_xlfn.DAYS(L7583, $C$2)</f>
        <v>14.18456040686231</v>
      </c>
      <c r="O7583" s="149">
        <f t="shared" ca="1" si="248"/>
        <v>1.000173611111111</v>
      </c>
    </row>
    <row r="7584" spans="12:15" x14ac:dyDescent="0.25">
      <c r="L7584" s="147">
        <f ca="1"/>
        <v>52823</v>
      </c>
      <c r="M7584" s="92">
        <f t="shared" ca="1" si="247"/>
        <v>6.25</v>
      </c>
      <c r="N7584" s="143">
        <f ca="1">(PRODUCT($O$5:$O7584)-1)*36000/_xlfn.DAYS(L7584, $C$2)</f>
        <v>14.185975903494986</v>
      </c>
      <c r="O7584" s="149">
        <f t="shared" ca="1" si="248"/>
        <v>1.000173611111111</v>
      </c>
    </row>
    <row r="7585" spans="12:15" x14ac:dyDescent="0.25">
      <c r="L7585" s="147">
        <f ca="1"/>
        <v>52824</v>
      </c>
      <c r="M7585" s="92">
        <f t="shared" ca="1" si="247"/>
        <v>6.25</v>
      </c>
      <c r="N7585" s="143">
        <f ca="1">(PRODUCT($O$5:$O7585)-1)*36000/_xlfn.DAYS(L7585, $C$2)</f>
        <v>14.187391597246551</v>
      </c>
      <c r="O7585" s="149">
        <f t="shared" ca="1" si="248"/>
        <v>1.000173611111111</v>
      </c>
    </row>
    <row r="7586" spans="12:15" x14ac:dyDescent="0.25">
      <c r="L7586" s="147">
        <f ca="1"/>
        <v>52825</v>
      </c>
      <c r="M7586" s="92">
        <f t="shared" ca="1" si="247"/>
        <v>6.25</v>
      </c>
      <c r="N7586" s="143">
        <f ca="1">(PRODUCT($O$5:$O7586)-1)*36000/_xlfn.DAYS(L7586, $C$2)</f>
        <v>14.188807488138048</v>
      </c>
      <c r="O7586" s="149">
        <f t="shared" ca="1" si="248"/>
        <v>1.000173611111111</v>
      </c>
    </row>
    <row r="7587" spans="12:15" x14ac:dyDescent="0.25">
      <c r="L7587" s="147">
        <f ca="1"/>
        <v>52826</v>
      </c>
      <c r="M7587" s="92">
        <f t="shared" ca="1" si="247"/>
        <v>6.25</v>
      </c>
      <c r="N7587" s="143">
        <f ca="1">(PRODUCT($O$5:$O7587)-1)*36000/_xlfn.DAYS(L7587, $C$2)</f>
        <v>14.190223576190528</v>
      </c>
      <c r="O7587" s="149">
        <f t="shared" ca="1" si="248"/>
        <v>1.000173611111111</v>
      </c>
    </row>
    <row r="7588" spans="12:15" x14ac:dyDescent="0.25">
      <c r="L7588" s="147">
        <f ca="1"/>
        <v>52827</v>
      </c>
      <c r="M7588" s="92">
        <f t="shared" ca="1" si="247"/>
        <v>6.25</v>
      </c>
      <c r="N7588" s="143">
        <f ca="1">(PRODUCT($O$5:$O7588)-1)*36000/_xlfn.DAYS(L7588, $C$2)</f>
        <v>14.191639861425053</v>
      </c>
      <c r="O7588" s="149">
        <f t="shared" ca="1" si="248"/>
        <v>1.000173611111111</v>
      </c>
    </row>
    <row r="7589" spans="12:15" x14ac:dyDescent="0.25">
      <c r="L7589" s="147">
        <f ca="1"/>
        <v>52828</v>
      </c>
      <c r="M7589" s="92">
        <f t="shared" ca="1" si="247"/>
        <v>6.25</v>
      </c>
      <c r="N7589" s="143">
        <f ca="1">(PRODUCT($O$5:$O7589)-1)*36000/_xlfn.DAYS(L7589, $C$2)</f>
        <v>14.193056343862684</v>
      </c>
      <c r="O7589" s="149">
        <f t="shared" ca="1" si="248"/>
        <v>1.000173611111111</v>
      </c>
    </row>
    <row r="7590" spans="12:15" x14ac:dyDescent="0.25">
      <c r="L7590" s="147">
        <f ca="1"/>
        <v>52829</v>
      </c>
      <c r="M7590" s="92">
        <f t="shared" ca="1" si="247"/>
        <v>6.25</v>
      </c>
      <c r="N7590" s="143">
        <f ca="1">(PRODUCT($O$5:$O7590)-1)*36000/_xlfn.DAYS(L7590, $C$2)</f>
        <v>14.194473023524493</v>
      </c>
      <c r="O7590" s="149">
        <f t="shared" ca="1" si="248"/>
        <v>1.000173611111111</v>
      </c>
    </row>
    <row r="7591" spans="12:15" x14ac:dyDescent="0.25">
      <c r="L7591" s="147">
        <f ca="1"/>
        <v>52830</v>
      </c>
      <c r="M7591" s="92">
        <f t="shared" ca="1" si="247"/>
        <v>6.25</v>
      </c>
      <c r="N7591" s="143">
        <f ca="1">(PRODUCT($O$5:$O7591)-1)*36000/_xlfn.DAYS(L7591, $C$2)</f>
        <v>14.195889900431558</v>
      </c>
      <c r="O7591" s="149">
        <f t="shared" ca="1" si="248"/>
        <v>1.000173611111111</v>
      </c>
    </row>
    <row r="7592" spans="12:15" x14ac:dyDescent="0.25">
      <c r="L7592" s="147">
        <f ca="1"/>
        <v>52831</v>
      </c>
      <c r="M7592" s="92">
        <f t="shared" ca="1" si="247"/>
        <v>6.25</v>
      </c>
      <c r="N7592" s="143">
        <f ca="1">(PRODUCT($O$5:$O7592)-1)*36000/_xlfn.DAYS(L7592, $C$2)</f>
        <v>14.197306974604961</v>
      </c>
      <c r="O7592" s="149">
        <f t="shared" ca="1" si="248"/>
        <v>1.000173611111111</v>
      </c>
    </row>
    <row r="7593" spans="12:15" x14ac:dyDescent="0.25">
      <c r="L7593" s="147">
        <f ca="1"/>
        <v>52832</v>
      </c>
      <c r="M7593" s="92">
        <f t="shared" ca="1" si="247"/>
        <v>6.25</v>
      </c>
      <c r="N7593" s="143">
        <f ca="1">(PRODUCT($O$5:$O7593)-1)*36000/_xlfn.DAYS(L7593, $C$2)</f>
        <v>14.198724246065789</v>
      </c>
      <c r="O7593" s="149">
        <f t="shared" ca="1" si="248"/>
        <v>1.000173611111111</v>
      </c>
    </row>
    <row r="7594" spans="12:15" x14ac:dyDescent="0.25">
      <c r="L7594" s="147">
        <f ca="1"/>
        <v>52833</v>
      </c>
      <c r="M7594" s="92">
        <f t="shared" ca="1" si="247"/>
        <v>6.25</v>
      </c>
      <c r="N7594" s="143">
        <f ca="1">(PRODUCT($O$5:$O7594)-1)*36000/_xlfn.DAYS(L7594, $C$2)</f>
        <v>14.200141714835141</v>
      </c>
      <c r="O7594" s="149">
        <f t="shared" ca="1" si="248"/>
        <v>1.000173611111111</v>
      </c>
    </row>
    <row r="7595" spans="12:15" x14ac:dyDescent="0.25">
      <c r="L7595" s="147">
        <f ca="1"/>
        <v>52834</v>
      </c>
      <c r="M7595" s="92">
        <f t="shared" ca="1" si="247"/>
        <v>6.25</v>
      </c>
      <c r="N7595" s="143">
        <f ca="1">(PRODUCT($O$5:$O7595)-1)*36000/_xlfn.DAYS(L7595, $C$2)</f>
        <v>14.201559380934116</v>
      </c>
      <c r="O7595" s="149">
        <f t="shared" ca="1" si="248"/>
        <v>1.000173611111111</v>
      </c>
    </row>
    <row r="7596" spans="12:15" x14ac:dyDescent="0.25">
      <c r="L7596" s="147">
        <f ca="1"/>
        <v>52835</v>
      </c>
      <c r="M7596" s="92">
        <f t="shared" ca="1" si="247"/>
        <v>6.25</v>
      </c>
      <c r="N7596" s="143">
        <f ca="1">(PRODUCT($O$5:$O7596)-1)*36000/_xlfn.DAYS(L7596, $C$2)</f>
        <v>14.202977244383819</v>
      </c>
      <c r="O7596" s="149">
        <f t="shared" ca="1" si="248"/>
        <v>1.000173611111111</v>
      </c>
    </row>
    <row r="7597" spans="12:15" x14ac:dyDescent="0.25">
      <c r="L7597" s="147">
        <f ca="1"/>
        <v>52836</v>
      </c>
      <c r="M7597" s="92">
        <f t="shared" ca="1" si="247"/>
        <v>6.25</v>
      </c>
      <c r="N7597" s="143">
        <f ca="1">(PRODUCT($O$5:$O7597)-1)*36000/_xlfn.DAYS(L7597, $C$2)</f>
        <v>14.204395305205361</v>
      </c>
      <c r="O7597" s="149">
        <f t="shared" ca="1" si="248"/>
        <v>1.000173611111111</v>
      </c>
    </row>
    <row r="7598" spans="12:15" x14ac:dyDescent="0.25">
      <c r="L7598" s="147">
        <f ca="1"/>
        <v>52837</v>
      </c>
      <c r="M7598" s="92">
        <f t="shared" ca="1" si="247"/>
        <v>6.25</v>
      </c>
      <c r="N7598" s="143">
        <f ca="1">(PRODUCT($O$5:$O7598)-1)*36000/_xlfn.DAYS(L7598, $C$2)</f>
        <v>14.20581356341987</v>
      </c>
      <c r="O7598" s="149">
        <f t="shared" ca="1" si="248"/>
        <v>1.000173611111111</v>
      </c>
    </row>
    <row r="7599" spans="12:15" x14ac:dyDescent="0.25">
      <c r="L7599" s="147">
        <f ca="1"/>
        <v>52838</v>
      </c>
      <c r="M7599" s="92">
        <f t="shared" ca="1" si="247"/>
        <v>6.25</v>
      </c>
      <c r="N7599" s="143">
        <f ca="1">(PRODUCT($O$5:$O7599)-1)*36000/_xlfn.DAYS(L7599, $C$2)</f>
        <v>14.207232019048464</v>
      </c>
      <c r="O7599" s="149">
        <f t="shared" ca="1" si="248"/>
        <v>1.000173611111111</v>
      </c>
    </row>
    <row r="7600" spans="12:15" x14ac:dyDescent="0.25">
      <c r="L7600" s="147">
        <f ca="1"/>
        <v>52839</v>
      </c>
      <c r="M7600" s="92">
        <f t="shared" ca="1" si="247"/>
        <v>6.25</v>
      </c>
      <c r="N7600" s="143">
        <f ca="1">(PRODUCT($O$5:$O7600)-1)*36000/_xlfn.DAYS(L7600, $C$2)</f>
        <v>14.208650672112277</v>
      </c>
      <c r="O7600" s="149">
        <f t="shared" ca="1" si="248"/>
        <v>1.000173611111111</v>
      </c>
    </row>
    <row r="7601" spans="12:15" x14ac:dyDescent="0.25">
      <c r="L7601" s="147">
        <f ca="1"/>
        <v>52840</v>
      </c>
      <c r="M7601" s="92">
        <f t="shared" ca="1" si="247"/>
        <v>6.25</v>
      </c>
      <c r="N7601" s="143">
        <f ca="1">(PRODUCT($O$5:$O7601)-1)*36000/_xlfn.DAYS(L7601, $C$2)</f>
        <v>14.210069522632445</v>
      </c>
      <c r="O7601" s="149">
        <f t="shared" ca="1" si="248"/>
        <v>1.000173611111111</v>
      </c>
    </row>
    <row r="7602" spans="12:15" x14ac:dyDescent="0.25">
      <c r="L7602" s="147">
        <f ca="1"/>
        <v>52841</v>
      </c>
      <c r="M7602" s="92">
        <f t="shared" ca="1" si="247"/>
        <v>6.25</v>
      </c>
      <c r="N7602" s="143">
        <f ca="1">(PRODUCT($O$5:$O7602)-1)*36000/_xlfn.DAYS(L7602, $C$2)</f>
        <v>14.211488570630115</v>
      </c>
      <c r="O7602" s="149">
        <f t="shared" ca="1" si="248"/>
        <v>1.000173611111111</v>
      </c>
    </row>
    <row r="7603" spans="12:15" x14ac:dyDescent="0.25">
      <c r="L7603" s="147">
        <f ca="1"/>
        <v>52842</v>
      </c>
      <c r="M7603" s="92">
        <f t="shared" ca="1" si="247"/>
        <v>6.25</v>
      </c>
      <c r="N7603" s="143">
        <f ca="1">(PRODUCT($O$5:$O7603)-1)*36000/_xlfn.DAYS(L7603, $C$2)</f>
        <v>14.212907816126432</v>
      </c>
      <c r="O7603" s="149">
        <f t="shared" ca="1" si="248"/>
        <v>1.000173611111111</v>
      </c>
    </row>
    <row r="7604" spans="12:15" x14ac:dyDescent="0.25">
      <c r="L7604" s="147">
        <f ca="1"/>
        <v>52843</v>
      </c>
      <c r="M7604" s="92">
        <f t="shared" ca="1" si="247"/>
        <v>6.25</v>
      </c>
      <c r="N7604" s="143">
        <f ca="1">(PRODUCT($O$5:$O7604)-1)*36000/_xlfn.DAYS(L7604, $C$2)</f>
        <v>14.214327259142554</v>
      </c>
      <c r="O7604" s="149">
        <f t="shared" ca="1" si="248"/>
        <v>1.000173611111111</v>
      </c>
    </row>
    <row r="7605" spans="12:15" x14ac:dyDescent="0.25">
      <c r="L7605" s="147">
        <f ca="1"/>
        <v>52844</v>
      </c>
      <c r="M7605" s="92">
        <f t="shared" ca="1" si="247"/>
        <v>6.25</v>
      </c>
      <c r="N7605" s="143">
        <f ca="1">(PRODUCT($O$5:$O7605)-1)*36000/_xlfn.DAYS(L7605, $C$2)</f>
        <v>14.215746899699642</v>
      </c>
      <c r="O7605" s="149">
        <f t="shared" ca="1" si="248"/>
        <v>1.000173611111111</v>
      </c>
    </row>
    <row r="7606" spans="12:15" x14ac:dyDescent="0.25">
      <c r="L7606" s="147">
        <f ca="1"/>
        <v>52845</v>
      </c>
      <c r="M7606" s="92">
        <f t="shared" ca="1" si="247"/>
        <v>6.25</v>
      </c>
      <c r="N7606" s="143">
        <f ca="1">(PRODUCT($O$5:$O7606)-1)*36000/_xlfn.DAYS(L7606, $C$2)</f>
        <v>14.217166737818866</v>
      </c>
      <c r="O7606" s="149">
        <f t="shared" ca="1" si="248"/>
        <v>1.000173611111111</v>
      </c>
    </row>
    <row r="7607" spans="12:15" x14ac:dyDescent="0.25">
      <c r="L7607" s="147">
        <f ca="1"/>
        <v>52846</v>
      </c>
      <c r="M7607" s="92">
        <f t="shared" ca="1" si="247"/>
        <v>6.25</v>
      </c>
      <c r="N7607" s="143">
        <f ca="1">(PRODUCT($O$5:$O7607)-1)*36000/_xlfn.DAYS(L7607, $C$2)</f>
        <v>14.2185867735214</v>
      </c>
      <c r="O7607" s="149">
        <f t="shared" ca="1" si="248"/>
        <v>1.000173611111111</v>
      </c>
    </row>
    <row r="7608" spans="12:15" x14ac:dyDescent="0.25">
      <c r="L7608" s="147">
        <f ca="1"/>
        <v>52847</v>
      </c>
      <c r="M7608" s="92">
        <f t="shared" ca="1" si="247"/>
        <v>6.25</v>
      </c>
      <c r="N7608" s="143">
        <f ca="1">(PRODUCT($O$5:$O7608)-1)*36000/_xlfn.DAYS(L7608, $C$2)</f>
        <v>14.220007006828421</v>
      </c>
      <c r="O7608" s="149">
        <f t="shared" ca="1" si="248"/>
        <v>1.000173611111111</v>
      </c>
    </row>
    <row r="7609" spans="12:15" x14ac:dyDescent="0.25">
      <c r="L7609" s="147">
        <f ca="1"/>
        <v>52848</v>
      </c>
      <c r="M7609" s="92">
        <f t="shared" ca="1" si="247"/>
        <v>6.25</v>
      </c>
      <c r="N7609" s="143">
        <f ca="1">(PRODUCT($O$5:$O7609)-1)*36000/_xlfn.DAYS(L7609, $C$2)</f>
        <v>14.221427437761113</v>
      </c>
      <c r="O7609" s="149">
        <f t="shared" ca="1" si="248"/>
        <v>1.000173611111111</v>
      </c>
    </row>
    <row r="7610" spans="12:15" x14ac:dyDescent="0.25">
      <c r="L7610" s="147">
        <f ca="1"/>
        <v>52849</v>
      </c>
      <c r="M7610" s="92">
        <f t="shared" ca="1" si="247"/>
        <v>6.25</v>
      </c>
      <c r="N7610" s="143">
        <f ca="1">(PRODUCT($O$5:$O7610)-1)*36000/_xlfn.DAYS(L7610, $C$2)</f>
        <v>14.222848066340672</v>
      </c>
      <c r="O7610" s="149">
        <f t="shared" ca="1" si="248"/>
        <v>1.000173611111111</v>
      </c>
    </row>
    <row r="7611" spans="12:15" x14ac:dyDescent="0.25">
      <c r="L7611" s="147">
        <f ca="1"/>
        <v>52850</v>
      </c>
      <c r="M7611" s="92">
        <f t="shared" ca="1" si="247"/>
        <v>6.25</v>
      </c>
      <c r="N7611" s="143">
        <f ca="1">(PRODUCT($O$5:$O7611)-1)*36000/_xlfn.DAYS(L7611, $C$2)</f>
        <v>14.224268892588299</v>
      </c>
      <c r="O7611" s="149">
        <f t="shared" ca="1" si="248"/>
        <v>1.000173611111111</v>
      </c>
    </row>
    <row r="7612" spans="12:15" x14ac:dyDescent="0.25">
      <c r="L7612" s="147">
        <f ca="1"/>
        <v>52851</v>
      </c>
      <c r="M7612" s="92">
        <f t="shared" ca="1" si="247"/>
        <v>6.25</v>
      </c>
      <c r="N7612" s="143">
        <f ca="1">(PRODUCT($O$5:$O7612)-1)*36000/_xlfn.DAYS(L7612, $C$2)</f>
        <v>14.225689916525193</v>
      </c>
      <c r="O7612" s="149">
        <f t="shared" ca="1" si="248"/>
        <v>1.000173611111111</v>
      </c>
    </row>
    <row r="7613" spans="12:15" x14ac:dyDescent="0.25">
      <c r="L7613" s="147">
        <f ca="1"/>
        <v>52852</v>
      </c>
      <c r="M7613" s="92">
        <f t="shared" ca="1" si="247"/>
        <v>6.25</v>
      </c>
      <c r="N7613" s="143">
        <f ca="1">(PRODUCT($O$5:$O7613)-1)*36000/_xlfn.DAYS(L7613, $C$2)</f>
        <v>14.227111138172566</v>
      </c>
      <c r="O7613" s="149">
        <f t="shared" ca="1" si="248"/>
        <v>1.000173611111111</v>
      </c>
    </row>
    <row r="7614" spans="12:15" x14ac:dyDescent="0.25">
      <c r="L7614" s="147">
        <f ca="1"/>
        <v>52853</v>
      </c>
      <c r="M7614" s="92">
        <f t="shared" ca="1" si="247"/>
        <v>6.25</v>
      </c>
      <c r="N7614" s="143">
        <f ca="1">(PRODUCT($O$5:$O7614)-1)*36000/_xlfn.DAYS(L7614, $C$2)</f>
        <v>14.228532557551638</v>
      </c>
      <c r="O7614" s="149">
        <f t="shared" ca="1" si="248"/>
        <v>1.000173611111111</v>
      </c>
    </row>
    <row r="7615" spans="12:15" x14ac:dyDescent="0.25">
      <c r="L7615" s="147">
        <f ca="1"/>
        <v>52854</v>
      </c>
      <c r="M7615" s="92">
        <f t="shared" ca="1" si="247"/>
        <v>6.25</v>
      </c>
      <c r="N7615" s="143">
        <f ca="1">(PRODUCT($O$5:$O7615)-1)*36000/_xlfn.DAYS(L7615, $C$2)</f>
        <v>14.229954174683629</v>
      </c>
      <c r="O7615" s="149">
        <f t="shared" ca="1" si="248"/>
        <v>1.000173611111111</v>
      </c>
    </row>
    <row r="7616" spans="12:15" x14ac:dyDescent="0.25">
      <c r="L7616" s="147">
        <f ca="1"/>
        <v>52855</v>
      </c>
      <c r="M7616" s="92">
        <f t="shared" ca="1" si="247"/>
        <v>6.25</v>
      </c>
      <c r="N7616" s="143">
        <f ca="1">(PRODUCT($O$5:$O7616)-1)*36000/_xlfn.DAYS(L7616, $C$2)</f>
        <v>14.231375989589761</v>
      </c>
      <c r="O7616" s="149">
        <f t="shared" ca="1" si="248"/>
        <v>1.000173611111111</v>
      </c>
    </row>
    <row r="7617" spans="12:15" x14ac:dyDescent="0.25">
      <c r="L7617" s="147">
        <f ca="1"/>
        <v>52856</v>
      </c>
      <c r="M7617" s="92">
        <f t="shared" ca="1" si="247"/>
        <v>6.25</v>
      </c>
      <c r="N7617" s="143">
        <f ca="1">(PRODUCT($O$5:$O7617)-1)*36000/_xlfn.DAYS(L7617, $C$2)</f>
        <v>14.232798002291275</v>
      </c>
      <c r="O7617" s="149">
        <f t="shared" ca="1" si="248"/>
        <v>1.000173611111111</v>
      </c>
    </row>
    <row r="7618" spans="12:15" x14ac:dyDescent="0.25">
      <c r="L7618" s="147">
        <f ca="1"/>
        <v>52857</v>
      </c>
      <c r="M7618" s="92">
        <f t="shared" ca="1" si="247"/>
        <v>6.25</v>
      </c>
      <c r="N7618" s="143">
        <f ca="1">(PRODUCT($O$5:$O7618)-1)*36000/_xlfn.DAYS(L7618, $C$2)</f>
        <v>14.234220212809413</v>
      </c>
      <c r="O7618" s="149">
        <f t="shared" ca="1" si="248"/>
        <v>1.000173611111111</v>
      </c>
    </row>
    <row r="7619" spans="12:15" x14ac:dyDescent="0.25">
      <c r="L7619" s="147">
        <f ca="1"/>
        <v>52858</v>
      </c>
      <c r="M7619" s="92">
        <f t="shared" ca="1" si="247"/>
        <v>6.25</v>
      </c>
      <c r="N7619" s="143">
        <f ca="1">(PRODUCT($O$5:$O7619)-1)*36000/_xlfn.DAYS(L7619, $C$2)</f>
        <v>14.23564262116542</v>
      </c>
      <c r="O7619" s="149">
        <f t="shared" ca="1" si="248"/>
        <v>1.000173611111111</v>
      </c>
    </row>
    <row r="7620" spans="12:15" x14ac:dyDescent="0.25">
      <c r="L7620" s="147">
        <f ca="1"/>
        <v>52859</v>
      </c>
      <c r="M7620" s="92">
        <f t="shared" ca="1" si="247"/>
        <v>6.25</v>
      </c>
      <c r="N7620" s="143">
        <f ca="1">(PRODUCT($O$5:$O7620)-1)*36000/_xlfn.DAYS(L7620, $C$2)</f>
        <v>14.237065227380546</v>
      </c>
      <c r="O7620" s="149">
        <f t="shared" ca="1" si="248"/>
        <v>1.000173611111111</v>
      </c>
    </row>
    <row r="7621" spans="12:15" x14ac:dyDescent="0.25">
      <c r="L7621" s="147">
        <f ca="1"/>
        <v>52860</v>
      </c>
      <c r="M7621" s="92">
        <f t="shared" ref="M7621:M7684" ca="1" si="249">IFERROR(INDEX($E$27:$H$47, MATCH(L7621, $F$27:$F$47, 0), 4), IF(ISNUMBER(M7620), M7620, $C$5))</f>
        <v>6.25</v>
      </c>
      <c r="N7621" s="143">
        <f ca="1">(PRODUCT($O$5:$O7621)-1)*36000/_xlfn.DAYS(L7621, $C$2)</f>
        <v>14.238488031476052</v>
      </c>
      <c r="O7621" s="149">
        <f t="shared" ca="1" si="248"/>
        <v>1.000173611111111</v>
      </c>
    </row>
    <row r="7622" spans="12:15" x14ac:dyDescent="0.25">
      <c r="L7622" s="147">
        <f ca="1"/>
        <v>52861</v>
      </c>
      <c r="M7622" s="92">
        <f t="shared" ca="1" si="249"/>
        <v>6.25</v>
      </c>
      <c r="N7622" s="143">
        <f ca="1">(PRODUCT($O$5:$O7622)-1)*36000/_xlfn.DAYS(L7622, $C$2)</f>
        <v>14.239911033473204</v>
      </c>
      <c r="O7622" s="149">
        <f t="shared" ref="O7622:O7685" ca="1" si="250">1+M7622*IFERROR(_xlfn.DAYS(L7622, L7621), _xlfn.DAYS(L7622, $C$2))/36000</f>
        <v>1.000173611111111</v>
      </c>
    </row>
    <row r="7623" spans="12:15" x14ac:dyDescent="0.25">
      <c r="L7623" s="147">
        <f ca="1"/>
        <v>52862</v>
      </c>
      <c r="M7623" s="92">
        <f t="shared" ca="1" si="249"/>
        <v>6.25</v>
      </c>
      <c r="N7623" s="143">
        <f ca="1">(PRODUCT($O$5:$O7623)-1)*36000/_xlfn.DAYS(L7623, $C$2)</f>
        <v>14.241334233393271</v>
      </c>
      <c r="O7623" s="149">
        <f t="shared" ca="1" si="250"/>
        <v>1.000173611111111</v>
      </c>
    </row>
    <row r="7624" spans="12:15" x14ac:dyDescent="0.25">
      <c r="L7624" s="147">
        <f ca="1"/>
        <v>52863</v>
      </c>
      <c r="M7624" s="92">
        <f t="shared" ca="1" si="249"/>
        <v>6.25</v>
      </c>
      <c r="N7624" s="143">
        <f ca="1">(PRODUCT($O$5:$O7624)-1)*36000/_xlfn.DAYS(L7624, $C$2)</f>
        <v>14.242757631257531</v>
      </c>
      <c r="O7624" s="149">
        <f t="shared" ca="1" si="250"/>
        <v>1.000173611111111</v>
      </c>
    </row>
    <row r="7625" spans="12:15" x14ac:dyDescent="0.25">
      <c r="L7625" s="147">
        <f ca="1"/>
        <v>52864</v>
      </c>
      <c r="M7625" s="92">
        <f t="shared" ca="1" si="249"/>
        <v>6.25</v>
      </c>
      <c r="N7625" s="143">
        <f ca="1">(PRODUCT($O$5:$O7625)-1)*36000/_xlfn.DAYS(L7625, $C$2)</f>
        <v>14.244181227087266</v>
      </c>
      <c r="O7625" s="149">
        <f t="shared" ca="1" si="250"/>
        <v>1.000173611111111</v>
      </c>
    </row>
    <row r="7626" spans="12:15" x14ac:dyDescent="0.25">
      <c r="L7626" s="147">
        <f ca="1"/>
        <v>52865</v>
      </c>
      <c r="M7626" s="92">
        <f t="shared" ca="1" si="249"/>
        <v>6.25</v>
      </c>
      <c r="N7626" s="143">
        <f ca="1">(PRODUCT($O$5:$O7626)-1)*36000/_xlfn.DAYS(L7626, $C$2)</f>
        <v>14.245605020903769</v>
      </c>
      <c r="O7626" s="149">
        <f t="shared" ca="1" si="250"/>
        <v>1.000173611111111</v>
      </c>
    </row>
    <row r="7627" spans="12:15" x14ac:dyDescent="0.25">
      <c r="L7627" s="147">
        <f ca="1"/>
        <v>52866</v>
      </c>
      <c r="M7627" s="92">
        <f t="shared" ca="1" si="249"/>
        <v>6.25</v>
      </c>
      <c r="N7627" s="143">
        <f ca="1">(PRODUCT($O$5:$O7627)-1)*36000/_xlfn.DAYS(L7627, $C$2)</f>
        <v>14.247029012728326</v>
      </c>
      <c r="O7627" s="149">
        <f t="shared" ca="1" si="250"/>
        <v>1.000173611111111</v>
      </c>
    </row>
    <row r="7628" spans="12:15" x14ac:dyDescent="0.25">
      <c r="L7628" s="147">
        <f ca="1"/>
        <v>52867</v>
      </c>
      <c r="M7628" s="92">
        <f t="shared" ca="1" si="249"/>
        <v>6.25</v>
      </c>
      <c r="N7628" s="143">
        <f ca="1">(PRODUCT($O$5:$O7628)-1)*36000/_xlfn.DAYS(L7628, $C$2)</f>
        <v>14.248453202582247</v>
      </c>
      <c r="O7628" s="149">
        <f t="shared" ca="1" si="250"/>
        <v>1.000173611111111</v>
      </c>
    </row>
    <row r="7629" spans="12:15" x14ac:dyDescent="0.25">
      <c r="L7629" s="147">
        <f ca="1"/>
        <v>52868</v>
      </c>
      <c r="M7629" s="92">
        <f t="shared" ca="1" si="249"/>
        <v>6.25</v>
      </c>
      <c r="N7629" s="143">
        <f ca="1">(PRODUCT($O$5:$O7629)-1)*36000/_xlfn.DAYS(L7629, $C$2)</f>
        <v>14.249877590486838</v>
      </c>
      <c r="O7629" s="149">
        <f t="shared" ca="1" si="250"/>
        <v>1.000173611111111</v>
      </c>
    </row>
    <row r="7630" spans="12:15" x14ac:dyDescent="0.25">
      <c r="L7630" s="147">
        <f ca="1"/>
        <v>52869</v>
      </c>
      <c r="M7630" s="92">
        <f t="shared" ca="1" si="249"/>
        <v>6.25</v>
      </c>
      <c r="N7630" s="143">
        <f ca="1">(PRODUCT($O$5:$O7630)-1)*36000/_xlfn.DAYS(L7630, $C$2)</f>
        <v>14.251302176463406</v>
      </c>
      <c r="O7630" s="149">
        <f t="shared" ca="1" si="250"/>
        <v>1.000173611111111</v>
      </c>
    </row>
    <row r="7631" spans="12:15" x14ac:dyDescent="0.25">
      <c r="L7631" s="147">
        <f ca="1"/>
        <v>52870</v>
      </c>
      <c r="M7631" s="92">
        <f t="shared" ca="1" si="249"/>
        <v>6.25</v>
      </c>
      <c r="N7631" s="143">
        <f ca="1">(PRODUCT($O$5:$O7631)-1)*36000/_xlfn.DAYS(L7631, $C$2)</f>
        <v>14.252726960533273</v>
      </c>
      <c r="O7631" s="149">
        <f t="shared" ca="1" si="250"/>
        <v>1.000173611111111</v>
      </c>
    </row>
    <row r="7632" spans="12:15" x14ac:dyDescent="0.25">
      <c r="L7632" s="147">
        <f ca="1"/>
        <v>52871</v>
      </c>
      <c r="M7632" s="92">
        <f t="shared" ca="1" si="249"/>
        <v>6.25</v>
      </c>
      <c r="N7632" s="143">
        <f ca="1">(PRODUCT($O$5:$O7632)-1)*36000/_xlfn.DAYS(L7632, $C$2)</f>
        <v>14.254151942717771</v>
      </c>
      <c r="O7632" s="149">
        <f t="shared" ca="1" si="250"/>
        <v>1.000173611111111</v>
      </c>
    </row>
    <row r="7633" spans="12:15" x14ac:dyDescent="0.25">
      <c r="L7633" s="147">
        <f ca="1"/>
        <v>52872</v>
      </c>
      <c r="M7633" s="92">
        <f t="shared" ca="1" si="249"/>
        <v>6.25</v>
      </c>
      <c r="N7633" s="143">
        <f ca="1">(PRODUCT($O$5:$O7633)-1)*36000/_xlfn.DAYS(L7633, $C$2)</f>
        <v>14.255577123038224</v>
      </c>
      <c r="O7633" s="149">
        <f t="shared" ca="1" si="250"/>
        <v>1.000173611111111</v>
      </c>
    </row>
    <row r="7634" spans="12:15" x14ac:dyDescent="0.25">
      <c r="L7634" s="147">
        <f ca="1"/>
        <v>52873</v>
      </c>
      <c r="M7634" s="92">
        <f t="shared" ca="1" si="249"/>
        <v>6.25</v>
      </c>
      <c r="N7634" s="143">
        <f ca="1">(PRODUCT($O$5:$O7634)-1)*36000/_xlfn.DAYS(L7634, $C$2)</f>
        <v>14.257002501515974</v>
      </c>
      <c r="O7634" s="149">
        <f t="shared" ca="1" si="250"/>
        <v>1.000173611111111</v>
      </c>
    </row>
    <row r="7635" spans="12:15" x14ac:dyDescent="0.25">
      <c r="L7635" s="147">
        <f ca="1"/>
        <v>52874</v>
      </c>
      <c r="M7635" s="92">
        <f t="shared" ca="1" si="249"/>
        <v>6.25</v>
      </c>
      <c r="N7635" s="143">
        <f ca="1">(PRODUCT($O$5:$O7635)-1)*36000/_xlfn.DAYS(L7635, $C$2)</f>
        <v>14.258428078172361</v>
      </c>
      <c r="O7635" s="149">
        <f t="shared" ca="1" si="250"/>
        <v>1.000173611111111</v>
      </c>
    </row>
    <row r="7636" spans="12:15" x14ac:dyDescent="0.25">
      <c r="L7636" s="147">
        <f ca="1"/>
        <v>52875</v>
      </c>
      <c r="M7636" s="92">
        <f t="shared" ca="1" si="249"/>
        <v>6.25</v>
      </c>
      <c r="N7636" s="143">
        <f ca="1">(PRODUCT($O$5:$O7636)-1)*36000/_xlfn.DAYS(L7636, $C$2)</f>
        <v>14.259853853028735</v>
      </c>
      <c r="O7636" s="149">
        <f t="shared" ca="1" si="250"/>
        <v>1.000173611111111</v>
      </c>
    </row>
    <row r="7637" spans="12:15" x14ac:dyDescent="0.25">
      <c r="L7637" s="147">
        <f ca="1"/>
        <v>52876</v>
      </c>
      <c r="M7637" s="92">
        <f t="shared" ca="1" si="249"/>
        <v>6.25</v>
      </c>
      <c r="N7637" s="143">
        <f ca="1">(PRODUCT($O$5:$O7637)-1)*36000/_xlfn.DAYS(L7637, $C$2)</f>
        <v>14.261279826106451</v>
      </c>
      <c r="O7637" s="149">
        <f t="shared" ca="1" si="250"/>
        <v>1.000173611111111</v>
      </c>
    </row>
    <row r="7638" spans="12:15" x14ac:dyDescent="0.25">
      <c r="L7638" s="147">
        <f ca="1"/>
        <v>52877</v>
      </c>
      <c r="M7638" s="92">
        <f t="shared" ca="1" si="249"/>
        <v>6.25</v>
      </c>
      <c r="N7638" s="143">
        <f ca="1">(PRODUCT($O$5:$O7638)-1)*36000/_xlfn.DAYS(L7638, $C$2)</f>
        <v>14.262705997426874</v>
      </c>
      <c r="O7638" s="149">
        <f t="shared" ca="1" si="250"/>
        <v>1.000173611111111</v>
      </c>
    </row>
    <row r="7639" spans="12:15" x14ac:dyDescent="0.25">
      <c r="L7639" s="147">
        <f ca="1"/>
        <v>52878</v>
      </c>
      <c r="M7639" s="92">
        <f t="shared" ca="1" si="249"/>
        <v>6.25</v>
      </c>
      <c r="N7639" s="143">
        <f ca="1">(PRODUCT($O$5:$O7639)-1)*36000/_xlfn.DAYS(L7639, $C$2)</f>
        <v>14.264132367011371</v>
      </c>
      <c r="O7639" s="149">
        <f t="shared" ca="1" si="250"/>
        <v>1.000173611111111</v>
      </c>
    </row>
    <row r="7640" spans="12:15" x14ac:dyDescent="0.25">
      <c r="L7640" s="147">
        <f ca="1"/>
        <v>52879</v>
      </c>
      <c r="M7640" s="92">
        <f t="shared" ca="1" si="249"/>
        <v>6.25</v>
      </c>
      <c r="N7640" s="143">
        <f ca="1">(PRODUCT($O$5:$O7640)-1)*36000/_xlfn.DAYS(L7640, $C$2)</f>
        <v>14.265558934881312</v>
      </c>
      <c r="O7640" s="149">
        <f t="shared" ca="1" si="250"/>
        <v>1.000173611111111</v>
      </c>
    </row>
    <row r="7641" spans="12:15" x14ac:dyDescent="0.25">
      <c r="L7641" s="147">
        <f ca="1"/>
        <v>52880</v>
      </c>
      <c r="M7641" s="92">
        <f t="shared" ca="1" si="249"/>
        <v>6.25</v>
      </c>
      <c r="N7641" s="143">
        <f ca="1">(PRODUCT($O$5:$O7641)-1)*36000/_xlfn.DAYS(L7641, $C$2)</f>
        <v>14.266985701058083</v>
      </c>
      <c r="O7641" s="149">
        <f t="shared" ca="1" si="250"/>
        <v>1.000173611111111</v>
      </c>
    </row>
    <row r="7642" spans="12:15" x14ac:dyDescent="0.25">
      <c r="L7642" s="147">
        <f ca="1"/>
        <v>52881</v>
      </c>
      <c r="M7642" s="92">
        <f t="shared" ca="1" si="249"/>
        <v>6.25</v>
      </c>
      <c r="N7642" s="143">
        <f ca="1">(PRODUCT($O$5:$O7642)-1)*36000/_xlfn.DAYS(L7642, $C$2)</f>
        <v>14.26841266556306</v>
      </c>
      <c r="O7642" s="149">
        <f t="shared" ca="1" si="250"/>
        <v>1.000173611111111</v>
      </c>
    </row>
    <row r="7643" spans="12:15" x14ac:dyDescent="0.25">
      <c r="L7643" s="147">
        <f ca="1"/>
        <v>52882</v>
      </c>
      <c r="M7643" s="92">
        <f t="shared" ca="1" si="249"/>
        <v>6.25</v>
      </c>
      <c r="N7643" s="143">
        <f ca="1">(PRODUCT($O$5:$O7643)-1)*36000/_xlfn.DAYS(L7643, $C$2)</f>
        <v>14.269839828417641</v>
      </c>
      <c r="O7643" s="149">
        <f t="shared" ca="1" si="250"/>
        <v>1.000173611111111</v>
      </c>
    </row>
    <row r="7644" spans="12:15" x14ac:dyDescent="0.25">
      <c r="L7644" s="147">
        <f ca="1"/>
        <v>52883</v>
      </c>
      <c r="M7644" s="92">
        <f t="shared" ca="1" si="249"/>
        <v>6.25</v>
      </c>
      <c r="N7644" s="143">
        <f ca="1">(PRODUCT($O$5:$O7644)-1)*36000/_xlfn.DAYS(L7644, $C$2)</f>
        <v>14.271267189643225</v>
      </c>
      <c r="O7644" s="149">
        <f t="shared" ca="1" si="250"/>
        <v>1.000173611111111</v>
      </c>
    </row>
    <row r="7645" spans="12:15" x14ac:dyDescent="0.25">
      <c r="L7645" s="147">
        <f ca="1"/>
        <v>52884</v>
      </c>
      <c r="M7645" s="92">
        <f t="shared" ca="1" si="249"/>
        <v>6.25</v>
      </c>
      <c r="N7645" s="143">
        <f ca="1">(PRODUCT($O$5:$O7645)-1)*36000/_xlfn.DAYS(L7645, $C$2)</f>
        <v>14.272694749261216</v>
      </c>
      <c r="O7645" s="149">
        <f t="shared" ca="1" si="250"/>
        <v>1.000173611111111</v>
      </c>
    </row>
    <row r="7646" spans="12:15" x14ac:dyDescent="0.25">
      <c r="L7646" s="147">
        <f ca="1"/>
        <v>52885</v>
      </c>
      <c r="M7646" s="92">
        <f t="shared" ca="1" si="249"/>
        <v>6.25</v>
      </c>
      <c r="N7646" s="143">
        <f ca="1">(PRODUCT($O$5:$O7646)-1)*36000/_xlfn.DAYS(L7646, $C$2)</f>
        <v>14.274122507293018</v>
      </c>
      <c r="O7646" s="149">
        <f t="shared" ca="1" si="250"/>
        <v>1.000173611111111</v>
      </c>
    </row>
    <row r="7647" spans="12:15" x14ac:dyDescent="0.25">
      <c r="L7647" s="147">
        <f ca="1"/>
        <v>52886</v>
      </c>
      <c r="M7647" s="92">
        <f t="shared" ca="1" si="249"/>
        <v>6.25</v>
      </c>
      <c r="N7647" s="143">
        <f ca="1">(PRODUCT($O$5:$O7647)-1)*36000/_xlfn.DAYS(L7647, $C$2)</f>
        <v>14.275550463760053</v>
      </c>
      <c r="O7647" s="149">
        <f t="shared" ca="1" si="250"/>
        <v>1.000173611111111</v>
      </c>
    </row>
    <row r="7648" spans="12:15" x14ac:dyDescent="0.25">
      <c r="L7648" s="147">
        <f ca="1"/>
        <v>52887</v>
      </c>
      <c r="M7648" s="92">
        <f t="shared" ca="1" si="249"/>
        <v>6.25</v>
      </c>
      <c r="N7648" s="143">
        <f ca="1">(PRODUCT($O$5:$O7648)-1)*36000/_xlfn.DAYS(L7648, $C$2)</f>
        <v>14.27697861868374</v>
      </c>
      <c r="O7648" s="149">
        <f t="shared" ca="1" si="250"/>
        <v>1.000173611111111</v>
      </c>
    </row>
    <row r="7649" spans="12:15" x14ac:dyDescent="0.25">
      <c r="L7649" s="147">
        <f ca="1"/>
        <v>52888</v>
      </c>
      <c r="M7649" s="92">
        <f t="shared" ca="1" si="249"/>
        <v>6.25</v>
      </c>
      <c r="N7649" s="143">
        <f ca="1">(PRODUCT($O$5:$O7649)-1)*36000/_xlfn.DAYS(L7649, $C$2)</f>
        <v>14.278406972085509</v>
      </c>
      <c r="O7649" s="149">
        <f t="shared" ca="1" si="250"/>
        <v>1.000173611111111</v>
      </c>
    </row>
    <row r="7650" spans="12:15" x14ac:dyDescent="0.25">
      <c r="L7650" s="147">
        <f ca="1"/>
        <v>52889</v>
      </c>
      <c r="M7650" s="92">
        <f t="shared" ca="1" si="249"/>
        <v>6.25</v>
      </c>
      <c r="N7650" s="143">
        <f ca="1">(PRODUCT($O$5:$O7650)-1)*36000/_xlfn.DAYS(L7650, $C$2)</f>
        <v>14.279835523986794</v>
      </c>
      <c r="O7650" s="149">
        <f t="shared" ca="1" si="250"/>
        <v>1.000173611111111</v>
      </c>
    </row>
    <row r="7651" spans="12:15" x14ac:dyDescent="0.25">
      <c r="L7651" s="147">
        <f ca="1"/>
        <v>52890</v>
      </c>
      <c r="M7651" s="92">
        <f t="shared" ca="1" si="249"/>
        <v>6.25</v>
      </c>
      <c r="N7651" s="143">
        <f ca="1">(PRODUCT($O$5:$O7651)-1)*36000/_xlfn.DAYS(L7651, $C$2)</f>
        <v>14.281264274409029</v>
      </c>
      <c r="O7651" s="149">
        <f t="shared" ca="1" si="250"/>
        <v>1.000173611111111</v>
      </c>
    </row>
    <row r="7652" spans="12:15" x14ac:dyDescent="0.25">
      <c r="L7652" s="147">
        <f ca="1"/>
        <v>52891</v>
      </c>
      <c r="M7652" s="92">
        <f t="shared" ca="1" si="249"/>
        <v>6.25</v>
      </c>
      <c r="N7652" s="143">
        <f ca="1">(PRODUCT($O$5:$O7652)-1)*36000/_xlfn.DAYS(L7652, $C$2)</f>
        <v>14.282693223373668</v>
      </c>
      <c r="O7652" s="149">
        <f t="shared" ca="1" si="250"/>
        <v>1.000173611111111</v>
      </c>
    </row>
    <row r="7653" spans="12:15" x14ac:dyDescent="0.25">
      <c r="L7653" s="147">
        <f ca="1"/>
        <v>52892</v>
      </c>
      <c r="M7653" s="92">
        <f t="shared" ca="1" si="249"/>
        <v>6.25</v>
      </c>
      <c r="N7653" s="143">
        <f ca="1">(PRODUCT($O$5:$O7653)-1)*36000/_xlfn.DAYS(L7653, $C$2)</f>
        <v>14.284122370902161</v>
      </c>
      <c r="O7653" s="149">
        <f t="shared" ca="1" si="250"/>
        <v>1.000173611111111</v>
      </c>
    </row>
    <row r="7654" spans="12:15" x14ac:dyDescent="0.25">
      <c r="L7654" s="147">
        <f ca="1"/>
        <v>52893</v>
      </c>
      <c r="M7654" s="92">
        <f t="shared" ca="1" si="249"/>
        <v>6.25</v>
      </c>
      <c r="N7654" s="143">
        <f ca="1">(PRODUCT($O$5:$O7654)-1)*36000/_xlfn.DAYS(L7654, $C$2)</f>
        <v>14.285551717015963</v>
      </c>
      <c r="O7654" s="149">
        <f t="shared" ca="1" si="250"/>
        <v>1.000173611111111</v>
      </c>
    </row>
    <row r="7655" spans="12:15" x14ac:dyDescent="0.25">
      <c r="L7655" s="147">
        <f ca="1"/>
        <v>52894</v>
      </c>
      <c r="M7655" s="92">
        <f t="shared" ca="1" si="249"/>
        <v>6.25</v>
      </c>
      <c r="N7655" s="143">
        <f ca="1">(PRODUCT($O$5:$O7655)-1)*36000/_xlfn.DAYS(L7655, $C$2)</f>
        <v>14.286981261736539</v>
      </c>
      <c r="O7655" s="149">
        <f t="shared" ca="1" si="250"/>
        <v>1.000173611111111</v>
      </c>
    </row>
    <row r="7656" spans="12:15" x14ac:dyDescent="0.25">
      <c r="L7656" s="147">
        <f ca="1"/>
        <v>52895</v>
      </c>
      <c r="M7656" s="92">
        <f t="shared" ca="1" si="249"/>
        <v>6.25</v>
      </c>
      <c r="N7656" s="143">
        <f ca="1">(PRODUCT($O$5:$O7656)-1)*36000/_xlfn.DAYS(L7656, $C$2)</f>
        <v>14.288411005085365</v>
      </c>
      <c r="O7656" s="149">
        <f t="shared" ca="1" si="250"/>
        <v>1.000173611111111</v>
      </c>
    </row>
    <row r="7657" spans="12:15" x14ac:dyDescent="0.25">
      <c r="L7657" s="147">
        <f ca="1"/>
        <v>52896</v>
      </c>
      <c r="M7657" s="92">
        <f t="shared" ca="1" si="249"/>
        <v>6.25</v>
      </c>
      <c r="N7657" s="143">
        <f ca="1">(PRODUCT($O$5:$O7657)-1)*36000/_xlfn.DAYS(L7657, $C$2)</f>
        <v>14.289840947083908</v>
      </c>
      <c r="O7657" s="149">
        <f t="shared" ca="1" si="250"/>
        <v>1.000173611111111</v>
      </c>
    </row>
    <row r="7658" spans="12:15" x14ac:dyDescent="0.25">
      <c r="L7658" s="147">
        <f ca="1"/>
        <v>52897</v>
      </c>
      <c r="M7658" s="92">
        <f t="shared" ca="1" si="249"/>
        <v>6.25</v>
      </c>
      <c r="N7658" s="143">
        <f ca="1">(PRODUCT($O$5:$O7658)-1)*36000/_xlfn.DAYS(L7658, $C$2)</f>
        <v>14.291271087753657</v>
      </c>
      <c r="O7658" s="149">
        <f t="shared" ca="1" si="250"/>
        <v>1.000173611111111</v>
      </c>
    </row>
    <row r="7659" spans="12:15" x14ac:dyDescent="0.25">
      <c r="L7659" s="147">
        <f ca="1"/>
        <v>52898</v>
      </c>
      <c r="M7659" s="92">
        <f t="shared" ca="1" si="249"/>
        <v>6.25</v>
      </c>
      <c r="N7659" s="143">
        <f ca="1">(PRODUCT($O$5:$O7659)-1)*36000/_xlfn.DAYS(L7659, $C$2)</f>
        <v>14.292701427116095</v>
      </c>
      <c r="O7659" s="149">
        <f t="shared" ca="1" si="250"/>
        <v>1.000173611111111</v>
      </c>
    </row>
    <row r="7660" spans="12:15" x14ac:dyDescent="0.25">
      <c r="L7660" s="147">
        <f ca="1"/>
        <v>52899</v>
      </c>
      <c r="M7660" s="92">
        <f t="shared" ca="1" si="249"/>
        <v>6.25</v>
      </c>
      <c r="N7660" s="143">
        <f ca="1">(PRODUCT($O$5:$O7660)-1)*36000/_xlfn.DAYS(L7660, $C$2)</f>
        <v>14.294131965192719</v>
      </c>
      <c r="O7660" s="149">
        <f t="shared" ca="1" si="250"/>
        <v>1.000173611111111</v>
      </c>
    </row>
    <row r="7661" spans="12:15" x14ac:dyDescent="0.25">
      <c r="L7661" s="147">
        <f ca="1"/>
        <v>52900</v>
      </c>
      <c r="M7661" s="92">
        <f t="shared" ca="1" si="249"/>
        <v>6.25</v>
      </c>
      <c r="N7661" s="143">
        <f ca="1">(PRODUCT($O$5:$O7661)-1)*36000/_xlfn.DAYS(L7661, $C$2)</f>
        <v>14.29556270200503</v>
      </c>
      <c r="O7661" s="149">
        <f t="shared" ca="1" si="250"/>
        <v>1.000173611111111</v>
      </c>
    </row>
    <row r="7662" spans="12:15" x14ac:dyDescent="0.25">
      <c r="L7662" s="147">
        <f ca="1"/>
        <v>52901</v>
      </c>
      <c r="M7662" s="92">
        <f t="shared" ca="1" si="249"/>
        <v>6.25</v>
      </c>
      <c r="N7662" s="143">
        <f ca="1">(PRODUCT($O$5:$O7662)-1)*36000/_xlfn.DAYS(L7662, $C$2)</f>
        <v>14.296993637574536</v>
      </c>
      <c r="O7662" s="149">
        <f t="shared" ca="1" si="250"/>
        <v>1.000173611111111</v>
      </c>
    </row>
    <row r="7663" spans="12:15" x14ac:dyDescent="0.25">
      <c r="L7663" s="147">
        <f ca="1"/>
        <v>52902</v>
      </c>
      <c r="M7663" s="92">
        <f t="shared" ca="1" si="249"/>
        <v>6.25</v>
      </c>
      <c r="N7663" s="143">
        <f ca="1">(PRODUCT($O$5:$O7663)-1)*36000/_xlfn.DAYS(L7663, $C$2)</f>
        <v>14.298424771922743</v>
      </c>
      <c r="O7663" s="149">
        <f t="shared" ca="1" si="250"/>
        <v>1.000173611111111</v>
      </c>
    </row>
    <row r="7664" spans="12:15" x14ac:dyDescent="0.25">
      <c r="L7664" s="147">
        <f ca="1"/>
        <v>52903</v>
      </c>
      <c r="M7664" s="92">
        <f t="shared" ca="1" si="249"/>
        <v>6.25</v>
      </c>
      <c r="N7664" s="143">
        <f ca="1">(PRODUCT($O$5:$O7664)-1)*36000/_xlfn.DAYS(L7664, $C$2)</f>
        <v>14.299856105071177</v>
      </c>
      <c r="O7664" s="149">
        <f t="shared" ca="1" si="250"/>
        <v>1.000173611111111</v>
      </c>
    </row>
    <row r="7665" spans="12:15" x14ac:dyDescent="0.25">
      <c r="L7665" s="147">
        <f ca="1"/>
        <v>52904</v>
      </c>
      <c r="M7665" s="92">
        <f t="shared" ca="1" si="249"/>
        <v>6.25</v>
      </c>
      <c r="N7665" s="143">
        <f ca="1">(PRODUCT($O$5:$O7665)-1)*36000/_xlfn.DAYS(L7665, $C$2)</f>
        <v>14.301287637041355</v>
      </c>
      <c r="O7665" s="149">
        <f t="shared" ca="1" si="250"/>
        <v>1.000173611111111</v>
      </c>
    </row>
    <row r="7666" spans="12:15" x14ac:dyDescent="0.25">
      <c r="L7666" s="147">
        <f ca="1"/>
        <v>52905</v>
      </c>
      <c r="M7666" s="92">
        <f t="shared" ca="1" si="249"/>
        <v>6.25</v>
      </c>
      <c r="N7666" s="143">
        <f ca="1">(PRODUCT($O$5:$O7666)-1)*36000/_xlfn.DAYS(L7666, $C$2)</f>
        <v>14.302719367854809</v>
      </c>
      <c r="O7666" s="149">
        <f t="shared" ca="1" si="250"/>
        <v>1.000173611111111</v>
      </c>
    </row>
    <row r="7667" spans="12:15" x14ac:dyDescent="0.25">
      <c r="L7667" s="147">
        <f ca="1"/>
        <v>52906</v>
      </c>
      <c r="M7667" s="92">
        <f t="shared" ca="1" si="249"/>
        <v>6.25</v>
      </c>
      <c r="N7667" s="143">
        <f ca="1">(PRODUCT($O$5:$O7667)-1)*36000/_xlfn.DAYS(L7667, $C$2)</f>
        <v>14.304151297533078</v>
      </c>
      <c r="O7667" s="149">
        <f t="shared" ca="1" si="250"/>
        <v>1.000173611111111</v>
      </c>
    </row>
    <row r="7668" spans="12:15" x14ac:dyDescent="0.25">
      <c r="L7668" s="147">
        <f ca="1"/>
        <v>52907</v>
      </c>
      <c r="M7668" s="92">
        <f t="shared" ca="1" si="249"/>
        <v>6.25</v>
      </c>
      <c r="N7668" s="143">
        <f ca="1">(PRODUCT($O$5:$O7668)-1)*36000/_xlfn.DAYS(L7668, $C$2)</f>
        <v>14.305583426097703</v>
      </c>
      <c r="O7668" s="149">
        <f t="shared" ca="1" si="250"/>
        <v>1.000173611111111</v>
      </c>
    </row>
    <row r="7669" spans="12:15" x14ac:dyDescent="0.25">
      <c r="L7669" s="147">
        <f ca="1"/>
        <v>52908</v>
      </c>
      <c r="M7669" s="92">
        <f t="shared" ca="1" si="249"/>
        <v>6.25</v>
      </c>
      <c r="N7669" s="143">
        <f ca="1">(PRODUCT($O$5:$O7669)-1)*36000/_xlfn.DAYS(L7669, $C$2)</f>
        <v>14.307015753570234</v>
      </c>
      <c r="O7669" s="149">
        <f t="shared" ca="1" si="250"/>
        <v>1.000173611111111</v>
      </c>
    </row>
    <row r="7670" spans="12:15" x14ac:dyDescent="0.25">
      <c r="L7670" s="147">
        <f ca="1"/>
        <v>52909</v>
      </c>
      <c r="M7670" s="92">
        <f t="shared" ca="1" si="249"/>
        <v>6.25</v>
      </c>
      <c r="N7670" s="143">
        <f ca="1">(PRODUCT($O$5:$O7670)-1)*36000/_xlfn.DAYS(L7670, $C$2)</f>
        <v>14.308448279972223</v>
      </c>
      <c r="O7670" s="149">
        <f t="shared" ca="1" si="250"/>
        <v>1.000173611111111</v>
      </c>
    </row>
    <row r="7671" spans="12:15" x14ac:dyDescent="0.25">
      <c r="L7671" s="147">
        <f ca="1"/>
        <v>52910</v>
      </c>
      <c r="M7671" s="92">
        <f t="shared" ca="1" si="249"/>
        <v>6.25</v>
      </c>
      <c r="N7671" s="143">
        <f ca="1">(PRODUCT($O$5:$O7671)-1)*36000/_xlfn.DAYS(L7671, $C$2)</f>
        <v>14.309881005325231</v>
      </c>
      <c r="O7671" s="149">
        <f t="shared" ca="1" si="250"/>
        <v>1.000173611111111</v>
      </c>
    </row>
    <row r="7672" spans="12:15" x14ac:dyDescent="0.25">
      <c r="L7672" s="147">
        <f ca="1"/>
        <v>52911</v>
      </c>
      <c r="M7672" s="92">
        <f t="shared" ca="1" si="249"/>
        <v>6.25</v>
      </c>
      <c r="N7672" s="143">
        <f ca="1">(PRODUCT($O$5:$O7672)-1)*36000/_xlfn.DAYS(L7672, $C$2)</f>
        <v>14.311313929650828</v>
      </c>
      <c r="O7672" s="149">
        <f t="shared" ca="1" si="250"/>
        <v>1.000173611111111</v>
      </c>
    </row>
    <row r="7673" spans="12:15" x14ac:dyDescent="0.25">
      <c r="L7673" s="147">
        <f ca="1"/>
        <v>52912</v>
      </c>
      <c r="M7673" s="92">
        <f t="shared" ca="1" si="249"/>
        <v>6.25</v>
      </c>
      <c r="N7673" s="143">
        <f ca="1">(PRODUCT($O$5:$O7673)-1)*36000/_xlfn.DAYS(L7673, $C$2)</f>
        <v>14.312747052970581</v>
      </c>
      <c r="O7673" s="149">
        <f t="shared" ca="1" si="250"/>
        <v>1.000173611111111</v>
      </c>
    </row>
    <row r="7674" spans="12:15" x14ac:dyDescent="0.25">
      <c r="L7674" s="147">
        <f ca="1"/>
        <v>52913</v>
      </c>
      <c r="M7674" s="92">
        <f t="shared" ca="1" si="249"/>
        <v>6.25</v>
      </c>
      <c r="N7674" s="143">
        <f ca="1">(PRODUCT($O$5:$O7674)-1)*36000/_xlfn.DAYS(L7674, $C$2)</f>
        <v>14.314180375306069</v>
      </c>
      <c r="O7674" s="149">
        <f t="shared" ca="1" si="250"/>
        <v>1.000173611111111</v>
      </c>
    </row>
    <row r="7675" spans="12:15" x14ac:dyDescent="0.25">
      <c r="L7675" s="147">
        <f ca="1"/>
        <v>52914</v>
      </c>
      <c r="M7675" s="92">
        <f t="shared" ca="1" si="249"/>
        <v>6.25</v>
      </c>
      <c r="N7675" s="143">
        <f ca="1">(PRODUCT($O$5:$O7675)-1)*36000/_xlfn.DAYS(L7675, $C$2)</f>
        <v>14.315613896678881</v>
      </c>
      <c r="O7675" s="149">
        <f t="shared" ca="1" si="250"/>
        <v>1.000173611111111</v>
      </c>
    </row>
    <row r="7676" spans="12:15" x14ac:dyDescent="0.25">
      <c r="L7676" s="147">
        <f ca="1"/>
        <v>52915</v>
      </c>
      <c r="M7676" s="92">
        <f t="shared" ca="1" si="249"/>
        <v>6.25</v>
      </c>
      <c r="N7676" s="143">
        <f ca="1">(PRODUCT($O$5:$O7676)-1)*36000/_xlfn.DAYS(L7676, $C$2)</f>
        <v>14.317047617110605</v>
      </c>
      <c r="O7676" s="149">
        <f t="shared" ca="1" si="250"/>
        <v>1.000173611111111</v>
      </c>
    </row>
    <row r="7677" spans="12:15" x14ac:dyDescent="0.25">
      <c r="L7677" s="147">
        <f ca="1"/>
        <v>52916</v>
      </c>
      <c r="M7677" s="92">
        <f t="shared" ca="1" si="249"/>
        <v>6.25</v>
      </c>
      <c r="N7677" s="143">
        <f ca="1">(PRODUCT($O$5:$O7677)-1)*36000/_xlfn.DAYS(L7677, $C$2)</f>
        <v>14.318481536622835</v>
      </c>
      <c r="O7677" s="149">
        <f t="shared" ca="1" si="250"/>
        <v>1.000173611111111</v>
      </c>
    </row>
    <row r="7678" spans="12:15" x14ac:dyDescent="0.25">
      <c r="L7678" s="147">
        <f ca="1"/>
        <v>52917</v>
      </c>
      <c r="M7678" s="92">
        <f t="shared" ca="1" si="249"/>
        <v>6.25</v>
      </c>
      <c r="N7678" s="143">
        <f ca="1">(PRODUCT($O$5:$O7678)-1)*36000/_xlfn.DAYS(L7678, $C$2)</f>
        <v>14.319915655237171</v>
      </c>
      <c r="O7678" s="149">
        <f t="shared" ca="1" si="250"/>
        <v>1.000173611111111</v>
      </c>
    </row>
    <row r="7679" spans="12:15" x14ac:dyDescent="0.25">
      <c r="L7679" s="147">
        <f ca="1"/>
        <v>52918</v>
      </c>
      <c r="M7679" s="92">
        <f t="shared" ca="1" si="249"/>
        <v>6.25</v>
      </c>
      <c r="N7679" s="143">
        <f ca="1">(PRODUCT($O$5:$O7679)-1)*36000/_xlfn.DAYS(L7679, $C$2)</f>
        <v>14.321349972975232</v>
      </c>
      <c r="O7679" s="149">
        <f t="shared" ca="1" si="250"/>
        <v>1.000173611111111</v>
      </c>
    </row>
    <row r="7680" spans="12:15" x14ac:dyDescent="0.25">
      <c r="L7680" s="147">
        <f ca="1"/>
        <v>52919</v>
      </c>
      <c r="M7680" s="92">
        <f t="shared" ca="1" si="249"/>
        <v>6.25</v>
      </c>
      <c r="N7680" s="143">
        <f ca="1">(PRODUCT($O$5:$O7680)-1)*36000/_xlfn.DAYS(L7680, $C$2)</f>
        <v>14.32278448985862</v>
      </c>
      <c r="O7680" s="149">
        <f t="shared" ca="1" si="250"/>
        <v>1.000173611111111</v>
      </c>
    </row>
    <row r="7681" spans="12:15" x14ac:dyDescent="0.25">
      <c r="L7681" s="147">
        <f ca="1"/>
        <v>52920</v>
      </c>
      <c r="M7681" s="92">
        <f t="shared" ca="1" si="249"/>
        <v>6.25</v>
      </c>
      <c r="N7681" s="143">
        <f ca="1">(PRODUCT($O$5:$O7681)-1)*36000/_xlfn.DAYS(L7681, $C$2)</f>
        <v>14.324219205908964</v>
      </c>
      <c r="O7681" s="149">
        <f t="shared" ca="1" si="250"/>
        <v>1.000173611111111</v>
      </c>
    </row>
    <row r="7682" spans="12:15" x14ac:dyDescent="0.25">
      <c r="L7682" s="147">
        <f ca="1"/>
        <v>52921</v>
      </c>
      <c r="M7682" s="92">
        <f t="shared" ca="1" si="249"/>
        <v>6.25</v>
      </c>
      <c r="N7682" s="143">
        <f ca="1">(PRODUCT($O$5:$O7682)-1)*36000/_xlfn.DAYS(L7682, $C$2)</f>
        <v>14.325654121147886</v>
      </c>
      <c r="O7682" s="149">
        <f t="shared" ca="1" si="250"/>
        <v>1.000173611111111</v>
      </c>
    </row>
    <row r="7683" spans="12:15" x14ac:dyDescent="0.25">
      <c r="L7683" s="147">
        <f ca="1"/>
        <v>52922</v>
      </c>
      <c r="M7683" s="92">
        <f t="shared" ca="1" si="249"/>
        <v>6.25</v>
      </c>
      <c r="N7683" s="143">
        <f ca="1">(PRODUCT($O$5:$O7683)-1)*36000/_xlfn.DAYS(L7683, $C$2)</f>
        <v>14.327089235597025</v>
      </c>
      <c r="O7683" s="149">
        <f t="shared" ca="1" si="250"/>
        <v>1.000173611111111</v>
      </c>
    </row>
    <row r="7684" spans="12:15" x14ac:dyDescent="0.25">
      <c r="L7684" s="147">
        <f ca="1"/>
        <v>52923</v>
      </c>
      <c r="M7684" s="92">
        <f t="shared" ca="1" si="249"/>
        <v>6.25</v>
      </c>
      <c r="N7684" s="143">
        <f ca="1">(PRODUCT($O$5:$O7684)-1)*36000/_xlfn.DAYS(L7684, $C$2)</f>
        <v>14.328524549278011</v>
      </c>
      <c r="O7684" s="149">
        <f t="shared" ca="1" si="250"/>
        <v>1.000173611111111</v>
      </c>
    </row>
    <row r="7685" spans="12:15" x14ac:dyDescent="0.25">
      <c r="L7685" s="147">
        <f ca="1"/>
        <v>52924</v>
      </c>
      <c r="M7685" s="92">
        <f t="shared" ref="M7685:M7748" ca="1" si="251">IFERROR(INDEX($E$27:$H$47, MATCH(L7685, $F$27:$F$47, 0), 4), IF(ISNUMBER(M7684), M7684, $C$5))</f>
        <v>6.25</v>
      </c>
      <c r="N7685" s="143">
        <f ca="1">(PRODUCT($O$5:$O7685)-1)*36000/_xlfn.DAYS(L7685, $C$2)</f>
        <v>14.329960062212495</v>
      </c>
      <c r="O7685" s="149">
        <f t="shared" ca="1" si="250"/>
        <v>1.000173611111111</v>
      </c>
    </row>
    <row r="7686" spans="12:15" x14ac:dyDescent="0.25">
      <c r="L7686" s="147">
        <f ca="1"/>
        <v>52925</v>
      </c>
      <c r="M7686" s="92">
        <f t="shared" ca="1" si="251"/>
        <v>6.25</v>
      </c>
      <c r="N7686" s="143">
        <f ca="1">(PRODUCT($O$5:$O7686)-1)*36000/_xlfn.DAYS(L7686, $C$2)</f>
        <v>14.33139577442212</v>
      </c>
      <c r="O7686" s="149">
        <f t="shared" ref="O7686:O7749" ca="1" si="252">1+M7686*IFERROR(_xlfn.DAYS(L7686, L7685), _xlfn.DAYS(L7686, $C$2))/36000</f>
        <v>1.000173611111111</v>
      </c>
    </row>
    <row r="7687" spans="12:15" x14ac:dyDescent="0.25">
      <c r="L7687" s="147">
        <f ca="1"/>
        <v>52926</v>
      </c>
      <c r="M7687" s="92">
        <f t="shared" ca="1" si="251"/>
        <v>6.25</v>
      </c>
      <c r="N7687" s="143">
        <f ca="1">(PRODUCT($O$5:$O7687)-1)*36000/_xlfn.DAYS(L7687, $C$2)</f>
        <v>14.332831685928548</v>
      </c>
      <c r="O7687" s="149">
        <f t="shared" ca="1" si="252"/>
        <v>1.000173611111111</v>
      </c>
    </row>
    <row r="7688" spans="12:15" x14ac:dyDescent="0.25">
      <c r="L7688" s="147">
        <f ca="1"/>
        <v>52927</v>
      </c>
      <c r="M7688" s="92">
        <f t="shared" ca="1" si="251"/>
        <v>6.25</v>
      </c>
      <c r="N7688" s="143">
        <f ca="1">(PRODUCT($O$5:$O7688)-1)*36000/_xlfn.DAYS(L7688, $C$2)</f>
        <v>14.334267796753439</v>
      </c>
      <c r="O7688" s="149">
        <f t="shared" ca="1" si="252"/>
        <v>1.000173611111111</v>
      </c>
    </row>
    <row r="7689" spans="12:15" x14ac:dyDescent="0.25">
      <c r="L7689" s="147">
        <f ca="1"/>
        <v>52928</v>
      </c>
      <c r="M7689" s="92">
        <f t="shared" ca="1" si="251"/>
        <v>6.25</v>
      </c>
      <c r="N7689" s="143">
        <f ca="1">(PRODUCT($O$5:$O7689)-1)*36000/_xlfn.DAYS(L7689, $C$2)</f>
        <v>14.335704106918461</v>
      </c>
      <c r="O7689" s="149">
        <f t="shared" ca="1" si="252"/>
        <v>1.000173611111111</v>
      </c>
    </row>
    <row r="7690" spans="12:15" x14ac:dyDescent="0.25">
      <c r="L7690" s="147">
        <f ca="1"/>
        <v>52929</v>
      </c>
      <c r="M7690" s="92">
        <f t="shared" ca="1" si="251"/>
        <v>6.25</v>
      </c>
      <c r="N7690" s="143">
        <f ca="1">(PRODUCT($O$5:$O7690)-1)*36000/_xlfn.DAYS(L7690, $C$2)</f>
        <v>14.337140616445295</v>
      </c>
      <c r="O7690" s="149">
        <f t="shared" ca="1" si="252"/>
        <v>1.000173611111111</v>
      </c>
    </row>
    <row r="7691" spans="12:15" x14ac:dyDescent="0.25">
      <c r="L7691" s="147">
        <f ca="1"/>
        <v>52930</v>
      </c>
      <c r="M7691" s="92">
        <f t="shared" ca="1" si="251"/>
        <v>6.25</v>
      </c>
      <c r="N7691" s="143">
        <f ca="1">(PRODUCT($O$5:$O7691)-1)*36000/_xlfn.DAYS(L7691, $C$2)</f>
        <v>14.338577325355615</v>
      </c>
      <c r="O7691" s="149">
        <f t="shared" ca="1" si="252"/>
        <v>1.000173611111111</v>
      </c>
    </row>
    <row r="7692" spans="12:15" x14ac:dyDescent="0.25">
      <c r="L7692" s="147">
        <f ca="1"/>
        <v>52931</v>
      </c>
      <c r="M7692" s="92">
        <f t="shared" ca="1" si="251"/>
        <v>6.25</v>
      </c>
      <c r="N7692" s="143">
        <f ca="1">(PRODUCT($O$5:$O7692)-1)*36000/_xlfn.DAYS(L7692, $C$2)</f>
        <v>14.340014233671104</v>
      </c>
      <c r="O7692" s="149">
        <f t="shared" ca="1" si="252"/>
        <v>1.000173611111111</v>
      </c>
    </row>
    <row r="7693" spans="12:15" x14ac:dyDescent="0.25">
      <c r="L7693" s="147">
        <f ca="1"/>
        <v>52932</v>
      </c>
      <c r="M7693" s="92">
        <f t="shared" ca="1" si="251"/>
        <v>6.25</v>
      </c>
      <c r="N7693" s="143">
        <f ca="1">(PRODUCT($O$5:$O7693)-1)*36000/_xlfn.DAYS(L7693, $C$2)</f>
        <v>14.341451341413459</v>
      </c>
      <c r="O7693" s="149">
        <f t="shared" ca="1" si="252"/>
        <v>1.000173611111111</v>
      </c>
    </row>
    <row r="7694" spans="12:15" x14ac:dyDescent="0.25">
      <c r="L7694" s="147">
        <f ca="1"/>
        <v>52933</v>
      </c>
      <c r="M7694" s="92">
        <f t="shared" ca="1" si="251"/>
        <v>6.25</v>
      </c>
      <c r="N7694" s="143">
        <f ca="1">(PRODUCT($O$5:$O7694)-1)*36000/_xlfn.DAYS(L7694, $C$2)</f>
        <v>14.342888648604379</v>
      </c>
      <c r="O7694" s="149">
        <f t="shared" ca="1" si="252"/>
        <v>1.000173611111111</v>
      </c>
    </row>
    <row r="7695" spans="12:15" x14ac:dyDescent="0.25">
      <c r="L7695" s="147">
        <f ca="1"/>
        <v>52934</v>
      </c>
      <c r="M7695" s="92">
        <f t="shared" ca="1" si="251"/>
        <v>6.25</v>
      </c>
      <c r="N7695" s="143">
        <f ca="1">(PRODUCT($O$5:$O7695)-1)*36000/_xlfn.DAYS(L7695, $C$2)</f>
        <v>14.344326155265568</v>
      </c>
      <c r="O7695" s="149">
        <f t="shared" ca="1" si="252"/>
        <v>1.000173611111111</v>
      </c>
    </row>
    <row r="7696" spans="12:15" x14ac:dyDescent="0.25">
      <c r="L7696" s="147">
        <f ca="1"/>
        <v>52935</v>
      </c>
      <c r="M7696" s="92">
        <f t="shared" ca="1" si="251"/>
        <v>6.25</v>
      </c>
      <c r="N7696" s="143">
        <f ca="1">(PRODUCT($O$5:$O7696)-1)*36000/_xlfn.DAYS(L7696, $C$2)</f>
        <v>14.345763861418735</v>
      </c>
      <c r="O7696" s="149">
        <f t="shared" ca="1" si="252"/>
        <v>1.000173611111111</v>
      </c>
    </row>
    <row r="7697" spans="12:15" x14ac:dyDescent="0.25">
      <c r="L7697" s="147">
        <f ca="1"/>
        <v>52936</v>
      </c>
      <c r="M7697" s="92">
        <f t="shared" ca="1" si="251"/>
        <v>6.25</v>
      </c>
      <c r="N7697" s="143">
        <f ca="1">(PRODUCT($O$5:$O7697)-1)*36000/_xlfn.DAYS(L7697, $C$2)</f>
        <v>14.347201767085597</v>
      </c>
      <c r="O7697" s="149">
        <f t="shared" ca="1" si="252"/>
        <v>1.000173611111111</v>
      </c>
    </row>
    <row r="7698" spans="12:15" x14ac:dyDescent="0.25">
      <c r="L7698" s="147">
        <f ca="1"/>
        <v>52937</v>
      </c>
      <c r="M7698" s="92">
        <f t="shared" ca="1" si="251"/>
        <v>6.25</v>
      </c>
      <c r="N7698" s="143">
        <f ca="1">(PRODUCT($O$5:$O7698)-1)*36000/_xlfn.DAYS(L7698, $C$2)</f>
        <v>14.34863987228788</v>
      </c>
      <c r="O7698" s="149">
        <f t="shared" ca="1" si="252"/>
        <v>1.000173611111111</v>
      </c>
    </row>
    <row r="7699" spans="12:15" x14ac:dyDescent="0.25">
      <c r="L7699" s="147">
        <f ca="1"/>
        <v>52938</v>
      </c>
      <c r="M7699" s="92">
        <f t="shared" ca="1" si="251"/>
        <v>6.25</v>
      </c>
      <c r="N7699" s="143">
        <f ca="1">(PRODUCT($O$5:$O7699)-1)*36000/_xlfn.DAYS(L7699, $C$2)</f>
        <v>14.350078177047305</v>
      </c>
      <c r="O7699" s="149">
        <f t="shared" ca="1" si="252"/>
        <v>1.000173611111111</v>
      </c>
    </row>
    <row r="7700" spans="12:15" x14ac:dyDescent="0.25">
      <c r="L7700" s="147">
        <f ca="1"/>
        <v>52939</v>
      </c>
      <c r="M7700" s="92">
        <f t="shared" ca="1" si="251"/>
        <v>6.25</v>
      </c>
      <c r="N7700" s="143">
        <f ca="1">(PRODUCT($O$5:$O7700)-1)*36000/_xlfn.DAYS(L7700, $C$2)</f>
        <v>14.351516681385608</v>
      </c>
      <c r="O7700" s="149">
        <f t="shared" ca="1" si="252"/>
        <v>1.000173611111111</v>
      </c>
    </row>
    <row r="7701" spans="12:15" x14ac:dyDescent="0.25">
      <c r="L7701" s="147">
        <f ca="1"/>
        <v>52940</v>
      </c>
      <c r="M7701" s="92">
        <f t="shared" ca="1" si="251"/>
        <v>6.25</v>
      </c>
      <c r="N7701" s="143">
        <f ca="1">(PRODUCT($O$5:$O7701)-1)*36000/_xlfn.DAYS(L7701, $C$2)</f>
        <v>14.352955385324531</v>
      </c>
      <c r="O7701" s="149">
        <f t="shared" ca="1" si="252"/>
        <v>1.000173611111111</v>
      </c>
    </row>
    <row r="7702" spans="12:15" x14ac:dyDescent="0.25">
      <c r="L7702" s="147">
        <f ca="1"/>
        <v>52941</v>
      </c>
      <c r="M7702" s="92">
        <f t="shared" ca="1" si="251"/>
        <v>6.25</v>
      </c>
      <c r="N7702" s="143">
        <f ca="1">(PRODUCT($O$5:$O7702)-1)*36000/_xlfn.DAYS(L7702, $C$2)</f>
        <v>14.354394288885821</v>
      </c>
      <c r="O7702" s="149">
        <f t="shared" ca="1" si="252"/>
        <v>1.000173611111111</v>
      </c>
    </row>
    <row r="7703" spans="12:15" x14ac:dyDescent="0.25">
      <c r="L7703" s="147">
        <f ca="1"/>
        <v>52942</v>
      </c>
      <c r="M7703" s="92">
        <f t="shared" ca="1" si="251"/>
        <v>6.25</v>
      </c>
      <c r="N7703" s="143">
        <f ca="1">(PRODUCT($O$5:$O7703)-1)*36000/_xlfn.DAYS(L7703, $C$2)</f>
        <v>14.355833392091231</v>
      </c>
      <c r="O7703" s="149">
        <f t="shared" ca="1" si="252"/>
        <v>1.000173611111111</v>
      </c>
    </row>
    <row r="7704" spans="12:15" x14ac:dyDescent="0.25">
      <c r="L7704" s="147">
        <f ca="1"/>
        <v>52943</v>
      </c>
      <c r="M7704" s="92">
        <f t="shared" ca="1" si="251"/>
        <v>6.25</v>
      </c>
      <c r="N7704" s="143">
        <f ca="1">(PRODUCT($O$5:$O7704)-1)*36000/_xlfn.DAYS(L7704, $C$2)</f>
        <v>14.357272694962514</v>
      </c>
      <c r="O7704" s="149">
        <f t="shared" ca="1" si="252"/>
        <v>1.000173611111111</v>
      </c>
    </row>
    <row r="7705" spans="12:15" x14ac:dyDescent="0.25">
      <c r="L7705" s="147">
        <f ca="1"/>
        <v>52944</v>
      </c>
      <c r="M7705" s="92">
        <f t="shared" ca="1" si="251"/>
        <v>6.25</v>
      </c>
      <c r="N7705" s="143">
        <f ca="1">(PRODUCT($O$5:$O7705)-1)*36000/_xlfn.DAYS(L7705, $C$2)</f>
        <v>14.358712197521442</v>
      </c>
      <c r="O7705" s="149">
        <f t="shared" ca="1" si="252"/>
        <v>1.000173611111111</v>
      </c>
    </row>
    <row r="7706" spans="12:15" x14ac:dyDescent="0.25">
      <c r="L7706" s="147">
        <f ca="1"/>
        <v>52945</v>
      </c>
      <c r="M7706" s="92">
        <f t="shared" ca="1" si="251"/>
        <v>6.25</v>
      </c>
      <c r="N7706" s="143">
        <f ca="1">(PRODUCT($O$5:$O7706)-1)*36000/_xlfn.DAYS(L7706, $C$2)</f>
        <v>14.360151899789777</v>
      </c>
      <c r="O7706" s="149">
        <f t="shared" ca="1" si="252"/>
        <v>1.000173611111111</v>
      </c>
    </row>
    <row r="7707" spans="12:15" x14ac:dyDescent="0.25">
      <c r="L7707" s="147">
        <f ca="1"/>
        <v>52946</v>
      </c>
      <c r="M7707" s="92">
        <f t="shared" ca="1" si="251"/>
        <v>6.25</v>
      </c>
      <c r="N7707" s="143">
        <f ca="1">(PRODUCT($O$5:$O7707)-1)*36000/_xlfn.DAYS(L7707, $C$2)</f>
        <v>14.361591801789297</v>
      </c>
      <c r="O7707" s="149">
        <f t="shared" ca="1" si="252"/>
        <v>1.000173611111111</v>
      </c>
    </row>
    <row r="7708" spans="12:15" x14ac:dyDescent="0.25">
      <c r="L7708" s="147">
        <f ca="1"/>
        <v>52947</v>
      </c>
      <c r="M7708" s="92">
        <f t="shared" ca="1" si="251"/>
        <v>6.25</v>
      </c>
      <c r="N7708" s="143">
        <f ca="1">(PRODUCT($O$5:$O7708)-1)*36000/_xlfn.DAYS(L7708, $C$2)</f>
        <v>14.363031903541785</v>
      </c>
      <c r="O7708" s="149">
        <f t="shared" ca="1" si="252"/>
        <v>1.000173611111111</v>
      </c>
    </row>
    <row r="7709" spans="12:15" x14ac:dyDescent="0.25">
      <c r="L7709" s="147">
        <f ca="1"/>
        <v>52948</v>
      </c>
      <c r="M7709" s="92">
        <f t="shared" ca="1" si="251"/>
        <v>6.25</v>
      </c>
      <c r="N7709" s="143">
        <f ca="1">(PRODUCT($O$5:$O7709)-1)*36000/_xlfn.DAYS(L7709, $C$2)</f>
        <v>14.364472205069031</v>
      </c>
      <c r="O7709" s="149">
        <f t="shared" ca="1" si="252"/>
        <v>1.000173611111111</v>
      </c>
    </row>
    <row r="7710" spans="12:15" x14ac:dyDescent="0.25">
      <c r="L7710" s="147">
        <f ca="1"/>
        <v>52949</v>
      </c>
      <c r="M7710" s="92">
        <f t="shared" ca="1" si="251"/>
        <v>6.25</v>
      </c>
      <c r="N7710" s="143">
        <f ca="1">(PRODUCT($O$5:$O7710)-1)*36000/_xlfn.DAYS(L7710, $C$2)</f>
        <v>14.36591270639283</v>
      </c>
      <c r="O7710" s="149">
        <f t="shared" ca="1" si="252"/>
        <v>1.000173611111111</v>
      </c>
    </row>
    <row r="7711" spans="12:15" x14ac:dyDescent="0.25">
      <c r="L7711" s="147">
        <f ca="1"/>
        <v>52950</v>
      </c>
      <c r="M7711" s="92">
        <f t="shared" ca="1" si="251"/>
        <v>6.25</v>
      </c>
      <c r="N7711" s="143">
        <f ca="1">(PRODUCT($O$5:$O7711)-1)*36000/_xlfn.DAYS(L7711, $C$2)</f>
        <v>14.367353407534978</v>
      </c>
      <c r="O7711" s="149">
        <f t="shared" ca="1" si="252"/>
        <v>1.000173611111111</v>
      </c>
    </row>
    <row r="7712" spans="12:15" x14ac:dyDescent="0.25">
      <c r="L7712" s="147">
        <f ca="1"/>
        <v>52951</v>
      </c>
      <c r="M7712" s="92">
        <f t="shared" ca="1" si="251"/>
        <v>6.25</v>
      </c>
      <c r="N7712" s="143">
        <f ca="1">(PRODUCT($O$5:$O7712)-1)*36000/_xlfn.DAYS(L7712, $C$2)</f>
        <v>14.368794308517284</v>
      </c>
      <c r="O7712" s="149">
        <f t="shared" ca="1" si="252"/>
        <v>1.000173611111111</v>
      </c>
    </row>
    <row r="7713" spans="12:15" x14ac:dyDescent="0.25">
      <c r="L7713" s="147">
        <f ca="1"/>
        <v>52952</v>
      </c>
      <c r="M7713" s="92">
        <f t="shared" ca="1" si="251"/>
        <v>6.25</v>
      </c>
      <c r="N7713" s="143">
        <f ca="1">(PRODUCT($O$5:$O7713)-1)*36000/_xlfn.DAYS(L7713, $C$2)</f>
        <v>14.370235409361554</v>
      </c>
      <c r="O7713" s="149">
        <f t="shared" ca="1" si="252"/>
        <v>1.000173611111111</v>
      </c>
    </row>
    <row r="7714" spans="12:15" x14ac:dyDescent="0.25">
      <c r="L7714" s="147">
        <f ca="1"/>
        <v>52953</v>
      </c>
      <c r="M7714" s="92">
        <f t="shared" ca="1" si="251"/>
        <v>6.25</v>
      </c>
      <c r="N7714" s="143">
        <f ca="1">(PRODUCT($O$5:$O7714)-1)*36000/_xlfn.DAYS(L7714, $C$2)</f>
        <v>14.371676710089613</v>
      </c>
      <c r="O7714" s="149">
        <f t="shared" ca="1" si="252"/>
        <v>1.000173611111111</v>
      </c>
    </row>
    <row r="7715" spans="12:15" x14ac:dyDescent="0.25">
      <c r="L7715" s="147">
        <f ca="1"/>
        <v>52954</v>
      </c>
      <c r="M7715" s="92">
        <f t="shared" ca="1" si="251"/>
        <v>6.25</v>
      </c>
      <c r="N7715" s="143">
        <f ca="1">(PRODUCT($O$5:$O7715)-1)*36000/_xlfn.DAYS(L7715, $C$2)</f>
        <v>14.37311821072328</v>
      </c>
      <c r="O7715" s="149">
        <f t="shared" ca="1" si="252"/>
        <v>1.000173611111111</v>
      </c>
    </row>
    <row r="7716" spans="12:15" x14ac:dyDescent="0.25">
      <c r="L7716" s="147">
        <f ca="1"/>
        <v>52955</v>
      </c>
      <c r="M7716" s="92">
        <f t="shared" ca="1" si="251"/>
        <v>6.25</v>
      </c>
      <c r="N7716" s="143">
        <f ca="1">(PRODUCT($O$5:$O7716)-1)*36000/_xlfn.DAYS(L7716, $C$2)</f>
        <v>14.37455991128439</v>
      </c>
      <c r="O7716" s="149">
        <f t="shared" ca="1" si="252"/>
        <v>1.000173611111111</v>
      </c>
    </row>
    <row r="7717" spans="12:15" x14ac:dyDescent="0.25">
      <c r="L7717" s="147">
        <f ca="1"/>
        <v>52956</v>
      </c>
      <c r="M7717" s="92">
        <f t="shared" ca="1" si="251"/>
        <v>6.25</v>
      </c>
      <c r="N7717" s="143">
        <f ca="1">(PRODUCT($O$5:$O7717)-1)*36000/_xlfn.DAYS(L7717, $C$2)</f>
        <v>14.376001811794774</v>
      </c>
      <c r="O7717" s="149">
        <f t="shared" ca="1" si="252"/>
        <v>1.000173611111111</v>
      </c>
    </row>
    <row r="7718" spans="12:15" x14ac:dyDescent="0.25">
      <c r="L7718" s="147">
        <f ca="1"/>
        <v>52957</v>
      </c>
      <c r="M7718" s="92">
        <f t="shared" ca="1" si="251"/>
        <v>6.25</v>
      </c>
      <c r="N7718" s="143">
        <f ca="1">(PRODUCT($O$5:$O7718)-1)*36000/_xlfn.DAYS(L7718, $C$2)</f>
        <v>14.377443912276274</v>
      </c>
      <c r="O7718" s="149">
        <f t="shared" ca="1" si="252"/>
        <v>1.000173611111111</v>
      </c>
    </row>
    <row r="7719" spans="12:15" x14ac:dyDescent="0.25">
      <c r="L7719" s="147">
        <f ca="1"/>
        <v>52958</v>
      </c>
      <c r="M7719" s="92">
        <f t="shared" ca="1" si="251"/>
        <v>6.25</v>
      </c>
      <c r="N7719" s="143">
        <f ca="1">(PRODUCT($O$5:$O7719)-1)*36000/_xlfn.DAYS(L7719, $C$2)</f>
        <v>14.378886212750738</v>
      </c>
      <c r="O7719" s="149">
        <f t="shared" ca="1" si="252"/>
        <v>1.000173611111111</v>
      </c>
    </row>
    <row r="7720" spans="12:15" x14ac:dyDescent="0.25">
      <c r="L7720" s="147">
        <f ca="1"/>
        <v>52959</v>
      </c>
      <c r="M7720" s="92">
        <f t="shared" ca="1" si="251"/>
        <v>6.25</v>
      </c>
      <c r="N7720" s="143">
        <f ca="1">(PRODUCT($O$5:$O7720)-1)*36000/_xlfn.DAYS(L7720, $C$2)</f>
        <v>14.380328713240026</v>
      </c>
      <c r="O7720" s="149">
        <f t="shared" ca="1" si="252"/>
        <v>1.000173611111111</v>
      </c>
    </row>
    <row r="7721" spans="12:15" x14ac:dyDescent="0.25">
      <c r="L7721" s="147">
        <f ca="1"/>
        <v>52960</v>
      </c>
      <c r="M7721" s="92">
        <f t="shared" ca="1" si="251"/>
        <v>6.25</v>
      </c>
      <c r="N7721" s="143">
        <f ca="1">(PRODUCT($O$5:$O7721)-1)*36000/_xlfn.DAYS(L7721, $C$2)</f>
        <v>14.381771413765987</v>
      </c>
      <c r="O7721" s="149">
        <f t="shared" ca="1" si="252"/>
        <v>1.000173611111111</v>
      </c>
    </row>
    <row r="7722" spans="12:15" x14ac:dyDescent="0.25">
      <c r="L7722" s="147">
        <f ca="1"/>
        <v>52961</v>
      </c>
      <c r="M7722" s="92">
        <f t="shared" ca="1" si="251"/>
        <v>6.25</v>
      </c>
      <c r="N7722" s="143">
        <f ca="1">(PRODUCT($O$5:$O7722)-1)*36000/_xlfn.DAYS(L7722, $C$2)</f>
        <v>14.383214314350496</v>
      </c>
      <c r="O7722" s="149">
        <f t="shared" ca="1" si="252"/>
        <v>1.000173611111111</v>
      </c>
    </row>
    <row r="7723" spans="12:15" x14ac:dyDescent="0.25">
      <c r="L7723" s="147">
        <f ca="1"/>
        <v>52962</v>
      </c>
      <c r="M7723" s="92">
        <f t="shared" ca="1" si="251"/>
        <v>6.25</v>
      </c>
      <c r="N7723" s="143">
        <f ca="1">(PRODUCT($O$5:$O7723)-1)*36000/_xlfn.DAYS(L7723, $C$2)</f>
        <v>14.384657415015417</v>
      </c>
      <c r="O7723" s="149">
        <f t="shared" ca="1" si="252"/>
        <v>1.000173611111111</v>
      </c>
    </row>
    <row r="7724" spans="12:15" x14ac:dyDescent="0.25">
      <c r="L7724" s="147">
        <f ca="1"/>
        <v>52963</v>
      </c>
      <c r="M7724" s="92">
        <f t="shared" ca="1" si="251"/>
        <v>6.25</v>
      </c>
      <c r="N7724" s="143">
        <f ca="1">(PRODUCT($O$5:$O7724)-1)*36000/_xlfn.DAYS(L7724, $C$2)</f>
        <v>14.38610071578263</v>
      </c>
      <c r="O7724" s="149">
        <f t="shared" ca="1" si="252"/>
        <v>1.000173611111111</v>
      </c>
    </row>
    <row r="7725" spans="12:15" x14ac:dyDescent="0.25">
      <c r="L7725" s="147">
        <f ca="1"/>
        <v>52964</v>
      </c>
      <c r="M7725" s="92">
        <f t="shared" ca="1" si="251"/>
        <v>6.25</v>
      </c>
      <c r="N7725" s="143">
        <f ca="1">(PRODUCT($O$5:$O7725)-1)*36000/_xlfn.DAYS(L7725, $C$2)</f>
        <v>14.387544216674023</v>
      </c>
      <c r="O7725" s="149">
        <f t="shared" ca="1" si="252"/>
        <v>1.000173611111111</v>
      </c>
    </row>
    <row r="7726" spans="12:15" x14ac:dyDescent="0.25">
      <c r="L7726" s="147">
        <f ca="1"/>
        <v>52965</v>
      </c>
      <c r="M7726" s="92">
        <f t="shared" ca="1" si="251"/>
        <v>6.25</v>
      </c>
      <c r="N7726" s="143">
        <f ca="1">(PRODUCT($O$5:$O7726)-1)*36000/_xlfn.DAYS(L7726, $C$2)</f>
        <v>14.38898791771148</v>
      </c>
      <c r="O7726" s="149">
        <f t="shared" ca="1" si="252"/>
        <v>1.000173611111111</v>
      </c>
    </row>
    <row r="7727" spans="12:15" x14ac:dyDescent="0.25">
      <c r="L7727" s="147">
        <f ca="1"/>
        <v>52966</v>
      </c>
      <c r="M7727" s="92">
        <f t="shared" ca="1" si="251"/>
        <v>6.25</v>
      </c>
      <c r="N7727" s="143">
        <f ca="1">(PRODUCT($O$5:$O7727)-1)*36000/_xlfn.DAYS(L7727, $C$2)</f>
        <v>14.3904318189169</v>
      </c>
      <c r="O7727" s="149">
        <f t="shared" ca="1" si="252"/>
        <v>1.000173611111111</v>
      </c>
    </row>
    <row r="7728" spans="12:15" x14ac:dyDescent="0.25">
      <c r="L7728" s="147">
        <f ca="1"/>
        <v>52967</v>
      </c>
      <c r="M7728" s="92">
        <f t="shared" ca="1" si="251"/>
        <v>6.25</v>
      </c>
      <c r="N7728" s="143">
        <f ca="1">(PRODUCT($O$5:$O7728)-1)*36000/_xlfn.DAYS(L7728, $C$2)</f>
        <v>14.391875920312184</v>
      </c>
      <c r="O7728" s="149">
        <f t="shared" ca="1" si="252"/>
        <v>1.000173611111111</v>
      </c>
    </row>
    <row r="7729" spans="12:15" x14ac:dyDescent="0.25">
      <c r="L7729" s="147">
        <f ca="1"/>
        <v>52968</v>
      </c>
      <c r="M7729" s="92">
        <f t="shared" ca="1" si="251"/>
        <v>6.25</v>
      </c>
      <c r="N7729" s="143">
        <f ca="1">(PRODUCT($O$5:$O7729)-1)*36000/_xlfn.DAYS(L7729, $C$2)</f>
        <v>14.393320221919236</v>
      </c>
      <c r="O7729" s="149">
        <f t="shared" ca="1" si="252"/>
        <v>1.000173611111111</v>
      </c>
    </row>
    <row r="7730" spans="12:15" x14ac:dyDescent="0.25">
      <c r="L7730" s="147">
        <f ca="1"/>
        <v>52969</v>
      </c>
      <c r="M7730" s="92">
        <f t="shared" ca="1" si="251"/>
        <v>6.25</v>
      </c>
      <c r="N7730" s="143">
        <f ca="1">(PRODUCT($O$5:$O7730)-1)*36000/_xlfn.DAYS(L7730, $C$2)</f>
        <v>14.394764723759975</v>
      </c>
      <c r="O7730" s="149">
        <f t="shared" ca="1" si="252"/>
        <v>1.000173611111111</v>
      </c>
    </row>
    <row r="7731" spans="12:15" x14ac:dyDescent="0.25">
      <c r="L7731" s="147">
        <f ca="1"/>
        <v>52970</v>
      </c>
      <c r="M7731" s="92">
        <f t="shared" ca="1" si="251"/>
        <v>6.25</v>
      </c>
      <c r="N7731" s="143">
        <f ca="1">(PRODUCT($O$5:$O7731)-1)*36000/_xlfn.DAYS(L7731, $C$2)</f>
        <v>14.396209425856313</v>
      </c>
      <c r="O7731" s="149">
        <f t="shared" ca="1" si="252"/>
        <v>1.000173611111111</v>
      </c>
    </row>
    <row r="7732" spans="12:15" x14ac:dyDescent="0.25">
      <c r="L7732" s="147">
        <f ca="1"/>
        <v>52971</v>
      </c>
      <c r="M7732" s="92">
        <f t="shared" ca="1" si="251"/>
        <v>6.25</v>
      </c>
      <c r="N7732" s="143">
        <f ca="1">(PRODUCT($O$5:$O7732)-1)*36000/_xlfn.DAYS(L7732, $C$2)</f>
        <v>14.39765432823018</v>
      </c>
      <c r="O7732" s="149">
        <f t="shared" ca="1" si="252"/>
        <v>1.000173611111111</v>
      </c>
    </row>
    <row r="7733" spans="12:15" x14ac:dyDescent="0.25">
      <c r="L7733" s="147">
        <f ca="1"/>
        <v>52972</v>
      </c>
      <c r="M7733" s="92">
        <f t="shared" ca="1" si="251"/>
        <v>6.25</v>
      </c>
      <c r="N7733" s="143">
        <f ca="1">(PRODUCT($O$5:$O7733)-1)*36000/_xlfn.DAYS(L7733, $C$2)</f>
        <v>14.399099430903506</v>
      </c>
      <c r="O7733" s="149">
        <f t="shared" ca="1" si="252"/>
        <v>1.000173611111111</v>
      </c>
    </row>
    <row r="7734" spans="12:15" x14ac:dyDescent="0.25">
      <c r="L7734" s="147">
        <f ca="1"/>
        <v>52973</v>
      </c>
      <c r="M7734" s="92">
        <f t="shared" ca="1" si="251"/>
        <v>6.25</v>
      </c>
      <c r="N7734" s="143">
        <f ca="1">(PRODUCT($O$5:$O7734)-1)*36000/_xlfn.DAYS(L7734, $C$2)</f>
        <v>14.400544733898229</v>
      </c>
      <c r="O7734" s="149">
        <f t="shared" ca="1" si="252"/>
        <v>1.000173611111111</v>
      </c>
    </row>
    <row r="7735" spans="12:15" x14ac:dyDescent="0.25">
      <c r="L7735" s="147">
        <f ca="1"/>
        <v>52974</v>
      </c>
      <c r="M7735" s="92">
        <f t="shared" ca="1" si="251"/>
        <v>6.25</v>
      </c>
      <c r="N7735" s="143">
        <f ca="1">(PRODUCT($O$5:$O7735)-1)*36000/_xlfn.DAYS(L7735, $C$2)</f>
        <v>14.401990237236289</v>
      </c>
      <c r="O7735" s="149">
        <f t="shared" ca="1" si="252"/>
        <v>1.000173611111111</v>
      </c>
    </row>
    <row r="7736" spans="12:15" x14ac:dyDescent="0.25">
      <c r="L7736" s="147">
        <f ca="1"/>
        <v>52975</v>
      </c>
      <c r="M7736" s="92">
        <f t="shared" ca="1" si="251"/>
        <v>6.25</v>
      </c>
      <c r="N7736" s="143">
        <f ca="1">(PRODUCT($O$5:$O7736)-1)*36000/_xlfn.DAYS(L7736, $C$2)</f>
        <v>14.403435940939636</v>
      </c>
      <c r="O7736" s="149">
        <f t="shared" ca="1" si="252"/>
        <v>1.000173611111111</v>
      </c>
    </row>
    <row r="7737" spans="12:15" x14ac:dyDescent="0.25">
      <c r="L7737" s="147">
        <f ca="1"/>
        <v>52976</v>
      </c>
      <c r="M7737" s="92">
        <f t="shared" ca="1" si="251"/>
        <v>6.25</v>
      </c>
      <c r="N7737" s="143">
        <f ca="1">(PRODUCT($O$5:$O7737)-1)*36000/_xlfn.DAYS(L7737, $C$2)</f>
        <v>14.404881845030229</v>
      </c>
      <c r="O7737" s="149">
        <f t="shared" ca="1" si="252"/>
        <v>1.000173611111111</v>
      </c>
    </row>
    <row r="7738" spans="12:15" x14ac:dyDescent="0.25">
      <c r="L7738" s="147">
        <f ca="1"/>
        <v>52977</v>
      </c>
      <c r="M7738" s="92">
        <f t="shared" ca="1" si="251"/>
        <v>6.25</v>
      </c>
      <c r="N7738" s="143">
        <f ca="1">(PRODUCT($O$5:$O7738)-1)*36000/_xlfn.DAYS(L7738, $C$2)</f>
        <v>14.406327949530025</v>
      </c>
      <c r="O7738" s="149">
        <f t="shared" ca="1" si="252"/>
        <v>1.000173611111111</v>
      </c>
    </row>
    <row r="7739" spans="12:15" x14ac:dyDescent="0.25">
      <c r="L7739" s="147">
        <f ca="1"/>
        <v>52978</v>
      </c>
      <c r="M7739" s="92">
        <f t="shared" ca="1" si="251"/>
        <v>6.25</v>
      </c>
      <c r="N7739" s="143">
        <f ca="1">(PRODUCT($O$5:$O7739)-1)*36000/_xlfn.DAYS(L7739, $C$2)</f>
        <v>14.407774254460991</v>
      </c>
      <c r="O7739" s="149">
        <f t="shared" ca="1" si="252"/>
        <v>1.000173611111111</v>
      </c>
    </row>
    <row r="7740" spans="12:15" x14ac:dyDescent="0.25">
      <c r="L7740" s="147">
        <f ca="1"/>
        <v>52979</v>
      </c>
      <c r="M7740" s="92">
        <f t="shared" ca="1" si="251"/>
        <v>6.25</v>
      </c>
      <c r="N7740" s="143">
        <f ca="1">(PRODUCT($O$5:$O7740)-1)*36000/_xlfn.DAYS(L7740, $C$2)</f>
        <v>14.4092207598451</v>
      </c>
      <c r="O7740" s="149">
        <f t="shared" ca="1" si="252"/>
        <v>1.000173611111111</v>
      </c>
    </row>
    <row r="7741" spans="12:15" x14ac:dyDescent="0.25">
      <c r="L7741" s="147">
        <f ca="1"/>
        <v>52980</v>
      </c>
      <c r="M7741" s="92">
        <f t="shared" ca="1" si="251"/>
        <v>6.25</v>
      </c>
      <c r="N7741" s="143">
        <f ca="1">(PRODUCT($O$5:$O7741)-1)*36000/_xlfn.DAYS(L7741, $C$2)</f>
        <v>14.410667465704332</v>
      </c>
      <c r="O7741" s="149">
        <f t="shared" ca="1" si="252"/>
        <v>1.000173611111111</v>
      </c>
    </row>
    <row r="7742" spans="12:15" x14ac:dyDescent="0.25">
      <c r="L7742" s="147">
        <f ca="1"/>
        <v>52981</v>
      </c>
      <c r="M7742" s="92">
        <f t="shared" ca="1" si="251"/>
        <v>6.25</v>
      </c>
      <c r="N7742" s="143">
        <f ca="1">(PRODUCT($O$5:$O7742)-1)*36000/_xlfn.DAYS(L7742, $C$2)</f>
        <v>14.412114372060671</v>
      </c>
      <c r="O7742" s="149">
        <f t="shared" ca="1" si="252"/>
        <v>1.000173611111111</v>
      </c>
    </row>
    <row r="7743" spans="12:15" x14ac:dyDescent="0.25">
      <c r="L7743" s="147">
        <f ca="1"/>
        <v>52982</v>
      </c>
      <c r="M7743" s="92">
        <f t="shared" ca="1" si="251"/>
        <v>6.25</v>
      </c>
      <c r="N7743" s="143">
        <f ca="1">(PRODUCT($O$5:$O7743)-1)*36000/_xlfn.DAYS(L7743, $C$2)</f>
        <v>14.413561478936108</v>
      </c>
      <c r="O7743" s="149">
        <f t="shared" ca="1" si="252"/>
        <v>1.000173611111111</v>
      </c>
    </row>
    <row r="7744" spans="12:15" x14ac:dyDescent="0.25">
      <c r="L7744" s="147">
        <f ca="1"/>
        <v>52983</v>
      </c>
      <c r="M7744" s="92">
        <f t="shared" ca="1" si="251"/>
        <v>6.25</v>
      </c>
      <c r="N7744" s="143">
        <f ca="1">(PRODUCT($O$5:$O7744)-1)*36000/_xlfn.DAYS(L7744, $C$2)</f>
        <v>14.415008786352638</v>
      </c>
      <c r="O7744" s="149">
        <f t="shared" ca="1" si="252"/>
        <v>1.000173611111111</v>
      </c>
    </row>
    <row r="7745" spans="12:15" x14ac:dyDescent="0.25">
      <c r="L7745" s="147">
        <f ca="1"/>
        <v>52984</v>
      </c>
      <c r="M7745" s="92">
        <f t="shared" ca="1" si="251"/>
        <v>6.25</v>
      </c>
      <c r="N7745" s="143">
        <f ca="1">(PRODUCT($O$5:$O7745)-1)*36000/_xlfn.DAYS(L7745, $C$2)</f>
        <v>14.416456294332265</v>
      </c>
      <c r="O7745" s="149">
        <f t="shared" ca="1" si="252"/>
        <v>1.000173611111111</v>
      </c>
    </row>
    <row r="7746" spans="12:15" x14ac:dyDescent="0.25">
      <c r="L7746" s="147">
        <f ca="1"/>
        <v>52985</v>
      </c>
      <c r="M7746" s="92">
        <f t="shared" ca="1" si="251"/>
        <v>6.25</v>
      </c>
      <c r="N7746" s="143">
        <f ca="1">(PRODUCT($O$5:$O7746)-1)*36000/_xlfn.DAYS(L7746, $C$2)</f>
        <v>14.417904002896998</v>
      </c>
      <c r="O7746" s="149">
        <f t="shared" ca="1" si="252"/>
        <v>1.000173611111111</v>
      </c>
    </row>
    <row r="7747" spans="12:15" x14ac:dyDescent="0.25">
      <c r="L7747" s="147">
        <f ca="1"/>
        <v>52986</v>
      </c>
      <c r="M7747" s="92">
        <f t="shared" ca="1" si="251"/>
        <v>6.25</v>
      </c>
      <c r="N7747" s="143">
        <f ca="1">(PRODUCT($O$5:$O7747)-1)*36000/_xlfn.DAYS(L7747, $C$2)</f>
        <v>14.419351912068851</v>
      </c>
      <c r="O7747" s="149">
        <f t="shared" ca="1" si="252"/>
        <v>1.000173611111111</v>
      </c>
    </row>
    <row r="7748" spans="12:15" x14ac:dyDescent="0.25">
      <c r="L7748" s="147">
        <f ca="1"/>
        <v>52987</v>
      </c>
      <c r="M7748" s="92">
        <f t="shared" ca="1" si="251"/>
        <v>6.25</v>
      </c>
      <c r="N7748" s="143">
        <f ca="1">(PRODUCT($O$5:$O7748)-1)*36000/_xlfn.DAYS(L7748, $C$2)</f>
        <v>14.420800021869844</v>
      </c>
      <c r="O7748" s="149">
        <f t="shared" ca="1" si="252"/>
        <v>1.000173611111111</v>
      </c>
    </row>
    <row r="7749" spans="12:15" x14ac:dyDescent="0.25">
      <c r="L7749" s="147">
        <f ca="1"/>
        <v>52988</v>
      </c>
      <c r="M7749" s="92">
        <f t="shared" ref="M7749:M7812" ca="1" si="253">IFERROR(INDEX($E$27:$H$47, MATCH(L7749, $F$27:$F$47, 0), 4), IF(ISNUMBER(M7748), M7748, $C$5))</f>
        <v>6.25</v>
      </c>
      <c r="N7749" s="143">
        <f ca="1">(PRODUCT($O$5:$O7749)-1)*36000/_xlfn.DAYS(L7749, $C$2)</f>
        <v>14.422248332322004</v>
      </c>
      <c r="O7749" s="149">
        <f t="shared" ca="1" si="252"/>
        <v>1.000173611111111</v>
      </c>
    </row>
    <row r="7750" spans="12:15" x14ac:dyDescent="0.25">
      <c r="L7750" s="147">
        <f ca="1"/>
        <v>52989</v>
      </c>
      <c r="M7750" s="92">
        <f t="shared" ca="1" si="253"/>
        <v>6.25</v>
      </c>
      <c r="N7750" s="143">
        <f ca="1">(PRODUCT($O$5:$O7750)-1)*36000/_xlfn.DAYS(L7750, $C$2)</f>
        <v>14.423696843447358</v>
      </c>
      <c r="O7750" s="149">
        <f t="shared" ref="O7750:O7813" ca="1" si="254">1+M7750*IFERROR(_xlfn.DAYS(L7750, L7749), _xlfn.DAYS(L7750, $C$2))/36000</f>
        <v>1.000173611111111</v>
      </c>
    </row>
    <row r="7751" spans="12:15" x14ac:dyDescent="0.25">
      <c r="L7751" s="147">
        <f ca="1"/>
        <v>52990</v>
      </c>
      <c r="M7751" s="92">
        <f t="shared" ca="1" si="253"/>
        <v>6.25</v>
      </c>
      <c r="N7751" s="143">
        <f ca="1">(PRODUCT($O$5:$O7751)-1)*36000/_xlfn.DAYS(L7751, $C$2)</f>
        <v>14.425145555267953</v>
      </c>
      <c r="O7751" s="149">
        <f t="shared" ca="1" si="254"/>
        <v>1.000173611111111</v>
      </c>
    </row>
    <row r="7752" spans="12:15" x14ac:dyDescent="0.25">
      <c r="L7752" s="147">
        <f ca="1"/>
        <v>52991</v>
      </c>
      <c r="M7752" s="92">
        <f t="shared" ca="1" si="253"/>
        <v>6.25</v>
      </c>
      <c r="N7752" s="143">
        <f ca="1">(PRODUCT($O$5:$O7752)-1)*36000/_xlfn.DAYS(L7752, $C$2)</f>
        <v>14.426594467805824</v>
      </c>
      <c r="O7752" s="149">
        <f t="shared" ca="1" si="254"/>
        <v>1.000173611111111</v>
      </c>
    </row>
    <row r="7753" spans="12:15" x14ac:dyDescent="0.25">
      <c r="L7753" s="147">
        <f ca="1"/>
        <v>52992</v>
      </c>
      <c r="M7753" s="92">
        <f t="shared" ca="1" si="253"/>
        <v>6.25</v>
      </c>
      <c r="N7753" s="143">
        <f ca="1">(PRODUCT($O$5:$O7753)-1)*36000/_xlfn.DAYS(L7753, $C$2)</f>
        <v>14.428043581083031</v>
      </c>
      <c r="O7753" s="149">
        <f t="shared" ca="1" si="254"/>
        <v>1.000173611111111</v>
      </c>
    </row>
    <row r="7754" spans="12:15" x14ac:dyDescent="0.25">
      <c r="L7754" s="147">
        <f ca="1"/>
        <v>52993</v>
      </c>
      <c r="M7754" s="92">
        <f t="shared" ca="1" si="253"/>
        <v>6.25</v>
      </c>
      <c r="N7754" s="143">
        <f ca="1">(PRODUCT($O$5:$O7754)-1)*36000/_xlfn.DAYS(L7754, $C$2)</f>
        <v>14.429492895121625</v>
      </c>
      <c r="O7754" s="149">
        <f t="shared" ca="1" si="254"/>
        <v>1.000173611111111</v>
      </c>
    </row>
    <row r="7755" spans="12:15" x14ac:dyDescent="0.25">
      <c r="L7755" s="147">
        <f ca="1"/>
        <v>52994</v>
      </c>
      <c r="M7755" s="92">
        <f t="shared" ca="1" si="253"/>
        <v>6.25</v>
      </c>
      <c r="N7755" s="143">
        <f ca="1">(PRODUCT($O$5:$O7755)-1)*36000/_xlfn.DAYS(L7755, $C$2)</f>
        <v>14.430942409943665</v>
      </c>
      <c r="O7755" s="149">
        <f t="shared" ca="1" si="254"/>
        <v>1.000173611111111</v>
      </c>
    </row>
    <row r="7756" spans="12:15" x14ac:dyDescent="0.25">
      <c r="L7756" s="147">
        <f ca="1"/>
        <v>52995</v>
      </c>
      <c r="M7756" s="92">
        <f t="shared" ca="1" si="253"/>
        <v>6.25</v>
      </c>
      <c r="N7756" s="143">
        <f ca="1">(PRODUCT($O$5:$O7756)-1)*36000/_xlfn.DAYS(L7756, $C$2)</f>
        <v>14.432392125571221</v>
      </c>
      <c r="O7756" s="149">
        <f t="shared" ca="1" si="254"/>
        <v>1.000173611111111</v>
      </c>
    </row>
    <row r="7757" spans="12:15" x14ac:dyDescent="0.25">
      <c r="L7757" s="147">
        <f ca="1"/>
        <v>52996</v>
      </c>
      <c r="M7757" s="92">
        <f t="shared" ca="1" si="253"/>
        <v>6.25</v>
      </c>
      <c r="N7757" s="143">
        <f ca="1">(PRODUCT($O$5:$O7757)-1)*36000/_xlfn.DAYS(L7757, $C$2)</f>
        <v>14.433842042026368</v>
      </c>
      <c r="O7757" s="149">
        <f t="shared" ca="1" si="254"/>
        <v>1.000173611111111</v>
      </c>
    </row>
    <row r="7758" spans="12:15" x14ac:dyDescent="0.25">
      <c r="L7758" s="147">
        <f ca="1"/>
        <v>52997</v>
      </c>
      <c r="M7758" s="92">
        <f t="shared" ca="1" si="253"/>
        <v>6.25</v>
      </c>
      <c r="N7758" s="143">
        <f ca="1">(PRODUCT($O$5:$O7758)-1)*36000/_xlfn.DAYS(L7758, $C$2)</f>
        <v>14.435292159331183</v>
      </c>
      <c r="O7758" s="149">
        <f t="shared" ca="1" si="254"/>
        <v>1.000173611111111</v>
      </c>
    </row>
    <row r="7759" spans="12:15" x14ac:dyDescent="0.25">
      <c r="L7759" s="147">
        <f ca="1"/>
        <v>52998</v>
      </c>
      <c r="M7759" s="92">
        <f t="shared" ca="1" si="253"/>
        <v>6.25</v>
      </c>
      <c r="N7759" s="143">
        <f ca="1">(PRODUCT($O$5:$O7759)-1)*36000/_xlfn.DAYS(L7759, $C$2)</f>
        <v>14.436742477507753</v>
      </c>
      <c r="O7759" s="149">
        <f t="shared" ca="1" si="254"/>
        <v>1.000173611111111</v>
      </c>
    </row>
    <row r="7760" spans="12:15" x14ac:dyDescent="0.25">
      <c r="L7760" s="147">
        <f ca="1"/>
        <v>52999</v>
      </c>
      <c r="M7760" s="92">
        <f t="shared" ca="1" si="253"/>
        <v>6.25</v>
      </c>
      <c r="N7760" s="143">
        <f ca="1">(PRODUCT($O$5:$O7760)-1)*36000/_xlfn.DAYS(L7760, $C$2)</f>
        <v>14.438192996578172</v>
      </c>
      <c r="O7760" s="149">
        <f t="shared" ca="1" si="254"/>
        <v>1.000173611111111</v>
      </c>
    </row>
    <row r="7761" spans="12:15" x14ac:dyDescent="0.25">
      <c r="L7761" s="147">
        <f ca="1"/>
        <v>53000</v>
      </c>
      <c r="M7761" s="92">
        <f t="shared" ca="1" si="253"/>
        <v>6.25</v>
      </c>
      <c r="N7761" s="143">
        <f ca="1">(PRODUCT($O$5:$O7761)-1)*36000/_xlfn.DAYS(L7761, $C$2)</f>
        <v>14.439643716564536</v>
      </c>
      <c r="O7761" s="149">
        <f t="shared" ca="1" si="254"/>
        <v>1.000173611111111</v>
      </c>
    </row>
    <row r="7762" spans="12:15" x14ac:dyDescent="0.25">
      <c r="L7762" s="147">
        <f ca="1"/>
        <v>53001</v>
      </c>
      <c r="M7762" s="92">
        <f t="shared" ca="1" si="253"/>
        <v>6.25</v>
      </c>
      <c r="N7762" s="143">
        <f ca="1">(PRODUCT($O$5:$O7762)-1)*36000/_xlfn.DAYS(L7762, $C$2)</f>
        <v>14.441094637488945</v>
      </c>
      <c r="O7762" s="149">
        <f t="shared" ca="1" si="254"/>
        <v>1.000173611111111</v>
      </c>
    </row>
    <row r="7763" spans="12:15" x14ac:dyDescent="0.25">
      <c r="L7763" s="147">
        <f ca="1"/>
        <v>53002</v>
      </c>
      <c r="M7763" s="92">
        <f t="shared" ca="1" si="253"/>
        <v>6.25</v>
      </c>
      <c r="N7763" s="143">
        <f ca="1">(PRODUCT($O$5:$O7763)-1)*36000/_xlfn.DAYS(L7763, $C$2)</f>
        <v>14.442545759373514</v>
      </c>
      <c r="O7763" s="149">
        <f t="shared" ca="1" si="254"/>
        <v>1.000173611111111</v>
      </c>
    </row>
    <row r="7764" spans="12:15" x14ac:dyDescent="0.25">
      <c r="L7764" s="147">
        <f ca="1"/>
        <v>53003</v>
      </c>
      <c r="M7764" s="92">
        <f t="shared" ca="1" si="253"/>
        <v>6.25</v>
      </c>
      <c r="N7764" s="143">
        <f ca="1">(PRODUCT($O$5:$O7764)-1)*36000/_xlfn.DAYS(L7764, $C$2)</f>
        <v>14.443997082240355</v>
      </c>
      <c r="O7764" s="149">
        <f t="shared" ca="1" si="254"/>
        <v>1.000173611111111</v>
      </c>
    </row>
    <row r="7765" spans="12:15" x14ac:dyDescent="0.25">
      <c r="L7765" s="147">
        <f ca="1"/>
        <v>53004</v>
      </c>
      <c r="M7765" s="92">
        <f t="shared" ca="1" si="253"/>
        <v>6.25</v>
      </c>
      <c r="N7765" s="143">
        <f ca="1">(PRODUCT($O$5:$O7765)-1)*36000/_xlfn.DAYS(L7765, $C$2)</f>
        <v>14.44544860611159</v>
      </c>
      <c r="O7765" s="149">
        <f t="shared" ca="1" si="254"/>
        <v>1.000173611111111</v>
      </c>
    </row>
    <row r="7766" spans="12:15" x14ac:dyDescent="0.25">
      <c r="L7766" s="147">
        <f ca="1"/>
        <v>53005</v>
      </c>
      <c r="M7766" s="92">
        <f t="shared" ca="1" si="253"/>
        <v>6.25</v>
      </c>
      <c r="N7766" s="143">
        <f ca="1">(PRODUCT($O$5:$O7766)-1)*36000/_xlfn.DAYS(L7766, $C$2)</f>
        <v>14.446900331009346</v>
      </c>
      <c r="O7766" s="149">
        <f t="shared" ca="1" si="254"/>
        <v>1.000173611111111</v>
      </c>
    </row>
    <row r="7767" spans="12:15" x14ac:dyDescent="0.25">
      <c r="L7767" s="147">
        <f ca="1"/>
        <v>53006</v>
      </c>
      <c r="M7767" s="92">
        <f t="shared" ca="1" si="253"/>
        <v>6.25</v>
      </c>
      <c r="N7767" s="143">
        <f ca="1">(PRODUCT($O$5:$O7767)-1)*36000/_xlfn.DAYS(L7767, $C$2)</f>
        <v>14.448352256955756</v>
      </c>
      <c r="O7767" s="149">
        <f t="shared" ca="1" si="254"/>
        <v>1.000173611111111</v>
      </c>
    </row>
    <row r="7768" spans="12:15" x14ac:dyDescent="0.25">
      <c r="L7768" s="147">
        <f ca="1"/>
        <v>53007</v>
      </c>
      <c r="M7768" s="92">
        <f t="shared" ca="1" si="253"/>
        <v>6.25</v>
      </c>
      <c r="N7768" s="143">
        <f ca="1">(PRODUCT($O$5:$O7768)-1)*36000/_xlfn.DAYS(L7768, $C$2)</f>
        <v>14.44980438397296</v>
      </c>
      <c r="O7768" s="149">
        <f t="shared" ca="1" si="254"/>
        <v>1.000173611111111</v>
      </c>
    </row>
    <row r="7769" spans="12:15" x14ac:dyDescent="0.25">
      <c r="L7769" s="147">
        <f ca="1"/>
        <v>53008</v>
      </c>
      <c r="M7769" s="92">
        <f t="shared" ca="1" si="253"/>
        <v>6.25</v>
      </c>
      <c r="N7769" s="143">
        <f ca="1">(PRODUCT($O$5:$O7769)-1)*36000/_xlfn.DAYS(L7769, $C$2)</f>
        <v>14.451256712083101</v>
      </c>
      <c r="O7769" s="149">
        <f t="shared" ca="1" si="254"/>
        <v>1.000173611111111</v>
      </c>
    </row>
    <row r="7770" spans="12:15" x14ac:dyDescent="0.25">
      <c r="L7770" s="147">
        <f ca="1"/>
        <v>53009</v>
      </c>
      <c r="M7770" s="92">
        <f t="shared" ca="1" si="253"/>
        <v>6.25</v>
      </c>
      <c r="N7770" s="143">
        <f ca="1">(PRODUCT($O$5:$O7770)-1)*36000/_xlfn.DAYS(L7770, $C$2)</f>
        <v>14.452709241308332</v>
      </c>
      <c r="O7770" s="149">
        <f t="shared" ca="1" si="254"/>
        <v>1.000173611111111</v>
      </c>
    </row>
    <row r="7771" spans="12:15" x14ac:dyDescent="0.25">
      <c r="L7771" s="147">
        <f ca="1"/>
        <v>53010</v>
      </c>
      <c r="M7771" s="92">
        <f t="shared" ca="1" si="253"/>
        <v>6.25</v>
      </c>
      <c r="N7771" s="143">
        <f ca="1">(PRODUCT($O$5:$O7771)-1)*36000/_xlfn.DAYS(L7771, $C$2)</f>
        <v>14.454161971670807</v>
      </c>
      <c r="O7771" s="149">
        <f t="shared" ca="1" si="254"/>
        <v>1.000173611111111</v>
      </c>
    </row>
    <row r="7772" spans="12:15" x14ac:dyDescent="0.25">
      <c r="L7772" s="147">
        <f ca="1"/>
        <v>53011</v>
      </c>
      <c r="M7772" s="92">
        <f t="shared" ca="1" si="253"/>
        <v>6.25</v>
      </c>
      <c r="N7772" s="143">
        <f ca="1">(PRODUCT($O$5:$O7772)-1)*36000/_xlfn.DAYS(L7772, $C$2)</f>
        <v>14.455614903192693</v>
      </c>
      <c r="O7772" s="149">
        <f t="shared" ca="1" si="254"/>
        <v>1.000173611111111</v>
      </c>
    </row>
    <row r="7773" spans="12:15" x14ac:dyDescent="0.25">
      <c r="L7773" s="147">
        <f ca="1"/>
        <v>53012</v>
      </c>
      <c r="M7773" s="92">
        <f t="shared" ca="1" si="253"/>
        <v>6.25</v>
      </c>
      <c r="N7773" s="143">
        <f ca="1">(PRODUCT($O$5:$O7773)-1)*36000/_xlfn.DAYS(L7773, $C$2)</f>
        <v>14.457068035896151</v>
      </c>
      <c r="O7773" s="149">
        <f t="shared" ca="1" si="254"/>
        <v>1.000173611111111</v>
      </c>
    </row>
    <row r="7774" spans="12:15" x14ac:dyDescent="0.25">
      <c r="L7774" s="147">
        <f ca="1"/>
        <v>53013</v>
      </c>
      <c r="M7774" s="92">
        <f t="shared" ca="1" si="253"/>
        <v>6.25</v>
      </c>
      <c r="N7774" s="143">
        <f ca="1">(PRODUCT($O$5:$O7774)-1)*36000/_xlfn.DAYS(L7774, $C$2)</f>
        <v>14.458521369803364</v>
      </c>
      <c r="O7774" s="149">
        <f t="shared" ca="1" si="254"/>
        <v>1.000173611111111</v>
      </c>
    </row>
    <row r="7775" spans="12:15" x14ac:dyDescent="0.25">
      <c r="L7775" s="147">
        <f ca="1"/>
        <v>53014</v>
      </c>
      <c r="M7775" s="92">
        <f t="shared" ca="1" si="253"/>
        <v>6.25</v>
      </c>
      <c r="N7775" s="143">
        <f ca="1">(PRODUCT($O$5:$O7775)-1)*36000/_xlfn.DAYS(L7775, $C$2)</f>
        <v>14.459974904936507</v>
      </c>
      <c r="O7775" s="149">
        <f t="shared" ca="1" si="254"/>
        <v>1.000173611111111</v>
      </c>
    </row>
    <row r="7776" spans="12:15" x14ac:dyDescent="0.25">
      <c r="L7776" s="147">
        <f ca="1"/>
        <v>53015</v>
      </c>
      <c r="M7776" s="92">
        <f t="shared" ca="1" si="253"/>
        <v>6.25</v>
      </c>
      <c r="N7776" s="143">
        <f ca="1">(PRODUCT($O$5:$O7776)-1)*36000/_xlfn.DAYS(L7776, $C$2)</f>
        <v>14.461428641317768</v>
      </c>
      <c r="O7776" s="149">
        <f t="shared" ca="1" si="254"/>
        <v>1.000173611111111</v>
      </c>
    </row>
    <row r="7777" spans="12:15" x14ac:dyDescent="0.25">
      <c r="L7777" s="147">
        <f ca="1"/>
        <v>53016</v>
      </c>
      <c r="M7777" s="92">
        <f t="shared" ca="1" si="253"/>
        <v>6.25</v>
      </c>
      <c r="N7777" s="143">
        <f ca="1">(PRODUCT($O$5:$O7777)-1)*36000/_xlfn.DAYS(L7777, $C$2)</f>
        <v>14.462882578969342</v>
      </c>
      <c r="O7777" s="149">
        <f t="shared" ca="1" si="254"/>
        <v>1.000173611111111</v>
      </c>
    </row>
    <row r="7778" spans="12:15" x14ac:dyDescent="0.25">
      <c r="L7778" s="147">
        <f ca="1"/>
        <v>53017</v>
      </c>
      <c r="M7778" s="92">
        <f t="shared" ca="1" si="253"/>
        <v>6.25</v>
      </c>
      <c r="N7778" s="143">
        <f ca="1">(PRODUCT($O$5:$O7778)-1)*36000/_xlfn.DAYS(L7778, $C$2)</f>
        <v>14.464336717913422</v>
      </c>
      <c r="O7778" s="149">
        <f t="shared" ca="1" si="254"/>
        <v>1.000173611111111</v>
      </c>
    </row>
    <row r="7779" spans="12:15" x14ac:dyDescent="0.25">
      <c r="L7779" s="147">
        <f ca="1"/>
        <v>53018</v>
      </c>
      <c r="M7779" s="92">
        <f t="shared" ca="1" si="253"/>
        <v>6.25</v>
      </c>
      <c r="N7779" s="143">
        <f ca="1">(PRODUCT($O$5:$O7779)-1)*36000/_xlfn.DAYS(L7779, $C$2)</f>
        <v>14.465791058172213</v>
      </c>
      <c r="O7779" s="149">
        <f t="shared" ca="1" si="254"/>
        <v>1.000173611111111</v>
      </c>
    </row>
    <row r="7780" spans="12:15" x14ac:dyDescent="0.25">
      <c r="L7780" s="147">
        <f ca="1"/>
        <v>53019</v>
      </c>
      <c r="M7780" s="92">
        <f t="shared" ca="1" si="253"/>
        <v>6.25</v>
      </c>
      <c r="N7780" s="143">
        <f ca="1">(PRODUCT($O$5:$O7780)-1)*36000/_xlfn.DAYS(L7780, $C$2)</f>
        <v>14.46724559976793</v>
      </c>
      <c r="O7780" s="149">
        <f t="shared" ca="1" si="254"/>
        <v>1.000173611111111</v>
      </c>
    </row>
    <row r="7781" spans="12:15" x14ac:dyDescent="0.25">
      <c r="L7781" s="147">
        <f ca="1"/>
        <v>53020</v>
      </c>
      <c r="M7781" s="92">
        <f t="shared" ca="1" si="253"/>
        <v>6.25</v>
      </c>
      <c r="N7781" s="143">
        <f ca="1">(PRODUCT($O$5:$O7781)-1)*36000/_xlfn.DAYS(L7781, $C$2)</f>
        <v>14.468700342722785</v>
      </c>
      <c r="O7781" s="149">
        <f t="shared" ca="1" si="254"/>
        <v>1.000173611111111</v>
      </c>
    </row>
    <row r="7782" spans="12:15" x14ac:dyDescent="0.25">
      <c r="L7782" s="147">
        <f ca="1"/>
        <v>53021</v>
      </c>
      <c r="M7782" s="92">
        <f t="shared" ca="1" si="253"/>
        <v>6.25</v>
      </c>
      <c r="N7782" s="143">
        <f ca="1">(PRODUCT($O$5:$O7782)-1)*36000/_xlfn.DAYS(L7782, $C$2)</f>
        <v>14.470155287059002</v>
      </c>
      <c r="O7782" s="149">
        <f t="shared" ca="1" si="254"/>
        <v>1.000173611111111</v>
      </c>
    </row>
    <row r="7783" spans="12:15" x14ac:dyDescent="0.25">
      <c r="L7783" s="147">
        <f ca="1"/>
        <v>53022</v>
      </c>
      <c r="M7783" s="92">
        <f t="shared" ca="1" si="253"/>
        <v>6.25</v>
      </c>
      <c r="N7783" s="143">
        <f ca="1">(PRODUCT($O$5:$O7783)-1)*36000/_xlfn.DAYS(L7783, $C$2)</f>
        <v>14.471610432798807</v>
      </c>
      <c r="O7783" s="149">
        <f t="shared" ca="1" si="254"/>
        <v>1.000173611111111</v>
      </c>
    </row>
    <row r="7784" spans="12:15" x14ac:dyDescent="0.25">
      <c r="L7784" s="147">
        <f ca="1"/>
        <v>53023</v>
      </c>
      <c r="M7784" s="92">
        <f t="shared" ca="1" si="253"/>
        <v>6.25</v>
      </c>
      <c r="N7784" s="143">
        <f ca="1">(PRODUCT($O$5:$O7784)-1)*36000/_xlfn.DAYS(L7784, $C$2)</f>
        <v>14.473065779964433</v>
      </c>
      <c r="O7784" s="149">
        <f t="shared" ca="1" si="254"/>
        <v>1.000173611111111</v>
      </c>
    </row>
    <row r="7785" spans="12:15" x14ac:dyDescent="0.25">
      <c r="L7785" s="147">
        <f ca="1"/>
        <v>53024</v>
      </c>
      <c r="M7785" s="92">
        <f t="shared" ca="1" si="253"/>
        <v>6.25</v>
      </c>
      <c r="N7785" s="143">
        <f ca="1">(PRODUCT($O$5:$O7785)-1)*36000/_xlfn.DAYS(L7785, $C$2)</f>
        <v>14.47452132857812</v>
      </c>
      <c r="O7785" s="149">
        <f t="shared" ca="1" si="254"/>
        <v>1.000173611111111</v>
      </c>
    </row>
    <row r="7786" spans="12:15" x14ac:dyDescent="0.25">
      <c r="L7786" s="147">
        <f ca="1"/>
        <v>53025</v>
      </c>
      <c r="M7786" s="92">
        <f t="shared" ca="1" si="253"/>
        <v>6.25</v>
      </c>
      <c r="N7786" s="143">
        <f ca="1">(PRODUCT($O$5:$O7786)-1)*36000/_xlfn.DAYS(L7786, $C$2)</f>
        <v>14.475977078662112</v>
      </c>
      <c r="O7786" s="149">
        <f t="shared" ca="1" si="254"/>
        <v>1.000173611111111</v>
      </c>
    </row>
    <row r="7787" spans="12:15" x14ac:dyDescent="0.25">
      <c r="L7787" s="147">
        <f ca="1"/>
        <v>53026</v>
      </c>
      <c r="M7787" s="92">
        <f t="shared" ca="1" si="253"/>
        <v>6.25</v>
      </c>
      <c r="N7787" s="143">
        <f ca="1">(PRODUCT($O$5:$O7787)-1)*36000/_xlfn.DAYS(L7787, $C$2)</f>
        <v>14.477433030238663</v>
      </c>
      <c r="O7787" s="149">
        <f t="shared" ca="1" si="254"/>
        <v>1.000173611111111</v>
      </c>
    </row>
    <row r="7788" spans="12:15" x14ac:dyDescent="0.25">
      <c r="L7788" s="147">
        <f ca="1"/>
        <v>53027</v>
      </c>
      <c r="M7788" s="92">
        <f t="shared" ca="1" si="253"/>
        <v>6.25</v>
      </c>
      <c r="N7788" s="143">
        <f ca="1">(PRODUCT($O$5:$O7788)-1)*36000/_xlfn.DAYS(L7788, $C$2)</f>
        <v>14.478889183330029</v>
      </c>
      <c r="O7788" s="149">
        <f t="shared" ca="1" si="254"/>
        <v>1.000173611111111</v>
      </c>
    </row>
    <row r="7789" spans="12:15" x14ac:dyDescent="0.25">
      <c r="L7789" s="147">
        <f ca="1"/>
        <v>53028</v>
      </c>
      <c r="M7789" s="92">
        <f t="shared" ca="1" si="253"/>
        <v>6.25</v>
      </c>
      <c r="N7789" s="143">
        <f ca="1">(PRODUCT($O$5:$O7789)-1)*36000/_xlfn.DAYS(L7789, $C$2)</f>
        <v>14.480345537958474</v>
      </c>
      <c r="O7789" s="149">
        <f t="shared" ca="1" si="254"/>
        <v>1.000173611111111</v>
      </c>
    </row>
    <row r="7790" spans="12:15" x14ac:dyDescent="0.25">
      <c r="L7790" s="147">
        <f ca="1"/>
        <v>53029</v>
      </c>
      <c r="M7790" s="92">
        <f t="shared" ca="1" si="253"/>
        <v>6.25</v>
      </c>
      <c r="N7790" s="143">
        <f ca="1">(PRODUCT($O$5:$O7790)-1)*36000/_xlfn.DAYS(L7790, $C$2)</f>
        <v>14.481802094146271</v>
      </c>
      <c r="O7790" s="149">
        <f t="shared" ca="1" si="254"/>
        <v>1.000173611111111</v>
      </c>
    </row>
    <row r="7791" spans="12:15" x14ac:dyDescent="0.25">
      <c r="L7791" s="147">
        <f ca="1"/>
        <v>53030</v>
      </c>
      <c r="M7791" s="92">
        <f t="shared" ca="1" si="253"/>
        <v>6.25</v>
      </c>
      <c r="N7791" s="143">
        <f ca="1">(PRODUCT($O$5:$O7791)-1)*36000/_xlfn.DAYS(L7791, $C$2)</f>
        <v>14.483258851915688</v>
      </c>
      <c r="O7791" s="149">
        <f t="shared" ca="1" si="254"/>
        <v>1.000173611111111</v>
      </c>
    </row>
    <row r="7792" spans="12:15" x14ac:dyDescent="0.25">
      <c r="L7792" s="147">
        <f ca="1"/>
        <v>53031</v>
      </c>
      <c r="M7792" s="92">
        <f t="shared" ca="1" si="253"/>
        <v>6.25</v>
      </c>
      <c r="N7792" s="143">
        <f ca="1">(PRODUCT($O$5:$O7792)-1)*36000/_xlfn.DAYS(L7792, $C$2)</f>
        <v>14.484715811289011</v>
      </c>
      <c r="O7792" s="149">
        <f t="shared" ca="1" si="254"/>
        <v>1.000173611111111</v>
      </c>
    </row>
    <row r="7793" spans="12:15" x14ac:dyDescent="0.25">
      <c r="L7793" s="147">
        <f ca="1"/>
        <v>53032</v>
      </c>
      <c r="M7793" s="92">
        <f t="shared" ca="1" si="253"/>
        <v>6.25</v>
      </c>
      <c r="N7793" s="143">
        <f ca="1">(PRODUCT($O$5:$O7793)-1)*36000/_xlfn.DAYS(L7793, $C$2)</f>
        <v>14.486172972288525</v>
      </c>
      <c r="O7793" s="149">
        <f t="shared" ca="1" si="254"/>
        <v>1.000173611111111</v>
      </c>
    </row>
    <row r="7794" spans="12:15" x14ac:dyDescent="0.25">
      <c r="L7794" s="147">
        <f ca="1"/>
        <v>53033</v>
      </c>
      <c r="M7794" s="92">
        <f t="shared" ca="1" si="253"/>
        <v>6.25</v>
      </c>
      <c r="N7794" s="143">
        <f ca="1">(PRODUCT($O$5:$O7794)-1)*36000/_xlfn.DAYS(L7794, $C$2)</f>
        <v>14.487630334936521</v>
      </c>
      <c r="O7794" s="149">
        <f t="shared" ca="1" si="254"/>
        <v>1.000173611111111</v>
      </c>
    </row>
    <row r="7795" spans="12:15" x14ac:dyDescent="0.25">
      <c r="L7795" s="147">
        <f ca="1"/>
        <v>53034</v>
      </c>
      <c r="M7795" s="92">
        <f t="shared" ca="1" si="253"/>
        <v>6.25</v>
      </c>
      <c r="N7795" s="143">
        <f ca="1">(PRODUCT($O$5:$O7795)-1)*36000/_xlfn.DAYS(L7795, $C$2)</f>
        <v>14.489087899255301</v>
      </c>
      <c r="O7795" s="149">
        <f t="shared" ca="1" si="254"/>
        <v>1.000173611111111</v>
      </c>
    </row>
    <row r="7796" spans="12:15" x14ac:dyDescent="0.25">
      <c r="L7796" s="147">
        <f ca="1"/>
        <v>53035</v>
      </c>
      <c r="M7796" s="92">
        <f t="shared" ca="1" si="253"/>
        <v>6.25</v>
      </c>
      <c r="N7796" s="143">
        <f ca="1">(PRODUCT($O$5:$O7796)-1)*36000/_xlfn.DAYS(L7796, $C$2)</f>
        <v>14.490545665267168</v>
      </c>
      <c r="O7796" s="149">
        <f t="shared" ca="1" si="254"/>
        <v>1.000173611111111</v>
      </c>
    </row>
    <row r="7797" spans="12:15" x14ac:dyDescent="0.25">
      <c r="L7797" s="147">
        <f ca="1"/>
        <v>53036</v>
      </c>
      <c r="M7797" s="92">
        <f t="shared" ca="1" si="253"/>
        <v>6.25</v>
      </c>
      <c r="N7797" s="143">
        <f ca="1">(PRODUCT($O$5:$O7797)-1)*36000/_xlfn.DAYS(L7797, $C$2)</f>
        <v>14.492003632994432</v>
      </c>
      <c r="O7797" s="149">
        <f t="shared" ca="1" si="254"/>
        <v>1.000173611111111</v>
      </c>
    </row>
    <row r="7798" spans="12:15" x14ac:dyDescent="0.25">
      <c r="L7798" s="147">
        <f ca="1"/>
        <v>53037</v>
      </c>
      <c r="M7798" s="92">
        <f t="shared" ca="1" si="253"/>
        <v>6.25</v>
      </c>
      <c r="N7798" s="143">
        <f ca="1">(PRODUCT($O$5:$O7798)-1)*36000/_xlfn.DAYS(L7798, $C$2)</f>
        <v>14.493461802459411</v>
      </c>
      <c r="O7798" s="149">
        <f t="shared" ca="1" si="254"/>
        <v>1.000173611111111</v>
      </c>
    </row>
    <row r="7799" spans="12:15" x14ac:dyDescent="0.25">
      <c r="L7799" s="147">
        <f ca="1"/>
        <v>53038</v>
      </c>
      <c r="M7799" s="92">
        <f t="shared" ca="1" si="253"/>
        <v>6.25</v>
      </c>
      <c r="N7799" s="143">
        <f ca="1">(PRODUCT($O$5:$O7799)-1)*36000/_xlfn.DAYS(L7799, $C$2)</f>
        <v>14.494920173684427</v>
      </c>
      <c r="O7799" s="149">
        <f t="shared" ca="1" si="254"/>
        <v>1.000173611111111</v>
      </c>
    </row>
    <row r="7800" spans="12:15" x14ac:dyDescent="0.25">
      <c r="L7800" s="147">
        <f ca="1"/>
        <v>53039</v>
      </c>
      <c r="M7800" s="92">
        <f t="shared" ca="1" si="253"/>
        <v>6.25</v>
      </c>
      <c r="N7800" s="143">
        <f ca="1">(PRODUCT($O$5:$O7800)-1)*36000/_xlfn.DAYS(L7800, $C$2)</f>
        <v>14.496378746691803</v>
      </c>
      <c r="O7800" s="149">
        <f t="shared" ca="1" si="254"/>
        <v>1.000173611111111</v>
      </c>
    </row>
    <row r="7801" spans="12:15" x14ac:dyDescent="0.25">
      <c r="L7801" s="147">
        <f ca="1"/>
        <v>53040</v>
      </c>
      <c r="M7801" s="92">
        <f t="shared" ca="1" si="253"/>
        <v>6.25</v>
      </c>
      <c r="N7801" s="143">
        <f ca="1">(PRODUCT($O$5:$O7801)-1)*36000/_xlfn.DAYS(L7801, $C$2)</f>
        <v>14.497837521503881</v>
      </c>
      <c r="O7801" s="149">
        <f t="shared" ca="1" si="254"/>
        <v>1.000173611111111</v>
      </c>
    </row>
    <row r="7802" spans="12:15" x14ac:dyDescent="0.25">
      <c r="L7802" s="147">
        <f ca="1"/>
        <v>53041</v>
      </c>
      <c r="M7802" s="92">
        <f t="shared" ca="1" si="253"/>
        <v>6.25</v>
      </c>
      <c r="N7802" s="143">
        <f ca="1">(PRODUCT($O$5:$O7802)-1)*36000/_xlfn.DAYS(L7802, $C$2)</f>
        <v>14.499296498142993</v>
      </c>
      <c r="O7802" s="149">
        <f t="shared" ca="1" si="254"/>
        <v>1.000173611111111</v>
      </c>
    </row>
    <row r="7803" spans="12:15" x14ac:dyDescent="0.25">
      <c r="L7803" s="147">
        <f ca="1"/>
        <v>53042</v>
      </c>
      <c r="M7803" s="92">
        <f t="shared" ca="1" si="253"/>
        <v>6.25</v>
      </c>
      <c r="N7803" s="143">
        <f ca="1">(PRODUCT($O$5:$O7803)-1)*36000/_xlfn.DAYS(L7803, $C$2)</f>
        <v>14.500755676631492</v>
      </c>
      <c r="O7803" s="149">
        <f t="shared" ca="1" si="254"/>
        <v>1.000173611111111</v>
      </c>
    </row>
    <row r="7804" spans="12:15" x14ac:dyDescent="0.25">
      <c r="L7804" s="147">
        <f ca="1"/>
        <v>53043</v>
      </c>
      <c r="M7804" s="92">
        <f t="shared" ca="1" si="253"/>
        <v>6.25</v>
      </c>
      <c r="N7804" s="143">
        <f ca="1">(PRODUCT($O$5:$O7804)-1)*36000/_xlfn.DAYS(L7804, $C$2)</f>
        <v>14.502215056991727</v>
      </c>
      <c r="O7804" s="149">
        <f t="shared" ca="1" si="254"/>
        <v>1.000173611111111</v>
      </c>
    </row>
    <row r="7805" spans="12:15" x14ac:dyDescent="0.25">
      <c r="L7805" s="147">
        <f ca="1"/>
        <v>53044</v>
      </c>
      <c r="M7805" s="92">
        <f t="shared" ca="1" si="253"/>
        <v>6.25</v>
      </c>
      <c r="N7805" s="143">
        <f ca="1">(PRODUCT($O$5:$O7805)-1)*36000/_xlfn.DAYS(L7805, $C$2)</f>
        <v>14.503674639246055</v>
      </c>
      <c r="O7805" s="149">
        <f t="shared" ca="1" si="254"/>
        <v>1.000173611111111</v>
      </c>
    </row>
    <row r="7806" spans="12:15" x14ac:dyDescent="0.25">
      <c r="L7806" s="147">
        <f ca="1"/>
        <v>53045</v>
      </c>
      <c r="M7806" s="92">
        <f t="shared" ca="1" si="253"/>
        <v>6.25</v>
      </c>
      <c r="N7806" s="143">
        <f ca="1">(PRODUCT($O$5:$O7806)-1)*36000/_xlfn.DAYS(L7806, $C$2)</f>
        <v>14.505134423416839</v>
      </c>
      <c r="O7806" s="149">
        <f t="shared" ca="1" si="254"/>
        <v>1.000173611111111</v>
      </c>
    </row>
    <row r="7807" spans="12:15" x14ac:dyDescent="0.25">
      <c r="L7807" s="147">
        <f ca="1"/>
        <v>53046</v>
      </c>
      <c r="M7807" s="92">
        <f t="shared" ca="1" si="253"/>
        <v>6.25</v>
      </c>
      <c r="N7807" s="143">
        <f ca="1">(PRODUCT($O$5:$O7807)-1)*36000/_xlfn.DAYS(L7807, $C$2)</f>
        <v>14.50659440952645</v>
      </c>
      <c r="O7807" s="149">
        <f t="shared" ca="1" si="254"/>
        <v>1.000173611111111</v>
      </c>
    </row>
    <row r="7808" spans="12:15" x14ac:dyDescent="0.25">
      <c r="L7808" s="147">
        <f ca="1"/>
        <v>53047</v>
      </c>
      <c r="M7808" s="92">
        <f t="shared" ca="1" si="253"/>
        <v>6.25</v>
      </c>
      <c r="N7808" s="143">
        <f ca="1">(PRODUCT($O$5:$O7808)-1)*36000/_xlfn.DAYS(L7808, $C$2)</f>
        <v>14.50805459759726</v>
      </c>
      <c r="O7808" s="149">
        <f t="shared" ca="1" si="254"/>
        <v>1.000173611111111</v>
      </c>
    </row>
    <row r="7809" spans="12:15" x14ac:dyDescent="0.25">
      <c r="L7809" s="147">
        <f ca="1"/>
        <v>53048</v>
      </c>
      <c r="M7809" s="92">
        <f t="shared" ca="1" si="253"/>
        <v>6.25</v>
      </c>
      <c r="N7809" s="143">
        <f ca="1">(PRODUCT($O$5:$O7809)-1)*36000/_xlfn.DAYS(L7809, $C$2)</f>
        <v>14.509514987651656</v>
      </c>
      <c r="O7809" s="149">
        <f t="shared" ca="1" si="254"/>
        <v>1.000173611111111</v>
      </c>
    </row>
    <row r="7810" spans="12:15" x14ac:dyDescent="0.25">
      <c r="L7810" s="147">
        <f ca="1"/>
        <v>53049</v>
      </c>
      <c r="M7810" s="92">
        <f t="shared" ca="1" si="253"/>
        <v>6.25</v>
      </c>
      <c r="N7810" s="143">
        <f ca="1">(PRODUCT($O$5:$O7810)-1)*36000/_xlfn.DAYS(L7810, $C$2)</f>
        <v>14.510975579712021</v>
      </c>
      <c r="O7810" s="149">
        <f t="shared" ca="1" si="254"/>
        <v>1.000173611111111</v>
      </c>
    </row>
    <row r="7811" spans="12:15" x14ac:dyDescent="0.25">
      <c r="L7811" s="147">
        <f ca="1"/>
        <v>53050</v>
      </c>
      <c r="M7811" s="92">
        <f t="shared" ca="1" si="253"/>
        <v>6.25</v>
      </c>
      <c r="N7811" s="143">
        <f ca="1">(PRODUCT($O$5:$O7811)-1)*36000/_xlfn.DAYS(L7811, $C$2)</f>
        <v>14.51243637380075</v>
      </c>
      <c r="O7811" s="149">
        <f t="shared" ca="1" si="254"/>
        <v>1.000173611111111</v>
      </c>
    </row>
    <row r="7812" spans="12:15" x14ac:dyDescent="0.25">
      <c r="L7812" s="147">
        <f ca="1"/>
        <v>53051</v>
      </c>
      <c r="M7812" s="92">
        <f t="shared" ca="1" si="253"/>
        <v>6.25</v>
      </c>
      <c r="N7812" s="143">
        <f ca="1">(PRODUCT($O$5:$O7812)-1)*36000/_xlfn.DAYS(L7812, $C$2)</f>
        <v>14.513897369940237</v>
      </c>
      <c r="O7812" s="149">
        <f t="shared" ca="1" si="254"/>
        <v>1.000173611111111</v>
      </c>
    </row>
    <row r="7813" spans="12:15" x14ac:dyDescent="0.25">
      <c r="L7813" s="147">
        <f ca="1"/>
        <v>53052</v>
      </c>
      <c r="M7813" s="92">
        <f t="shared" ref="M7813:M7876" ca="1" si="255">IFERROR(INDEX($E$27:$H$47, MATCH(L7813, $F$27:$F$47, 0), 4), IF(ISNUMBER(M7812), M7812, $C$5))</f>
        <v>6.25</v>
      </c>
      <c r="N7813" s="143">
        <f ca="1">(PRODUCT($O$5:$O7813)-1)*36000/_xlfn.DAYS(L7813, $C$2)</f>
        <v>14.515358568152894</v>
      </c>
      <c r="O7813" s="149">
        <f t="shared" ca="1" si="254"/>
        <v>1.000173611111111</v>
      </c>
    </row>
    <row r="7814" spans="12:15" x14ac:dyDescent="0.25">
      <c r="L7814" s="147">
        <f ca="1"/>
        <v>53053</v>
      </c>
      <c r="M7814" s="92">
        <f t="shared" ca="1" si="255"/>
        <v>6.25</v>
      </c>
      <c r="N7814" s="143">
        <f ca="1">(PRODUCT($O$5:$O7814)-1)*36000/_xlfn.DAYS(L7814, $C$2)</f>
        <v>14.516819968461128</v>
      </c>
      <c r="O7814" s="149">
        <f t="shared" ref="O7814:O7877" ca="1" si="256">1+M7814*IFERROR(_xlfn.DAYS(L7814, L7813), _xlfn.DAYS(L7814, $C$2))/36000</f>
        <v>1.000173611111111</v>
      </c>
    </row>
    <row r="7815" spans="12:15" x14ac:dyDescent="0.25">
      <c r="L7815" s="147">
        <f ca="1"/>
        <v>53054</v>
      </c>
      <c r="M7815" s="92">
        <f t="shared" ca="1" si="255"/>
        <v>6.25</v>
      </c>
      <c r="N7815" s="143">
        <f ca="1">(PRODUCT($O$5:$O7815)-1)*36000/_xlfn.DAYS(L7815, $C$2)</f>
        <v>14.518281570887355</v>
      </c>
      <c r="O7815" s="149">
        <f t="shared" ca="1" si="256"/>
        <v>1.000173611111111</v>
      </c>
    </row>
    <row r="7816" spans="12:15" x14ac:dyDescent="0.25">
      <c r="L7816" s="147">
        <f ca="1"/>
        <v>53055</v>
      </c>
      <c r="M7816" s="92">
        <f t="shared" ca="1" si="255"/>
        <v>6.25</v>
      </c>
      <c r="N7816" s="143">
        <f ca="1">(PRODUCT($O$5:$O7816)-1)*36000/_xlfn.DAYS(L7816, $C$2)</f>
        <v>14.519743375453999</v>
      </c>
      <c r="O7816" s="149">
        <f t="shared" ca="1" si="256"/>
        <v>1.000173611111111</v>
      </c>
    </row>
    <row r="7817" spans="12:15" x14ac:dyDescent="0.25">
      <c r="L7817" s="147">
        <f ca="1"/>
        <v>53056</v>
      </c>
      <c r="M7817" s="92">
        <f t="shared" ca="1" si="255"/>
        <v>6.25</v>
      </c>
      <c r="N7817" s="143">
        <f ca="1">(PRODUCT($O$5:$O7817)-1)*36000/_xlfn.DAYS(L7817, $C$2)</f>
        <v>14.521205382183487</v>
      </c>
      <c r="O7817" s="149">
        <f t="shared" ca="1" si="256"/>
        <v>1.000173611111111</v>
      </c>
    </row>
    <row r="7818" spans="12:15" x14ac:dyDescent="0.25">
      <c r="L7818" s="147">
        <f ca="1"/>
        <v>53057</v>
      </c>
      <c r="M7818" s="92">
        <f t="shared" ca="1" si="255"/>
        <v>6.25</v>
      </c>
      <c r="N7818" s="143">
        <f ca="1">(PRODUCT($O$5:$O7818)-1)*36000/_xlfn.DAYS(L7818, $C$2)</f>
        <v>14.522667591098255</v>
      </c>
      <c r="O7818" s="149">
        <f t="shared" ca="1" si="256"/>
        <v>1.000173611111111</v>
      </c>
    </row>
    <row r="7819" spans="12:15" x14ac:dyDescent="0.25">
      <c r="L7819" s="147">
        <f ca="1"/>
        <v>53058</v>
      </c>
      <c r="M7819" s="92">
        <f t="shared" ca="1" si="255"/>
        <v>6.25</v>
      </c>
      <c r="N7819" s="143">
        <f ca="1">(PRODUCT($O$5:$O7819)-1)*36000/_xlfn.DAYS(L7819, $C$2)</f>
        <v>14.52413000222074</v>
      </c>
      <c r="O7819" s="149">
        <f t="shared" ca="1" si="256"/>
        <v>1.000173611111111</v>
      </c>
    </row>
    <row r="7820" spans="12:15" x14ac:dyDescent="0.25">
      <c r="L7820" s="147">
        <f ca="1"/>
        <v>53059</v>
      </c>
      <c r="M7820" s="92">
        <f t="shared" ca="1" si="255"/>
        <v>6.25</v>
      </c>
      <c r="N7820" s="143">
        <f ca="1">(PRODUCT($O$5:$O7820)-1)*36000/_xlfn.DAYS(L7820, $C$2)</f>
        <v>14.525592615573391</v>
      </c>
      <c r="O7820" s="149">
        <f t="shared" ca="1" si="256"/>
        <v>1.000173611111111</v>
      </c>
    </row>
    <row r="7821" spans="12:15" x14ac:dyDescent="0.25">
      <c r="L7821" s="147">
        <f ca="1"/>
        <v>53060</v>
      </c>
      <c r="M7821" s="92">
        <f t="shared" ca="1" si="255"/>
        <v>6.25</v>
      </c>
      <c r="N7821" s="143">
        <f ca="1">(PRODUCT($O$5:$O7821)-1)*36000/_xlfn.DAYS(L7821, $C$2)</f>
        <v>14.527055431178658</v>
      </c>
      <c r="O7821" s="149">
        <f t="shared" ca="1" si="256"/>
        <v>1.000173611111111</v>
      </c>
    </row>
    <row r="7822" spans="12:15" x14ac:dyDescent="0.25">
      <c r="L7822" s="147">
        <f ca="1"/>
        <v>53061</v>
      </c>
      <c r="M7822" s="92">
        <f t="shared" ca="1" si="255"/>
        <v>6.25</v>
      </c>
      <c r="N7822" s="143">
        <f ca="1">(PRODUCT($O$5:$O7822)-1)*36000/_xlfn.DAYS(L7822, $C$2)</f>
        <v>14.528518449059</v>
      </c>
      <c r="O7822" s="149">
        <f t="shared" ca="1" si="256"/>
        <v>1.000173611111111</v>
      </c>
    </row>
    <row r="7823" spans="12:15" x14ac:dyDescent="0.25">
      <c r="L7823" s="147">
        <f ca="1"/>
        <v>53062</v>
      </c>
      <c r="M7823" s="92">
        <f t="shared" ca="1" si="255"/>
        <v>6.25</v>
      </c>
      <c r="N7823" s="143">
        <f ca="1">(PRODUCT($O$5:$O7823)-1)*36000/_xlfn.DAYS(L7823, $C$2)</f>
        <v>14.529981669236879</v>
      </c>
      <c r="O7823" s="149">
        <f t="shared" ca="1" si="256"/>
        <v>1.000173611111111</v>
      </c>
    </row>
    <row r="7824" spans="12:15" x14ac:dyDescent="0.25">
      <c r="L7824" s="147">
        <f ca="1"/>
        <v>53063</v>
      </c>
      <c r="M7824" s="92">
        <f t="shared" ca="1" si="255"/>
        <v>6.25</v>
      </c>
      <c r="N7824" s="143">
        <f ca="1">(PRODUCT($O$5:$O7824)-1)*36000/_xlfn.DAYS(L7824, $C$2)</f>
        <v>14.531445091734765</v>
      </c>
      <c r="O7824" s="149">
        <f t="shared" ca="1" si="256"/>
        <v>1.000173611111111</v>
      </c>
    </row>
    <row r="7825" spans="12:15" x14ac:dyDescent="0.25">
      <c r="L7825" s="147">
        <f ca="1"/>
        <v>53064</v>
      </c>
      <c r="M7825" s="92">
        <f t="shared" ca="1" si="255"/>
        <v>6.25</v>
      </c>
      <c r="N7825" s="143">
        <f ca="1">(PRODUCT($O$5:$O7825)-1)*36000/_xlfn.DAYS(L7825, $C$2)</f>
        <v>14.532908716575136</v>
      </c>
      <c r="O7825" s="149">
        <f t="shared" ca="1" si="256"/>
        <v>1.000173611111111</v>
      </c>
    </row>
    <row r="7826" spans="12:15" x14ac:dyDescent="0.25">
      <c r="L7826" s="147">
        <f ca="1"/>
        <v>53065</v>
      </c>
      <c r="M7826" s="92">
        <f t="shared" ca="1" si="255"/>
        <v>6.25</v>
      </c>
      <c r="N7826" s="143">
        <f ca="1">(PRODUCT($O$5:$O7826)-1)*36000/_xlfn.DAYS(L7826, $C$2)</f>
        <v>14.534372543780471</v>
      </c>
      <c r="O7826" s="149">
        <f t="shared" ca="1" si="256"/>
        <v>1.000173611111111</v>
      </c>
    </row>
    <row r="7827" spans="12:15" x14ac:dyDescent="0.25">
      <c r="L7827" s="147">
        <f ca="1"/>
        <v>53066</v>
      </c>
      <c r="M7827" s="92">
        <f t="shared" ca="1" si="255"/>
        <v>6.25</v>
      </c>
      <c r="N7827" s="143">
        <f ca="1">(PRODUCT($O$5:$O7827)-1)*36000/_xlfn.DAYS(L7827, $C$2)</f>
        <v>14.53583657337326</v>
      </c>
      <c r="O7827" s="149">
        <f t="shared" ca="1" si="256"/>
        <v>1.000173611111111</v>
      </c>
    </row>
    <row r="7828" spans="12:15" x14ac:dyDescent="0.25">
      <c r="L7828" s="147">
        <f ca="1"/>
        <v>53067</v>
      </c>
      <c r="M7828" s="92">
        <f t="shared" ca="1" si="255"/>
        <v>6.25</v>
      </c>
      <c r="N7828" s="143">
        <f ca="1">(PRODUCT($O$5:$O7828)-1)*36000/_xlfn.DAYS(L7828, $C$2)</f>
        <v>14.537300805375988</v>
      </c>
      <c r="O7828" s="149">
        <f t="shared" ca="1" si="256"/>
        <v>1.000173611111111</v>
      </c>
    </row>
    <row r="7829" spans="12:15" x14ac:dyDescent="0.25">
      <c r="L7829" s="147">
        <f ca="1"/>
        <v>53068</v>
      </c>
      <c r="M7829" s="92">
        <f t="shared" ca="1" si="255"/>
        <v>6.25</v>
      </c>
      <c r="N7829" s="143">
        <f ca="1">(PRODUCT($O$5:$O7829)-1)*36000/_xlfn.DAYS(L7829, $C$2)</f>
        <v>14.538765239811164</v>
      </c>
      <c r="O7829" s="149">
        <f t="shared" ca="1" si="256"/>
        <v>1.000173611111111</v>
      </c>
    </row>
    <row r="7830" spans="12:15" x14ac:dyDescent="0.25">
      <c r="L7830" s="147">
        <f ca="1"/>
        <v>53069</v>
      </c>
      <c r="M7830" s="92">
        <f t="shared" ca="1" si="255"/>
        <v>6.25</v>
      </c>
      <c r="N7830" s="143">
        <f ca="1">(PRODUCT($O$5:$O7830)-1)*36000/_xlfn.DAYS(L7830, $C$2)</f>
        <v>14.540229876701291</v>
      </c>
      <c r="O7830" s="149">
        <f t="shared" ca="1" si="256"/>
        <v>1.000173611111111</v>
      </c>
    </row>
    <row r="7831" spans="12:15" x14ac:dyDescent="0.25">
      <c r="L7831" s="147">
        <f ca="1"/>
        <v>53070</v>
      </c>
      <c r="M7831" s="92">
        <f t="shared" ca="1" si="255"/>
        <v>6.25</v>
      </c>
      <c r="N7831" s="143">
        <f ca="1">(PRODUCT($O$5:$O7831)-1)*36000/_xlfn.DAYS(L7831, $C$2)</f>
        <v>14.541694716068873</v>
      </c>
      <c r="O7831" s="149">
        <f t="shared" ca="1" si="256"/>
        <v>1.000173611111111</v>
      </c>
    </row>
    <row r="7832" spans="12:15" x14ac:dyDescent="0.25">
      <c r="L7832" s="147">
        <f ca="1"/>
        <v>53071</v>
      </c>
      <c r="M7832" s="92">
        <f t="shared" ca="1" si="255"/>
        <v>6.25</v>
      </c>
      <c r="N7832" s="143">
        <f ca="1">(PRODUCT($O$5:$O7832)-1)*36000/_xlfn.DAYS(L7832, $C$2)</f>
        <v>14.543159757936433</v>
      </c>
      <c r="O7832" s="149">
        <f t="shared" ca="1" si="256"/>
        <v>1.000173611111111</v>
      </c>
    </row>
    <row r="7833" spans="12:15" x14ac:dyDescent="0.25">
      <c r="L7833" s="147">
        <f ca="1"/>
        <v>53072</v>
      </c>
      <c r="M7833" s="92">
        <f t="shared" ca="1" si="255"/>
        <v>6.25</v>
      </c>
      <c r="N7833" s="143">
        <f ca="1">(PRODUCT($O$5:$O7833)-1)*36000/_xlfn.DAYS(L7833, $C$2)</f>
        <v>14.544625002326489</v>
      </c>
      <c r="O7833" s="149">
        <f t="shared" ca="1" si="256"/>
        <v>1.000173611111111</v>
      </c>
    </row>
    <row r="7834" spans="12:15" x14ac:dyDescent="0.25">
      <c r="L7834" s="147">
        <f ca="1"/>
        <v>53073</v>
      </c>
      <c r="M7834" s="92">
        <f t="shared" ca="1" si="255"/>
        <v>6.25</v>
      </c>
      <c r="N7834" s="143">
        <f ca="1">(PRODUCT($O$5:$O7834)-1)*36000/_xlfn.DAYS(L7834, $C$2)</f>
        <v>14.546090449261568</v>
      </c>
      <c r="O7834" s="149">
        <f t="shared" ca="1" si="256"/>
        <v>1.000173611111111</v>
      </c>
    </row>
    <row r="7835" spans="12:15" x14ac:dyDescent="0.25">
      <c r="L7835" s="147">
        <f ca="1"/>
        <v>53074</v>
      </c>
      <c r="M7835" s="92">
        <f t="shared" ca="1" si="255"/>
        <v>6.25</v>
      </c>
      <c r="N7835" s="143">
        <f ca="1">(PRODUCT($O$5:$O7835)-1)*36000/_xlfn.DAYS(L7835, $C$2)</f>
        <v>14.547556098764208</v>
      </c>
      <c r="O7835" s="149">
        <f t="shared" ca="1" si="256"/>
        <v>1.000173611111111</v>
      </c>
    </row>
    <row r="7836" spans="12:15" x14ac:dyDescent="0.25">
      <c r="L7836" s="147">
        <f ca="1"/>
        <v>53075</v>
      </c>
      <c r="M7836" s="92">
        <f t="shared" ca="1" si="255"/>
        <v>6.25</v>
      </c>
      <c r="N7836" s="143">
        <f ca="1">(PRODUCT($O$5:$O7836)-1)*36000/_xlfn.DAYS(L7836, $C$2)</f>
        <v>14.549021950856948</v>
      </c>
      <c r="O7836" s="149">
        <f t="shared" ca="1" si="256"/>
        <v>1.000173611111111</v>
      </c>
    </row>
    <row r="7837" spans="12:15" x14ac:dyDescent="0.25">
      <c r="L7837" s="147">
        <f ca="1"/>
        <v>53076</v>
      </c>
      <c r="M7837" s="92">
        <f t="shared" ca="1" si="255"/>
        <v>6.25</v>
      </c>
      <c r="N7837" s="143">
        <f ca="1">(PRODUCT($O$5:$O7837)-1)*36000/_xlfn.DAYS(L7837, $C$2)</f>
        <v>14.550488005562336</v>
      </c>
      <c r="O7837" s="149">
        <f t="shared" ca="1" si="256"/>
        <v>1.000173611111111</v>
      </c>
    </row>
    <row r="7838" spans="12:15" x14ac:dyDescent="0.25">
      <c r="L7838" s="147">
        <f ca="1"/>
        <v>53077</v>
      </c>
      <c r="M7838" s="92">
        <f t="shared" ca="1" si="255"/>
        <v>6.25</v>
      </c>
      <c r="N7838" s="143">
        <f ca="1">(PRODUCT($O$5:$O7838)-1)*36000/_xlfn.DAYS(L7838, $C$2)</f>
        <v>14.551954262902923</v>
      </c>
      <c r="O7838" s="149">
        <f t="shared" ca="1" si="256"/>
        <v>1.000173611111111</v>
      </c>
    </row>
    <row r="7839" spans="12:15" x14ac:dyDescent="0.25">
      <c r="L7839" s="147">
        <f ca="1"/>
        <v>53078</v>
      </c>
      <c r="M7839" s="92">
        <f t="shared" ca="1" si="255"/>
        <v>6.25</v>
      </c>
      <c r="N7839" s="143">
        <f ca="1">(PRODUCT($O$5:$O7839)-1)*36000/_xlfn.DAYS(L7839, $C$2)</f>
        <v>14.553420722901263</v>
      </c>
      <c r="O7839" s="149">
        <f t="shared" ca="1" si="256"/>
        <v>1.000173611111111</v>
      </c>
    </row>
    <row r="7840" spans="12:15" x14ac:dyDescent="0.25">
      <c r="L7840" s="147">
        <f ca="1"/>
        <v>53079</v>
      </c>
      <c r="M7840" s="92">
        <f t="shared" ca="1" si="255"/>
        <v>6.25</v>
      </c>
      <c r="N7840" s="143">
        <f ca="1">(PRODUCT($O$5:$O7840)-1)*36000/_xlfn.DAYS(L7840, $C$2)</f>
        <v>14.554887385579926</v>
      </c>
      <c r="O7840" s="149">
        <f t="shared" ca="1" si="256"/>
        <v>1.000173611111111</v>
      </c>
    </row>
    <row r="7841" spans="12:15" x14ac:dyDescent="0.25">
      <c r="L7841" s="147">
        <f ca="1"/>
        <v>53080</v>
      </c>
      <c r="M7841" s="92">
        <f t="shared" ca="1" si="255"/>
        <v>6.25</v>
      </c>
      <c r="N7841" s="143">
        <f ca="1">(PRODUCT($O$5:$O7841)-1)*36000/_xlfn.DAYS(L7841, $C$2)</f>
        <v>14.556354250961476</v>
      </c>
      <c r="O7841" s="149">
        <f t="shared" ca="1" si="256"/>
        <v>1.000173611111111</v>
      </c>
    </row>
    <row r="7842" spans="12:15" x14ac:dyDescent="0.25">
      <c r="L7842" s="147">
        <f ca="1"/>
        <v>53081</v>
      </c>
      <c r="M7842" s="92">
        <f t="shared" ca="1" si="255"/>
        <v>6.25</v>
      </c>
      <c r="N7842" s="143">
        <f ca="1">(PRODUCT($O$5:$O7842)-1)*36000/_xlfn.DAYS(L7842, $C$2)</f>
        <v>14.557821319068493</v>
      </c>
      <c r="O7842" s="149">
        <f t="shared" ca="1" si="256"/>
        <v>1.000173611111111</v>
      </c>
    </row>
    <row r="7843" spans="12:15" x14ac:dyDescent="0.25">
      <c r="L7843" s="147">
        <f ca="1"/>
        <v>53082</v>
      </c>
      <c r="M7843" s="92">
        <f t="shared" ca="1" si="255"/>
        <v>6.25</v>
      </c>
      <c r="N7843" s="143">
        <f ca="1">(PRODUCT($O$5:$O7843)-1)*36000/_xlfn.DAYS(L7843, $C$2)</f>
        <v>14.55928858992355</v>
      </c>
      <c r="O7843" s="149">
        <f t="shared" ca="1" si="256"/>
        <v>1.000173611111111</v>
      </c>
    </row>
    <row r="7844" spans="12:15" x14ac:dyDescent="0.25">
      <c r="L7844" s="147">
        <f ca="1"/>
        <v>53083</v>
      </c>
      <c r="M7844" s="92">
        <f t="shared" ca="1" si="255"/>
        <v>6.25</v>
      </c>
      <c r="N7844" s="143">
        <f ca="1">(PRODUCT($O$5:$O7844)-1)*36000/_xlfn.DAYS(L7844, $C$2)</f>
        <v>14.560756063549242</v>
      </c>
      <c r="O7844" s="149">
        <f t="shared" ca="1" si="256"/>
        <v>1.000173611111111</v>
      </c>
    </row>
    <row r="7845" spans="12:15" x14ac:dyDescent="0.25">
      <c r="L7845" s="147">
        <f ca="1"/>
        <v>53084</v>
      </c>
      <c r="M7845" s="92">
        <f t="shared" ca="1" si="255"/>
        <v>6.25</v>
      </c>
      <c r="N7845" s="143">
        <f ca="1">(PRODUCT($O$5:$O7845)-1)*36000/_xlfn.DAYS(L7845, $C$2)</f>
        <v>14.562223739968156</v>
      </c>
      <c r="O7845" s="149">
        <f t="shared" ca="1" si="256"/>
        <v>1.000173611111111</v>
      </c>
    </row>
    <row r="7846" spans="12:15" x14ac:dyDescent="0.25">
      <c r="L7846" s="147">
        <f ca="1"/>
        <v>53085</v>
      </c>
      <c r="M7846" s="92">
        <f t="shared" ca="1" si="255"/>
        <v>6.25</v>
      </c>
      <c r="N7846" s="143">
        <f ca="1">(PRODUCT($O$5:$O7846)-1)*36000/_xlfn.DAYS(L7846, $C$2)</f>
        <v>14.563691619202892</v>
      </c>
      <c r="O7846" s="149">
        <f t="shared" ca="1" si="256"/>
        <v>1.000173611111111</v>
      </c>
    </row>
    <row r="7847" spans="12:15" x14ac:dyDescent="0.25">
      <c r="L7847" s="147">
        <f ca="1"/>
        <v>53086</v>
      </c>
      <c r="M7847" s="92">
        <f t="shared" ca="1" si="255"/>
        <v>6.25</v>
      </c>
      <c r="N7847" s="143">
        <f ca="1">(PRODUCT($O$5:$O7847)-1)*36000/_xlfn.DAYS(L7847, $C$2)</f>
        <v>14.565159701276057</v>
      </c>
      <c r="O7847" s="149">
        <f t="shared" ca="1" si="256"/>
        <v>1.000173611111111</v>
      </c>
    </row>
    <row r="7848" spans="12:15" x14ac:dyDescent="0.25">
      <c r="L7848" s="147">
        <f ca="1"/>
        <v>53087</v>
      </c>
      <c r="M7848" s="92">
        <f t="shared" ca="1" si="255"/>
        <v>6.25</v>
      </c>
      <c r="N7848" s="143">
        <f ca="1">(PRODUCT($O$5:$O7848)-1)*36000/_xlfn.DAYS(L7848, $C$2)</f>
        <v>14.566627986210259</v>
      </c>
      <c r="O7848" s="149">
        <f t="shared" ca="1" si="256"/>
        <v>1.000173611111111</v>
      </c>
    </row>
    <row r="7849" spans="12:15" x14ac:dyDescent="0.25">
      <c r="L7849" s="147">
        <f ca="1"/>
        <v>53088</v>
      </c>
      <c r="M7849" s="92">
        <f t="shared" ca="1" si="255"/>
        <v>6.25</v>
      </c>
      <c r="N7849" s="143">
        <f ca="1">(PRODUCT($O$5:$O7849)-1)*36000/_xlfn.DAYS(L7849, $C$2)</f>
        <v>14.568096474028119</v>
      </c>
      <c r="O7849" s="149">
        <f t="shared" ca="1" si="256"/>
        <v>1.000173611111111</v>
      </c>
    </row>
    <row r="7850" spans="12:15" x14ac:dyDescent="0.25">
      <c r="L7850" s="147">
        <f ca="1"/>
        <v>53089</v>
      </c>
      <c r="M7850" s="92">
        <f t="shared" ca="1" si="255"/>
        <v>6.25</v>
      </c>
      <c r="N7850" s="143">
        <f ca="1">(PRODUCT($O$5:$O7850)-1)*36000/_xlfn.DAYS(L7850, $C$2)</f>
        <v>14.569565164752257</v>
      </c>
      <c r="O7850" s="149">
        <f t="shared" ca="1" si="256"/>
        <v>1.000173611111111</v>
      </c>
    </row>
    <row r="7851" spans="12:15" x14ac:dyDescent="0.25">
      <c r="L7851" s="147">
        <f ca="1"/>
        <v>53090</v>
      </c>
      <c r="M7851" s="92">
        <f t="shared" ca="1" si="255"/>
        <v>6.25</v>
      </c>
      <c r="N7851" s="143">
        <f ca="1">(PRODUCT($O$5:$O7851)-1)*36000/_xlfn.DAYS(L7851, $C$2)</f>
        <v>14.571034058405298</v>
      </c>
      <c r="O7851" s="149">
        <f t="shared" ca="1" si="256"/>
        <v>1.000173611111111</v>
      </c>
    </row>
    <row r="7852" spans="12:15" x14ac:dyDescent="0.25">
      <c r="L7852" s="147">
        <f ca="1"/>
        <v>53091</v>
      </c>
      <c r="M7852" s="92">
        <f t="shared" ca="1" si="255"/>
        <v>6.25</v>
      </c>
      <c r="N7852" s="143">
        <f ca="1">(PRODUCT($O$5:$O7852)-1)*36000/_xlfn.DAYS(L7852, $C$2)</f>
        <v>14.572503155009876</v>
      </c>
      <c r="O7852" s="149">
        <f t="shared" ca="1" si="256"/>
        <v>1.000173611111111</v>
      </c>
    </row>
    <row r="7853" spans="12:15" x14ac:dyDescent="0.25">
      <c r="L7853" s="147">
        <f ca="1"/>
        <v>53092</v>
      </c>
      <c r="M7853" s="92">
        <f t="shared" ca="1" si="255"/>
        <v>6.25</v>
      </c>
      <c r="N7853" s="143">
        <f ca="1">(PRODUCT($O$5:$O7853)-1)*36000/_xlfn.DAYS(L7853, $C$2)</f>
        <v>14.573972454588633</v>
      </c>
      <c r="O7853" s="149">
        <f t="shared" ca="1" si="256"/>
        <v>1.000173611111111</v>
      </c>
    </row>
    <row r="7854" spans="12:15" x14ac:dyDescent="0.25">
      <c r="L7854" s="147">
        <f ca="1"/>
        <v>53093</v>
      </c>
      <c r="M7854" s="92">
        <f t="shared" ca="1" si="255"/>
        <v>6.25</v>
      </c>
      <c r="N7854" s="143">
        <f ca="1">(PRODUCT($O$5:$O7854)-1)*36000/_xlfn.DAYS(L7854, $C$2)</f>
        <v>14.57544195716422</v>
      </c>
      <c r="O7854" s="149">
        <f t="shared" ca="1" si="256"/>
        <v>1.000173611111111</v>
      </c>
    </row>
    <row r="7855" spans="12:15" x14ac:dyDescent="0.25">
      <c r="L7855" s="147">
        <f ca="1"/>
        <v>53094</v>
      </c>
      <c r="M7855" s="92">
        <f t="shared" ca="1" si="255"/>
        <v>6.25</v>
      </c>
      <c r="N7855" s="143">
        <f ca="1">(PRODUCT($O$5:$O7855)-1)*36000/_xlfn.DAYS(L7855, $C$2)</f>
        <v>14.576911662759278</v>
      </c>
      <c r="O7855" s="149">
        <f t="shared" ca="1" si="256"/>
        <v>1.000173611111111</v>
      </c>
    </row>
    <row r="7856" spans="12:15" x14ac:dyDescent="0.25">
      <c r="L7856" s="147">
        <f ca="1"/>
        <v>53095</v>
      </c>
      <c r="M7856" s="92">
        <f t="shared" ca="1" si="255"/>
        <v>6.25</v>
      </c>
      <c r="N7856" s="143">
        <f ca="1">(PRODUCT($O$5:$O7856)-1)*36000/_xlfn.DAYS(L7856, $C$2)</f>
        <v>14.57838157139647</v>
      </c>
      <c r="O7856" s="149">
        <f t="shared" ca="1" si="256"/>
        <v>1.000173611111111</v>
      </c>
    </row>
    <row r="7857" spans="12:15" x14ac:dyDescent="0.25">
      <c r="L7857" s="147">
        <f ca="1"/>
        <v>53096</v>
      </c>
      <c r="M7857" s="92">
        <f t="shared" ca="1" si="255"/>
        <v>6.25</v>
      </c>
      <c r="N7857" s="143">
        <f ca="1">(PRODUCT($O$5:$O7857)-1)*36000/_xlfn.DAYS(L7857, $C$2)</f>
        <v>14.579851683098456</v>
      </c>
      <c r="O7857" s="149">
        <f t="shared" ca="1" si="256"/>
        <v>1.000173611111111</v>
      </c>
    </row>
    <row r="7858" spans="12:15" x14ac:dyDescent="0.25">
      <c r="L7858" s="147">
        <f ca="1"/>
        <v>53097</v>
      </c>
      <c r="M7858" s="92">
        <f t="shared" ca="1" si="255"/>
        <v>6.25</v>
      </c>
      <c r="N7858" s="143">
        <f ca="1">(PRODUCT($O$5:$O7858)-1)*36000/_xlfn.DAYS(L7858, $C$2)</f>
        <v>14.581321997887907</v>
      </c>
      <c r="O7858" s="149">
        <f t="shared" ca="1" si="256"/>
        <v>1.000173611111111</v>
      </c>
    </row>
    <row r="7859" spans="12:15" x14ac:dyDescent="0.25">
      <c r="L7859" s="147">
        <f ca="1"/>
        <v>53098</v>
      </c>
      <c r="M7859" s="92">
        <f t="shared" ca="1" si="255"/>
        <v>6.25</v>
      </c>
      <c r="N7859" s="143">
        <f ca="1">(PRODUCT($O$5:$O7859)-1)*36000/_xlfn.DAYS(L7859, $C$2)</f>
        <v>14.582792515787501</v>
      </c>
      <c r="O7859" s="149">
        <f t="shared" ca="1" si="256"/>
        <v>1.000173611111111</v>
      </c>
    </row>
    <row r="7860" spans="12:15" x14ac:dyDescent="0.25">
      <c r="L7860" s="147">
        <f ca="1"/>
        <v>53099</v>
      </c>
      <c r="M7860" s="92">
        <f t="shared" ca="1" si="255"/>
        <v>6.25</v>
      </c>
      <c r="N7860" s="143">
        <f ca="1">(PRODUCT($O$5:$O7860)-1)*36000/_xlfn.DAYS(L7860, $C$2)</f>
        <v>14.584263236819915</v>
      </c>
      <c r="O7860" s="149">
        <f t="shared" ca="1" si="256"/>
        <v>1.000173611111111</v>
      </c>
    </row>
    <row r="7861" spans="12:15" x14ac:dyDescent="0.25">
      <c r="L7861" s="147">
        <f ca="1"/>
        <v>53100</v>
      </c>
      <c r="M7861" s="92">
        <f t="shared" ca="1" si="255"/>
        <v>6.25</v>
      </c>
      <c r="N7861" s="143">
        <f ca="1">(PRODUCT($O$5:$O7861)-1)*36000/_xlfn.DAYS(L7861, $C$2)</f>
        <v>14.585734161007839</v>
      </c>
      <c r="O7861" s="149">
        <f t="shared" ca="1" si="256"/>
        <v>1.000173611111111</v>
      </c>
    </row>
    <row r="7862" spans="12:15" x14ac:dyDescent="0.25">
      <c r="L7862" s="147">
        <f ca="1"/>
        <v>53101</v>
      </c>
      <c r="M7862" s="92">
        <f t="shared" ca="1" si="255"/>
        <v>6.25</v>
      </c>
      <c r="N7862" s="143">
        <f ca="1">(PRODUCT($O$5:$O7862)-1)*36000/_xlfn.DAYS(L7862, $C$2)</f>
        <v>14.587205288373958</v>
      </c>
      <c r="O7862" s="149">
        <f t="shared" ca="1" si="256"/>
        <v>1.000173611111111</v>
      </c>
    </row>
    <row r="7863" spans="12:15" x14ac:dyDescent="0.25">
      <c r="L7863" s="147">
        <f ca="1"/>
        <v>53102</v>
      </c>
      <c r="M7863" s="92">
        <f t="shared" ca="1" si="255"/>
        <v>6.25</v>
      </c>
      <c r="N7863" s="143">
        <f ca="1">(PRODUCT($O$5:$O7863)-1)*36000/_xlfn.DAYS(L7863, $C$2)</f>
        <v>14.588676618940976</v>
      </c>
      <c r="O7863" s="149">
        <f t="shared" ca="1" si="256"/>
        <v>1.000173611111111</v>
      </c>
    </row>
    <row r="7864" spans="12:15" x14ac:dyDescent="0.25">
      <c r="L7864" s="147">
        <f ca="1"/>
        <v>53103</v>
      </c>
      <c r="M7864" s="92">
        <f t="shared" ca="1" si="255"/>
        <v>6.25</v>
      </c>
      <c r="N7864" s="143">
        <f ca="1">(PRODUCT($O$5:$O7864)-1)*36000/_xlfn.DAYS(L7864, $C$2)</f>
        <v>14.590148152731597</v>
      </c>
      <c r="O7864" s="149">
        <f t="shared" ca="1" si="256"/>
        <v>1.000173611111111</v>
      </c>
    </row>
    <row r="7865" spans="12:15" x14ac:dyDescent="0.25">
      <c r="L7865" s="147">
        <f ca="1"/>
        <v>53104</v>
      </c>
      <c r="M7865" s="92">
        <f t="shared" ca="1" si="255"/>
        <v>6.25</v>
      </c>
      <c r="N7865" s="143">
        <f ca="1">(PRODUCT($O$5:$O7865)-1)*36000/_xlfn.DAYS(L7865, $C$2)</f>
        <v>14.591619889768531</v>
      </c>
      <c r="O7865" s="149">
        <f t="shared" ca="1" si="256"/>
        <v>1.000173611111111</v>
      </c>
    </row>
    <row r="7866" spans="12:15" x14ac:dyDescent="0.25">
      <c r="L7866" s="147">
        <f ca="1"/>
        <v>53105</v>
      </c>
      <c r="M7866" s="92">
        <f t="shared" ca="1" si="255"/>
        <v>6.25</v>
      </c>
      <c r="N7866" s="143">
        <f ca="1">(PRODUCT($O$5:$O7866)-1)*36000/_xlfn.DAYS(L7866, $C$2)</f>
        <v>14.59309183007449</v>
      </c>
      <c r="O7866" s="149">
        <f t="shared" ca="1" si="256"/>
        <v>1.000173611111111</v>
      </c>
    </row>
    <row r="7867" spans="12:15" x14ac:dyDescent="0.25">
      <c r="L7867" s="147">
        <f ca="1"/>
        <v>53106</v>
      </c>
      <c r="M7867" s="92">
        <f t="shared" ca="1" si="255"/>
        <v>6.25</v>
      </c>
      <c r="N7867" s="143">
        <f ca="1">(PRODUCT($O$5:$O7867)-1)*36000/_xlfn.DAYS(L7867, $C$2)</f>
        <v>14.594563973672201</v>
      </c>
      <c r="O7867" s="149">
        <f t="shared" ca="1" si="256"/>
        <v>1.000173611111111</v>
      </c>
    </row>
    <row r="7868" spans="12:15" x14ac:dyDescent="0.25">
      <c r="L7868" s="147">
        <f ca="1"/>
        <v>53107</v>
      </c>
      <c r="M7868" s="92">
        <f t="shared" ca="1" si="255"/>
        <v>6.25</v>
      </c>
      <c r="N7868" s="143">
        <f ca="1">(PRODUCT($O$5:$O7868)-1)*36000/_xlfn.DAYS(L7868, $C$2)</f>
        <v>14.596036320584393</v>
      </c>
      <c r="O7868" s="149">
        <f t="shared" ca="1" si="256"/>
        <v>1.000173611111111</v>
      </c>
    </row>
    <row r="7869" spans="12:15" x14ac:dyDescent="0.25">
      <c r="L7869" s="147">
        <f ca="1"/>
        <v>53108</v>
      </c>
      <c r="M7869" s="92">
        <f t="shared" ca="1" si="255"/>
        <v>6.25</v>
      </c>
      <c r="N7869" s="143">
        <f ca="1">(PRODUCT($O$5:$O7869)-1)*36000/_xlfn.DAYS(L7869, $C$2)</f>
        <v>14.597508870833792</v>
      </c>
      <c r="O7869" s="149">
        <f t="shared" ca="1" si="256"/>
        <v>1.000173611111111</v>
      </c>
    </row>
    <row r="7870" spans="12:15" x14ac:dyDescent="0.25">
      <c r="L7870" s="147">
        <f ca="1"/>
        <v>53109</v>
      </c>
      <c r="M7870" s="92">
        <f t="shared" ca="1" si="255"/>
        <v>6.25</v>
      </c>
      <c r="N7870" s="143">
        <f ca="1">(PRODUCT($O$5:$O7870)-1)*36000/_xlfn.DAYS(L7870, $C$2)</f>
        <v>14.598981624443141</v>
      </c>
      <c r="O7870" s="149">
        <f t="shared" ca="1" si="256"/>
        <v>1.000173611111111</v>
      </c>
    </row>
    <row r="7871" spans="12:15" x14ac:dyDescent="0.25">
      <c r="L7871" s="147">
        <f ca="1"/>
        <v>53110</v>
      </c>
      <c r="M7871" s="92">
        <f t="shared" ca="1" si="255"/>
        <v>6.25</v>
      </c>
      <c r="N7871" s="143">
        <f ca="1">(PRODUCT($O$5:$O7871)-1)*36000/_xlfn.DAYS(L7871, $C$2)</f>
        <v>14.600454581435189</v>
      </c>
      <c r="O7871" s="149">
        <f t="shared" ca="1" si="256"/>
        <v>1.000173611111111</v>
      </c>
    </row>
    <row r="7872" spans="12:15" x14ac:dyDescent="0.25">
      <c r="L7872" s="147">
        <f ca="1"/>
        <v>53111</v>
      </c>
      <c r="M7872" s="92">
        <f t="shared" ca="1" si="255"/>
        <v>6.25</v>
      </c>
      <c r="N7872" s="143">
        <f ca="1">(PRODUCT($O$5:$O7872)-1)*36000/_xlfn.DAYS(L7872, $C$2)</f>
        <v>14.601927741832682</v>
      </c>
      <c r="O7872" s="149">
        <f t="shared" ca="1" si="256"/>
        <v>1.000173611111111</v>
      </c>
    </row>
    <row r="7873" spans="12:15" x14ac:dyDescent="0.25">
      <c r="L7873" s="147">
        <f ca="1"/>
        <v>53112</v>
      </c>
      <c r="M7873" s="92">
        <f t="shared" ca="1" si="255"/>
        <v>6.25</v>
      </c>
      <c r="N7873" s="143">
        <f ca="1">(PRODUCT($O$5:$O7873)-1)*36000/_xlfn.DAYS(L7873, $C$2)</f>
        <v>14.603401105658378</v>
      </c>
      <c r="O7873" s="149">
        <f t="shared" ca="1" si="256"/>
        <v>1.000173611111111</v>
      </c>
    </row>
    <row r="7874" spans="12:15" x14ac:dyDescent="0.25">
      <c r="L7874" s="147">
        <f ca="1"/>
        <v>53113</v>
      </c>
      <c r="M7874" s="92">
        <f t="shared" ca="1" si="255"/>
        <v>6.25</v>
      </c>
      <c r="N7874" s="143">
        <f ca="1">(PRODUCT($O$5:$O7874)-1)*36000/_xlfn.DAYS(L7874, $C$2)</f>
        <v>14.60487467293504</v>
      </c>
      <c r="O7874" s="149">
        <f t="shared" ca="1" si="256"/>
        <v>1.000173611111111</v>
      </c>
    </row>
    <row r="7875" spans="12:15" x14ac:dyDescent="0.25">
      <c r="L7875" s="147">
        <f ca="1"/>
        <v>53114</v>
      </c>
      <c r="M7875" s="92">
        <f t="shared" ca="1" si="255"/>
        <v>6.25</v>
      </c>
      <c r="N7875" s="143">
        <f ca="1">(PRODUCT($O$5:$O7875)-1)*36000/_xlfn.DAYS(L7875, $C$2)</f>
        <v>14.606348443685434</v>
      </c>
      <c r="O7875" s="149">
        <f t="shared" ca="1" si="256"/>
        <v>1.000173611111111</v>
      </c>
    </row>
    <row r="7876" spans="12:15" x14ac:dyDescent="0.25">
      <c r="L7876" s="147">
        <f ca="1"/>
        <v>53115</v>
      </c>
      <c r="M7876" s="92">
        <f t="shared" ca="1" si="255"/>
        <v>6.25</v>
      </c>
      <c r="N7876" s="143">
        <f ca="1">(PRODUCT($O$5:$O7876)-1)*36000/_xlfn.DAYS(L7876, $C$2)</f>
        <v>14.607822417932338</v>
      </c>
      <c r="O7876" s="149">
        <f t="shared" ca="1" si="256"/>
        <v>1.000173611111111</v>
      </c>
    </row>
    <row r="7877" spans="12:15" x14ac:dyDescent="0.25">
      <c r="L7877" s="147">
        <f ca="1"/>
        <v>53116</v>
      </c>
      <c r="M7877" s="92">
        <f t="shared" ref="M7877:M7940" ca="1" si="257">IFERROR(INDEX($E$27:$H$47, MATCH(L7877, $F$27:$F$47, 0), 4), IF(ISNUMBER(M7876), M7876, $C$5))</f>
        <v>6.25</v>
      </c>
      <c r="N7877" s="143">
        <f ca="1">(PRODUCT($O$5:$O7877)-1)*36000/_xlfn.DAYS(L7877, $C$2)</f>
        <v>14.609296595698529</v>
      </c>
      <c r="O7877" s="149">
        <f t="shared" ca="1" si="256"/>
        <v>1.000173611111111</v>
      </c>
    </row>
    <row r="7878" spans="12:15" x14ac:dyDescent="0.25">
      <c r="L7878" s="147">
        <f ca="1"/>
        <v>53117</v>
      </c>
      <c r="M7878" s="92">
        <f t="shared" ca="1" si="257"/>
        <v>6.25</v>
      </c>
      <c r="N7878" s="143">
        <f ca="1">(PRODUCT($O$5:$O7878)-1)*36000/_xlfn.DAYS(L7878, $C$2)</f>
        <v>14.610770977006794</v>
      </c>
      <c r="O7878" s="149">
        <f t="shared" ref="O7878:O7941" ca="1" si="258">1+M7878*IFERROR(_xlfn.DAYS(L7878, L7877), _xlfn.DAYS(L7878, $C$2))/36000</f>
        <v>1.000173611111111</v>
      </c>
    </row>
    <row r="7879" spans="12:15" x14ac:dyDescent="0.25">
      <c r="L7879" s="147">
        <f ca="1"/>
        <v>53118</v>
      </c>
      <c r="M7879" s="92">
        <f t="shared" ca="1" si="257"/>
        <v>6.25</v>
      </c>
      <c r="N7879" s="143">
        <f ca="1">(PRODUCT($O$5:$O7879)-1)*36000/_xlfn.DAYS(L7879, $C$2)</f>
        <v>14.612245561879929</v>
      </c>
      <c r="O7879" s="149">
        <f t="shared" ca="1" si="258"/>
        <v>1.000173611111111</v>
      </c>
    </row>
    <row r="7880" spans="12:15" x14ac:dyDescent="0.25">
      <c r="L7880" s="147">
        <f ca="1"/>
        <v>53119</v>
      </c>
      <c r="M7880" s="92">
        <f t="shared" ca="1" si="257"/>
        <v>6.25</v>
      </c>
      <c r="N7880" s="143">
        <f ca="1">(PRODUCT($O$5:$O7880)-1)*36000/_xlfn.DAYS(L7880, $C$2)</f>
        <v>14.613720350340726</v>
      </c>
      <c r="O7880" s="149">
        <f t="shared" ca="1" si="258"/>
        <v>1.000173611111111</v>
      </c>
    </row>
    <row r="7881" spans="12:15" x14ac:dyDescent="0.25">
      <c r="L7881" s="147">
        <f ca="1"/>
        <v>53120</v>
      </c>
      <c r="M7881" s="92">
        <f t="shared" ca="1" si="257"/>
        <v>6.25</v>
      </c>
      <c r="N7881" s="143">
        <f ca="1">(PRODUCT($O$5:$O7881)-1)*36000/_xlfn.DAYS(L7881, $C$2)</f>
        <v>14.615195342411994</v>
      </c>
      <c r="O7881" s="149">
        <f t="shared" ca="1" si="258"/>
        <v>1.000173611111111</v>
      </c>
    </row>
    <row r="7882" spans="12:15" x14ac:dyDescent="0.25">
      <c r="L7882" s="147">
        <f ca="1"/>
        <v>53121</v>
      </c>
      <c r="M7882" s="92">
        <f t="shared" ca="1" si="257"/>
        <v>6.25</v>
      </c>
      <c r="N7882" s="143">
        <f ca="1">(PRODUCT($O$5:$O7882)-1)*36000/_xlfn.DAYS(L7882, $C$2)</f>
        <v>14.616670538116535</v>
      </c>
      <c r="O7882" s="149">
        <f t="shared" ca="1" si="258"/>
        <v>1.000173611111111</v>
      </c>
    </row>
    <row r="7883" spans="12:15" x14ac:dyDescent="0.25">
      <c r="L7883" s="147">
        <f ca="1"/>
        <v>53122</v>
      </c>
      <c r="M7883" s="92">
        <f t="shared" ca="1" si="257"/>
        <v>6.25</v>
      </c>
      <c r="N7883" s="143">
        <f ca="1">(PRODUCT($O$5:$O7883)-1)*36000/_xlfn.DAYS(L7883, $C$2)</f>
        <v>14.618145937477172</v>
      </c>
      <c r="O7883" s="149">
        <f t="shared" ca="1" si="258"/>
        <v>1.000173611111111</v>
      </c>
    </row>
    <row r="7884" spans="12:15" x14ac:dyDescent="0.25">
      <c r="L7884" s="147">
        <f ca="1"/>
        <v>53123</v>
      </c>
      <c r="M7884" s="92">
        <f t="shared" ca="1" si="257"/>
        <v>6.25</v>
      </c>
      <c r="N7884" s="143">
        <f ca="1">(PRODUCT($O$5:$O7884)-1)*36000/_xlfn.DAYS(L7884, $C$2)</f>
        <v>14.619621540516716</v>
      </c>
      <c r="O7884" s="149">
        <f t="shared" ca="1" si="258"/>
        <v>1.000173611111111</v>
      </c>
    </row>
    <row r="7885" spans="12:15" x14ac:dyDescent="0.25">
      <c r="L7885" s="147">
        <f ca="1"/>
        <v>53124</v>
      </c>
      <c r="M7885" s="92">
        <f t="shared" ca="1" si="257"/>
        <v>6.25</v>
      </c>
      <c r="N7885" s="143">
        <f ca="1">(PRODUCT($O$5:$O7885)-1)*36000/_xlfn.DAYS(L7885, $C$2)</f>
        <v>14.621097347258003</v>
      </c>
      <c r="O7885" s="149">
        <f t="shared" ca="1" si="258"/>
        <v>1.000173611111111</v>
      </c>
    </row>
    <row r="7886" spans="12:15" x14ac:dyDescent="0.25">
      <c r="L7886" s="147">
        <f ca="1"/>
        <v>53125</v>
      </c>
      <c r="M7886" s="92">
        <f t="shared" ca="1" si="257"/>
        <v>6.25</v>
      </c>
      <c r="N7886" s="143">
        <f ca="1">(PRODUCT($O$5:$O7886)-1)*36000/_xlfn.DAYS(L7886, $C$2)</f>
        <v>14.622573357723864</v>
      </c>
      <c r="O7886" s="149">
        <f t="shared" ca="1" si="258"/>
        <v>1.000173611111111</v>
      </c>
    </row>
    <row r="7887" spans="12:15" x14ac:dyDescent="0.25">
      <c r="L7887" s="147">
        <f ca="1"/>
        <v>53126</v>
      </c>
      <c r="M7887" s="92">
        <f t="shared" ca="1" si="257"/>
        <v>6.25</v>
      </c>
      <c r="N7887" s="143">
        <f ca="1">(PRODUCT($O$5:$O7887)-1)*36000/_xlfn.DAYS(L7887, $C$2)</f>
        <v>14.624049571937137</v>
      </c>
      <c r="O7887" s="149">
        <f t="shared" ca="1" si="258"/>
        <v>1.000173611111111</v>
      </c>
    </row>
    <row r="7888" spans="12:15" x14ac:dyDescent="0.25">
      <c r="L7888" s="147">
        <f ca="1"/>
        <v>53127</v>
      </c>
      <c r="M7888" s="92">
        <f t="shared" ca="1" si="257"/>
        <v>6.25</v>
      </c>
      <c r="N7888" s="143">
        <f ca="1">(PRODUCT($O$5:$O7888)-1)*36000/_xlfn.DAYS(L7888, $C$2)</f>
        <v>14.625525989920666</v>
      </c>
      <c r="O7888" s="149">
        <f t="shared" ca="1" si="258"/>
        <v>1.000173611111111</v>
      </c>
    </row>
    <row r="7889" spans="12:15" x14ac:dyDescent="0.25">
      <c r="L7889" s="147">
        <f ca="1"/>
        <v>53128</v>
      </c>
      <c r="M7889" s="92">
        <f t="shared" ca="1" si="257"/>
        <v>6.25</v>
      </c>
      <c r="N7889" s="143">
        <f ca="1">(PRODUCT($O$5:$O7889)-1)*36000/_xlfn.DAYS(L7889, $C$2)</f>
        <v>14.627002611697304</v>
      </c>
      <c r="O7889" s="149">
        <f t="shared" ca="1" si="258"/>
        <v>1.000173611111111</v>
      </c>
    </row>
    <row r="7890" spans="12:15" x14ac:dyDescent="0.25">
      <c r="L7890" s="147">
        <f ca="1"/>
        <v>53129</v>
      </c>
      <c r="M7890" s="92">
        <f t="shared" ca="1" si="257"/>
        <v>6.25</v>
      </c>
      <c r="N7890" s="143">
        <f ca="1">(PRODUCT($O$5:$O7890)-1)*36000/_xlfn.DAYS(L7890, $C$2)</f>
        <v>14.628479437289901</v>
      </c>
      <c r="O7890" s="149">
        <f t="shared" ca="1" si="258"/>
        <v>1.000173611111111</v>
      </c>
    </row>
    <row r="7891" spans="12:15" x14ac:dyDescent="0.25">
      <c r="L7891" s="147">
        <f ca="1"/>
        <v>53130</v>
      </c>
      <c r="M7891" s="92">
        <f t="shared" ca="1" si="257"/>
        <v>6.25</v>
      </c>
      <c r="N7891" s="143">
        <f ca="1">(PRODUCT($O$5:$O7891)-1)*36000/_xlfn.DAYS(L7891, $C$2)</f>
        <v>14.629956466721323</v>
      </c>
      <c r="O7891" s="149">
        <f t="shared" ca="1" si="258"/>
        <v>1.000173611111111</v>
      </c>
    </row>
    <row r="7892" spans="12:15" x14ac:dyDescent="0.25">
      <c r="L7892" s="147">
        <f ca="1"/>
        <v>53131</v>
      </c>
      <c r="M7892" s="92">
        <f t="shared" ca="1" si="257"/>
        <v>6.25</v>
      </c>
      <c r="N7892" s="143">
        <f ca="1">(PRODUCT($O$5:$O7892)-1)*36000/_xlfn.DAYS(L7892, $C$2)</f>
        <v>14.631433700014437</v>
      </c>
      <c r="O7892" s="149">
        <f t="shared" ca="1" si="258"/>
        <v>1.000173611111111</v>
      </c>
    </row>
    <row r="7893" spans="12:15" x14ac:dyDescent="0.25">
      <c r="L7893" s="147">
        <f ca="1"/>
        <v>53132</v>
      </c>
      <c r="M7893" s="92">
        <f t="shared" ca="1" si="257"/>
        <v>6.25</v>
      </c>
      <c r="N7893" s="143">
        <f ca="1">(PRODUCT($O$5:$O7893)-1)*36000/_xlfn.DAYS(L7893, $C$2)</f>
        <v>14.632911137192115</v>
      </c>
      <c r="O7893" s="149">
        <f t="shared" ca="1" si="258"/>
        <v>1.000173611111111</v>
      </c>
    </row>
    <row r="7894" spans="12:15" x14ac:dyDescent="0.25">
      <c r="L7894" s="147">
        <f ca="1"/>
        <v>53133</v>
      </c>
      <c r="M7894" s="92">
        <f t="shared" ca="1" si="257"/>
        <v>6.25</v>
      </c>
      <c r="N7894" s="143">
        <f ca="1">(PRODUCT($O$5:$O7894)-1)*36000/_xlfn.DAYS(L7894, $C$2)</f>
        <v>14.634388778277239</v>
      </c>
      <c r="O7894" s="149">
        <f t="shared" ca="1" si="258"/>
        <v>1.000173611111111</v>
      </c>
    </row>
    <row r="7895" spans="12:15" x14ac:dyDescent="0.25">
      <c r="L7895" s="147">
        <f ca="1"/>
        <v>53134</v>
      </c>
      <c r="M7895" s="92">
        <f t="shared" ca="1" si="257"/>
        <v>6.25</v>
      </c>
      <c r="N7895" s="143">
        <f ca="1">(PRODUCT($O$5:$O7895)-1)*36000/_xlfn.DAYS(L7895, $C$2)</f>
        <v>14.635866623292694</v>
      </c>
      <c r="O7895" s="149">
        <f t="shared" ca="1" si="258"/>
        <v>1.000173611111111</v>
      </c>
    </row>
    <row r="7896" spans="12:15" x14ac:dyDescent="0.25">
      <c r="L7896" s="147">
        <f ca="1"/>
        <v>53135</v>
      </c>
      <c r="M7896" s="92">
        <f t="shared" ca="1" si="257"/>
        <v>6.25</v>
      </c>
      <c r="N7896" s="143">
        <f ca="1">(PRODUCT($O$5:$O7896)-1)*36000/_xlfn.DAYS(L7896, $C$2)</f>
        <v>14.637344672261369</v>
      </c>
      <c r="O7896" s="149">
        <f t="shared" ca="1" si="258"/>
        <v>1.000173611111111</v>
      </c>
    </row>
    <row r="7897" spans="12:15" x14ac:dyDescent="0.25">
      <c r="L7897" s="147">
        <f ca="1"/>
        <v>53136</v>
      </c>
      <c r="M7897" s="92">
        <f t="shared" ca="1" si="257"/>
        <v>6.25</v>
      </c>
      <c r="N7897" s="143">
        <f ca="1">(PRODUCT($O$5:$O7897)-1)*36000/_xlfn.DAYS(L7897, $C$2)</f>
        <v>14.638822925206163</v>
      </c>
      <c r="O7897" s="149">
        <f t="shared" ca="1" si="258"/>
        <v>1.000173611111111</v>
      </c>
    </row>
    <row r="7898" spans="12:15" x14ac:dyDescent="0.25">
      <c r="L7898" s="147">
        <f ca="1"/>
        <v>53137</v>
      </c>
      <c r="M7898" s="92">
        <f t="shared" ca="1" si="257"/>
        <v>6.25</v>
      </c>
      <c r="N7898" s="143">
        <f ca="1">(PRODUCT($O$5:$O7898)-1)*36000/_xlfn.DAYS(L7898, $C$2)</f>
        <v>14.640301382149978</v>
      </c>
      <c r="O7898" s="149">
        <f t="shared" ca="1" si="258"/>
        <v>1.000173611111111</v>
      </c>
    </row>
    <row r="7899" spans="12:15" x14ac:dyDescent="0.25">
      <c r="L7899" s="147">
        <f ca="1"/>
        <v>53138</v>
      </c>
      <c r="M7899" s="92">
        <f t="shared" ca="1" si="257"/>
        <v>6.25</v>
      </c>
      <c r="N7899" s="143">
        <f ca="1">(PRODUCT($O$5:$O7899)-1)*36000/_xlfn.DAYS(L7899, $C$2)</f>
        <v>14.64178004311572</v>
      </c>
      <c r="O7899" s="149">
        <f t="shared" ca="1" si="258"/>
        <v>1.000173611111111</v>
      </c>
    </row>
    <row r="7900" spans="12:15" x14ac:dyDescent="0.25">
      <c r="L7900" s="147">
        <f ca="1"/>
        <v>53139</v>
      </c>
      <c r="M7900" s="92">
        <f t="shared" ca="1" si="257"/>
        <v>6.25</v>
      </c>
      <c r="N7900" s="143">
        <f ca="1">(PRODUCT($O$5:$O7900)-1)*36000/_xlfn.DAYS(L7900, $C$2)</f>
        <v>14.64325890812631</v>
      </c>
      <c r="O7900" s="149">
        <f t="shared" ca="1" si="258"/>
        <v>1.000173611111111</v>
      </c>
    </row>
    <row r="7901" spans="12:15" x14ac:dyDescent="0.25">
      <c r="L7901" s="147">
        <f ca="1"/>
        <v>53140</v>
      </c>
      <c r="M7901" s="92">
        <f t="shared" ca="1" si="257"/>
        <v>6.25</v>
      </c>
      <c r="N7901" s="143">
        <f ca="1">(PRODUCT($O$5:$O7901)-1)*36000/_xlfn.DAYS(L7901, $C$2)</f>
        <v>14.644737977204663</v>
      </c>
      <c r="O7901" s="149">
        <f t="shared" ca="1" si="258"/>
        <v>1.000173611111111</v>
      </c>
    </row>
    <row r="7902" spans="12:15" x14ac:dyDescent="0.25">
      <c r="L7902" s="147">
        <f ca="1"/>
        <v>53141</v>
      </c>
      <c r="M7902" s="92">
        <f t="shared" ca="1" si="257"/>
        <v>6.25</v>
      </c>
      <c r="N7902" s="143">
        <f ca="1">(PRODUCT($O$5:$O7902)-1)*36000/_xlfn.DAYS(L7902, $C$2)</f>
        <v>14.646217250373704</v>
      </c>
      <c r="O7902" s="149">
        <f t="shared" ca="1" si="258"/>
        <v>1.000173611111111</v>
      </c>
    </row>
    <row r="7903" spans="12:15" x14ac:dyDescent="0.25">
      <c r="L7903" s="147">
        <f ca="1"/>
        <v>53142</v>
      </c>
      <c r="M7903" s="92">
        <f t="shared" ca="1" si="257"/>
        <v>6.25</v>
      </c>
      <c r="N7903" s="143">
        <f ca="1">(PRODUCT($O$5:$O7903)-1)*36000/_xlfn.DAYS(L7903, $C$2)</f>
        <v>14.647696727656369</v>
      </c>
      <c r="O7903" s="149">
        <f t="shared" ca="1" si="258"/>
        <v>1.000173611111111</v>
      </c>
    </row>
    <row r="7904" spans="12:15" x14ac:dyDescent="0.25">
      <c r="L7904" s="147">
        <f ca="1"/>
        <v>53143</v>
      </c>
      <c r="M7904" s="92">
        <f t="shared" ca="1" si="257"/>
        <v>6.25</v>
      </c>
      <c r="N7904" s="143">
        <f ca="1">(PRODUCT($O$5:$O7904)-1)*36000/_xlfn.DAYS(L7904, $C$2)</f>
        <v>14.649176409075595</v>
      </c>
      <c r="O7904" s="149">
        <f t="shared" ca="1" si="258"/>
        <v>1.000173611111111</v>
      </c>
    </row>
    <row r="7905" spans="12:15" x14ac:dyDescent="0.25">
      <c r="L7905" s="147">
        <f ca="1"/>
        <v>53144</v>
      </c>
      <c r="M7905" s="92">
        <f t="shared" ca="1" si="257"/>
        <v>6.25</v>
      </c>
      <c r="N7905" s="143">
        <f ca="1">(PRODUCT($O$5:$O7905)-1)*36000/_xlfn.DAYS(L7905, $C$2)</f>
        <v>14.650656294654322</v>
      </c>
      <c r="O7905" s="149">
        <f t="shared" ca="1" si="258"/>
        <v>1.000173611111111</v>
      </c>
    </row>
    <row r="7906" spans="12:15" x14ac:dyDescent="0.25">
      <c r="L7906" s="147">
        <f ca="1"/>
        <v>53145</v>
      </c>
      <c r="M7906" s="92">
        <f t="shared" ca="1" si="257"/>
        <v>6.25</v>
      </c>
      <c r="N7906" s="143">
        <f ca="1">(PRODUCT($O$5:$O7906)-1)*36000/_xlfn.DAYS(L7906, $C$2)</f>
        <v>14.652136384415501</v>
      </c>
      <c r="O7906" s="149">
        <f t="shared" ca="1" si="258"/>
        <v>1.000173611111111</v>
      </c>
    </row>
    <row r="7907" spans="12:15" x14ac:dyDescent="0.25">
      <c r="L7907" s="147">
        <f ca="1"/>
        <v>53146</v>
      </c>
      <c r="M7907" s="92">
        <f t="shared" ca="1" si="257"/>
        <v>6.25</v>
      </c>
      <c r="N7907" s="143">
        <f ca="1">(PRODUCT($O$5:$O7907)-1)*36000/_xlfn.DAYS(L7907, $C$2)</f>
        <v>14.653616678382086</v>
      </c>
      <c r="O7907" s="149">
        <f t="shared" ca="1" si="258"/>
        <v>1.000173611111111</v>
      </c>
    </row>
    <row r="7908" spans="12:15" x14ac:dyDescent="0.25">
      <c r="L7908" s="147">
        <f ca="1"/>
        <v>53147</v>
      </c>
      <c r="M7908" s="92">
        <f t="shared" ca="1" si="257"/>
        <v>6.25</v>
      </c>
      <c r="N7908" s="143">
        <f ca="1">(PRODUCT($O$5:$O7908)-1)*36000/_xlfn.DAYS(L7908, $C$2)</f>
        <v>14.655097176577044</v>
      </c>
      <c r="O7908" s="149">
        <f t="shared" ca="1" si="258"/>
        <v>1.000173611111111</v>
      </c>
    </row>
    <row r="7909" spans="12:15" x14ac:dyDescent="0.25">
      <c r="L7909" s="147">
        <f ca="1"/>
        <v>53148</v>
      </c>
      <c r="M7909" s="92">
        <f t="shared" ca="1" si="257"/>
        <v>6.25</v>
      </c>
      <c r="N7909" s="143">
        <f ca="1">(PRODUCT($O$5:$O7909)-1)*36000/_xlfn.DAYS(L7909, $C$2)</f>
        <v>14.656577879023336</v>
      </c>
      <c r="O7909" s="149">
        <f t="shared" ca="1" si="258"/>
        <v>1.000173611111111</v>
      </c>
    </row>
    <row r="7910" spans="12:15" x14ac:dyDescent="0.25">
      <c r="L7910" s="147">
        <f ca="1"/>
        <v>53149</v>
      </c>
      <c r="M7910" s="92">
        <f t="shared" ca="1" si="257"/>
        <v>6.25</v>
      </c>
      <c r="N7910" s="143">
        <f ca="1">(PRODUCT($O$5:$O7910)-1)*36000/_xlfn.DAYS(L7910, $C$2)</f>
        <v>14.658058785743934</v>
      </c>
      <c r="O7910" s="149">
        <f t="shared" ca="1" si="258"/>
        <v>1.000173611111111</v>
      </c>
    </row>
    <row r="7911" spans="12:15" x14ac:dyDescent="0.25">
      <c r="L7911" s="147">
        <f ca="1"/>
        <v>53150</v>
      </c>
      <c r="M7911" s="92">
        <f t="shared" ca="1" si="257"/>
        <v>6.25</v>
      </c>
      <c r="N7911" s="143">
        <f ca="1">(PRODUCT($O$5:$O7911)-1)*36000/_xlfn.DAYS(L7911, $C$2)</f>
        <v>14.659539896761824</v>
      </c>
      <c r="O7911" s="149">
        <f t="shared" ca="1" si="258"/>
        <v>1.000173611111111</v>
      </c>
    </row>
    <row r="7912" spans="12:15" x14ac:dyDescent="0.25">
      <c r="L7912" s="147">
        <f ca="1"/>
        <v>53151</v>
      </c>
      <c r="M7912" s="92">
        <f t="shared" ca="1" si="257"/>
        <v>6.25</v>
      </c>
      <c r="N7912" s="143">
        <f ca="1">(PRODUCT($O$5:$O7912)-1)*36000/_xlfn.DAYS(L7912, $C$2)</f>
        <v>14.66102121209998</v>
      </c>
      <c r="O7912" s="149">
        <f t="shared" ca="1" si="258"/>
        <v>1.000173611111111</v>
      </c>
    </row>
    <row r="7913" spans="12:15" x14ac:dyDescent="0.25">
      <c r="L7913" s="147">
        <f ca="1"/>
        <v>53152</v>
      </c>
      <c r="M7913" s="92">
        <f t="shared" ca="1" si="257"/>
        <v>6.25</v>
      </c>
      <c r="N7913" s="143">
        <f ca="1">(PRODUCT($O$5:$O7913)-1)*36000/_xlfn.DAYS(L7913, $C$2)</f>
        <v>14.662502731781396</v>
      </c>
      <c r="O7913" s="149">
        <f t="shared" ca="1" si="258"/>
        <v>1.000173611111111</v>
      </c>
    </row>
    <row r="7914" spans="12:15" x14ac:dyDescent="0.25">
      <c r="L7914" s="147">
        <f ca="1"/>
        <v>53153</v>
      </c>
      <c r="M7914" s="92">
        <f t="shared" ca="1" si="257"/>
        <v>6.25</v>
      </c>
      <c r="N7914" s="143">
        <f ca="1">(PRODUCT($O$5:$O7914)-1)*36000/_xlfn.DAYS(L7914, $C$2)</f>
        <v>14.66398445582907</v>
      </c>
      <c r="O7914" s="149">
        <f t="shared" ca="1" si="258"/>
        <v>1.000173611111111</v>
      </c>
    </row>
    <row r="7915" spans="12:15" x14ac:dyDescent="0.25">
      <c r="L7915" s="147">
        <f ca="1"/>
        <v>53154</v>
      </c>
      <c r="M7915" s="92">
        <f t="shared" ca="1" si="257"/>
        <v>6.25</v>
      </c>
      <c r="N7915" s="143">
        <f ca="1">(PRODUCT($O$5:$O7915)-1)*36000/_xlfn.DAYS(L7915, $C$2)</f>
        <v>14.665466384266004</v>
      </c>
      <c r="O7915" s="149">
        <f t="shared" ca="1" si="258"/>
        <v>1.000173611111111</v>
      </c>
    </row>
    <row r="7916" spans="12:15" x14ac:dyDescent="0.25">
      <c r="L7916" s="147">
        <f ca="1"/>
        <v>53155</v>
      </c>
      <c r="M7916" s="92">
        <f t="shared" ca="1" si="257"/>
        <v>6.25</v>
      </c>
      <c r="N7916" s="143">
        <f ca="1">(PRODUCT($O$5:$O7916)-1)*36000/_xlfn.DAYS(L7916, $C$2)</f>
        <v>14.666948517115204</v>
      </c>
      <c r="O7916" s="149">
        <f t="shared" ca="1" si="258"/>
        <v>1.000173611111111</v>
      </c>
    </row>
    <row r="7917" spans="12:15" x14ac:dyDescent="0.25">
      <c r="L7917" s="147">
        <f ca="1"/>
        <v>53156</v>
      </c>
      <c r="M7917" s="92">
        <f t="shared" ca="1" si="257"/>
        <v>6.25</v>
      </c>
      <c r="N7917" s="143">
        <f ca="1">(PRODUCT($O$5:$O7917)-1)*36000/_xlfn.DAYS(L7917, $C$2)</f>
        <v>14.668430854399684</v>
      </c>
      <c r="O7917" s="149">
        <f t="shared" ca="1" si="258"/>
        <v>1.000173611111111</v>
      </c>
    </row>
    <row r="7918" spans="12:15" x14ac:dyDescent="0.25">
      <c r="L7918" s="147">
        <f ca="1"/>
        <v>53157</v>
      </c>
      <c r="M7918" s="92">
        <f t="shared" ca="1" si="257"/>
        <v>6.25</v>
      </c>
      <c r="N7918" s="143">
        <f ca="1">(PRODUCT($O$5:$O7918)-1)*36000/_xlfn.DAYS(L7918, $C$2)</f>
        <v>14.66991339614246</v>
      </c>
      <c r="O7918" s="149">
        <f t="shared" ca="1" si="258"/>
        <v>1.000173611111111</v>
      </c>
    </row>
    <row r="7919" spans="12:15" x14ac:dyDescent="0.25">
      <c r="L7919" s="147">
        <f ca="1"/>
        <v>53158</v>
      </c>
      <c r="M7919" s="92">
        <f t="shared" ca="1" si="257"/>
        <v>6.25</v>
      </c>
      <c r="N7919" s="143">
        <f ca="1">(PRODUCT($O$5:$O7919)-1)*36000/_xlfn.DAYS(L7919, $C$2)</f>
        <v>14.671396142366561</v>
      </c>
      <c r="O7919" s="149">
        <f t="shared" ca="1" si="258"/>
        <v>1.000173611111111</v>
      </c>
    </row>
    <row r="7920" spans="12:15" x14ac:dyDescent="0.25">
      <c r="L7920" s="147">
        <f ca="1"/>
        <v>53159</v>
      </c>
      <c r="M7920" s="92">
        <f t="shared" ca="1" si="257"/>
        <v>6.25</v>
      </c>
      <c r="N7920" s="143">
        <f ca="1">(PRODUCT($O$5:$O7920)-1)*36000/_xlfn.DAYS(L7920, $C$2)</f>
        <v>14.672879093095014</v>
      </c>
      <c r="O7920" s="149">
        <f t="shared" ca="1" si="258"/>
        <v>1.000173611111111</v>
      </c>
    </row>
    <row r="7921" spans="12:15" x14ac:dyDescent="0.25">
      <c r="L7921" s="147">
        <f ca="1"/>
        <v>53160</v>
      </c>
      <c r="M7921" s="92">
        <f t="shared" ca="1" si="257"/>
        <v>6.25</v>
      </c>
      <c r="N7921" s="143">
        <f ca="1">(PRODUCT($O$5:$O7921)-1)*36000/_xlfn.DAYS(L7921, $C$2)</f>
        <v>14.674362248350862</v>
      </c>
      <c r="O7921" s="149">
        <f t="shared" ca="1" si="258"/>
        <v>1.000173611111111</v>
      </c>
    </row>
    <row r="7922" spans="12:15" x14ac:dyDescent="0.25">
      <c r="L7922" s="147">
        <f ca="1"/>
        <v>53161</v>
      </c>
      <c r="M7922" s="92">
        <f t="shared" ca="1" si="257"/>
        <v>6.25</v>
      </c>
      <c r="N7922" s="143">
        <f ca="1">(PRODUCT($O$5:$O7922)-1)*36000/_xlfn.DAYS(L7922, $C$2)</f>
        <v>14.675845608157141</v>
      </c>
      <c r="O7922" s="149">
        <f t="shared" ca="1" si="258"/>
        <v>1.000173611111111</v>
      </c>
    </row>
    <row r="7923" spans="12:15" x14ac:dyDescent="0.25">
      <c r="L7923" s="147">
        <f ca="1"/>
        <v>53162</v>
      </c>
      <c r="M7923" s="92">
        <f t="shared" ca="1" si="257"/>
        <v>6.25</v>
      </c>
      <c r="N7923" s="143">
        <f ca="1">(PRODUCT($O$5:$O7923)-1)*36000/_xlfn.DAYS(L7923, $C$2)</f>
        <v>14.677329172536901</v>
      </c>
      <c r="O7923" s="149">
        <f t="shared" ca="1" si="258"/>
        <v>1.000173611111111</v>
      </c>
    </row>
    <row r="7924" spans="12:15" x14ac:dyDescent="0.25">
      <c r="L7924" s="147">
        <f ca="1"/>
        <v>53163</v>
      </c>
      <c r="M7924" s="92">
        <f t="shared" ca="1" si="257"/>
        <v>6.25</v>
      </c>
      <c r="N7924" s="143">
        <f ca="1">(PRODUCT($O$5:$O7924)-1)*36000/_xlfn.DAYS(L7924, $C$2)</f>
        <v>14.678812941513199</v>
      </c>
      <c r="O7924" s="149">
        <f t="shared" ca="1" si="258"/>
        <v>1.000173611111111</v>
      </c>
    </row>
    <row r="7925" spans="12:15" x14ac:dyDescent="0.25">
      <c r="L7925" s="147">
        <f ca="1"/>
        <v>53164</v>
      </c>
      <c r="M7925" s="92">
        <f t="shared" ca="1" si="257"/>
        <v>6.25</v>
      </c>
      <c r="N7925" s="143">
        <f ca="1">(PRODUCT($O$5:$O7925)-1)*36000/_xlfn.DAYS(L7925, $C$2)</f>
        <v>14.680296915109089</v>
      </c>
      <c r="O7925" s="149">
        <f t="shared" ca="1" si="258"/>
        <v>1.000173611111111</v>
      </c>
    </row>
    <row r="7926" spans="12:15" x14ac:dyDescent="0.25">
      <c r="L7926" s="147">
        <f ca="1"/>
        <v>53165</v>
      </c>
      <c r="M7926" s="92">
        <f t="shared" ca="1" si="257"/>
        <v>6.25</v>
      </c>
      <c r="N7926" s="143">
        <f ca="1">(PRODUCT($O$5:$O7926)-1)*36000/_xlfn.DAYS(L7926, $C$2)</f>
        <v>14.68178109334764</v>
      </c>
      <c r="O7926" s="149">
        <f t="shared" ca="1" si="258"/>
        <v>1.000173611111111</v>
      </c>
    </row>
    <row r="7927" spans="12:15" x14ac:dyDescent="0.25">
      <c r="L7927" s="147">
        <f ca="1"/>
        <v>53166</v>
      </c>
      <c r="M7927" s="92">
        <f t="shared" ca="1" si="257"/>
        <v>6.25</v>
      </c>
      <c r="N7927" s="143">
        <f ca="1">(PRODUCT($O$5:$O7927)-1)*36000/_xlfn.DAYS(L7927, $C$2)</f>
        <v>14.683265476251927</v>
      </c>
      <c r="O7927" s="149">
        <f t="shared" ca="1" si="258"/>
        <v>1.000173611111111</v>
      </c>
    </row>
    <row r="7928" spans="12:15" x14ac:dyDescent="0.25">
      <c r="L7928" s="147">
        <f ca="1"/>
        <v>53167</v>
      </c>
      <c r="M7928" s="92">
        <f t="shared" ca="1" si="257"/>
        <v>6.25</v>
      </c>
      <c r="N7928" s="143">
        <f ca="1">(PRODUCT($O$5:$O7928)-1)*36000/_xlfn.DAYS(L7928, $C$2)</f>
        <v>14.684750063845023</v>
      </c>
      <c r="O7928" s="149">
        <f t="shared" ca="1" si="258"/>
        <v>1.000173611111111</v>
      </c>
    </row>
    <row r="7929" spans="12:15" x14ac:dyDescent="0.25">
      <c r="L7929" s="147">
        <f ca="1"/>
        <v>53168</v>
      </c>
      <c r="M7929" s="92">
        <f t="shared" ca="1" si="257"/>
        <v>6.25</v>
      </c>
      <c r="N7929" s="143">
        <f ca="1">(PRODUCT($O$5:$O7929)-1)*36000/_xlfn.DAYS(L7929, $C$2)</f>
        <v>14.68623485615001</v>
      </c>
      <c r="O7929" s="149">
        <f t="shared" ca="1" si="258"/>
        <v>1.000173611111111</v>
      </c>
    </row>
    <row r="7930" spans="12:15" x14ac:dyDescent="0.25">
      <c r="L7930" s="147">
        <f ca="1"/>
        <v>53169</v>
      </c>
      <c r="M7930" s="92">
        <f t="shared" ca="1" si="257"/>
        <v>6.25</v>
      </c>
      <c r="N7930" s="143">
        <f ca="1">(PRODUCT($O$5:$O7930)-1)*36000/_xlfn.DAYS(L7930, $C$2)</f>
        <v>14.68771985318998</v>
      </c>
      <c r="O7930" s="149">
        <f t="shared" ca="1" si="258"/>
        <v>1.000173611111111</v>
      </c>
    </row>
    <row r="7931" spans="12:15" x14ac:dyDescent="0.25">
      <c r="L7931" s="147">
        <f ca="1"/>
        <v>53170</v>
      </c>
      <c r="M7931" s="92">
        <f t="shared" ca="1" si="257"/>
        <v>6.25</v>
      </c>
      <c r="N7931" s="143">
        <f ca="1">(PRODUCT($O$5:$O7931)-1)*36000/_xlfn.DAYS(L7931, $C$2)</f>
        <v>14.68920505498803</v>
      </c>
      <c r="O7931" s="149">
        <f t="shared" ca="1" si="258"/>
        <v>1.000173611111111</v>
      </c>
    </row>
    <row r="7932" spans="12:15" x14ac:dyDescent="0.25">
      <c r="L7932" s="147">
        <f ca="1"/>
        <v>53171</v>
      </c>
      <c r="M7932" s="92">
        <f t="shared" ca="1" si="257"/>
        <v>6.25</v>
      </c>
      <c r="N7932" s="143">
        <f ca="1">(PRODUCT($O$5:$O7932)-1)*36000/_xlfn.DAYS(L7932, $C$2)</f>
        <v>14.69069046156725</v>
      </c>
      <c r="O7932" s="149">
        <f t="shared" ca="1" si="258"/>
        <v>1.000173611111111</v>
      </c>
    </row>
    <row r="7933" spans="12:15" x14ac:dyDescent="0.25">
      <c r="L7933" s="147">
        <f ca="1"/>
        <v>53172</v>
      </c>
      <c r="M7933" s="92">
        <f t="shared" ca="1" si="257"/>
        <v>6.25</v>
      </c>
      <c r="N7933" s="143">
        <f ca="1">(PRODUCT($O$5:$O7933)-1)*36000/_xlfn.DAYS(L7933, $C$2)</f>
        <v>14.692176072950756</v>
      </c>
      <c r="O7933" s="149">
        <f t="shared" ca="1" si="258"/>
        <v>1.000173611111111</v>
      </c>
    </row>
    <row r="7934" spans="12:15" x14ac:dyDescent="0.25">
      <c r="L7934" s="147">
        <f ca="1"/>
        <v>53173</v>
      </c>
      <c r="M7934" s="92">
        <f t="shared" ca="1" si="257"/>
        <v>6.25</v>
      </c>
      <c r="N7934" s="143">
        <f ca="1">(PRODUCT($O$5:$O7934)-1)*36000/_xlfn.DAYS(L7934, $C$2)</f>
        <v>14.69366188916166</v>
      </c>
      <c r="O7934" s="149">
        <f t="shared" ca="1" si="258"/>
        <v>1.000173611111111</v>
      </c>
    </row>
    <row r="7935" spans="12:15" x14ac:dyDescent="0.25">
      <c r="L7935" s="147">
        <f ca="1"/>
        <v>53174</v>
      </c>
      <c r="M7935" s="92">
        <f t="shared" ca="1" si="257"/>
        <v>6.25</v>
      </c>
      <c r="N7935" s="143">
        <f ca="1">(PRODUCT($O$5:$O7935)-1)*36000/_xlfn.DAYS(L7935, $C$2)</f>
        <v>14.695147910223076</v>
      </c>
      <c r="O7935" s="149">
        <f t="shared" ca="1" si="258"/>
        <v>1.000173611111111</v>
      </c>
    </row>
    <row r="7936" spans="12:15" x14ac:dyDescent="0.25">
      <c r="L7936" s="147">
        <f ca="1"/>
        <v>53175</v>
      </c>
      <c r="M7936" s="92">
        <f t="shared" ca="1" si="257"/>
        <v>6.25</v>
      </c>
      <c r="N7936" s="143">
        <f ca="1">(PRODUCT($O$5:$O7936)-1)*36000/_xlfn.DAYS(L7936, $C$2)</f>
        <v>14.69663413615813</v>
      </c>
      <c r="O7936" s="149">
        <f t="shared" ca="1" si="258"/>
        <v>1.000173611111111</v>
      </c>
    </row>
    <row r="7937" spans="12:15" x14ac:dyDescent="0.25">
      <c r="L7937" s="147">
        <f ca="1"/>
        <v>53176</v>
      </c>
      <c r="M7937" s="92">
        <f t="shared" ca="1" si="257"/>
        <v>6.25</v>
      </c>
      <c r="N7937" s="143">
        <f ca="1">(PRODUCT($O$5:$O7937)-1)*36000/_xlfn.DAYS(L7937, $C$2)</f>
        <v>14.698120566989951</v>
      </c>
      <c r="O7937" s="149">
        <f t="shared" ca="1" si="258"/>
        <v>1.000173611111111</v>
      </c>
    </row>
    <row r="7938" spans="12:15" x14ac:dyDescent="0.25">
      <c r="L7938" s="147">
        <f ca="1"/>
        <v>53177</v>
      </c>
      <c r="M7938" s="92">
        <f t="shared" ca="1" si="257"/>
        <v>6.25</v>
      </c>
      <c r="N7938" s="143">
        <f ca="1">(PRODUCT($O$5:$O7938)-1)*36000/_xlfn.DAYS(L7938, $C$2)</f>
        <v>14.699607202741673</v>
      </c>
      <c r="O7938" s="149">
        <f t="shared" ca="1" si="258"/>
        <v>1.000173611111111</v>
      </c>
    </row>
    <row r="7939" spans="12:15" x14ac:dyDescent="0.25">
      <c r="L7939" s="147">
        <f ca="1"/>
        <v>53178</v>
      </c>
      <c r="M7939" s="92">
        <f t="shared" ca="1" si="257"/>
        <v>6.25</v>
      </c>
      <c r="N7939" s="143">
        <f ca="1">(PRODUCT($O$5:$O7939)-1)*36000/_xlfn.DAYS(L7939, $C$2)</f>
        <v>14.70109404343644</v>
      </c>
      <c r="O7939" s="149">
        <f t="shared" ca="1" si="258"/>
        <v>1.000173611111111</v>
      </c>
    </row>
    <row r="7940" spans="12:15" x14ac:dyDescent="0.25">
      <c r="L7940" s="147">
        <f ca="1"/>
        <v>53179</v>
      </c>
      <c r="M7940" s="92">
        <f t="shared" ca="1" si="257"/>
        <v>6.25</v>
      </c>
      <c r="N7940" s="143">
        <f ca="1">(PRODUCT($O$5:$O7940)-1)*36000/_xlfn.DAYS(L7940, $C$2)</f>
        <v>14.702581089097398</v>
      </c>
      <c r="O7940" s="149">
        <f t="shared" ca="1" si="258"/>
        <v>1.000173611111111</v>
      </c>
    </row>
    <row r="7941" spans="12:15" x14ac:dyDescent="0.25">
      <c r="L7941" s="147">
        <f ca="1"/>
        <v>53180</v>
      </c>
      <c r="M7941" s="92">
        <f t="shared" ref="M7941:M8004" ca="1" si="259">IFERROR(INDEX($E$27:$H$47, MATCH(L7941, $F$27:$F$47, 0), 4), IF(ISNUMBER(M7940), M7940, $C$5))</f>
        <v>6.25</v>
      </c>
      <c r="N7941" s="143">
        <f ca="1">(PRODUCT($O$5:$O7941)-1)*36000/_xlfn.DAYS(L7941, $C$2)</f>
        <v>14.704068339747698</v>
      </c>
      <c r="O7941" s="149">
        <f t="shared" ca="1" si="258"/>
        <v>1.000173611111111</v>
      </c>
    </row>
    <row r="7942" spans="12:15" x14ac:dyDescent="0.25">
      <c r="L7942" s="147">
        <f ca="1"/>
        <v>53181</v>
      </c>
      <c r="M7942" s="92">
        <f t="shared" ca="1" si="259"/>
        <v>6.25</v>
      </c>
      <c r="N7942" s="143">
        <f ca="1">(PRODUCT($O$5:$O7942)-1)*36000/_xlfn.DAYS(L7942, $C$2)</f>
        <v>14.705555795410497</v>
      </c>
      <c r="O7942" s="149">
        <f t="shared" ref="O7942:O8005" ca="1" si="260">1+M7942*IFERROR(_xlfn.DAYS(L7942, L7941), _xlfn.DAYS(L7942, $C$2))/36000</f>
        <v>1.000173611111111</v>
      </c>
    </row>
    <row r="7943" spans="12:15" x14ac:dyDescent="0.25">
      <c r="L7943" s="147">
        <f ca="1"/>
        <v>53182</v>
      </c>
      <c r="M7943" s="92">
        <f t="shared" ca="1" si="259"/>
        <v>6.25</v>
      </c>
      <c r="N7943" s="143">
        <f ca="1">(PRODUCT($O$5:$O7943)-1)*36000/_xlfn.DAYS(L7943, $C$2)</f>
        <v>14.707043456108964</v>
      </c>
      <c r="O7943" s="149">
        <f t="shared" ca="1" si="260"/>
        <v>1.000173611111111</v>
      </c>
    </row>
    <row r="7944" spans="12:15" x14ac:dyDescent="0.25">
      <c r="L7944" s="147">
        <f ca="1"/>
        <v>53183</v>
      </c>
      <c r="M7944" s="92">
        <f t="shared" ca="1" si="259"/>
        <v>6.25</v>
      </c>
      <c r="N7944" s="143">
        <f ca="1">(PRODUCT($O$5:$O7944)-1)*36000/_xlfn.DAYS(L7944, $C$2)</f>
        <v>14.708531321866266</v>
      </c>
      <c r="O7944" s="149">
        <f t="shared" ca="1" si="260"/>
        <v>1.000173611111111</v>
      </c>
    </row>
    <row r="7945" spans="12:15" x14ac:dyDescent="0.25">
      <c r="L7945" s="147">
        <f ca="1"/>
        <v>53184</v>
      </c>
      <c r="M7945" s="92">
        <f t="shared" ca="1" si="259"/>
        <v>6.25</v>
      </c>
      <c r="N7945" s="143">
        <f ca="1">(PRODUCT($O$5:$O7945)-1)*36000/_xlfn.DAYS(L7945, $C$2)</f>
        <v>14.710019392705583</v>
      </c>
      <c r="O7945" s="149">
        <f t="shared" ca="1" si="260"/>
        <v>1.000173611111111</v>
      </c>
    </row>
    <row r="7946" spans="12:15" x14ac:dyDescent="0.25">
      <c r="L7946" s="147">
        <f ca="1"/>
        <v>53185</v>
      </c>
      <c r="M7946" s="92">
        <f t="shared" ca="1" si="259"/>
        <v>6.25</v>
      </c>
      <c r="N7946" s="143">
        <f ca="1">(PRODUCT($O$5:$O7946)-1)*36000/_xlfn.DAYS(L7946, $C$2)</f>
        <v>14.711507668650091</v>
      </c>
      <c r="O7946" s="149">
        <f t="shared" ca="1" si="260"/>
        <v>1.000173611111111</v>
      </c>
    </row>
    <row r="7947" spans="12:15" x14ac:dyDescent="0.25">
      <c r="L7947" s="147">
        <f ca="1"/>
        <v>53186</v>
      </c>
      <c r="M7947" s="92">
        <f t="shared" ca="1" si="259"/>
        <v>6.25</v>
      </c>
      <c r="N7947" s="143">
        <f ca="1">(PRODUCT($O$5:$O7947)-1)*36000/_xlfn.DAYS(L7947, $C$2)</f>
        <v>14.712996149722983</v>
      </c>
      <c r="O7947" s="149">
        <f t="shared" ca="1" si="260"/>
        <v>1.000173611111111</v>
      </c>
    </row>
    <row r="7948" spans="12:15" x14ac:dyDescent="0.25">
      <c r="L7948" s="147">
        <f ca="1"/>
        <v>53187</v>
      </c>
      <c r="M7948" s="92">
        <f t="shared" ca="1" si="259"/>
        <v>6.25</v>
      </c>
      <c r="N7948" s="143">
        <f ca="1">(PRODUCT($O$5:$O7948)-1)*36000/_xlfn.DAYS(L7948, $C$2)</f>
        <v>14.714484835947449</v>
      </c>
      <c r="O7948" s="149">
        <f t="shared" ca="1" si="260"/>
        <v>1.000173611111111</v>
      </c>
    </row>
    <row r="7949" spans="12:15" x14ac:dyDescent="0.25">
      <c r="L7949" s="147">
        <f ca="1"/>
        <v>53188</v>
      </c>
      <c r="M7949" s="92">
        <f t="shared" ca="1" si="259"/>
        <v>6.25</v>
      </c>
      <c r="N7949" s="143">
        <f ca="1">(PRODUCT($O$5:$O7949)-1)*36000/_xlfn.DAYS(L7949, $C$2)</f>
        <v>14.715973727346686</v>
      </c>
      <c r="O7949" s="149">
        <f t="shared" ca="1" si="260"/>
        <v>1.000173611111111</v>
      </c>
    </row>
    <row r="7950" spans="12:15" x14ac:dyDescent="0.25">
      <c r="L7950" s="147">
        <f ca="1"/>
        <v>53189</v>
      </c>
      <c r="M7950" s="92">
        <f t="shared" ca="1" si="259"/>
        <v>6.25</v>
      </c>
      <c r="N7950" s="143">
        <f ca="1">(PRODUCT($O$5:$O7950)-1)*36000/_xlfn.DAYS(L7950, $C$2)</f>
        <v>14.717462823943903</v>
      </c>
      <c r="O7950" s="149">
        <f t="shared" ca="1" si="260"/>
        <v>1.000173611111111</v>
      </c>
    </row>
    <row r="7951" spans="12:15" x14ac:dyDescent="0.25">
      <c r="L7951" s="147">
        <f ca="1"/>
        <v>53190</v>
      </c>
      <c r="M7951" s="92">
        <f t="shared" ca="1" si="259"/>
        <v>6.25</v>
      </c>
      <c r="N7951" s="143">
        <f ca="1">(PRODUCT($O$5:$O7951)-1)*36000/_xlfn.DAYS(L7951, $C$2)</f>
        <v>14.718952125762307</v>
      </c>
      <c r="O7951" s="149">
        <f t="shared" ca="1" si="260"/>
        <v>1.000173611111111</v>
      </c>
    </row>
    <row r="7952" spans="12:15" x14ac:dyDescent="0.25">
      <c r="L7952" s="147">
        <f ca="1"/>
        <v>53191</v>
      </c>
      <c r="M7952" s="92">
        <f t="shared" ca="1" si="259"/>
        <v>6.25</v>
      </c>
      <c r="N7952" s="143">
        <f ca="1">(PRODUCT($O$5:$O7952)-1)*36000/_xlfn.DAYS(L7952, $C$2)</f>
        <v>14.720441632825123</v>
      </c>
      <c r="O7952" s="149">
        <f t="shared" ca="1" si="260"/>
        <v>1.000173611111111</v>
      </c>
    </row>
    <row r="7953" spans="12:15" x14ac:dyDescent="0.25">
      <c r="L7953" s="147">
        <f ca="1"/>
        <v>53192</v>
      </c>
      <c r="M7953" s="92">
        <f t="shared" ca="1" si="259"/>
        <v>6.25</v>
      </c>
      <c r="N7953" s="143">
        <f ca="1">(PRODUCT($O$5:$O7953)-1)*36000/_xlfn.DAYS(L7953, $C$2)</f>
        <v>14.721931345155562</v>
      </c>
      <c r="O7953" s="149">
        <f t="shared" ca="1" si="260"/>
        <v>1.000173611111111</v>
      </c>
    </row>
    <row r="7954" spans="12:15" x14ac:dyDescent="0.25">
      <c r="L7954" s="147">
        <f ca="1"/>
        <v>53193</v>
      </c>
      <c r="M7954" s="92">
        <f t="shared" ca="1" si="259"/>
        <v>6.25</v>
      </c>
      <c r="N7954" s="143">
        <f ca="1">(PRODUCT($O$5:$O7954)-1)*36000/_xlfn.DAYS(L7954, $C$2)</f>
        <v>14.72342126277686</v>
      </c>
      <c r="O7954" s="149">
        <f t="shared" ca="1" si="260"/>
        <v>1.000173611111111</v>
      </c>
    </row>
    <row r="7955" spans="12:15" x14ac:dyDescent="0.25">
      <c r="L7955" s="147">
        <f ca="1"/>
        <v>53194</v>
      </c>
      <c r="M7955" s="92">
        <f t="shared" ca="1" si="259"/>
        <v>6.25</v>
      </c>
      <c r="N7955" s="143">
        <f ca="1">(PRODUCT($O$5:$O7955)-1)*36000/_xlfn.DAYS(L7955, $C$2)</f>
        <v>14.724911385712248</v>
      </c>
      <c r="O7955" s="149">
        <f t="shared" ca="1" si="260"/>
        <v>1.000173611111111</v>
      </c>
    </row>
    <row r="7956" spans="12:15" x14ac:dyDescent="0.25">
      <c r="L7956" s="147">
        <f ca="1"/>
        <v>53195</v>
      </c>
      <c r="M7956" s="92">
        <f t="shared" ca="1" si="259"/>
        <v>6.25</v>
      </c>
      <c r="N7956" s="143">
        <f ca="1">(PRODUCT($O$5:$O7956)-1)*36000/_xlfn.DAYS(L7956, $C$2)</f>
        <v>14.726401713984963</v>
      </c>
      <c r="O7956" s="149">
        <f t="shared" ca="1" si="260"/>
        <v>1.000173611111111</v>
      </c>
    </row>
    <row r="7957" spans="12:15" x14ac:dyDescent="0.25">
      <c r="L7957" s="147">
        <f ca="1"/>
        <v>53196</v>
      </c>
      <c r="M7957" s="92">
        <f t="shared" ca="1" si="259"/>
        <v>6.25</v>
      </c>
      <c r="N7957" s="143">
        <f ca="1">(PRODUCT($O$5:$O7957)-1)*36000/_xlfn.DAYS(L7957, $C$2)</f>
        <v>14.727892247618257</v>
      </c>
      <c r="O7957" s="149">
        <f t="shared" ca="1" si="260"/>
        <v>1.000173611111111</v>
      </c>
    </row>
    <row r="7958" spans="12:15" x14ac:dyDescent="0.25">
      <c r="L7958" s="147">
        <f ca="1"/>
        <v>53197</v>
      </c>
      <c r="M7958" s="92">
        <f t="shared" ca="1" si="259"/>
        <v>6.25</v>
      </c>
      <c r="N7958" s="143">
        <f ca="1">(PRODUCT($O$5:$O7958)-1)*36000/_xlfn.DAYS(L7958, $C$2)</f>
        <v>14.729382986635375</v>
      </c>
      <c r="O7958" s="149">
        <f t="shared" ca="1" si="260"/>
        <v>1.000173611111111</v>
      </c>
    </row>
    <row r="7959" spans="12:15" x14ac:dyDescent="0.25">
      <c r="L7959" s="147">
        <f ca="1"/>
        <v>53198</v>
      </c>
      <c r="M7959" s="92">
        <f t="shared" ca="1" si="259"/>
        <v>6.25</v>
      </c>
      <c r="N7959" s="143">
        <f ca="1">(PRODUCT($O$5:$O7959)-1)*36000/_xlfn.DAYS(L7959, $C$2)</f>
        <v>14.73087393105958</v>
      </c>
      <c r="O7959" s="149">
        <f t="shared" ca="1" si="260"/>
        <v>1.000173611111111</v>
      </c>
    </row>
    <row r="7960" spans="12:15" x14ac:dyDescent="0.25">
      <c r="L7960" s="147">
        <f ca="1"/>
        <v>53199</v>
      </c>
      <c r="M7960" s="92">
        <f t="shared" ca="1" si="259"/>
        <v>6.25</v>
      </c>
      <c r="N7960" s="143">
        <f ca="1">(PRODUCT($O$5:$O7960)-1)*36000/_xlfn.DAYS(L7960, $C$2)</f>
        <v>14.73236508091413</v>
      </c>
      <c r="O7960" s="149">
        <f t="shared" ca="1" si="260"/>
        <v>1.000173611111111</v>
      </c>
    </row>
    <row r="7961" spans="12:15" x14ac:dyDescent="0.25">
      <c r="L7961" s="147">
        <f ca="1"/>
        <v>53200</v>
      </c>
      <c r="M7961" s="92">
        <f t="shared" ca="1" si="259"/>
        <v>6.25</v>
      </c>
      <c r="N7961" s="143">
        <f ca="1">(PRODUCT($O$5:$O7961)-1)*36000/_xlfn.DAYS(L7961, $C$2)</f>
        <v>14.733856436222297</v>
      </c>
      <c r="O7961" s="149">
        <f t="shared" ca="1" si="260"/>
        <v>1.000173611111111</v>
      </c>
    </row>
    <row r="7962" spans="12:15" x14ac:dyDescent="0.25">
      <c r="L7962" s="147">
        <f ca="1"/>
        <v>53201</v>
      </c>
      <c r="M7962" s="92">
        <f t="shared" ca="1" si="259"/>
        <v>6.25</v>
      </c>
      <c r="N7962" s="143">
        <f ca="1">(PRODUCT($O$5:$O7962)-1)*36000/_xlfn.DAYS(L7962, $C$2)</f>
        <v>14.735347997007352</v>
      </c>
      <c r="O7962" s="149">
        <f t="shared" ca="1" si="260"/>
        <v>1.000173611111111</v>
      </c>
    </row>
    <row r="7963" spans="12:15" x14ac:dyDescent="0.25">
      <c r="L7963" s="147">
        <f ca="1"/>
        <v>53202</v>
      </c>
      <c r="M7963" s="92">
        <f t="shared" ca="1" si="259"/>
        <v>6.25</v>
      </c>
      <c r="N7963" s="143">
        <f ca="1">(PRODUCT($O$5:$O7963)-1)*36000/_xlfn.DAYS(L7963, $C$2)</f>
        <v>14.736839763292577</v>
      </c>
      <c r="O7963" s="149">
        <f t="shared" ca="1" si="260"/>
        <v>1.000173611111111</v>
      </c>
    </row>
    <row r="7964" spans="12:15" x14ac:dyDescent="0.25">
      <c r="L7964" s="147">
        <f ca="1"/>
        <v>53203</v>
      </c>
      <c r="M7964" s="92">
        <f t="shared" ca="1" si="259"/>
        <v>6.25</v>
      </c>
      <c r="N7964" s="143">
        <f ca="1">(PRODUCT($O$5:$O7964)-1)*36000/_xlfn.DAYS(L7964, $C$2)</f>
        <v>14.73833173510126</v>
      </c>
      <c r="O7964" s="149">
        <f t="shared" ca="1" si="260"/>
        <v>1.000173611111111</v>
      </c>
    </row>
    <row r="7965" spans="12:15" x14ac:dyDescent="0.25">
      <c r="L7965" s="147">
        <f ca="1"/>
        <v>53204</v>
      </c>
      <c r="M7965" s="92">
        <f t="shared" ca="1" si="259"/>
        <v>6.25</v>
      </c>
      <c r="N7965" s="143">
        <f ca="1">(PRODUCT($O$5:$O7965)-1)*36000/_xlfn.DAYS(L7965, $C$2)</f>
        <v>14.739823912456691</v>
      </c>
      <c r="O7965" s="149">
        <f t="shared" ca="1" si="260"/>
        <v>1.000173611111111</v>
      </c>
    </row>
    <row r="7966" spans="12:15" x14ac:dyDescent="0.25">
      <c r="L7966" s="147">
        <f ca="1"/>
        <v>53205</v>
      </c>
      <c r="M7966" s="92">
        <f t="shared" ca="1" si="259"/>
        <v>6.25</v>
      </c>
      <c r="N7966" s="143">
        <f ca="1">(PRODUCT($O$5:$O7966)-1)*36000/_xlfn.DAYS(L7966, $C$2)</f>
        <v>14.741316295382166</v>
      </c>
      <c r="O7966" s="149">
        <f t="shared" ca="1" si="260"/>
        <v>1.000173611111111</v>
      </c>
    </row>
    <row r="7967" spans="12:15" x14ac:dyDescent="0.25">
      <c r="L7967" s="147">
        <f ca="1"/>
        <v>53206</v>
      </c>
      <c r="M7967" s="92">
        <f t="shared" ca="1" si="259"/>
        <v>6.25</v>
      </c>
      <c r="N7967" s="143">
        <f ca="1">(PRODUCT($O$5:$O7967)-1)*36000/_xlfn.DAYS(L7967, $C$2)</f>
        <v>14.742808883900993</v>
      </c>
      <c r="O7967" s="149">
        <f t="shared" ca="1" si="260"/>
        <v>1.000173611111111</v>
      </c>
    </row>
    <row r="7968" spans="12:15" x14ac:dyDescent="0.25">
      <c r="L7968" s="147">
        <f ca="1"/>
        <v>53207</v>
      </c>
      <c r="M7968" s="92">
        <f t="shared" ca="1" si="259"/>
        <v>6.25</v>
      </c>
      <c r="N7968" s="143">
        <f ca="1">(PRODUCT($O$5:$O7968)-1)*36000/_xlfn.DAYS(L7968, $C$2)</f>
        <v>14.74430167803648</v>
      </c>
      <c r="O7968" s="149">
        <f t="shared" ca="1" si="260"/>
        <v>1.000173611111111</v>
      </c>
    </row>
    <row r="7969" spans="12:15" x14ac:dyDescent="0.25">
      <c r="L7969" s="147">
        <f ca="1"/>
        <v>53208</v>
      </c>
      <c r="M7969" s="92">
        <f t="shared" ca="1" si="259"/>
        <v>6.25</v>
      </c>
      <c r="N7969" s="143">
        <f ca="1">(PRODUCT($O$5:$O7969)-1)*36000/_xlfn.DAYS(L7969, $C$2)</f>
        <v>14.745794677811935</v>
      </c>
      <c r="O7969" s="149">
        <f t="shared" ca="1" si="260"/>
        <v>1.000173611111111</v>
      </c>
    </row>
    <row r="7970" spans="12:15" x14ac:dyDescent="0.25">
      <c r="L7970" s="147">
        <f ca="1"/>
        <v>53209</v>
      </c>
      <c r="M7970" s="92">
        <f t="shared" ca="1" si="259"/>
        <v>6.25</v>
      </c>
      <c r="N7970" s="143">
        <f ca="1">(PRODUCT($O$5:$O7970)-1)*36000/_xlfn.DAYS(L7970, $C$2)</f>
        <v>14.747287883250683</v>
      </c>
      <c r="O7970" s="149">
        <f t="shared" ca="1" si="260"/>
        <v>1.000173611111111</v>
      </c>
    </row>
    <row r="7971" spans="12:15" x14ac:dyDescent="0.25">
      <c r="L7971" s="147">
        <f ca="1"/>
        <v>53210</v>
      </c>
      <c r="M7971" s="92">
        <f t="shared" ca="1" si="259"/>
        <v>6.25</v>
      </c>
      <c r="N7971" s="143">
        <f ca="1">(PRODUCT($O$5:$O7971)-1)*36000/_xlfn.DAYS(L7971, $C$2)</f>
        <v>14.748781294376053</v>
      </c>
      <c r="O7971" s="149">
        <f t="shared" ca="1" si="260"/>
        <v>1.000173611111111</v>
      </c>
    </row>
    <row r="7972" spans="12:15" x14ac:dyDescent="0.25">
      <c r="L7972" s="147">
        <f ca="1"/>
        <v>53211</v>
      </c>
      <c r="M7972" s="92">
        <f t="shared" ca="1" si="259"/>
        <v>6.25</v>
      </c>
      <c r="N7972" s="143">
        <f ca="1">(PRODUCT($O$5:$O7972)-1)*36000/_xlfn.DAYS(L7972, $C$2)</f>
        <v>14.750274911211378</v>
      </c>
      <c r="O7972" s="149">
        <f t="shared" ca="1" si="260"/>
        <v>1.000173611111111</v>
      </c>
    </row>
    <row r="7973" spans="12:15" x14ac:dyDescent="0.25">
      <c r="L7973" s="147">
        <f ca="1"/>
        <v>53212</v>
      </c>
      <c r="M7973" s="92">
        <f t="shared" ca="1" si="259"/>
        <v>6.25</v>
      </c>
      <c r="N7973" s="143">
        <f ca="1">(PRODUCT($O$5:$O7973)-1)*36000/_xlfn.DAYS(L7973, $C$2)</f>
        <v>14.751768733779992</v>
      </c>
      <c r="O7973" s="149">
        <f t="shared" ca="1" si="260"/>
        <v>1.000173611111111</v>
      </c>
    </row>
    <row r="7974" spans="12:15" x14ac:dyDescent="0.25">
      <c r="L7974" s="147">
        <f ca="1"/>
        <v>53213</v>
      </c>
      <c r="M7974" s="92">
        <f t="shared" ca="1" si="259"/>
        <v>6.25</v>
      </c>
      <c r="N7974" s="143">
        <f ca="1">(PRODUCT($O$5:$O7974)-1)*36000/_xlfn.DAYS(L7974, $C$2)</f>
        <v>14.753262762105239</v>
      </c>
      <c r="O7974" s="149">
        <f t="shared" ca="1" si="260"/>
        <v>1.000173611111111</v>
      </c>
    </row>
    <row r="7975" spans="12:15" x14ac:dyDescent="0.25">
      <c r="L7975" s="147">
        <f ca="1"/>
        <v>53214</v>
      </c>
      <c r="M7975" s="92">
        <f t="shared" ca="1" si="259"/>
        <v>6.25</v>
      </c>
      <c r="N7975" s="143">
        <f ca="1">(PRODUCT($O$5:$O7975)-1)*36000/_xlfn.DAYS(L7975, $C$2)</f>
        <v>14.754756996210471</v>
      </c>
      <c r="O7975" s="149">
        <f t="shared" ca="1" si="260"/>
        <v>1.000173611111111</v>
      </c>
    </row>
    <row r="7976" spans="12:15" x14ac:dyDescent="0.25">
      <c r="L7976" s="147">
        <f ca="1"/>
        <v>53215</v>
      </c>
      <c r="M7976" s="92">
        <f t="shared" ca="1" si="259"/>
        <v>6.25</v>
      </c>
      <c r="N7976" s="143">
        <f ca="1">(PRODUCT($O$5:$O7976)-1)*36000/_xlfn.DAYS(L7976, $C$2)</f>
        <v>14.756251436119042</v>
      </c>
      <c r="O7976" s="149">
        <f t="shared" ca="1" si="260"/>
        <v>1.000173611111111</v>
      </c>
    </row>
    <row r="7977" spans="12:15" x14ac:dyDescent="0.25">
      <c r="L7977" s="147">
        <f ca="1"/>
        <v>53216</v>
      </c>
      <c r="M7977" s="92">
        <f t="shared" ca="1" si="259"/>
        <v>6.25</v>
      </c>
      <c r="N7977" s="143">
        <f ca="1">(PRODUCT($O$5:$O7977)-1)*36000/_xlfn.DAYS(L7977, $C$2)</f>
        <v>14.757746081854314</v>
      </c>
      <c r="O7977" s="149">
        <f t="shared" ca="1" si="260"/>
        <v>1.000173611111111</v>
      </c>
    </row>
    <row r="7978" spans="12:15" x14ac:dyDescent="0.25">
      <c r="L7978" s="147">
        <f ca="1"/>
        <v>53217</v>
      </c>
      <c r="M7978" s="92">
        <f t="shared" ca="1" si="259"/>
        <v>6.25</v>
      </c>
      <c r="N7978" s="143">
        <f ca="1">(PRODUCT($O$5:$O7978)-1)*36000/_xlfn.DAYS(L7978, $C$2)</f>
        <v>14.759240933439658</v>
      </c>
      <c r="O7978" s="149">
        <f t="shared" ca="1" si="260"/>
        <v>1.000173611111111</v>
      </c>
    </row>
    <row r="7979" spans="12:15" x14ac:dyDescent="0.25">
      <c r="L7979" s="147">
        <f ca="1"/>
        <v>53218</v>
      </c>
      <c r="M7979" s="92">
        <f t="shared" ca="1" si="259"/>
        <v>6.25</v>
      </c>
      <c r="N7979" s="143">
        <f ca="1">(PRODUCT($O$5:$O7979)-1)*36000/_xlfn.DAYS(L7979, $C$2)</f>
        <v>14.760735990898439</v>
      </c>
      <c r="O7979" s="149">
        <f t="shared" ca="1" si="260"/>
        <v>1.000173611111111</v>
      </c>
    </row>
    <row r="7980" spans="12:15" x14ac:dyDescent="0.25">
      <c r="L7980" s="147">
        <f ca="1"/>
        <v>53219</v>
      </c>
      <c r="M7980" s="92">
        <f t="shared" ca="1" si="259"/>
        <v>6.25</v>
      </c>
      <c r="N7980" s="143">
        <f ca="1">(PRODUCT($O$5:$O7980)-1)*36000/_xlfn.DAYS(L7980, $C$2)</f>
        <v>14.76223125425404</v>
      </c>
      <c r="O7980" s="149">
        <f t="shared" ca="1" si="260"/>
        <v>1.000173611111111</v>
      </c>
    </row>
    <row r="7981" spans="12:15" x14ac:dyDescent="0.25">
      <c r="L7981" s="147">
        <f ca="1"/>
        <v>53220</v>
      </c>
      <c r="M7981" s="92">
        <f t="shared" ca="1" si="259"/>
        <v>6.25</v>
      </c>
      <c r="N7981" s="143">
        <f ca="1">(PRODUCT($O$5:$O7981)-1)*36000/_xlfn.DAYS(L7981, $C$2)</f>
        <v>14.763726723529842</v>
      </c>
      <c r="O7981" s="149">
        <f t="shared" ca="1" si="260"/>
        <v>1.000173611111111</v>
      </c>
    </row>
    <row r="7982" spans="12:15" x14ac:dyDescent="0.25">
      <c r="L7982" s="147">
        <f ca="1"/>
        <v>53221</v>
      </c>
      <c r="M7982" s="92">
        <f t="shared" ca="1" si="259"/>
        <v>6.25</v>
      </c>
      <c r="N7982" s="143">
        <f ca="1">(PRODUCT($O$5:$O7982)-1)*36000/_xlfn.DAYS(L7982, $C$2)</f>
        <v>14.765222398749241</v>
      </c>
      <c r="O7982" s="149">
        <f t="shared" ca="1" si="260"/>
        <v>1.000173611111111</v>
      </c>
    </row>
    <row r="7983" spans="12:15" x14ac:dyDescent="0.25">
      <c r="L7983" s="147">
        <f ca="1"/>
        <v>53222</v>
      </c>
      <c r="M7983" s="92">
        <f t="shared" ca="1" si="259"/>
        <v>6.25</v>
      </c>
      <c r="N7983" s="143">
        <f ca="1">(PRODUCT($O$5:$O7983)-1)*36000/_xlfn.DAYS(L7983, $C$2)</f>
        <v>14.766718279935626</v>
      </c>
      <c r="O7983" s="149">
        <f t="shared" ca="1" si="260"/>
        <v>1.000173611111111</v>
      </c>
    </row>
    <row r="7984" spans="12:15" x14ac:dyDescent="0.25">
      <c r="L7984" s="147">
        <f ca="1"/>
        <v>53223</v>
      </c>
      <c r="M7984" s="92">
        <f t="shared" ca="1" si="259"/>
        <v>6.25</v>
      </c>
      <c r="N7984" s="143">
        <f ca="1">(PRODUCT($O$5:$O7984)-1)*36000/_xlfn.DAYS(L7984, $C$2)</f>
        <v>14.7682143671124</v>
      </c>
      <c r="O7984" s="149">
        <f t="shared" ca="1" si="260"/>
        <v>1.000173611111111</v>
      </c>
    </row>
    <row r="7985" spans="12:15" x14ac:dyDescent="0.25">
      <c r="L7985" s="147">
        <f ca="1"/>
        <v>53224</v>
      </c>
      <c r="M7985" s="92">
        <f t="shared" ca="1" si="259"/>
        <v>6.25</v>
      </c>
      <c r="N7985" s="143">
        <f ca="1">(PRODUCT($O$5:$O7985)-1)*36000/_xlfn.DAYS(L7985, $C$2)</f>
        <v>14.769710660302973</v>
      </c>
      <c r="O7985" s="149">
        <f t="shared" ca="1" si="260"/>
        <v>1.000173611111111</v>
      </c>
    </row>
    <row r="7986" spans="12:15" x14ac:dyDescent="0.25">
      <c r="L7986" s="147">
        <f ca="1"/>
        <v>53225</v>
      </c>
      <c r="M7986" s="92">
        <f t="shared" ca="1" si="259"/>
        <v>6.25</v>
      </c>
      <c r="N7986" s="143">
        <f ca="1">(PRODUCT($O$5:$O7986)-1)*36000/_xlfn.DAYS(L7986, $C$2)</f>
        <v>14.771207159530761</v>
      </c>
      <c r="O7986" s="149">
        <f t="shared" ca="1" si="260"/>
        <v>1.000173611111111</v>
      </c>
    </row>
    <row r="7987" spans="12:15" x14ac:dyDescent="0.25">
      <c r="L7987" s="147">
        <f ca="1"/>
        <v>53226</v>
      </c>
      <c r="M7987" s="92">
        <f t="shared" ca="1" si="259"/>
        <v>6.25</v>
      </c>
      <c r="N7987" s="143">
        <f ca="1">(PRODUCT($O$5:$O7987)-1)*36000/_xlfn.DAYS(L7987, $C$2)</f>
        <v>14.772703864819176</v>
      </c>
      <c r="O7987" s="149">
        <f t="shared" ca="1" si="260"/>
        <v>1.000173611111111</v>
      </c>
    </row>
    <row r="7988" spans="12:15" x14ac:dyDescent="0.25">
      <c r="L7988" s="147">
        <f ca="1"/>
        <v>53227</v>
      </c>
      <c r="M7988" s="92">
        <f t="shared" ca="1" si="259"/>
        <v>6.25</v>
      </c>
      <c r="N7988" s="143">
        <f ca="1">(PRODUCT($O$5:$O7988)-1)*36000/_xlfn.DAYS(L7988, $C$2)</f>
        <v>14.774200776191648</v>
      </c>
      <c r="O7988" s="149">
        <f t="shared" ca="1" si="260"/>
        <v>1.000173611111111</v>
      </c>
    </row>
    <row r="7989" spans="12:15" x14ac:dyDescent="0.25">
      <c r="L7989" s="147">
        <f ca="1"/>
        <v>53228</v>
      </c>
      <c r="M7989" s="92">
        <f t="shared" ca="1" si="259"/>
        <v>6.25</v>
      </c>
      <c r="N7989" s="143">
        <f ca="1">(PRODUCT($O$5:$O7989)-1)*36000/_xlfn.DAYS(L7989, $C$2)</f>
        <v>14.775697893671605</v>
      </c>
      <c r="O7989" s="149">
        <f t="shared" ca="1" si="260"/>
        <v>1.000173611111111</v>
      </c>
    </row>
    <row r="7990" spans="12:15" x14ac:dyDescent="0.25">
      <c r="L7990" s="147">
        <f ca="1"/>
        <v>53229</v>
      </c>
      <c r="M7990" s="92">
        <f t="shared" ca="1" si="259"/>
        <v>6.25</v>
      </c>
      <c r="N7990" s="143">
        <f ca="1">(PRODUCT($O$5:$O7990)-1)*36000/_xlfn.DAYS(L7990, $C$2)</f>
        <v>14.777195217282488</v>
      </c>
      <c r="O7990" s="149">
        <f t="shared" ca="1" si="260"/>
        <v>1.000173611111111</v>
      </c>
    </row>
    <row r="7991" spans="12:15" x14ac:dyDescent="0.25">
      <c r="L7991" s="147">
        <f ca="1"/>
        <v>53230</v>
      </c>
      <c r="M7991" s="92">
        <f t="shared" ca="1" si="259"/>
        <v>6.25</v>
      </c>
      <c r="N7991" s="143">
        <f ca="1">(PRODUCT($O$5:$O7991)-1)*36000/_xlfn.DAYS(L7991, $C$2)</f>
        <v>14.77869274704773</v>
      </c>
      <c r="O7991" s="149">
        <f t="shared" ca="1" si="260"/>
        <v>1.000173611111111</v>
      </c>
    </row>
    <row r="7992" spans="12:15" x14ac:dyDescent="0.25">
      <c r="L7992" s="147">
        <f ca="1"/>
        <v>53231</v>
      </c>
      <c r="M7992" s="92">
        <f t="shared" ca="1" si="259"/>
        <v>6.25</v>
      </c>
      <c r="N7992" s="143">
        <f ca="1">(PRODUCT($O$5:$O7992)-1)*36000/_xlfn.DAYS(L7992, $C$2)</f>
        <v>14.780190482990786</v>
      </c>
      <c r="O7992" s="149">
        <f t="shared" ca="1" si="260"/>
        <v>1.000173611111111</v>
      </c>
    </row>
    <row r="7993" spans="12:15" x14ac:dyDescent="0.25">
      <c r="L7993" s="147">
        <f ca="1"/>
        <v>53232</v>
      </c>
      <c r="M7993" s="92">
        <f t="shared" ca="1" si="259"/>
        <v>6.25</v>
      </c>
      <c r="N7993" s="143">
        <f ca="1">(PRODUCT($O$5:$O7993)-1)*36000/_xlfn.DAYS(L7993, $C$2)</f>
        <v>14.781688425135105</v>
      </c>
      <c r="O7993" s="149">
        <f t="shared" ca="1" si="260"/>
        <v>1.000173611111111</v>
      </c>
    </row>
    <row r="7994" spans="12:15" x14ac:dyDescent="0.25">
      <c r="L7994" s="147">
        <f ca="1"/>
        <v>53233</v>
      </c>
      <c r="M7994" s="92">
        <f t="shared" ca="1" si="259"/>
        <v>6.25</v>
      </c>
      <c r="N7994" s="143">
        <f ca="1">(PRODUCT($O$5:$O7994)-1)*36000/_xlfn.DAYS(L7994, $C$2)</f>
        <v>14.783186573504151</v>
      </c>
      <c r="O7994" s="149">
        <f t="shared" ca="1" si="260"/>
        <v>1.000173611111111</v>
      </c>
    </row>
    <row r="7995" spans="12:15" x14ac:dyDescent="0.25">
      <c r="L7995" s="147">
        <f ca="1"/>
        <v>53234</v>
      </c>
      <c r="M7995" s="92">
        <f t="shared" ca="1" si="259"/>
        <v>6.25</v>
      </c>
      <c r="N7995" s="143">
        <f ca="1">(PRODUCT($O$5:$O7995)-1)*36000/_xlfn.DAYS(L7995, $C$2)</f>
        <v>14.784684928121388</v>
      </c>
      <c r="O7995" s="149">
        <f t="shared" ca="1" si="260"/>
        <v>1.000173611111111</v>
      </c>
    </row>
    <row r="7996" spans="12:15" x14ac:dyDescent="0.25">
      <c r="L7996" s="147">
        <f ca="1"/>
        <v>53235</v>
      </c>
      <c r="M7996" s="92">
        <f t="shared" ca="1" si="259"/>
        <v>6.25</v>
      </c>
      <c r="N7996" s="143">
        <f ca="1">(PRODUCT($O$5:$O7996)-1)*36000/_xlfn.DAYS(L7996, $C$2)</f>
        <v>14.786183489010282</v>
      </c>
      <c r="O7996" s="149">
        <f t="shared" ca="1" si="260"/>
        <v>1.000173611111111</v>
      </c>
    </row>
    <row r="7997" spans="12:15" x14ac:dyDescent="0.25">
      <c r="L7997" s="147">
        <f ca="1"/>
        <v>53236</v>
      </c>
      <c r="M7997" s="92">
        <f t="shared" ca="1" si="259"/>
        <v>6.25</v>
      </c>
      <c r="N7997" s="143">
        <f ca="1">(PRODUCT($O$5:$O7997)-1)*36000/_xlfn.DAYS(L7997, $C$2)</f>
        <v>14.787682256194314</v>
      </c>
      <c r="O7997" s="149">
        <f t="shared" ca="1" si="260"/>
        <v>1.000173611111111</v>
      </c>
    </row>
    <row r="7998" spans="12:15" x14ac:dyDescent="0.25">
      <c r="L7998" s="147">
        <f ca="1"/>
        <v>53237</v>
      </c>
      <c r="M7998" s="92">
        <f t="shared" ca="1" si="259"/>
        <v>6.25</v>
      </c>
      <c r="N7998" s="143">
        <f ca="1">(PRODUCT($O$5:$O7998)-1)*36000/_xlfn.DAYS(L7998, $C$2)</f>
        <v>14.789181229696966</v>
      </c>
      <c r="O7998" s="149">
        <f t="shared" ca="1" si="260"/>
        <v>1.000173611111111</v>
      </c>
    </row>
    <row r="7999" spans="12:15" x14ac:dyDescent="0.25">
      <c r="L7999" s="147">
        <f ca="1"/>
        <v>53238</v>
      </c>
      <c r="M7999" s="92">
        <f t="shared" ca="1" si="259"/>
        <v>6.25</v>
      </c>
      <c r="N7999" s="143">
        <f ca="1">(PRODUCT($O$5:$O7999)-1)*36000/_xlfn.DAYS(L7999, $C$2)</f>
        <v>14.790680409541729</v>
      </c>
      <c r="O7999" s="149">
        <f t="shared" ca="1" si="260"/>
        <v>1.000173611111111</v>
      </c>
    </row>
    <row r="8000" spans="12:15" x14ac:dyDescent="0.25">
      <c r="L8000" s="147">
        <f ca="1"/>
        <v>53239</v>
      </c>
      <c r="M8000" s="92">
        <f t="shared" ca="1" si="259"/>
        <v>6.25</v>
      </c>
      <c r="N8000" s="143">
        <f ca="1">(PRODUCT($O$5:$O8000)-1)*36000/_xlfn.DAYS(L8000, $C$2)</f>
        <v>14.792179795752091</v>
      </c>
      <c r="O8000" s="149">
        <f t="shared" ca="1" si="260"/>
        <v>1.000173611111111</v>
      </c>
    </row>
    <row r="8001" spans="12:15" x14ac:dyDescent="0.25">
      <c r="L8001" s="147">
        <f ca="1"/>
        <v>53240</v>
      </c>
      <c r="M8001" s="92">
        <f t="shared" ca="1" si="259"/>
        <v>6.25</v>
      </c>
      <c r="N8001" s="143">
        <f ca="1">(PRODUCT($O$5:$O8001)-1)*36000/_xlfn.DAYS(L8001, $C$2)</f>
        <v>14.793679388351554</v>
      </c>
      <c r="O8001" s="149">
        <f t="shared" ca="1" si="260"/>
        <v>1.000173611111111</v>
      </c>
    </row>
    <row r="8002" spans="12:15" x14ac:dyDescent="0.25">
      <c r="L8002" s="147">
        <f ca="1"/>
        <v>53241</v>
      </c>
      <c r="M8002" s="92">
        <f t="shared" ca="1" si="259"/>
        <v>6.25</v>
      </c>
      <c r="N8002" s="143">
        <f ca="1">(PRODUCT($O$5:$O8002)-1)*36000/_xlfn.DAYS(L8002, $C$2)</f>
        <v>14.795179187363628</v>
      </c>
      <c r="O8002" s="149">
        <f t="shared" ca="1" si="260"/>
        <v>1.000173611111111</v>
      </c>
    </row>
    <row r="8003" spans="12:15" x14ac:dyDescent="0.25">
      <c r="L8003" s="147">
        <f ca="1"/>
        <v>53242</v>
      </c>
      <c r="M8003" s="92">
        <f t="shared" ca="1" si="259"/>
        <v>6.25</v>
      </c>
      <c r="N8003" s="143">
        <f ca="1">(PRODUCT($O$5:$O8003)-1)*36000/_xlfn.DAYS(L8003, $C$2)</f>
        <v>14.796679192811816</v>
      </c>
      <c r="O8003" s="149">
        <f t="shared" ca="1" si="260"/>
        <v>1.000173611111111</v>
      </c>
    </row>
    <row r="8004" spans="12:15" x14ac:dyDescent="0.25">
      <c r="L8004" s="147">
        <f ca="1"/>
        <v>53243</v>
      </c>
      <c r="M8004" s="92">
        <f t="shared" ca="1" si="259"/>
        <v>6.25</v>
      </c>
      <c r="N8004" s="143">
        <f ca="1">(PRODUCT($O$5:$O8004)-1)*36000/_xlfn.DAYS(L8004, $C$2)</f>
        <v>14.798179404719642</v>
      </c>
      <c r="O8004" s="149">
        <f t="shared" ca="1" si="260"/>
        <v>1.000173611111111</v>
      </c>
    </row>
    <row r="8005" spans="12:15" x14ac:dyDescent="0.25">
      <c r="L8005" s="147">
        <f ca="1"/>
        <v>53244</v>
      </c>
      <c r="M8005" s="92">
        <f t="shared" ref="M8005:M8068" ca="1" si="261">IFERROR(INDEX($E$27:$H$47, MATCH(L8005, $F$27:$F$47, 0), 4), IF(ISNUMBER(M8004), M8004, $C$5))</f>
        <v>6.25</v>
      </c>
      <c r="N8005" s="143">
        <f ca="1">(PRODUCT($O$5:$O8005)-1)*36000/_xlfn.DAYS(L8005, $C$2)</f>
        <v>14.799679823110628</v>
      </c>
      <c r="O8005" s="149">
        <f t="shared" ca="1" si="260"/>
        <v>1.000173611111111</v>
      </c>
    </row>
    <row r="8006" spans="12:15" x14ac:dyDescent="0.25">
      <c r="L8006" s="147">
        <f ca="1"/>
        <v>53245</v>
      </c>
      <c r="M8006" s="92">
        <f t="shared" ca="1" si="261"/>
        <v>6.25</v>
      </c>
      <c r="N8006" s="143">
        <f ca="1">(PRODUCT($O$5:$O8006)-1)*36000/_xlfn.DAYS(L8006, $C$2)</f>
        <v>14.801180448008298</v>
      </c>
      <c r="O8006" s="149">
        <f t="shared" ref="O8006:O8069" ca="1" si="262">1+M8006*IFERROR(_xlfn.DAYS(L8006, L8005), _xlfn.DAYS(L8006, $C$2))/36000</f>
        <v>1.000173611111111</v>
      </c>
    </row>
    <row r="8007" spans="12:15" x14ac:dyDescent="0.25">
      <c r="L8007" s="147">
        <f ca="1"/>
        <v>53246</v>
      </c>
      <c r="M8007" s="92">
        <f t="shared" ca="1" si="261"/>
        <v>6.25</v>
      </c>
      <c r="N8007" s="143">
        <f ca="1">(PRODUCT($O$5:$O8007)-1)*36000/_xlfn.DAYS(L8007, $C$2)</f>
        <v>14.802681279436189</v>
      </c>
      <c r="O8007" s="149">
        <f t="shared" ca="1" si="262"/>
        <v>1.000173611111111</v>
      </c>
    </row>
    <row r="8008" spans="12:15" x14ac:dyDescent="0.25">
      <c r="L8008" s="147">
        <f ca="1"/>
        <v>53247</v>
      </c>
      <c r="M8008" s="92">
        <f t="shared" ca="1" si="261"/>
        <v>6.25</v>
      </c>
      <c r="N8008" s="143">
        <f ca="1">(PRODUCT($O$5:$O8008)-1)*36000/_xlfn.DAYS(L8008, $C$2)</f>
        <v>14.804182317417842</v>
      </c>
      <c r="O8008" s="149">
        <f t="shared" ca="1" si="262"/>
        <v>1.000173611111111</v>
      </c>
    </row>
    <row r="8009" spans="12:15" x14ac:dyDescent="0.25">
      <c r="L8009" s="147">
        <f ca="1"/>
        <v>53248</v>
      </c>
      <c r="M8009" s="92">
        <f t="shared" ca="1" si="261"/>
        <v>6.25</v>
      </c>
      <c r="N8009" s="143">
        <f ca="1">(PRODUCT($O$5:$O8009)-1)*36000/_xlfn.DAYS(L8009, $C$2)</f>
        <v>14.805683561976805</v>
      </c>
      <c r="O8009" s="149">
        <f t="shared" ca="1" si="262"/>
        <v>1.000173611111111</v>
      </c>
    </row>
    <row r="8010" spans="12:15" x14ac:dyDescent="0.25">
      <c r="L8010" s="147">
        <f ca="1"/>
        <v>53249</v>
      </c>
      <c r="M8010" s="92">
        <f t="shared" ca="1" si="261"/>
        <v>6.25</v>
      </c>
      <c r="N8010" s="143">
        <f ca="1">(PRODUCT($O$5:$O8010)-1)*36000/_xlfn.DAYS(L8010, $C$2)</f>
        <v>14.807185013136623</v>
      </c>
      <c r="O8010" s="149">
        <f t="shared" ca="1" si="262"/>
        <v>1.000173611111111</v>
      </c>
    </row>
    <row r="8011" spans="12:15" x14ac:dyDescent="0.25">
      <c r="L8011" s="147">
        <f ca="1"/>
        <v>53250</v>
      </c>
      <c r="M8011" s="92">
        <f t="shared" ca="1" si="261"/>
        <v>6.25</v>
      </c>
      <c r="N8011" s="143">
        <f ca="1">(PRODUCT($O$5:$O8011)-1)*36000/_xlfn.DAYS(L8011, $C$2)</f>
        <v>14.808686670920856</v>
      </c>
      <c r="O8011" s="149">
        <f t="shared" ca="1" si="262"/>
        <v>1.000173611111111</v>
      </c>
    </row>
    <row r="8012" spans="12:15" x14ac:dyDescent="0.25">
      <c r="L8012" s="147">
        <f ca="1"/>
        <v>53251</v>
      </c>
      <c r="M8012" s="92">
        <f t="shared" ca="1" si="261"/>
        <v>6.25</v>
      </c>
      <c r="N8012" s="143">
        <f ca="1">(PRODUCT($O$5:$O8012)-1)*36000/_xlfn.DAYS(L8012, $C$2)</f>
        <v>14.810188535353069</v>
      </c>
      <c r="O8012" s="149">
        <f t="shared" ca="1" si="262"/>
        <v>1.000173611111111</v>
      </c>
    </row>
    <row r="8013" spans="12:15" x14ac:dyDescent="0.25">
      <c r="L8013" s="147">
        <f ca="1"/>
        <v>53252</v>
      </c>
      <c r="M8013" s="92">
        <f t="shared" ca="1" si="261"/>
        <v>6.25</v>
      </c>
      <c r="N8013" s="143">
        <f ca="1">(PRODUCT($O$5:$O8013)-1)*36000/_xlfn.DAYS(L8013, $C$2)</f>
        <v>14.811690606456834</v>
      </c>
      <c r="O8013" s="149">
        <f t="shared" ca="1" si="262"/>
        <v>1.000173611111111</v>
      </c>
    </row>
    <row r="8014" spans="12:15" x14ac:dyDescent="0.25">
      <c r="L8014" s="147">
        <f ca="1"/>
        <v>53253</v>
      </c>
      <c r="M8014" s="92">
        <f t="shared" ca="1" si="261"/>
        <v>6.25</v>
      </c>
      <c r="N8014" s="143">
        <f ca="1">(PRODUCT($O$5:$O8014)-1)*36000/_xlfn.DAYS(L8014, $C$2)</f>
        <v>14.813192884255718</v>
      </c>
      <c r="O8014" s="149">
        <f t="shared" ca="1" si="262"/>
        <v>1.000173611111111</v>
      </c>
    </row>
    <row r="8015" spans="12:15" x14ac:dyDescent="0.25">
      <c r="L8015" s="147">
        <f ca="1"/>
        <v>53254</v>
      </c>
      <c r="M8015" s="92">
        <f t="shared" ca="1" si="261"/>
        <v>6.25</v>
      </c>
      <c r="N8015" s="143">
        <f ca="1">(PRODUCT($O$5:$O8015)-1)*36000/_xlfn.DAYS(L8015, $C$2)</f>
        <v>14.814695368773307</v>
      </c>
      <c r="O8015" s="149">
        <f t="shared" ca="1" si="262"/>
        <v>1.000173611111111</v>
      </c>
    </row>
    <row r="8016" spans="12:15" x14ac:dyDescent="0.25">
      <c r="L8016" s="147">
        <f ca="1"/>
        <v>53255</v>
      </c>
      <c r="M8016" s="92">
        <f t="shared" ca="1" si="261"/>
        <v>6.25</v>
      </c>
      <c r="N8016" s="143">
        <f ca="1">(PRODUCT($O$5:$O8016)-1)*36000/_xlfn.DAYS(L8016, $C$2)</f>
        <v>14.816198060033186</v>
      </c>
      <c r="O8016" s="149">
        <f t="shared" ca="1" si="262"/>
        <v>1.000173611111111</v>
      </c>
    </row>
    <row r="8017" spans="12:15" x14ac:dyDescent="0.25">
      <c r="L8017" s="147">
        <f ca="1"/>
        <v>53256</v>
      </c>
      <c r="M8017" s="92">
        <f t="shared" ca="1" si="261"/>
        <v>6.25</v>
      </c>
      <c r="N8017" s="143">
        <f ca="1">(PRODUCT($O$5:$O8017)-1)*36000/_xlfn.DAYS(L8017, $C$2)</f>
        <v>14.817700958058943</v>
      </c>
      <c r="O8017" s="149">
        <f t="shared" ca="1" si="262"/>
        <v>1.000173611111111</v>
      </c>
    </row>
    <row r="8018" spans="12:15" x14ac:dyDescent="0.25">
      <c r="L8018" s="147">
        <f ca="1"/>
        <v>53257</v>
      </c>
      <c r="M8018" s="92">
        <f t="shared" ca="1" si="261"/>
        <v>6.25</v>
      </c>
      <c r="N8018" s="143">
        <f ca="1">(PRODUCT($O$5:$O8018)-1)*36000/_xlfn.DAYS(L8018, $C$2)</f>
        <v>14.819204062874181</v>
      </c>
      <c r="O8018" s="149">
        <f t="shared" ca="1" si="262"/>
        <v>1.000173611111111</v>
      </c>
    </row>
    <row r="8019" spans="12:15" x14ac:dyDescent="0.25">
      <c r="L8019" s="147">
        <f ca="1"/>
        <v>53258</v>
      </c>
      <c r="M8019" s="92">
        <f t="shared" ca="1" si="261"/>
        <v>6.25</v>
      </c>
      <c r="N8019" s="143">
        <f ca="1">(PRODUCT($O$5:$O8019)-1)*36000/_xlfn.DAYS(L8019, $C$2)</f>
        <v>14.820707374502499</v>
      </c>
      <c r="O8019" s="149">
        <f t="shared" ca="1" si="262"/>
        <v>1.000173611111111</v>
      </c>
    </row>
    <row r="8020" spans="12:15" x14ac:dyDescent="0.25">
      <c r="L8020" s="147">
        <f ca="1"/>
        <v>53259</v>
      </c>
      <c r="M8020" s="92">
        <f t="shared" ca="1" si="261"/>
        <v>6.25</v>
      </c>
      <c r="N8020" s="143">
        <f ca="1">(PRODUCT($O$5:$O8020)-1)*36000/_xlfn.DAYS(L8020, $C$2)</f>
        <v>14.82221089296751</v>
      </c>
      <c r="O8020" s="149">
        <f t="shared" ca="1" si="262"/>
        <v>1.000173611111111</v>
      </c>
    </row>
    <row r="8021" spans="12:15" x14ac:dyDescent="0.25">
      <c r="L8021" s="147">
        <f ca="1"/>
        <v>53260</v>
      </c>
      <c r="M8021" s="92">
        <f t="shared" ca="1" si="261"/>
        <v>6.25</v>
      </c>
      <c r="N8021" s="143">
        <f ca="1">(PRODUCT($O$5:$O8021)-1)*36000/_xlfn.DAYS(L8021, $C$2)</f>
        <v>14.823714618292826</v>
      </c>
      <c r="O8021" s="149">
        <f t="shared" ca="1" si="262"/>
        <v>1.000173611111111</v>
      </c>
    </row>
    <row r="8022" spans="12:15" x14ac:dyDescent="0.25">
      <c r="L8022" s="147">
        <f ca="1"/>
        <v>53261</v>
      </c>
      <c r="M8022" s="92">
        <f t="shared" ca="1" si="261"/>
        <v>6.25</v>
      </c>
      <c r="N8022" s="143">
        <f ca="1">(PRODUCT($O$5:$O8022)-1)*36000/_xlfn.DAYS(L8022, $C$2)</f>
        <v>14.825218550502072</v>
      </c>
      <c r="O8022" s="149">
        <f t="shared" ca="1" si="262"/>
        <v>1.000173611111111</v>
      </c>
    </row>
    <row r="8023" spans="12:15" x14ac:dyDescent="0.25">
      <c r="L8023" s="147">
        <f ca="1"/>
        <v>53262</v>
      </c>
      <c r="M8023" s="92">
        <f t="shared" ca="1" si="261"/>
        <v>6.25</v>
      </c>
      <c r="N8023" s="143">
        <f ca="1">(PRODUCT($O$5:$O8023)-1)*36000/_xlfn.DAYS(L8023, $C$2)</f>
        <v>14.826722689618869</v>
      </c>
      <c r="O8023" s="149">
        <f t="shared" ca="1" si="262"/>
        <v>1.000173611111111</v>
      </c>
    </row>
    <row r="8024" spans="12:15" x14ac:dyDescent="0.25">
      <c r="L8024" s="147">
        <f ca="1"/>
        <v>53263</v>
      </c>
      <c r="M8024" s="92">
        <f t="shared" ca="1" si="261"/>
        <v>6.25</v>
      </c>
      <c r="N8024" s="143">
        <f ca="1">(PRODUCT($O$5:$O8024)-1)*36000/_xlfn.DAYS(L8024, $C$2)</f>
        <v>14.828227035666853</v>
      </c>
      <c r="O8024" s="149">
        <f t="shared" ca="1" si="262"/>
        <v>1.000173611111111</v>
      </c>
    </row>
    <row r="8025" spans="12:15" x14ac:dyDescent="0.25">
      <c r="L8025" s="147">
        <f ca="1"/>
        <v>53264</v>
      </c>
      <c r="M8025" s="92">
        <f t="shared" ca="1" si="261"/>
        <v>6.25</v>
      </c>
      <c r="N8025" s="143">
        <f ca="1">(PRODUCT($O$5:$O8025)-1)*36000/_xlfn.DAYS(L8025, $C$2)</f>
        <v>14.829731588669658</v>
      </c>
      <c r="O8025" s="149">
        <f t="shared" ca="1" si="262"/>
        <v>1.000173611111111</v>
      </c>
    </row>
    <row r="8026" spans="12:15" x14ac:dyDescent="0.25">
      <c r="L8026" s="147">
        <f ca="1"/>
        <v>53265</v>
      </c>
      <c r="M8026" s="92">
        <f t="shared" ca="1" si="261"/>
        <v>6.25</v>
      </c>
      <c r="N8026" s="143">
        <f ca="1">(PRODUCT($O$5:$O8026)-1)*36000/_xlfn.DAYS(L8026, $C$2)</f>
        <v>14.831236348650933</v>
      </c>
      <c r="O8026" s="149">
        <f t="shared" ca="1" si="262"/>
        <v>1.000173611111111</v>
      </c>
    </row>
    <row r="8027" spans="12:15" x14ac:dyDescent="0.25">
      <c r="L8027" s="147">
        <f ca="1"/>
        <v>53266</v>
      </c>
      <c r="M8027" s="92">
        <f t="shared" ca="1" si="261"/>
        <v>6.25</v>
      </c>
      <c r="N8027" s="143">
        <f ca="1">(PRODUCT($O$5:$O8027)-1)*36000/_xlfn.DAYS(L8027, $C$2)</f>
        <v>14.832741315634323</v>
      </c>
      <c r="O8027" s="149">
        <f t="shared" ca="1" si="262"/>
        <v>1.000173611111111</v>
      </c>
    </row>
    <row r="8028" spans="12:15" x14ac:dyDescent="0.25">
      <c r="L8028" s="147">
        <f ca="1"/>
        <v>53267</v>
      </c>
      <c r="M8028" s="92">
        <f t="shared" ca="1" si="261"/>
        <v>6.25</v>
      </c>
      <c r="N8028" s="143">
        <f ca="1">(PRODUCT($O$5:$O8028)-1)*36000/_xlfn.DAYS(L8028, $C$2)</f>
        <v>14.834246489643483</v>
      </c>
      <c r="O8028" s="149">
        <f t="shared" ca="1" si="262"/>
        <v>1.000173611111111</v>
      </c>
    </row>
    <row r="8029" spans="12:15" x14ac:dyDescent="0.25">
      <c r="L8029" s="147">
        <f ca="1"/>
        <v>53268</v>
      </c>
      <c r="M8029" s="92">
        <f t="shared" ca="1" si="261"/>
        <v>6.25</v>
      </c>
      <c r="N8029" s="143">
        <f ca="1">(PRODUCT($O$5:$O8029)-1)*36000/_xlfn.DAYS(L8029, $C$2)</f>
        <v>14.835751870702076</v>
      </c>
      <c r="O8029" s="149">
        <f t="shared" ca="1" si="262"/>
        <v>1.000173611111111</v>
      </c>
    </row>
    <row r="8030" spans="12:15" x14ac:dyDescent="0.25">
      <c r="L8030" s="147">
        <f ca="1"/>
        <v>53269</v>
      </c>
      <c r="M8030" s="92">
        <f t="shared" ca="1" si="261"/>
        <v>6.25</v>
      </c>
      <c r="N8030" s="143">
        <f ca="1">(PRODUCT($O$5:$O8030)-1)*36000/_xlfn.DAYS(L8030, $C$2)</f>
        <v>14.837257458833768</v>
      </c>
      <c r="O8030" s="149">
        <f t="shared" ca="1" si="262"/>
        <v>1.000173611111111</v>
      </c>
    </row>
    <row r="8031" spans="12:15" x14ac:dyDescent="0.25">
      <c r="L8031" s="147">
        <f ca="1"/>
        <v>53270</v>
      </c>
      <c r="M8031" s="92">
        <f t="shared" ca="1" si="261"/>
        <v>6.25</v>
      </c>
      <c r="N8031" s="143">
        <f ca="1">(PRODUCT($O$5:$O8031)-1)*36000/_xlfn.DAYS(L8031, $C$2)</f>
        <v>14.838763254062235</v>
      </c>
      <c r="O8031" s="149">
        <f t="shared" ca="1" si="262"/>
        <v>1.000173611111111</v>
      </c>
    </row>
    <row r="8032" spans="12:15" x14ac:dyDescent="0.25">
      <c r="L8032" s="147">
        <f ca="1"/>
        <v>53271</v>
      </c>
      <c r="M8032" s="92">
        <f t="shared" ca="1" si="261"/>
        <v>6.25</v>
      </c>
      <c r="N8032" s="143">
        <f ca="1">(PRODUCT($O$5:$O8032)-1)*36000/_xlfn.DAYS(L8032, $C$2)</f>
        <v>14.840269256411149</v>
      </c>
      <c r="O8032" s="149">
        <f t="shared" ca="1" si="262"/>
        <v>1.000173611111111</v>
      </c>
    </row>
    <row r="8033" spans="12:15" x14ac:dyDescent="0.25">
      <c r="L8033" s="147">
        <f ca="1"/>
        <v>53272</v>
      </c>
      <c r="M8033" s="92">
        <f t="shared" ca="1" si="261"/>
        <v>6.25</v>
      </c>
      <c r="N8033" s="143">
        <f ca="1">(PRODUCT($O$5:$O8033)-1)*36000/_xlfn.DAYS(L8033, $C$2)</f>
        <v>14.841775465904201</v>
      </c>
      <c r="O8033" s="149">
        <f t="shared" ca="1" si="262"/>
        <v>1.000173611111111</v>
      </c>
    </row>
    <row r="8034" spans="12:15" x14ac:dyDescent="0.25">
      <c r="L8034" s="147">
        <f ca="1"/>
        <v>53273</v>
      </c>
      <c r="M8034" s="92">
        <f t="shared" ca="1" si="261"/>
        <v>6.25</v>
      </c>
      <c r="N8034" s="143">
        <f ca="1">(PRODUCT($O$5:$O8034)-1)*36000/_xlfn.DAYS(L8034, $C$2)</f>
        <v>14.843281882565073</v>
      </c>
      <c r="O8034" s="149">
        <f t="shared" ca="1" si="262"/>
        <v>1.000173611111111</v>
      </c>
    </row>
    <row r="8035" spans="12:15" x14ac:dyDescent="0.25">
      <c r="L8035" s="147">
        <f ca="1"/>
        <v>53274</v>
      </c>
      <c r="M8035" s="92">
        <f t="shared" ca="1" si="261"/>
        <v>6.25</v>
      </c>
      <c r="N8035" s="143">
        <f ca="1">(PRODUCT($O$5:$O8035)-1)*36000/_xlfn.DAYS(L8035, $C$2)</f>
        <v>14.844788506417466</v>
      </c>
      <c r="O8035" s="149">
        <f t="shared" ca="1" si="262"/>
        <v>1.000173611111111</v>
      </c>
    </row>
    <row r="8036" spans="12:15" x14ac:dyDescent="0.25">
      <c r="L8036" s="147">
        <f ca="1"/>
        <v>53275</v>
      </c>
      <c r="M8036" s="92">
        <f t="shared" ca="1" si="261"/>
        <v>6.25</v>
      </c>
      <c r="N8036" s="143">
        <f ca="1">(PRODUCT($O$5:$O8036)-1)*36000/_xlfn.DAYS(L8036, $C$2)</f>
        <v>14.846295337485079</v>
      </c>
      <c r="O8036" s="149">
        <f t="shared" ca="1" si="262"/>
        <v>1.000173611111111</v>
      </c>
    </row>
    <row r="8037" spans="12:15" x14ac:dyDescent="0.25">
      <c r="L8037" s="147">
        <f ca="1"/>
        <v>53276</v>
      </c>
      <c r="M8037" s="92">
        <f t="shared" ca="1" si="261"/>
        <v>6.25</v>
      </c>
      <c r="N8037" s="143">
        <f ca="1">(PRODUCT($O$5:$O8037)-1)*36000/_xlfn.DAYS(L8037, $C$2)</f>
        <v>14.84780237579162</v>
      </c>
      <c r="O8037" s="149">
        <f t="shared" ca="1" si="262"/>
        <v>1.000173611111111</v>
      </c>
    </row>
    <row r="8038" spans="12:15" x14ac:dyDescent="0.25">
      <c r="L8038" s="147">
        <f ca="1"/>
        <v>53277</v>
      </c>
      <c r="M8038" s="92">
        <f t="shared" ca="1" si="261"/>
        <v>6.25</v>
      </c>
      <c r="N8038" s="143">
        <f ca="1">(PRODUCT($O$5:$O8038)-1)*36000/_xlfn.DAYS(L8038, $C$2)</f>
        <v>14.849309621360801</v>
      </c>
      <c r="O8038" s="149">
        <f t="shared" ca="1" si="262"/>
        <v>1.000173611111111</v>
      </c>
    </row>
    <row r="8039" spans="12:15" x14ac:dyDescent="0.25">
      <c r="L8039" s="147">
        <f ca="1"/>
        <v>53278</v>
      </c>
      <c r="M8039" s="92">
        <f t="shared" ca="1" si="261"/>
        <v>6.25</v>
      </c>
      <c r="N8039" s="143">
        <f ca="1">(PRODUCT($O$5:$O8039)-1)*36000/_xlfn.DAYS(L8039, $C$2)</f>
        <v>14.850817074216341</v>
      </c>
      <c r="O8039" s="149">
        <f t="shared" ca="1" si="262"/>
        <v>1.000173611111111</v>
      </c>
    </row>
    <row r="8040" spans="12:15" x14ac:dyDescent="0.25">
      <c r="L8040" s="147">
        <f ca="1"/>
        <v>53279</v>
      </c>
      <c r="M8040" s="92">
        <f t="shared" ca="1" si="261"/>
        <v>6.25</v>
      </c>
      <c r="N8040" s="143">
        <f ca="1">(PRODUCT($O$5:$O8040)-1)*36000/_xlfn.DAYS(L8040, $C$2)</f>
        <v>14.852324734381961</v>
      </c>
      <c r="O8040" s="149">
        <f t="shared" ca="1" si="262"/>
        <v>1.000173611111111</v>
      </c>
    </row>
    <row r="8041" spans="12:15" x14ac:dyDescent="0.25">
      <c r="L8041" s="147">
        <f ca="1"/>
        <v>53280</v>
      </c>
      <c r="M8041" s="92">
        <f t="shared" ca="1" si="261"/>
        <v>6.25</v>
      </c>
      <c r="N8041" s="143">
        <f ca="1">(PRODUCT($O$5:$O8041)-1)*36000/_xlfn.DAYS(L8041, $C$2)</f>
        <v>14.853832601881395</v>
      </c>
      <c r="O8041" s="149">
        <f t="shared" ca="1" si="262"/>
        <v>1.000173611111111</v>
      </c>
    </row>
    <row r="8042" spans="12:15" x14ac:dyDescent="0.25">
      <c r="L8042" s="147">
        <f ca="1"/>
        <v>53281</v>
      </c>
      <c r="M8042" s="92">
        <f t="shared" ca="1" si="261"/>
        <v>6.25</v>
      </c>
      <c r="N8042" s="143">
        <f ca="1">(PRODUCT($O$5:$O8042)-1)*36000/_xlfn.DAYS(L8042, $C$2)</f>
        <v>14.855340676738377</v>
      </c>
      <c r="O8042" s="149">
        <f t="shared" ca="1" si="262"/>
        <v>1.000173611111111</v>
      </c>
    </row>
    <row r="8043" spans="12:15" x14ac:dyDescent="0.25">
      <c r="L8043" s="147">
        <f ca="1"/>
        <v>53282</v>
      </c>
      <c r="M8043" s="92">
        <f t="shared" ca="1" si="261"/>
        <v>6.25</v>
      </c>
      <c r="N8043" s="143">
        <f ca="1">(PRODUCT($O$5:$O8043)-1)*36000/_xlfn.DAYS(L8043, $C$2)</f>
        <v>14.856848958976647</v>
      </c>
      <c r="O8043" s="149">
        <f t="shared" ca="1" si="262"/>
        <v>1.000173611111111</v>
      </c>
    </row>
    <row r="8044" spans="12:15" x14ac:dyDescent="0.25">
      <c r="L8044" s="147">
        <f ca="1"/>
        <v>53283</v>
      </c>
      <c r="M8044" s="92">
        <f t="shared" ca="1" si="261"/>
        <v>6.25</v>
      </c>
      <c r="N8044" s="143">
        <f ca="1">(PRODUCT($O$5:$O8044)-1)*36000/_xlfn.DAYS(L8044, $C$2)</f>
        <v>14.858357448619955</v>
      </c>
      <c r="O8044" s="149">
        <f t="shared" ca="1" si="262"/>
        <v>1.000173611111111</v>
      </c>
    </row>
    <row r="8045" spans="12:15" x14ac:dyDescent="0.25">
      <c r="L8045" s="147">
        <f ca="1"/>
        <v>53284</v>
      </c>
      <c r="M8045" s="92">
        <f t="shared" ca="1" si="261"/>
        <v>6.25</v>
      </c>
      <c r="N8045" s="143">
        <f ca="1">(PRODUCT($O$5:$O8045)-1)*36000/_xlfn.DAYS(L8045, $C$2)</f>
        <v>14.859866145692054</v>
      </c>
      <c r="O8045" s="149">
        <f t="shared" ca="1" si="262"/>
        <v>1.000173611111111</v>
      </c>
    </row>
    <row r="8046" spans="12:15" x14ac:dyDescent="0.25">
      <c r="L8046" s="147">
        <f ca="1"/>
        <v>53285</v>
      </c>
      <c r="M8046" s="92">
        <f t="shared" ca="1" si="261"/>
        <v>6.25</v>
      </c>
      <c r="N8046" s="143">
        <f ca="1">(PRODUCT($O$5:$O8046)-1)*36000/_xlfn.DAYS(L8046, $C$2)</f>
        <v>14.861375050216697</v>
      </c>
      <c r="O8046" s="149">
        <f t="shared" ca="1" si="262"/>
        <v>1.000173611111111</v>
      </c>
    </row>
    <row r="8047" spans="12:15" x14ac:dyDescent="0.25">
      <c r="L8047" s="147">
        <f ca="1"/>
        <v>53286</v>
      </c>
      <c r="M8047" s="92">
        <f t="shared" ca="1" si="261"/>
        <v>6.25</v>
      </c>
      <c r="N8047" s="143">
        <f ca="1">(PRODUCT($O$5:$O8047)-1)*36000/_xlfn.DAYS(L8047, $C$2)</f>
        <v>14.862884162217654</v>
      </c>
      <c r="O8047" s="149">
        <f t="shared" ca="1" si="262"/>
        <v>1.000173611111111</v>
      </c>
    </row>
    <row r="8048" spans="12:15" x14ac:dyDescent="0.25">
      <c r="L8048" s="147">
        <f ca="1"/>
        <v>53287</v>
      </c>
      <c r="M8048" s="92">
        <f t="shared" ca="1" si="261"/>
        <v>6.25</v>
      </c>
      <c r="N8048" s="143">
        <f ca="1">(PRODUCT($O$5:$O8048)-1)*36000/_xlfn.DAYS(L8048, $C$2)</f>
        <v>14.864393481718695</v>
      </c>
      <c r="O8048" s="149">
        <f t="shared" ca="1" si="262"/>
        <v>1.000173611111111</v>
      </c>
    </row>
    <row r="8049" spans="12:15" x14ac:dyDescent="0.25">
      <c r="L8049" s="147">
        <f ca="1"/>
        <v>53288</v>
      </c>
      <c r="M8049" s="92">
        <f t="shared" ca="1" si="261"/>
        <v>6.25</v>
      </c>
      <c r="N8049" s="143">
        <f ca="1">(PRODUCT($O$5:$O8049)-1)*36000/_xlfn.DAYS(L8049, $C$2)</f>
        <v>14.865903008743594</v>
      </c>
      <c r="O8049" s="149">
        <f t="shared" ca="1" si="262"/>
        <v>1.000173611111111</v>
      </c>
    </row>
    <row r="8050" spans="12:15" x14ac:dyDescent="0.25">
      <c r="L8050" s="147">
        <f ca="1"/>
        <v>53289</v>
      </c>
      <c r="M8050" s="92">
        <f t="shared" ca="1" si="261"/>
        <v>6.25</v>
      </c>
      <c r="N8050" s="143">
        <f ca="1">(PRODUCT($O$5:$O8050)-1)*36000/_xlfn.DAYS(L8050, $C$2)</f>
        <v>14.867412743316132</v>
      </c>
      <c r="O8050" s="149">
        <f t="shared" ca="1" si="262"/>
        <v>1.000173611111111</v>
      </c>
    </row>
    <row r="8051" spans="12:15" x14ac:dyDescent="0.25">
      <c r="L8051" s="147">
        <f ca="1"/>
        <v>53290</v>
      </c>
      <c r="M8051" s="92">
        <f t="shared" ca="1" si="261"/>
        <v>6.25</v>
      </c>
      <c r="N8051" s="143">
        <f ca="1">(PRODUCT($O$5:$O8051)-1)*36000/_xlfn.DAYS(L8051, $C$2)</f>
        <v>14.868922685460097</v>
      </c>
      <c r="O8051" s="149">
        <f t="shared" ca="1" si="262"/>
        <v>1.000173611111111</v>
      </c>
    </row>
    <row r="8052" spans="12:15" x14ac:dyDescent="0.25">
      <c r="L8052" s="147">
        <f ca="1"/>
        <v>53291</v>
      </c>
      <c r="M8052" s="92">
        <f t="shared" ca="1" si="261"/>
        <v>6.25</v>
      </c>
      <c r="N8052" s="143">
        <f ca="1">(PRODUCT($O$5:$O8052)-1)*36000/_xlfn.DAYS(L8052, $C$2)</f>
        <v>14.870432835199285</v>
      </c>
      <c r="O8052" s="149">
        <f t="shared" ca="1" si="262"/>
        <v>1.000173611111111</v>
      </c>
    </row>
    <row r="8053" spans="12:15" x14ac:dyDescent="0.25">
      <c r="L8053" s="147">
        <f ca="1"/>
        <v>53292</v>
      </c>
      <c r="M8053" s="92">
        <f t="shared" ca="1" si="261"/>
        <v>6.25</v>
      </c>
      <c r="N8053" s="143">
        <f ca="1">(PRODUCT($O$5:$O8053)-1)*36000/_xlfn.DAYS(L8053, $C$2)</f>
        <v>14.871943192557492</v>
      </c>
      <c r="O8053" s="149">
        <f t="shared" ca="1" si="262"/>
        <v>1.000173611111111</v>
      </c>
    </row>
    <row r="8054" spans="12:15" x14ac:dyDescent="0.25">
      <c r="L8054" s="147">
        <f ca="1"/>
        <v>53293</v>
      </c>
      <c r="M8054" s="92">
        <f t="shared" ca="1" si="261"/>
        <v>6.25</v>
      </c>
      <c r="N8054" s="143">
        <f ca="1">(PRODUCT($O$5:$O8054)-1)*36000/_xlfn.DAYS(L8054, $C$2)</f>
        <v>14.873453757558519</v>
      </c>
      <c r="O8054" s="149">
        <f t="shared" ca="1" si="262"/>
        <v>1.000173611111111</v>
      </c>
    </row>
    <row r="8055" spans="12:15" x14ac:dyDescent="0.25">
      <c r="L8055" s="147">
        <f ca="1"/>
        <v>53294</v>
      </c>
      <c r="M8055" s="92">
        <f t="shared" ca="1" si="261"/>
        <v>6.25</v>
      </c>
      <c r="N8055" s="143">
        <f ca="1">(PRODUCT($O$5:$O8055)-1)*36000/_xlfn.DAYS(L8055, $C$2)</f>
        <v>14.87496453022618</v>
      </c>
      <c r="O8055" s="149">
        <f t="shared" ca="1" si="262"/>
        <v>1.000173611111111</v>
      </c>
    </row>
    <row r="8056" spans="12:15" x14ac:dyDescent="0.25">
      <c r="L8056" s="147">
        <f ca="1"/>
        <v>53295</v>
      </c>
      <c r="M8056" s="92">
        <f t="shared" ca="1" si="261"/>
        <v>6.25</v>
      </c>
      <c r="N8056" s="143">
        <f ca="1">(PRODUCT($O$5:$O8056)-1)*36000/_xlfn.DAYS(L8056, $C$2)</f>
        <v>14.876475510584294</v>
      </c>
      <c r="O8056" s="149">
        <f t="shared" ca="1" si="262"/>
        <v>1.000173611111111</v>
      </c>
    </row>
    <row r="8057" spans="12:15" x14ac:dyDescent="0.25">
      <c r="L8057" s="147">
        <f ca="1"/>
        <v>53296</v>
      </c>
      <c r="M8057" s="92">
        <f t="shared" ca="1" si="261"/>
        <v>6.25</v>
      </c>
      <c r="N8057" s="143">
        <f ca="1">(PRODUCT($O$5:$O8057)-1)*36000/_xlfn.DAYS(L8057, $C$2)</f>
        <v>14.877986698656679</v>
      </c>
      <c r="O8057" s="149">
        <f t="shared" ca="1" si="262"/>
        <v>1.000173611111111</v>
      </c>
    </row>
    <row r="8058" spans="12:15" x14ac:dyDescent="0.25">
      <c r="L8058" s="147">
        <f ca="1"/>
        <v>53297</v>
      </c>
      <c r="M8058" s="92">
        <f t="shared" ca="1" si="261"/>
        <v>6.25</v>
      </c>
      <c r="N8058" s="143">
        <f ca="1">(PRODUCT($O$5:$O8058)-1)*36000/_xlfn.DAYS(L8058, $C$2)</f>
        <v>14.879498094467159</v>
      </c>
      <c r="O8058" s="149">
        <f t="shared" ca="1" si="262"/>
        <v>1.000173611111111</v>
      </c>
    </row>
    <row r="8059" spans="12:15" x14ac:dyDescent="0.25">
      <c r="L8059" s="147">
        <f ca="1"/>
        <v>53298</v>
      </c>
      <c r="M8059" s="92">
        <f t="shared" ca="1" si="261"/>
        <v>6.25</v>
      </c>
      <c r="N8059" s="143">
        <f ca="1">(PRODUCT($O$5:$O8059)-1)*36000/_xlfn.DAYS(L8059, $C$2)</f>
        <v>14.881009698039573</v>
      </c>
      <c r="O8059" s="149">
        <f t="shared" ca="1" si="262"/>
        <v>1.000173611111111</v>
      </c>
    </row>
    <row r="8060" spans="12:15" x14ac:dyDescent="0.25">
      <c r="L8060" s="147">
        <f ca="1"/>
        <v>53299</v>
      </c>
      <c r="M8060" s="92">
        <f t="shared" ca="1" si="261"/>
        <v>6.25</v>
      </c>
      <c r="N8060" s="143">
        <f ca="1">(PRODUCT($O$5:$O8060)-1)*36000/_xlfn.DAYS(L8060, $C$2)</f>
        <v>14.88252150939776</v>
      </c>
      <c r="O8060" s="149">
        <f t="shared" ca="1" si="262"/>
        <v>1.000173611111111</v>
      </c>
    </row>
    <row r="8061" spans="12:15" x14ac:dyDescent="0.25">
      <c r="L8061" s="147">
        <f ca="1"/>
        <v>53300</v>
      </c>
      <c r="M8061" s="92">
        <f t="shared" ca="1" si="261"/>
        <v>6.25</v>
      </c>
      <c r="N8061" s="143">
        <f ca="1">(PRODUCT($O$5:$O8061)-1)*36000/_xlfn.DAYS(L8061, $C$2)</f>
        <v>14.884033528565562</v>
      </c>
      <c r="O8061" s="149">
        <f t="shared" ca="1" si="262"/>
        <v>1.000173611111111</v>
      </c>
    </row>
    <row r="8062" spans="12:15" x14ac:dyDescent="0.25">
      <c r="L8062" s="147">
        <f ca="1"/>
        <v>53301</v>
      </c>
      <c r="M8062" s="92">
        <f t="shared" ca="1" si="261"/>
        <v>6.25</v>
      </c>
      <c r="N8062" s="143">
        <f ca="1">(PRODUCT($O$5:$O8062)-1)*36000/_xlfn.DAYS(L8062, $C$2)</f>
        <v>14.885545755566829</v>
      </c>
      <c r="O8062" s="149">
        <f t="shared" ca="1" si="262"/>
        <v>1.000173611111111</v>
      </c>
    </row>
    <row r="8063" spans="12:15" x14ac:dyDescent="0.25">
      <c r="L8063" s="147">
        <f ca="1"/>
        <v>53302</v>
      </c>
      <c r="M8063" s="92">
        <f t="shared" ca="1" si="261"/>
        <v>6.25</v>
      </c>
      <c r="N8063" s="143">
        <f ca="1">(PRODUCT($O$5:$O8063)-1)*36000/_xlfn.DAYS(L8063, $C$2)</f>
        <v>14.887058190425424</v>
      </c>
      <c r="O8063" s="149">
        <f t="shared" ca="1" si="262"/>
        <v>1.000173611111111</v>
      </c>
    </row>
    <row r="8064" spans="12:15" x14ac:dyDescent="0.25">
      <c r="L8064" s="147">
        <f ca="1"/>
        <v>53303</v>
      </c>
      <c r="M8064" s="92">
        <f t="shared" ca="1" si="261"/>
        <v>6.25</v>
      </c>
      <c r="N8064" s="143">
        <f ca="1">(PRODUCT($O$5:$O8064)-1)*36000/_xlfn.DAYS(L8064, $C$2)</f>
        <v>14.888570833165197</v>
      </c>
      <c r="O8064" s="149">
        <f t="shared" ca="1" si="262"/>
        <v>1.000173611111111</v>
      </c>
    </row>
    <row r="8065" spans="12:15" x14ac:dyDescent="0.25">
      <c r="L8065" s="147">
        <f ca="1"/>
        <v>53304</v>
      </c>
      <c r="M8065" s="92">
        <f t="shared" ca="1" si="261"/>
        <v>6.25</v>
      </c>
      <c r="N8065" s="143">
        <f ca="1">(PRODUCT($O$5:$O8065)-1)*36000/_xlfn.DAYS(L8065, $C$2)</f>
        <v>14.890083683810024</v>
      </c>
      <c r="O8065" s="149">
        <f t="shared" ca="1" si="262"/>
        <v>1.000173611111111</v>
      </c>
    </row>
    <row r="8066" spans="12:15" x14ac:dyDescent="0.25">
      <c r="L8066" s="147">
        <f ca="1"/>
        <v>53305</v>
      </c>
      <c r="M8066" s="92">
        <f t="shared" ca="1" si="261"/>
        <v>6.25</v>
      </c>
      <c r="N8066" s="143">
        <f ca="1">(PRODUCT($O$5:$O8066)-1)*36000/_xlfn.DAYS(L8066, $C$2)</f>
        <v>14.891596742383777</v>
      </c>
      <c r="O8066" s="149">
        <f t="shared" ca="1" si="262"/>
        <v>1.000173611111111</v>
      </c>
    </row>
    <row r="8067" spans="12:15" x14ac:dyDescent="0.25">
      <c r="L8067" s="147">
        <f ca="1"/>
        <v>53306</v>
      </c>
      <c r="M8067" s="92">
        <f t="shared" ca="1" si="261"/>
        <v>6.25</v>
      </c>
      <c r="N8067" s="143">
        <f ca="1">(PRODUCT($O$5:$O8067)-1)*36000/_xlfn.DAYS(L8067, $C$2)</f>
        <v>14.893110008910334</v>
      </c>
      <c r="O8067" s="149">
        <f t="shared" ca="1" si="262"/>
        <v>1.000173611111111</v>
      </c>
    </row>
    <row r="8068" spans="12:15" x14ac:dyDescent="0.25">
      <c r="L8068" s="147">
        <f ca="1"/>
        <v>53307</v>
      </c>
      <c r="M8068" s="92">
        <f t="shared" ca="1" si="261"/>
        <v>6.25</v>
      </c>
      <c r="N8068" s="143">
        <f ca="1">(PRODUCT($O$5:$O8068)-1)*36000/_xlfn.DAYS(L8068, $C$2)</f>
        <v>14.894623483413579</v>
      </c>
      <c r="O8068" s="149">
        <f t="shared" ca="1" si="262"/>
        <v>1.000173611111111</v>
      </c>
    </row>
    <row r="8069" spans="12:15" x14ac:dyDescent="0.25">
      <c r="L8069" s="147">
        <f ca="1"/>
        <v>53308</v>
      </c>
      <c r="M8069" s="92">
        <f t="shared" ref="M8069:M8132" ca="1" si="263">IFERROR(INDEX($E$27:$H$47, MATCH(L8069, $F$27:$F$47, 0), 4), IF(ISNUMBER(M8068), M8068, $C$5))</f>
        <v>6.25</v>
      </c>
      <c r="N8069" s="143">
        <f ca="1">(PRODUCT($O$5:$O8069)-1)*36000/_xlfn.DAYS(L8069, $C$2)</f>
        <v>14.896137165917406</v>
      </c>
      <c r="O8069" s="149">
        <f t="shared" ca="1" si="262"/>
        <v>1.000173611111111</v>
      </c>
    </row>
    <row r="8070" spans="12:15" x14ac:dyDescent="0.25">
      <c r="L8070" s="147">
        <f ca="1"/>
        <v>53309</v>
      </c>
      <c r="M8070" s="92">
        <f t="shared" ca="1" si="263"/>
        <v>6.25</v>
      </c>
      <c r="N8070" s="143">
        <f ca="1">(PRODUCT($O$5:$O8070)-1)*36000/_xlfn.DAYS(L8070, $C$2)</f>
        <v>14.897651056445708</v>
      </c>
      <c r="O8070" s="149">
        <f t="shared" ref="O8070:O8133" ca="1" si="264">1+M8070*IFERROR(_xlfn.DAYS(L8070, L8069), _xlfn.DAYS(L8070, $C$2))/36000</f>
        <v>1.000173611111111</v>
      </c>
    </row>
    <row r="8071" spans="12:15" x14ac:dyDescent="0.25">
      <c r="L8071" s="147">
        <f ca="1"/>
        <v>53310</v>
      </c>
      <c r="M8071" s="92">
        <f t="shared" ca="1" si="263"/>
        <v>6.25</v>
      </c>
      <c r="N8071" s="143">
        <f ca="1">(PRODUCT($O$5:$O8071)-1)*36000/_xlfn.DAYS(L8071, $C$2)</f>
        <v>14.899165155022388</v>
      </c>
      <c r="O8071" s="149">
        <f t="shared" ca="1" si="264"/>
        <v>1.000173611111111</v>
      </c>
    </row>
    <row r="8072" spans="12:15" x14ac:dyDescent="0.25">
      <c r="L8072" s="147">
        <f ca="1"/>
        <v>53311</v>
      </c>
      <c r="M8072" s="92">
        <f t="shared" ca="1" si="263"/>
        <v>6.25</v>
      </c>
      <c r="N8072" s="143">
        <f ca="1">(PRODUCT($O$5:$O8072)-1)*36000/_xlfn.DAYS(L8072, $C$2)</f>
        <v>14.900679461671354</v>
      </c>
      <c r="O8072" s="149">
        <f t="shared" ca="1" si="264"/>
        <v>1.000173611111111</v>
      </c>
    </row>
    <row r="8073" spans="12:15" x14ac:dyDescent="0.25">
      <c r="L8073" s="147">
        <f ca="1"/>
        <v>53312</v>
      </c>
      <c r="M8073" s="92">
        <f t="shared" ca="1" si="263"/>
        <v>6.25</v>
      </c>
      <c r="N8073" s="143">
        <f ca="1">(PRODUCT($O$5:$O8073)-1)*36000/_xlfn.DAYS(L8073, $C$2)</f>
        <v>14.902193976416516</v>
      </c>
      <c r="O8073" s="149">
        <f t="shared" ca="1" si="264"/>
        <v>1.000173611111111</v>
      </c>
    </row>
    <row r="8074" spans="12:15" x14ac:dyDescent="0.25">
      <c r="L8074" s="147">
        <f ca="1"/>
        <v>53313</v>
      </c>
      <c r="M8074" s="92">
        <f t="shared" ca="1" si="263"/>
        <v>6.25</v>
      </c>
      <c r="N8074" s="143">
        <f ca="1">(PRODUCT($O$5:$O8074)-1)*36000/_xlfn.DAYS(L8074, $C$2)</f>
        <v>14.9037086992818</v>
      </c>
      <c r="O8074" s="149">
        <f t="shared" ca="1" si="264"/>
        <v>1.000173611111111</v>
      </c>
    </row>
    <row r="8075" spans="12:15" x14ac:dyDescent="0.25">
      <c r="L8075" s="147">
        <f ca="1"/>
        <v>53314</v>
      </c>
      <c r="M8075" s="92">
        <f t="shared" ca="1" si="263"/>
        <v>6.25</v>
      </c>
      <c r="N8075" s="143">
        <f ca="1">(PRODUCT($O$5:$O8075)-1)*36000/_xlfn.DAYS(L8075, $C$2)</f>
        <v>14.905223630291124</v>
      </c>
      <c r="O8075" s="149">
        <f t="shared" ca="1" si="264"/>
        <v>1.000173611111111</v>
      </c>
    </row>
    <row r="8076" spans="12:15" x14ac:dyDescent="0.25">
      <c r="L8076" s="147">
        <f ca="1"/>
        <v>53315</v>
      </c>
      <c r="M8076" s="92">
        <f t="shared" ca="1" si="263"/>
        <v>6.25</v>
      </c>
      <c r="N8076" s="143">
        <f ca="1">(PRODUCT($O$5:$O8076)-1)*36000/_xlfn.DAYS(L8076, $C$2)</f>
        <v>14.90673876946842</v>
      </c>
      <c r="O8076" s="149">
        <f t="shared" ca="1" si="264"/>
        <v>1.000173611111111</v>
      </c>
    </row>
    <row r="8077" spans="12:15" x14ac:dyDescent="0.25">
      <c r="L8077" s="147">
        <f ca="1"/>
        <v>53316</v>
      </c>
      <c r="M8077" s="92">
        <f t="shared" ca="1" si="263"/>
        <v>6.25</v>
      </c>
      <c r="N8077" s="143">
        <f ca="1">(PRODUCT($O$5:$O8077)-1)*36000/_xlfn.DAYS(L8077, $C$2)</f>
        <v>14.908254116837627</v>
      </c>
      <c r="O8077" s="149">
        <f t="shared" ca="1" si="264"/>
        <v>1.000173611111111</v>
      </c>
    </row>
    <row r="8078" spans="12:15" x14ac:dyDescent="0.25">
      <c r="L8078" s="147">
        <f ca="1"/>
        <v>53317</v>
      </c>
      <c r="M8078" s="92">
        <f t="shared" ca="1" si="263"/>
        <v>6.25</v>
      </c>
      <c r="N8078" s="143">
        <f ca="1">(PRODUCT($O$5:$O8078)-1)*36000/_xlfn.DAYS(L8078, $C$2)</f>
        <v>14.909769672422689</v>
      </c>
      <c r="O8078" s="149">
        <f t="shared" ca="1" si="264"/>
        <v>1.000173611111111</v>
      </c>
    </row>
    <row r="8079" spans="12:15" x14ac:dyDescent="0.25">
      <c r="L8079" s="147">
        <f ca="1"/>
        <v>53318</v>
      </c>
      <c r="M8079" s="92">
        <f t="shared" ca="1" si="263"/>
        <v>6.25</v>
      </c>
      <c r="N8079" s="143">
        <f ca="1">(PRODUCT($O$5:$O8079)-1)*36000/_xlfn.DAYS(L8079, $C$2)</f>
        <v>14.91128543624755</v>
      </c>
      <c r="O8079" s="149">
        <f t="shared" ca="1" si="264"/>
        <v>1.000173611111111</v>
      </c>
    </row>
    <row r="8080" spans="12:15" x14ac:dyDescent="0.25">
      <c r="L8080" s="147">
        <f ca="1"/>
        <v>53319</v>
      </c>
      <c r="M8080" s="92">
        <f t="shared" ca="1" si="263"/>
        <v>6.25</v>
      </c>
      <c r="N8080" s="143">
        <f ca="1">(PRODUCT($O$5:$O8080)-1)*36000/_xlfn.DAYS(L8080, $C$2)</f>
        <v>14.912801408336163</v>
      </c>
      <c r="O8080" s="149">
        <f t="shared" ca="1" si="264"/>
        <v>1.000173611111111</v>
      </c>
    </row>
    <row r="8081" spans="12:15" x14ac:dyDescent="0.25">
      <c r="L8081" s="147">
        <f ca="1"/>
        <v>53320</v>
      </c>
      <c r="M8081" s="92">
        <f t="shared" ca="1" si="263"/>
        <v>6.25</v>
      </c>
      <c r="N8081" s="143">
        <f ca="1">(PRODUCT($O$5:$O8081)-1)*36000/_xlfn.DAYS(L8081, $C$2)</f>
        <v>14.914317588712491</v>
      </c>
      <c r="O8081" s="149">
        <f t="shared" ca="1" si="264"/>
        <v>1.000173611111111</v>
      </c>
    </row>
    <row r="8082" spans="12:15" x14ac:dyDescent="0.25">
      <c r="L8082" s="147">
        <f ca="1"/>
        <v>53321</v>
      </c>
      <c r="M8082" s="92">
        <f t="shared" ca="1" si="263"/>
        <v>6.25</v>
      </c>
      <c r="N8082" s="143">
        <f ca="1">(PRODUCT($O$5:$O8082)-1)*36000/_xlfn.DAYS(L8082, $C$2)</f>
        <v>14.915833977400496</v>
      </c>
      <c r="O8082" s="149">
        <f t="shared" ca="1" si="264"/>
        <v>1.000173611111111</v>
      </c>
    </row>
    <row r="8083" spans="12:15" x14ac:dyDescent="0.25">
      <c r="L8083" s="147">
        <f ca="1"/>
        <v>53322</v>
      </c>
      <c r="M8083" s="92">
        <f t="shared" ca="1" si="263"/>
        <v>6.25</v>
      </c>
      <c r="N8083" s="143">
        <f ca="1">(PRODUCT($O$5:$O8083)-1)*36000/_xlfn.DAYS(L8083, $C$2)</f>
        <v>14.917350574424146</v>
      </c>
      <c r="O8083" s="149">
        <f t="shared" ca="1" si="264"/>
        <v>1.000173611111111</v>
      </c>
    </row>
    <row r="8084" spans="12:15" x14ac:dyDescent="0.25">
      <c r="L8084" s="147">
        <f ca="1"/>
        <v>53323</v>
      </c>
      <c r="M8084" s="92">
        <f t="shared" ca="1" si="263"/>
        <v>6.25</v>
      </c>
      <c r="N8084" s="143">
        <f ca="1">(PRODUCT($O$5:$O8084)-1)*36000/_xlfn.DAYS(L8084, $C$2)</f>
        <v>14.918867379807423</v>
      </c>
      <c r="O8084" s="149">
        <f t="shared" ca="1" si="264"/>
        <v>1.000173611111111</v>
      </c>
    </row>
    <row r="8085" spans="12:15" x14ac:dyDescent="0.25">
      <c r="L8085" s="147">
        <f ca="1"/>
        <v>53324</v>
      </c>
      <c r="M8085" s="92">
        <f t="shared" ca="1" si="263"/>
        <v>6.25</v>
      </c>
      <c r="N8085" s="143">
        <f ca="1">(PRODUCT($O$5:$O8085)-1)*36000/_xlfn.DAYS(L8085, $C$2)</f>
        <v>14.920384393574308</v>
      </c>
      <c r="O8085" s="149">
        <f t="shared" ca="1" si="264"/>
        <v>1.000173611111111</v>
      </c>
    </row>
    <row r="8086" spans="12:15" x14ac:dyDescent="0.25">
      <c r="L8086" s="147">
        <f ca="1"/>
        <v>53325</v>
      </c>
      <c r="M8086" s="92">
        <f t="shared" ca="1" si="263"/>
        <v>6.25</v>
      </c>
      <c r="N8086" s="143">
        <f ca="1">(PRODUCT($O$5:$O8086)-1)*36000/_xlfn.DAYS(L8086, $C$2)</f>
        <v>14.921901615748787</v>
      </c>
      <c r="O8086" s="149">
        <f t="shared" ca="1" si="264"/>
        <v>1.000173611111111</v>
      </c>
    </row>
    <row r="8087" spans="12:15" x14ac:dyDescent="0.25">
      <c r="L8087" s="147">
        <f ca="1"/>
        <v>53326</v>
      </c>
      <c r="M8087" s="92">
        <f t="shared" ca="1" si="263"/>
        <v>6.25</v>
      </c>
      <c r="N8087" s="143">
        <f ca="1">(PRODUCT($O$5:$O8087)-1)*36000/_xlfn.DAYS(L8087, $C$2)</f>
        <v>14.923419046354855</v>
      </c>
      <c r="O8087" s="149">
        <f t="shared" ca="1" si="264"/>
        <v>1.000173611111111</v>
      </c>
    </row>
    <row r="8088" spans="12:15" x14ac:dyDescent="0.25">
      <c r="L8088" s="147">
        <f ca="1"/>
        <v>53327</v>
      </c>
      <c r="M8088" s="92">
        <f t="shared" ca="1" si="263"/>
        <v>6.25</v>
      </c>
      <c r="N8088" s="143">
        <f ca="1">(PRODUCT($O$5:$O8088)-1)*36000/_xlfn.DAYS(L8088, $C$2)</f>
        <v>14.92493668541651</v>
      </c>
      <c r="O8088" s="149">
        <f t="shared" ca="1" si="264"/>
        <v>1.000173611111111</v>
      </c>
    </row>
    <row r="8089" spans="12:15" x14ac:dyDescent="0.25">
      <c r="L8089" s="147">
        <f ca="1"/>
        <v>53328</v>
      </c>
      <c r="M8089" s="92">
        <f t="shared" ca="1" si="263"/>
        <v>6.25</v>
      </c>
      <c r="N8089" s="143">
        <f ca="1">(PRODUCT($O$5:$O8089)-1)*36000/_xlfn.DAYS(L8089, $C$2)</f>
        <v>14.926454532957759</v>
      </c>
      <c r="O8089" s="149">
        <f t="shared" ca="1" si="264"/>
        <v>1.000173611111111</v>
      </c>
    </row>
    <row r="8090" spans="12:15" x14ac:dyDescent="0.25">
      <c r="L8090" s="147">
        <f ca="1"/>
        <v>53329</v>
      </c>
      <c r="M8090" s="92">
        <f t="shared" ca="1" si="263"/>
        <v>6.25</v>
      </c>
      <c r="N8090" s="143">
        <f ca="1">(PRODUCT($O$5:$O8090)-1)*36000/_xlfn.DAYS(L8090, $C$2)</f>
        <v>14.927972589002609</v>
      </c>
      <c r="O8090" s="149">
        <f t="shared" ca="1" si="264"/>
        <v>1.000173611111111</v>
      </c>
    </row>
    <row r="8091" spans="12:15" x14ac:dyDescent="0.25">
      <c r="L8091" s="147">
        <f ca="1"/>
        <v>53330</v>
      </c>
      <c r="M8091" s="92">
        <f t="shared" ca="1" si="263"/>
        <v>6.25</v>
      </c>
      <c r="N8091" s="143">
        <f ca="1">(PRODUCT($O$5:$O8091)-1)*36000/_xlfn.DAYS(L8091, $C$2)</f>
        <v>14.929490853575077</v>
      </c>
      <c r="O8091" s="149">
        <f t="shared" ca="1" si="264"/>
        <v>1.000173611111111</v>
      </c>
    </row>
    <row r="8092" spans="12:15" x14ac:dyDescent="0.25">
      <c r="L8092" s="147">
        <f ca="1"/>
        <v>53331</v>
      </c>
      <c r="M8092" s="92">
        <f t="shared" ca="1" si="263"/>
        <v>6.25</v>
      </c>
      <c r="N8092" s="143">
        <f ca="1">(PRODUCT($O$5:$O8092)-1)*36000/_xlfn.DAYS(L8092, $C$2)</f>
        <v>14.93100932669919</v>
      </c>
      <c r="O8092" s="149">
        <f t="shared" ca="1" si="264"/>
        <v>1.000173611111111</v>
      </c>
    </row>
    <row r="8093" spans="12:15" x14ac:dyDescent="0.25">
      <c r="L8093" s="147">
        <f ca="1"/>
        <v>53332</v>
      </c>
      <c r="M8093" s="92">
        <f t="shared" ca="1" si="263"/>
        <v>6.25</v>
      </c>
      <c r="N8093" s="143">
        <f ca="1">(PRODUCT($O$5:$O8093)-1)*36000/_xlfn.DAYS(L8093, $C$2)</f>
        <v>14.93252800839897</v>
      </c>
      <c r="O8093" s="149">
        <f t="shared" ca="1" si="264"/>
        <v>1.000173611111111</v>
      </c>
    </row>
    <row r="8094" spans="12:15" x14ac:dyDescent="0.25">
      <c r="L8094" s="147">
        <f ca="1"/>
        <v>53333</v>
      </c>
      <c r="M8094" s="92">
        <f t="shared" ca="1" si="263"/>
        <v>6.25</v>
      </c>
      <c r="N8094" s="143">
        <f ca="1">(PRODUCT($O$5:$O8094)-1)*36000/_xlfn.DAYS(L8094, $C$2)</f>
        <v>14.934046898698455</v>
      </c>
      <c r="O8094" s="149">
        <f t="shared" ca="1" si="264"/>
        <v>1.000173611111111</v>
      </c>
    </row>
    <row r="8095" spans="12:15" x14ac:dyDescent="0.25">
      <c r="L8095" s="147">
        <f ca="1"/>
        <v>53334</v>
      </c>
      <c r="M8095" s="92">
        <f t="shared" ca="1" si="263"/>
        <v>6.25</v>
      </c>
      <c r="N8095" s="143">
        <f ca="1">(PRODUCT($O$5:$O8095)-1)*36000/_xlfn.DAYS(L8095, $C$2)</f>
        <v>14.935565997621683</v>
      </c>
      <c r="O8095" s="149">
        <f t="shared" ca="1" si="264"/>
        <v>1.000173611111111</v>
      </c>
    </row>
    <row r="8096" spans="12:15" x14ac:dyDescent="0.25">
      <c r="L8096" s="147">
        <f ca="1"/>
        <v>53335</v>
      </c>
      <c r="M8096" s="92">
        <f t="shared" ca="1" si="263"/>
        <v>6.25</v>
      </c>
      <c r="N8096" s="143">
        <f ca="1">(PRODUCT($O$5:$O8096)-1)*36000/_xlfn.DAYS(L8096, $C$2)</f>
        <v>14.937085305192699</v>
      </c>
      <c r="O8096" s="149">
        <f t="shared" ca="1" si="264"/>
        <v>1.000173611111111</v>
      </c>
    </row>
    <row r="8097" spans="12:15" x14ac:dyDescent="0.25">
      <c r="L8097" s="147">
        <f ca="1"/>
        <v>53336</v>
      </c>
      <c r="M8097" s="92">
        <f t="shared" ca="1" si="263"/>
        <v>6.25</v>
      </c>
      <c r="N8097" s="143">
        <f ca="1">(PRODUCT($O$5:$O8097)-1)*36000/_xlfn.DAYS(L8097, $C$2)</f>
        <v>14.938604821435552</v>
      </c>
      <c r="O8097" s="149">
        <f t="shared" ca="1" si="264"/>
        <v>1.000173611111111</v>
      </c>
    </row>
    <row r="8098" spans="12:15" x14ac:dyDescent="0.25">
      <c r="L8098" s="147">
        <f ca="1"/>
        <v>53337</v>
      </c>
      <c r="M8098" s="92">
        <f t="shared" ca="1" si="263"/>
        <v>6.25</v>
      </c>
      <c r="N8098" s="143">
        <f ca="1">(PRODUCT($O$5:$O8098)-1)*36000/_xlfn.DAYS(L8098, $C$2)</f>
        <v>14.9401245463743</v>
      </c>
      <c r="O8098" s="149">
        <f t="shared" ca="1" si="264"/>
        <v>1.000173611111111</v>
      </c>
    </row>
    <row r="8099" spans="12:15" x14ac:dyDescent="0.25">
      <c r="L8099" s="147">
        <f ca="1"/>
        <v>53338</v>
      </c>
      <c r="M8099" s="92">
        <f t="shared" ca="1" si="263"/>
        <v>6.25</v>
      </c>
      <c r="N8099" s="143">
        <f ca="1">(PRODUCT($O$5:$O8099)-1)*36000/_xlfn.DAYS(L8099, $C$2)</f>
        <v>14.941644480033004</v>
      </c>
      <c r="O8099" s="149">
        <f t="shared" ca="1" si="264"/>
        <v>1.000173611111111</v>
      </c>
    </row>
    <row r="8100" spans="12:15" x14ac:dyDescent="0.25">
      <c r="L8100" s="147">
        <f ca="1"/>
        <v>53339</v>
      </c>
      <c r="M8100" s="92">
        <f t="shared" ca="1" si="263"/>
        <v>6.25</v>
      </c>
      <c r="N8100" s="143">
        <f ca="1">(PRODUCT($O$5:$O8100)-1)*36000/_xlfn.DAYS(L8100, $C$2)</f>
        <v>14.943164622435731</v>
      </c>
      <c r="O8100" s="149">
        <f t="shared" ca="1" si="264"/>
        <v>1.000173611111111</v>
      </c>
    </row>
    <row r="8101" spans="12:15" x14ac:dyDescent="0.25">
      <c r="L8101" s="147">
        <f ca="1"/>
        <v>53340</v>
      </c>
      <c r="M8101" s="92">
        <f t="shared" ca="1" si="263"/>
        <v>6.25</v>
      </c>
      <c r="N8101" s="143">
        <f ca="1">(PRODUCT($O$5:$O8101)-1)*36000/_xlfn.DAYS(L8101, $C$2)</f>
        <v>14.944684973606559</v>
      </c>
      <c r="O8101" s="149">
        <f t="shared" ca="1" si="264"/>
        <v>1.000173611111111</v>
      </c>
    </row>
    <row r="8102" spans="12:15" x14ac:dyDescent="0.25">
      <c r="L8102" s="147">
        <f ca="1"/>
        <v>53341</v>
      </c>
      <c r="M8102" s="92">
        <f t="shared" ca="1" si="263"/>
        <v>6.25</v>
      </c>
      <c r="N8102" s="143">
        <f ca="1">(PRODUCT($O$5:$O8102)-1)*36000/_xlfn.DAYS(L8102, $C$2)</f>
        <v>14.946205533569564</v>
      </c>
      <c r="O8102" s="149">
        <f t="shared" ca="1" si="264"/>
        <v>1.000173611111111</v>
      </c>
    </row>
    <row r="8103" spans="12:15" x14ac:dyDescent="0.25">
      <c r="L8103" s="147">
        <f ca="1"/>
        <v>53342</v>
      </c>
      <c r="M8103" s="92">
        <f t="shared" ca="1" si="263"/>
        <v>6.25</v>
      </c>
      <c r="N8103" s="143">
        <f ca="1">(PRODUCT($O$5:$O8103)-1)*36000/_xlfn.DAYS(L8103, $C$2)</f>
        <v>14.947726302348835</v>
      </c>
      <c r="O8103" s="149">
        <f t="shared" ca="1" si="264"/>
        <v>1.000173611111111</v>
      </c>
    </row>
    <row r="8104" spans="12:15" x14ac:dyDescent="0.25">
      <c r="L8104" s="147">
        <f ca="1"/>
        <v>53343</v>
      </c>
      <c r="M8104" s="92">
        <f t="shared" ca="1" si="263"/>
        <v>6.25</v>
      </c>
      <c r="N8104" s="143">
        <f ca="1">(PRODUCT($O$5:$O8104)-1)*36000/_xlfn.DAYS(L8104, $C$2)</f>
        <v>14.949247279968455</v>
      </c>
      <c r="O8104" s="149">
        <f t="shared" ca="1" si="264"/>
        <v>1.000173611111111</v>
      </c>
    </row>
    <row r="8105" spans="12:15" x14ac:dyDescent="0.25">
      <c r="L8105" s="147">
        <f ca="1"/>
        <v>53344</v>
      </c>
      <c r="M8105" s="92">
        <f t="shared" ca="1" si="263"/>
        <v>6.25</v>
      </c>
      <c r="N8105" s="143">
        <f ca="1">(PRODUCT($O$5:$O8105)-1)*36000/_xlfn.DAYS(L8105, $C$2)</f>
        <v>14.950768466452528</v>
      </c>
      <c r="O8105" s="149">
        <f t="shared" ca="1" si="264"/>
        <v>1.000173611111111</v>
      </c>
    </row>
    <row r="8106" spans="12:15" x14ac:dyDescent="0.25">
      <c r="L8106" s="147">
        <f ca="1"/>
        <v>53345</v>
      </c>
      <c r="M8106" s="92">
        <f t="shared" ca="1" si="263"/>
        <v>6.25</v>
      </c>
      <c r="N8106" s="143">
        <f ca="1">(PRODUCT($O$5:$O8106)-1)*36000/_xlfn.DAYS(L8106, $C$2)</f>
        <v>14.952289861825152</v>
      </c>
      <c r="O8106" s="149">
        <f t="shared" ca="1" si="264"/>
        <v>1.000173611111111</v>
      </c>
    </row>
    <row r="8107" spans="12:15" x14ac:dyDescent="0.25">
      <c r="L8107" s="147">
        <f ca="1"/>
        <v>53346</v>
      </c>
      <c r="M8107" s="92">
        <f t="shared" ca="1" si="263"/>
        <v>6.25</v>
      </c>
      <c r="N8107" s="143">
        <f ca="1">(PRODUCT($O$5:$O8107)-1)*36000/_xlfn.DAYS(L8107, $C$2)</f>
        <v>14.953811466110437</v>
      </c>
      <c r="O8107" s="149">
        <f t="shared" ca="1" si="264"/>
        <v>1.000173611111111</v>
      </c>
    </row>
    <row r="8108" spans="12:15" x14ac:dyDescent="0.25">
      <c r="L8108" s="147">
        <f ca="1"/>
        <v>53347</v>
      </c>
      <c r="M8108" s="92">
        <f t="shared" ca="1" si="263"/>
        <v>6.25</v>
      </c>
      <c r="N8108" s="143">
        <f ca="1">(PRODUCT($O$5:$O8108)-1)*36000/_xlfn.DAYS(L8108, $C$2)</f>
        <v>14.955333279332494</v>
      </c>
      <c r="O8108" s="149">
        <f t="shared" ca="1" si="264"/>
        <v>1.000173611111111</v>
      </c>
    </row>
    <row r="8109" spans="12:15" x14ac:dyDescent="0.25">
      <c r="L8109" s="147">
        <f ca="1"/>
        <v>53348</v>
      </c>
      <c r="M8109" s="92">
        <f t="shared" ca="1" si="263"/>
        <v>6.25</v>
      </c>
      <c r="N8109" s="143">
        <f ca="1">(PRODUCT($O$5:$O8109)-1)*36000/_xlfn.DAYS(L8109, $C$2)</f>
        <v>14.956855301515448</v>
      </c>
      <c r="O8109" s="149">
        <f t="shared" ca="1" si="264"/>
        <v>1.000173611111111</v>
      </c>
    </row>
    <row r="8110" spans="12:15" x14ac:dyDescent="0.25">
      <c r="L8110" s="147">
        <f ca="1"/>
        <v>53349</v>
      </c>
      <c r="M8110" s="92">
        <f t="shared" ca="1" si="263"/>
        <v>6.25</v>
      </c>
      <c r="N8110" s="143">
        <f ca="1">(PRODUCT($O$5:$O8110)-1)*36000/_xlfn.DAYS(L8110, $C$2)</f>
        <v>14.958377532683418</v>
      </c>
      <c r="O8110" s="149">
        <f t="shared" ca="1" si="264"/>
        <v>1.000173611111111</v>
      </c>
    </row>
    <row r="8111" spans="12:15" x14ac:dyDescent="0.25">
      <c r="L8111" s="147">
        <f ca="1"/>
        <v>53350</v>
      </c>
      <c r="M8111" s="92">
        <f t="shared" ca="1" si="263"/>
        <v>6.25</v>
      </c>
      <c r="N8111" s="143">
        <f ca="1">(PRODUCT($O$5:$O8111)-1)*36000/_xlfn.DAYS(L8111, $C$2)</f>
        <v>14.959899972860535</v>
      </c>
      <c r="O8111" s="149">
        <f t="shared" ca="1" si="264"/>
        <v>1.000173611111111</v>
      </c>
    </row>
    <row r="8112" spans="12:15" x14ac:dyDescent="0.25">
      <c r="L8112" s="147">
        <f ca="1"/>
        <v>53351</v>
      </c>
      <c r="M8112" s="92">
        <f t="shared" ca="1" si="263"/>
        <v>6.25</v>
      </c>
      <c r="N8112" s="143">
        <f ca="1">(PRODUCT($O$5:$O8112)-1)*36000/_xlfn.DAYS(L8112, $C$2)</f>
        <v>14.961422622070941</v>
      </c>
      <c r="O8112" s="149">
        <f t="shared" ca="1" si="264"/>
        <v>1.000173611111111</v>
      </c>
    </row>
    <row r="8113" spans="12:15" x14ac:dyDescent="0.25">
      <c r="L8113" s="147">
        <f ca="1"/>
        <v>53352</v>
      </c>
      <c r="M8113" s="92">
        <f t="shared" ca="1" si="263"/>
        <v>6.25</v>
      </c>
      <c r="N8113" s="143">
        <f ca="1">(PRODUCT($O$5:$O8113)-1)*36000/_xlfn.DAYS(L8113, $C$2)</f>
        <v>14.962945480338771</v>
      </c>
      <c r="O8113" s="149">
        <f t="shared" ca="1" si="264"/>
        <v>1.000173611111111</v>
      </c>
    </row>
    <row r="8114" spans="12:15" x14ac:dyDescent="0.25">
      <c r="L8114" s="147">
        <f ca="1"/>
        <v>53353</v>
      </c>
      <c r="M8114" s="92">
        <f t="shared" ca="1" si="263"/>
        <v>6.25</v>
      </c>
      <c r="N8114" s="143">
        <f ca="1">(PRODUCT($O$5:$O8114)-1)*36000/_xlfn.DAYS(L8114, $C$2)</f>
        <v>14.964468547688179</v>
      </c>
      <c r="O8114" s="149">
        <f t="shared" ca="1" si="264"/>
        <v>1.000173611111111</v>
      </c>
    </row>
    <row r="8115" spans="12:15" x14ac:dyDescent="0.25">
      <c r="L8115" s="147">
        <f ca="1"/>
        <v>53354</v>
      </c>
      <c r="M8115" s="92">
        <f t="shared" ca="1" si="263"/>
        <v>6.25</v>
      </c>
      <c r="N8115" s="143">
        <f ca="1">(PRODUCT($O$5:$O8115)-1)*36000/_xlfn.DAYS(L8115, $C$2)</f>
        <v>14.965991824143313</v>
      </c>
      <c r="O8115" s="149">
        <f t="shared" ca="1" si="264"/>
        <v>1.000173611111111</v>
      </c>
    </row>
    <row r="8116" spans="12:15" x14ac:dyDescent="0.25">
      <c r="L8116" s="147">
        <f ca="1"/>
        <v>53355</v>
      </c>
      <c r="M8116" s="92">
        <f t="shared" ca="1" si="263"/>
        <v>6.25</v>
      </c>
      <c r="N8116" s="143">
        <f ca="1">(PRODUCT($O$5:$O8116)-1)*36000/_xlfn.DAYS(L8116, $C$2)</f>
        <v>14.967515309728334</v>
      </c>
      <c r="O8116" s="149">
        <f t="shared" ca="1" si="264"/>
        <v>1.000173611111111</v>
      </c>
    </row>
    <row r="8117" spans="12:15" x14ac:dyDescent="0.25">
      <c r="L8117" s="147">
        <f ca="1"/>
        <v>53356</v>
      </c>
      <c r="M8117" s="92">
        <f t="shared" ca="1" si="263"/>
        <v>6.25</v>
      </c>
      <c r="N8117" s="143">
        <f ca="1">(PRODUCT($O$5:$O8117)-1)*36000/_xlfn.DAYS(L8117, $C$2)</f>
        <v>14.969039004467412</v>
      </c>
      <c r="O8117" s="149">
        <f t="shared" ca="1" si="264"/>
        <v>1.000173611111111</v>
      </c>
    </row>
    <row r="8118" spans="12:15" x14ac:dyDescent="0.25">
      <c r="L8118" s="147">
        <f ca="1"/>
        <v>53357</v>
      </c>
      <c r="M8118" s="92">
        <f t="shared" ca="1" si="263"/>
        <v>6.25</v>
      </c>
      <c r="N8118" s="143">
        <f ca="1">(PRODUCT($O$5:$O8118)-1)*36000/_xlfn.DAYS(L8118, $C$2)</f>
        <v>14.970562908384711</v>
      </c>
      <c r="O8118" s="149">
        <f t="shared" ca="1" si="264"/>
        <v>1.000173611111111</v>
      </c>
    </row>
    <row r="8119" spans="12:15" x14ac:dyDescent="0.25">
      <c r="L8119" s="147">
        <f ca="1"/>
        <v>53358</v>
      </c>
      <c r="M8119" s="92">
        <f t="shared" ca="1" si="263"/>
        <v>6.25</v>
      </c>
      <c r="N8119" s="143">
        <f ca="1">(PRODUCT($O$5:$O8119)-1)*36000/_xlfn.DAYS(L8119, $C$2)</f>
        <v>14.972087021504409</v>
      </c>
      <c r="O8119" s="149">
        <f t="shared" ca="1" si="264"/>
        <v>1.000173611111111</v>
      </c>
    </row>
    <row r="8120" spans="12:15" x14ac:dyDescent="0.25">
      <c r="L8120" s="147">
        <f ca="1"/>
        <v>53359</v>
      </c>
      <c r="M8120" s="92">
        <f t="shared" ca="1" si="263"/>
        <v>6.25</v>
      </c>
      <c r="N8120" s="143">
        <f ca="1">(PRODUCT($O$5:$O8120)-1)*36000/_xlfn.DAYS(L8120, $C$2)</f>
        <v>14.973611343850694</v>
      </c>
      <c r="O8120" s="149">
        <f t="shared" ca="1" si="264"/>
        <v>1.000173611111111</v>
      </c>
    </row>
    <row r="8121" spans="12:15" x14ac:dyDescent="0.25">
      <c r="L8121" s="147">
        <f ca="1"/>
        <v>53360</v>
      </c>
      <c r="M8121" s="92">
        <f t="shared" ca="1" si="263"/>
        <v>6.25</v>
      </c>
      <c r="N8121" s="143">
        <f ca="1">(PRODUCT($O$5:$O8121)-1)*36000/_xlfn.DAYS(L8121, $C$2)</f>
        <v>14.975135875447746</v>
      </c>
      <c r="O8121" s="149">
        <f t="shared" ca="1" si="264"/>
        <v>1.000173611111111</v>
      </c>
    </row>
    <row r="8122" spans="12:15" x14ac:dyDescent="0.25">
      <c r="L8122" s="147">
        <f ca="1"/>
        <v>53361</v>
      </c>
      <c r="M8122" s="92">
        <f t="shared" ca="1" si="263"/>
        <v>6.25</v>
      </c>
      <c r="N8122" s="143">
        <f ca="1">(PRODUCT($O$5:$O8122)-1)*36000/_xlfn.DAYS(L8122, $C$2)</f>
        <v>14.976660616319764</v>
      </c>
      <c r="O8122" s="149">
        <f t="shared" ca="1" si="264"/>
        <v>1.000173611111111</v>
      </c>
    </row>
    <row r="8123" spans="12:15" x14ac:dyDescent="0.25">
      <c r="L8123" s="147">
        <f ca="1"/>
        <v>53362</v>
      </c>
      <c r="M8123" s="92">
        <f t="shared" ca="1" si="263"/>
        <v>6.25</v>
      </c>
      <c r="N8123" s="143">
        <f ca="1">(PRODUCT($O$5:$O8123)-1)*36000/_xlfn.DAYS(L8123, $C$2)</f>
        <v>14.978185566490939</v>
      </c>
      <c r="O8123" s="149">
        <f t="shared" ca="1" si="264"/>
        <v>1.000173611111111</v>
      </c>
    </row>
    <row r="8124" spans="12:15" x14ac:dyDescent="0.25">
      <c r="L8124" s="147">
        <f ca="1"/>
        <v>53363</v>
      </c>
      <c r="M8124" s="92">
        <f t="shared" ca="1" si="263"/>
        <v>6.25</v>
      </c>
      <c r="N8124" s="143">
        <f ca="1">(PRODUCT($O$5:$O8124)-1)*36000/_xlfn.DAYS(L8124, $C$2)</f>
        <v>14.979710725985486</v>
      </c>
      <c r="O8124" s="149">
        <f t="shared" ca="1" si="264"/>
        <v>1.000173611111111</v>
      </c>
    </row>
    <row r="8125" spans="12:15" x14ac:dyDescent="0.25">
      <c r="L8125" s="147">
        <f ca="1"/>
        <v>53364</v>
      </c>
      <c r="M8125" s="92">
        <f t="shared" ca="1" si="263"/>
        <v>6.25</v>
      </c>
      <c r="N8125" s="143">
        <f ca="1">(PRODUCT($O$5:$O8125)-1)*36000/_xlfn.DAYS(L8125, $C$2)</f>
        <v>14.981236094827608</v>
      </c>
      <c r="O8125" s="149">
        <f t="shared" ca="1" si="264"/>
        <v>1.000173611111111</v>
      </c>
    </row>
    <row r="8126" spans="12:15" x14ac:dyDescent="0.25">
      <c r="L8126" s="147">
        <f ca="1"/>
        <v>53365</v>
      </c>
      <c r="M8126" s="92">
        <f t="shared" ca="1" si="263"/>
        <v>6.25</v>
      </c>
      <c r="N8126" s="143">
        <f ca="1">(PRODUCT($O$5:$O8126)-1)*36000/_xlfn.DAYS(L8126, $C$2)</f>
        <v>14.982761673041525</v>
      </c>
      <c r="O8126" s="149">
        <f t="shared" ca="1" si="264"/>
        <v>1.000173611111111</v>
      </c>
    </row>
    <row r="8127" spans="12:15" x14ac:dyDescent="0.25">
      <c r="L8127" s="147">
        <f ca="1"/>
        <v>53366</v>
      </c>
      <c r="M8127" s="92">
        <f t="shared" ca="1" si="263"/>
        <v>6.25</v>
      </c>
      <c r="N8127" s="143">
        <f ca="1">(PRODUCT($O$5:$O8127)-1)*36000/_xlfn.DAYS(L8127, $C$2)</f>
        <v>14.984287460651458</v>
      </c>
      <c r="O8127" s="149">
        <f t="shared" ca="1" si="264"/>
        <v>1.000173611111111</v>
      </c>
    </row>
    <row r="8128" spans="12:15" x14ac:dyDescent="0.25">
      <c r="L8128" s="147">
        <f ca="1"/>
        <v>53367</v>
      </c>
      <c r="M8128" s="92">
        <f t="shared" ca="1" si="263"/>
        <v>6.25</v>
      </c>
      <c r="N8128" s="143">
        <f ca="1">(PRODUCT($O$5:$O8128)-1)*36000/_xlfn.DAYS(L8128, $C$2)</f>
        <v>14.985813457681639</v>
      </c>
      <c r="O8128" s="149">
        <f t="shared" ca="1" si="264"/>
        <v>1.000173611111111</v>
      </c>
    </row>
    <row r="8129" spans="12:15" x14ac:dyDescent="0.25">
      <c r="L8129" s="147">
        <f ca="1"/>
        <v>53368</v>
      </c>
      <c r="M8129" s="92">
        <f t="shared" ca="1" si="263"/>
        <v>6.25</v>
      </c>
      <c r="N8129" s="143">
        <f ca="1">(PRODUCT($O$5:$O8129)-1)*36000/_xlfn.DAYS(L8129, $C$2)</f>
        <v>14.987339664156293</v>
      </c>
      <c r="O8129" s="149">
        <f t="shared" ca="1" si="264"/>
        <v>1.000173611111111</v>
      </c>
    </row>
    <row r="8130" spans="12:15" x14ac:dyDescent="0.25">
      <c r="L8130" s="147">
        <f ca="1"/>
        <v>53369</v>
      </c>
      <c r="M8130" s="92">
        <f t="shared" ca="1" si="263"/>
        <v>6.25</v>
      </c>
      <c r="N8130" s="143">
        <f ca="1">(PRODUCT($O$5:$O8130)-1)*36000/_xlfn.DAYS(L8130, $C$2)</f>
        <v>14.988866080099665</v>
      </c>
      <c r="O8130" s="149">
        <f t="shared" ca="1" si="264"/>
        <v>1.000173611111111</v>
      </c>
    </row>
    <row r="8131" spans="12:15" x14ac:dyDescent="0.25">
      <c r="L8131" s="147">
        <f ca="1"/>
        <v>53370</v>
      </c>
      <c r="M8131" s="92">
        <f t="shared" ca="1" si="263"/>
        <v>6.25</v>
      </c>
      <c r="N8131" s="143">
        <f ca="1">(PRODUCT($O$5:$O8131)-1)*36000/_xlfn.DAYS(L8131, $C$2)</f>
        <v>14.990392705536001</v>
      </c>
      <c r="O8131" s="149">
        <f t="shared" ca="1" si="264"/>
        <v>1.000173611111111</v>
      </c>
    </row>
    <row r="8132" spans="12:15" x14ac:dyDescent="0.25">
      <c r="L8132" s="147">
        <f ca="1"/>
        <v>53371</v>
      </c>
      <c r="M8132" s="92">
        <f t="shared" ca="1" si="263"/>
        <v>6.25</v>
      </c>
      <c r="N8132" s="143">
        <f ca="1">(PRODUCT($O$5:$O8132)-1)*36000/_xlfn.DAYS(L8132, $C$2)</f>
        <v>14.991919540489544</v>
      </c>
      <c r="O8132" s="149">
        <f t="shared" ca="1" si="264"/>
        <v>1.000173611111111</v>
      </c>
    </row>
    <row r="8133" spans="12:15" x14ac:dyDescent="0.25">
      <c r="L8133" s="147">
        <f ca="1"/>
        <v>53372</v>
      </c>
      <c r="M8133" s="92">
        <f t="shared" ref="M8133:M8196" ca="1" si="265">IFERROR(INDEX($E$27:$H$47, MATCH(L8133, $F$27:$F$47, 0), 4), IF(ISNUMBER(M8132), M8132, $C$5))</f>
        <v>6.25</v>
      </c>
      <c r="N8133" s="143">
        <f ca="1">(PRODUCT($O$5:$O8133)-1)*36000/_xlfn.DAYS(L8133, $C$2)</f>
        <v>14.993446584984559</v>
      </c>
      <c r="O8133" s="149">
        <f t="shared" ca="1" si="264"/>
        <v>1.000173611111111</v>
      </c>
    </row>
    <row r="8134" spans="12:15" x14ac:dyDescent="0.25">
      <c r="L8134" s="147">
        <f ca="1"/>
        <v>53373</v>
      </c>
      <c r="M8134" s="92">
        <f t="shared" ca="1" si="265"/>
        <v>6.25</v>
      </c>
      <c r="N8134" s="143">
        <f ca="1">(PRODUCT($O$5:$O8134)-1)*36000/_xlfn.DAYS(L8134, $C$2)</f>
        <v>14.994973839045306</v>
      </c>
      <c r="O8134" s="149">
        <f t="shared" ref="O8134:O8197" ca="1" si="266">1+M8134*IFERROR(_xlfn.DAYS(L8134, L8133), _xlfn.DAYS(L8134, $C$2))/36000</f>
        <v>1.000173611111111</v>
      </c>
    </row>
    <row r="8135" spans="12:15" x14ac:dyDescent="0.25">
      <c r="L8135" s="147">
        <f ca="1"/>
        <v>53374</v>
      </c>
      <c r="M8135" s="92">
        <f t="shared" ca="1" si="265"/>
        <v>6.25</v>
      </c>
      <c r="N8135" s="143">
        <f ca="1">(PRODUCT($O$5:$O8135)-1)*36000/_xlfn.DAYS(L8135, $C$2)</f>
        <v>14.996501302696046</v>
      </c>
      <c r="O8135" s="149">
        <f t="shared" ca="1" si="266"/>
        <v>1.000173611111111</v>
      </c>
    </row>
    <row r="8136" spans="12:15" x14ac:dyDescent="0.25">
      <c r="L8136" s="147">
        <f ca="1"/>
        <v>53375</v>
      </c>
      <c r="M8136" s="92">
        <f t="shared" ca="1" si="265"/>
        <v>6.25</v>
      </c>
      <c r="N8136" s="143">
        <f ca="1">(PRODUCT($O$5:$O8136)-1)*36000/_xlfn.DAYS(L8136, $C$2)</f>
        <v>14.998028975961059</v>
      </c>
      <c r="O8136" s="149">
        <f t="shared" ca="1" si="266"/>
        <v>1.000173611111111</v>
      </c>
    </row>
    <row r="8137" spans="12:15" x14ac:dyDescent="0.25">
      <c r="L8137" s="147">
        <f ca="1"/>
        <v>53376</v>
      </c>
      <c r="M8137" s="92">
        <f t="shared" ca="1" si="265"/>
        <v>6.25</v>
      </c>
      <c r="N8137" s="143">
        <f ca="1">(PRODUCT($O$5:$O8137)-1)*36000/_xlfn.DAYS(L8137, $C$2)</f>
        <v>14.999556858864619</v>
      </c>
      <c r="O8137" s="149">
        <f t="shared" ca="1" si="266"/>
        <v>1.000173611111111</v>
      </c>
    </row>
    <row r="8138" spans="12:15" x14ac:dyDescent="0.25">
      <c r="L8138" s="147">
        <f ca="1"/>
        <v>53377</v>
      </c>
      <c r="M8138" s="92">
        <f t="shared" ca="1" si="265"/>
        <v>6.25</v>
      </c>
      <c r="N8138" s="143">
        <f ca="1">(PRODUCT($O$5:$O8138)-1)*36000/_xlfn.DAYS(L8138, $C$2)</f>
        <v>15.001084951431016</v>
      </c>
      <c r="O8138" s="149">
        <f t="shared" ca="1" si="266"/>
        <v>1.000173611111111</v>
      </c>
    </row>
    <row r="8139" spans="12:15" x14ac:dyDescent="0.25">
      <c r="L8139" s="147">
        <f ca="1"/>
        <v>53378</v>
      </c>
      <c r="M8139" s="92">
        <f t="shared" ca="1" si="265"/>
        <v>6.25</v>
      </c>
      <c r="N8139" s="143">
        <f ca="1">(PRODUCT($O$5:$O8139)-1)*36000/_xlfn.DAYS(L8139, $C$2)</f>
        <v>15.002613253684538</v>
      </c>
      <c r="O8139" s="149">
        <f t="shared" ca="1" si="266"/>
        <v>1.000173611111111</v>
      </c>
    </row>
    <row r="8140" spans="12:15" x14ac:dyDescent="0.25">
      <c r="L8140" s="147">
        <f ca="1"/>
        <v>53379</v>
      </c>
      <c r="M8140" s="92">
        <f t="shared" ca="1" si="265"/>
        <v>6.25</v>
      </c>
      <c r="N8140" s="143">
        <f ca="1">(PRODUCT($O$5:$O8140)-1)*36000/_xlfn.DAYS(L8140, $C$2)</f>
        <v>15.00414176564948</v>
      </c>
      <c r="O8140" s="149">
        <f t="shared" ca="1" si="266"/>
        <v>1.000173611111111</v>
      </c>
    </row>
    <row r="8141" spans="12:15" x14ac:dyDescent="0.25">
      <c r="L8141" s="147">
        <f ca="1"/>
        <v>53380</v>
      </c>
      <c r="M8141" s="92">
        <f t="shared" ca="1" si="265"/>
        <v>6.25</v>
      </c>
      <c r="N8141" s="143">
        <f ca="1">(PRODUCT($O$5:$O8141)-1)*36000/_xlfn.DAYS(L8141, $C$2)</f>
        <v>15.005670487350148</v>
      </c>
      <c r="O8141" s="149">
        <f t="shared" ca="1" si="266"/>
        <v>1.000173611111111</v>
      </c>
    </row>
    <row r="8142" spans="12:15" x14ac:dyDescent="0.25">
      <c r="L8142" s="147">
        <f ca="1"/>
        <v>53381</v>
      </c>
      <c r="M8142" s="92">
        <f t="shared" ca="1" si="265"/>
        <v>6.25</v>
      </c>
      <c r="N8142" s="143">
        <f ca="1">(PRODUCT($O$5:$O8142)-1)*36000/_xlfn.DAYS(L8142, $C$2)</f>
        <v>15.007199418810842</v>
      </c>
      <c r="O8142" s="149">
        <f t="shared" ca="1" si="266"/>
        <v>1.000173611111111</v>
      </c>
    </row>
    <row r="8143" spans="12:15" x14ac:dyDescent="0.25">
      <c r="L8143" s="147">
        <f ca="1"/>
        <v>53382</v>
      </c>
      <c r="M8143" s="92">
        <f t="shared" ca="1" si="265"/>
        <v>6.25</v>
      </c>
      <c r="N8143" s="143">
        <f ca="1">(PRODUCT($O$5:$O8143)-1)*36000/_xlfn.DAYS(L8143, $C$2)</f>
        <v>15.00872856005588</v>
      </c>
      <c r="O8143" s="149">
        <f t="shared" ca="1" si="266"/>
        <v>1.000173611111111</v>
      </c>
    </row>
    <row r="8144" spans="12:15" x14ac:dyDescent="0.25">
      <c r="L8144" s="147">
        <f ca="1"/>
        <v>53383</v>
      </c>
      <c r="M8144" s="92">
        <f t="shared" ca="1" si="265"/>
        <v>6.25</v>
      </c>
      <c r="N8144" s="143">
        <f ca="1">(PRODUCT($O$5:$O8144)-1)*36000/_xlfn.DAYS(L8144, $C$2)</f>
        <v>15.010257911109582</v>
      </c>
      <c r="O8144" s="149">
        <f t="shared" ca="1" si="266"/>
        <v>1.000173611111111</v>
      </c>
    </row>
    <row r="8145" spans="12:15" x14ac:dyDescent="0.25">
      <c r="L8145" s="147">
        <f ca="1"/>
        <v>53384</v>
      </c>
      <c r="M8145" s="92">
        <f t="shared" ca="1" si="265"/>
        <v>6.25</v>
      </c>
      <c r="N8145" s="143">
        <f ca="1">(PRODUCT($O$5:$O8145)-1)*36000/_xlfn.DAYS(L8145, $C$2)</f>
        <v>15.011787471996271</v>
      </c>
      <c r="O8145" s="149">
        <f t="shared" ca="1" si="266"/>
        <v>1.000173611111111</v>
      </c>
    </row>
    <row r="8146" spans="12:15" x14ac:dyDescent="0.25">
      <c r="L8146" s="147">
        <f ca="1"/>
        <v>53385</v>
      </c>
      <c r="M8146" s="92">
        <f t="shared" ca="1" si="265"/>
        <v>6.25</v>
      </c>
      <c r="N8146" s="143">
        <f ca="1">(PRODUCT($O$5:$O8146)-1)*36000/_xlfn.DAYS(L8146, $C$2)</f>
        <v>15.013317242740278</v>
      </c>
      <c r="O8146" s="149">
        <f t="shared" ca="1" si="266"/>
        <v>1.000173611111111</v>
      </c>
    </row>
    <row r="8147" spans="12:15" x14ac:dyDescent="0.25">
      <c r="L8147" s="147">
        <f ca="1"/>
        <v>53386</v>
      </c>
      <c r="M8147" s="92">
        <f t="shared" ca="1" si="265"/>
        <v>6.25</v>
      </c>
      <c r="N8147" s="143">
        <f ca="1">(PRODUCT($O$5:$O8147)-1)*36000/_xlfn.DAYS(L8147, $C$2)</f>
        <v>15.014847223365937</v>
      </c>
      <c r="O8147" s="149">
        <f t="shared" ca="1" si="266"/>
        <v>1.000173611111111</v>
      </c>
    </row>
    <row r="8148" spans="12:15" x14ac:dyDescent="0.25">
      <c r="L8148" s="147">
        <f ca="1"/>
        <v>53387</v>
      </c>
      <c r="M8148" s="92">
        <f t="shared" ca="1" si="265"/>
        <v>6.25</v>
      </c>
      <c r="N8148" s="143">
        <f ca="1">(PRODUCT($O$5:$O8148)-1)*36000/_xlfn.DAYS(L8148, $C$2)</f>
        <v>15.01637741389759</v>
      </c>
      <c r="O8148" s="149">
        <f t="shared" ca="1" si="266"/>
        <v>1.000173611111111</v>
      </c>
    </row>
    <row r="8149" spans="12:15" x14ac:dyDescent="0.25">
      <c r="L8149" s="147">
        <f ca="1"/>
        <v>53388</v>
      </c>
      <c r="M8149" s="92">
        <f t="shared" ca="1" si="265"/>
        <v>6.25</v>
      </c>
      <c r="N8149" s="143">
        <f ca="1">(PRODUCT($O$5:$O8149)-1)*36000/_xlfn.DAYS(L8149, $C$2)</f>
        <v>15.017907814359585</v>
      </c>
      <c r="O8149" s="149">
        <f t="shared" ca="1" si="266"/>
        <v>1.000173611111111</v>
      </c>
    </row>
    <row r="8150" spans="12:15" x14ac:dyDescent="0.25">
      <c r="L8150" s="147">
        <f ca="1"/>
        <v>53389</v>
      </c>
      <c r="M8150" s="92">
        <f t="shared" ca="1" si="265"/>
        <v>6.25</v>
      </c>
      <c r="N8150" s="143">
        <f ca="1">(PRODUCT($O$5:$O8150)-1)*36000/_xlfn.DAYS(L8150, $C$2)</f>
        <v>15.019438424776276</v>
      </c>
      <c r="O8150" s="149">
        <f t="shared" ca="1" si="266"/>
        <v>1.000173611111111</v>
      </c>
    </row>
    <row r="8151" spans="12:15" x14ac:dyDescent="0.25">
      <c r="L8151" s="147">
        <f ca="1"/>
        <v>53390</v>
      </c>
      <c r="M8151" s="92">
        <f t="shared" ca="1" si="265"/>
        <v>6.25</v>
      </c>
      <c r="N8151" s="143">
        <f ca="1">(PRODUCT($O$5:$O8151)-1)*36000/_xlfn.DAYS(L8151, $C$2)</f>
        <v>15.020969245172024</v>
      </c>
      <c r="O8151" s="149">
        <f t="shared" ca="1" si="266"/>
        <v>1.000173611111111</v>
      </c>
    </row>
    <row r="8152" spans="12:15" x14ac:dyDescent="0.25">
      <c r="L8152" s="147">
        <f ca="1"/>
        <v>53391</v>
      </c>
      <c r="M8152" s="92">
        <f t="shared" ca="1" si="265"/>
        <v>6.25</v>
      </c>
      <c r="N8152" s="143">
        <f ca="1">(PRODUCT($O$5:$O8152)-1)*36000/_xlfn.DAYS(L8152, $C$2)</f>
        <v>15.022500275571186</v>
      </c>
      <c r="O8152" s="149">
        <f t="shared" ca="1" si="266"/>
        <v>1.000173611111111</v>
      </c>
    </row>
    <row r="8153" spans="12:15" x14ac:dyDescent="0.25">
      <c r="L8153" s="147">
        <f ca="1"/>
        <v>53392</v>
      </c>
      <c r="M8153" s="92">
        <f t="shared" ca="1" si="265"/>
        <v>6.25</v>
      </c>
      <c r="N8153" s="143">
        <f ca="1">(PRODUCT($O$5:$O8153)-1)*36000/_xlfn.DAYS(L8153, $C$2)</f>
        <v>15.024031515998137</v>
      </c>
      <c r="O8153" s="149">
        <f t="shared" ca="1" si="266"/>
        <v>1.000173611111111</v>
      </c>
    </row>
    <row r="8154" spans="12:15" x14ac:dyDescent="0.25">
      <c r="L8154" s="147">
        <f ca="1"/>
        <v>53393</v>
      </c>
      <c r="M8154" s="92">
        <f t="shared" ca="1" si="265"/>
        <v>6.25</v>
      </c>
      <c r="N8154" s="143">
        <f ca="1">(PRODUCT($O$5:$O8154)-1)*36000/_xlfn.DAYS(L8154, $C$2)</f>
        <v>15.025562966477255</v>
      </c>
      <c r="O8154" s="149">
        <f t="shared" ca="1" si="266"/>
        <v>1.000173611111111</v>
      </c>
    </row>
    <row r="8155" spans="12:15" x14ac:dyDescent="0.25">
      <c r="L8155" s="147">
        <f ca="1"/>
        <v>53394</v>
      </c>
      <c r="M8155" s="92">
        <f t="shared" ca="1" si="265"/>
        <v>6.25</v>
      </c>
      <c r="N8155" s="143">
        <f ca="1">(PRODUCT($O$5:$O8155)-1)*36000/_xlfn.DAYS(L8155, $C$2)</f>
        <v>15.027094627032916</v>
      </c>
      <c r="O8155" s="149">
        <f t="shared" ca="1" si="266"/>
        <v>1.000173611111111</v>
      </c>
    </row>
    <row r="8156" spans="12:15" x14ac:dyDescent="0.25">
      <c r="L8156" s="147">
        <f ca="1"/>
        <v>53395</v>
      </c>
      <c r="M8156" s="92">
        <f t="shared" ca="1" si="265"/>
        <v>6.25</v>
      </c>
      <c r="N8156" s="143">
        <f ca="1">(PRODUCT($O$5:$O8156)-1)*36000/_xlfn.DAYS(L8156, $C$2)</f>
        <v>15.02862649768951</v>
      </c>
      <c r="O8156" s="149">
        <f t="shared" ca="1" si="266"/>
        <v>1.000173611111111</v>
      </c>
    </row>
    <row r="8157" spans="12:15" x14ac:dyDescent="0.25">
      <c r="L8157" s="147">
        <f ca="1"/>
        <v>53396</v>
      </c>
      <c r="M8157" s="92">
        <f t="shared" ca="1" si="265"/>
        <v>6.25</v>
      </c>
      <c r="N8157" s="143">
        <f ca="1">(PRODUCT($O$5:$O8157)-1)*36000/_xlfn.DAYS(L8157, $C$2)</f>
        <v>15.030158578471434</v>
      </c>
      <c r="O8157" s="149">
        <f t="shared" ca="1" si="266"/>
        <v>1.000173611111111</v>
      </c>
    </row>
    <row r="8158" spans="12:15" x14ac:dyDescent="0.25">
      <c r="L8158" s="147">
        <f ca="1"/>
        <v>53397</v>
      </c>
      <c r="M8158" s="92">
        <f t="shared" ca="1" si="265"/>
        <v>6.25</v>
      </c>
      <c r="N8158" s="143">
        <f ca="1">(PRODUCT($O$5:$O8158)-1)*36000/_xlfn.DAYS(L8158, $C$2)</f>
        <v>15.031690869403079</v>
      </c>
      <c r="O8158" s="149">
        <f t="shared" ca="1" si="266"/>
        <v>1.000173611111111</v>
      </c>
    </row>
    <row r="8159" spans="12:15" x14ac:dyDescent="0.25">
      <c r="L8159" s="147">
        <f ca="1"/>
        <v>53398</v>
      </c>
      <c r="M8159" s="92">
        <f t="shared" ca="1" si="265"/>
        <v>6.25</v>
      </c>
      <c r="N8159" s="143">
        <f ca="1">(PRODUCT($O$5:$O8159)-1)*36000/_xlfn.DAYS(L8159, $C$2)</f>
        <v>15.033223370508852</v>
      </c>
      <c r="O8159" s="149">
        <f t="shared" ca="1" si="266"/>
        <v>1.000173611111111</v>
      </c>
    </row>
    <row r="8160" spans="12:15" x14ac:dyDescent="0.25">
      <c r="L8160" s="147">
        <f ca="1"/>
        <v>53399</v>
      </c>
      <c r="M8160" s="92">
        <f t="shared" ca="1" si="265"/>
        <v>6.25</v>
      </c>
      <c r="N8160" s="143">
        <f ca="1">(PRODUCT($O$5:$O8160)-1)*36000/_xlfn.DAYS(L8160, $C$2)</f>
        <v>15.03475608181316</v>
      </c>
      <c r="O8160" s="149">
        <f t="shared" ca="1" si="266"/>
        <v>1.000173611111111</v>
      </c>
    </row>
    <row r="8161" spans="12:15" x14ac:dyDescent="0.25">
      <c r="L8161" s="147">
        <f ca="1"/>
        <v>53400</v>
      </c>
      <c r="M8161" s="92">
        <f t="shared" ca="1" si="265"/>
        <v>6.25</v>
      </c>
      <c r="N8161" s="143">
        <f ca="1">(PRODUCT($O$5:$O8161)-1)*36000/_xlfn.DAYS(L8161, $C$2)</f>
        <v>15.036289003340427</v>
      </c>
      <c r="O8161" s="149">
        <f t="shared" ca="1" si="266"/>
        <v>1.000173611111111</v>
      </c>
    </row>
    <row r="8162" spans="12:15" x14ac:dyDescent="0.25">
      <c r="L8162" s="147">
        <f ca="1"/>
        <v>53401</v>
      </c>
      <c r="M8162" s="92">
        <f t="shared" ca="1" si="265"/>
        <v>6.25</v>
      </c>
      <c r="N8162" s="143">
        <f ca="1">(PRODUCT($O$5:$O8162)-1)*36000/_xlfn.DAYS(L8162, $C$2)</f>
        <v>15.037822135115068</v>
      </c>
      <c r="O8162" s="149">
        <f t="shared" ca="1" si="266"/>
        <v>1.000173611111111</v>
      </c>
    </row>
    <row r="8163" spans="12:15" x14ac:dyDescent="0.25">
      <c r="L8163" s="147">
        <f ca="1"/>
        <v>53402</v>
      </c>
      <c r="M8163" s="92">
        <f t="shared" ca="1" si="265"/>
        <v>6.25</v>
      </c>
      <c r="N8163" s="143">
        <f ca="1">(PRODUCT($O$5:$O8163)-1)*36000/_xlfn.DAYS(L8163, $C$2)</f>
        <v>15.039355477161513</v>
      </c>
      <c r="O8163" s="149">
        <f t="shared" ca="1" si="266"/>
        <v>1.000173611111111</v>
      </c>
    </row>
    <row r="8164" spans="12:15" x14ac:dyDescent="0.25">
      <c r="L8164" s="147">
        <f ca="1"/>
        <v>53403</v>
      </c>
      <c r="M8164" s="92">
        <f t="shared" ca="1" si="265"/>
        <v>6.25</v>
      </c>
      <c r="N8164" s="143">
        <f ca="1">(PRODUCT($O$5:$O8164)-1)*36000/_xlfn.DAYS(L8164, $C$2)</f>
        <v>15.040889029504193</v>
      </c>
      <c r="O8164" s="149">
        <f t="shared" ca="1" si="266"/>
        <v>1.000173611111111</v>
      </c>
    </row>
    <row r="8165" spans="12:15" x14ac:dyDescent="0.25">
      <c r="L8165" s="147">
        <f ca="1"/>
        <v>53404</v>
      </c>
      <c r="M8165" s="92">
        <f t="shared" ca="1" si="265"/>
        <v>6.25</v>
      </c>
      <c r="N8165" s="143">
        <f ca="1">(PRODUCT($O$5:$O8165)-1)*36000/_xlfn.DAYS(L8165, $C$2)</f>
        <v>15.042422792167542</v>
      </c>
      <c r="O8165" s="149">
        <f t="shared" ca="1" si="266"/>
        <v>1.000173611111111</v>
      </c>
    </row>
    <row r="8166" spans="12:15" x14ac:dyDescent="0.25">
      <c r="L8166" s="147">
        <f ca="1"/>
        <v>53405</v>
      </c>
      <c r="M8166" s="92">
        <f t="shared" ca="1" si="265"/>
        <v>6.25</v>
      </c>
      <c r="N8166" s="143">
        <f ca="1">(PRODUCT($O$5:$O8166)-1)*36000/_xlfn.DAYS(L8166, $C$2)</f>
        <v>15.043956765176011</v>
      </c>
      <c r="O8166" s="149">
        <f t="shared" ca="1" si="266"/>
        <v>1.000173611111111</v>
      </c>
    </row>
    <row r="8167" spans="12:15" x14ac:dyDescent="0.25">
      <c r="L8167" s="147">
        <f ca="1"/>
        <v>53406</v>
      </c>
      <c r="M8167" s="92">
        <f t="shared" ca="1" si="265"/>
        <v>6.25</v>
      </c>
      <c r="N8167" s="143">
        <f ca="1">(PRODUCT($O$5:$O8167)-1)*36000/_xlfn.DAYS(L8167, $C$2)</f>
        <v>15.045490948554047</v>
      </c>
      <c r="O8167" s="149">
        <f t="shared" ca="1" si="266"/>
        <v>1.000173611111111</v>
      </c>
    </row>
    <row r="8168" spans="12:15" x14ac:dyDescent="0.25">
      <c r="L8168" s="147">
        <f ca="1"/>
        <v>53407</v>
      </c>
      <c r="M8168" s="92">
        <f t="shared" ca="1" si="265"/>
        <v>6.25</v>
      </c>
      <c r="N8168" s="143">
        <f ca="1">(PRODUCT($O$5:$O8168)-1)*36000/_xlfn.DAYS(L8168, $C$2)</f>
        <v>15.047025342326103</v>
      </c>
      <c r="O8168" s="149">
        <f t="shared" ca="1" si="266"/>
        <v>1.000173611111111</v>
      </c>
    </row>
    <row r="8169" spans="12:15" x14ac:dyDescent="0.25">
      <c r="L8169" s="147">
        <f ca="1"/>
        <v>53408</v>
      </c>
      <c r="M8169" s="92">
        <f t="shared" ca="1" si="265"/>
        <v>6.25</v>
      </c>
      <c r="N8169" s="143">
        <f ca="1">(PRODUCT($O$5:$O8169)-1)*36000/_xlfn.DAYS(L8169, $C$2)</f>
        <v>15.048559946516646</v>
      </c>
      <c r="O8169" s="149">
        <f t="shared" ca="1" si="266"/>
        <v>1.000173611111111</v>
      </c>
    </row>
    <row r="8170" spans="12:15" x14ac:dyDescent="0.25">
      <c r="L8170" s="147">
        <f ca="1"/>
        <v>53409</v>
      </c>
      <c r="M8170" s="92">
        <f t="shared" ca="1" si="265"/>
        <v>6.25</v>
      </c>
      <c r="N8170" s="143">
        <f ca="1">(PRODUCT($O$5:$O8170)-1)*36000/_xlfn.DAYS(L8170, $C$2)</f>
        <v>15.050094761150136</v>
      </c>
      <c r="O8170" s="149">
        <f t="shared" ca="1" si="266"/>
        <v>1.000173611111111</v>
      </c>
    </row>
    <row r="8171" spans="12:15" x14ac:dyDescent="0.25">
      <c r="L8171" s="147">
        <f ca="1"/>
        <v>53410</v>
      </c>
      <c r="M8171" s="92">
        <f t="shared" ca="1" si="265"/>
        <v>6.25</v>
      </c>
      <c r="N8171" s="143">
        <f ca="1">(PRODUCT($O$5:$O8171)-1)*36000/_xlfn.DAYS(L8171, $C$2)</f>
        <v>15.05162978625105</v>
      </c>
      <c r="O8171" s="149">
        <f t="shared" ca="1" si="266"/>
        <v>1.000173611111111</v>
      </c>
    </row>
    <row r="8172" spans="12:15" x14ac:dyDescent="0.25">
      <c r="L8172" s="147">
        <f ca="1"/>
        <v>53411</v>
      </c>
      <c r="M8172" s="92">
        <f t="shared" ca="1" si="265"/>
        <v>6.25</v>
      </c>
      <c r="N8172" s="143">
        <f ca="1">(PRODUCT($O$5:$O8172)-1)*36000/_xlfn.DAYS(L8172, $C$2)</f>
        <v>15.053165021843867</v>
      </c>
      <c r="O8172" s="149">
        <f t="shared" ca="1" si="266"/>
        <v>1.000173611111111</v>
      </c>
    </row>
    <row r="8173" spans="12:15" x14ac:dyDescent="0.25">
      <c r="L8173" s="147">
        <f ca="1"/>
        <v>53412</v>
      </c>
      <c r="M8173" s="92">
        <f t="shared" ca="1" si="265"/>
        <v>6.25</v>
      </c>
      <c r="N8173" s="143">
        <f ca="1">(PRODUCT($O$5:$O8173)-1)*36000/_xlfn.DAYS(L8173, $C$2)</f>
        <v>15.054700467953067</v>
      </c>
      <c r="O8173" s="149">
        <f t="shared" ca="1" si="266"/>
        <v>1.000173611111111</v>
      </c>
    </row>
    <row r="8174" spans="12:15" x14ac:dyDescent="0.25">
      <c r="L8174" s="147">
        <f ca="1"/>
        <v>53413</v>
      </c>
      <c r="M8174" s="92">
        <f t="shared" ca="1" si="265"/>
        <v>6.25</v>
      </c>
      <c r="N8174" s="143">
        <f ca="1">(PRODUCT($O$5:$O8174)-1)*36000/_xlfn.DAYS(L8174, $C$2)</f>
        <v>15.056236124603142</v>
      </c>
      <c r="O8174" s="149">
        <f t="shared" ca="1" si="266"/>
        <v>1.000173611111111</v>
      </c>
    </row>
    <row r="8175" spans="12:15" x14ac:dyDescent="0.25">
      <c r="L8175" s="147">
        <f ca="1"/>
        <v>53414</v>
      </c>
      <c r="M8175" s="92">
        <f t="shared" ca="1" si="265"/>
        <v>6.25</v>
      </c>
      <c r="N8175" s="143">
        <f ca="1">(PRODUCT($O$5:$O8175)-1)*36000/_xlfn.DAYS(L8175, $C$2)</f>
        <v>15.057771991818585</v>
      </c>
      <c r="O8175" s="149">
        <f t="shared" ca="1" si="266"/>
        <v>1.000173611111111</v>
      </c>
    </row>
    <row r="8176" spans="12:15" x14ac:dyDescent="0.25">
      <c r="L8176" s="147">
        <f ca="1"/>
        <v>53415</v>
      </c>
      <c r="M8176" s="92">
        <f t="shared" ca="1" si="265"/>
        <v>6.25</v>
      </c>
      <c r="N8176" s="143">
        <f ca="1">(PRODUCT($O$5:$O8176)-1)*36000/_xlfn.DAYS(L8176, $C$2)</f>
        <v>15.059308069623901</v>
      </c>
      <c r="O8176" s="149">
        <f t="shared" ca="1" si="266"/>
        <v>1.000173611111111</v>
      </c>
    </row>
    <row r="8177" spans="12:15" x14ac:dyDescent="0.25">
      <c r="L8177" s="147">
        <f ca="1"/>
        <v>53416</v>
      </c>
      <c r="M8177" s="92">
        <f t="shared" ca="1" si="265"/>
        <v>6.25</v>
      </c>
      <c r="N8177" s="143">
        <f ca="1">(PRODUCT($O$5:$O8177)-1)*36000/_xlfn.DAYS(L8177, $C$2)</f>
        <v>15.060844358043591</v>
      </c>
      <c r="O8177" s="149">
        <f t="shared" ca="1" si="266"/>
        <v>1.000173611111111</v>
      </c>
    </row>
    <row r="8178" spans="12:15" x14ac:dyDescent="0.25">
      <c r="L8178" s="147">
        <f ca="1"/>
        <v>53417</v>
      </c>
      <c r="M8178" s="92">
        <f t="shared" ca="1" si="265"/>
        <v>6.25</v>
      </c>
      <c r="N8178" s="143">
        <f ca="1">(PRODUCT($O$5:$O8178)-1)*36000/_xlfn.DAYS(L8178, $C$2)</f>
        <v>15.062380857102172</v>
      </c>
      <c r="O8178" s="149">
        <f t="shared" ca="1" si="266"/>
        <v>1.000173611111111</v>
      </c>
    </row>
    <row r="8179" spans="12:15" x14ac:dyDescent="0.25">
      <c r="L8179" s="147">
        <f ca="1"/>
        <v>53418</v>
      </c>
      <c r="M8179" s="92">
        <f t="shared" ca="1" si="265"/>
        <v>6.25</v>
      </c>
      <c r="N8179" s="143">
        <f ca="1">(PRODUCT($O$5:$O8179)-1)*36000/_xlfn.DAYS(L8179, $C$2)</f>
        <v>15.063917566824161</v>
      </c>
      <c r="O8179" s="149">
        <f t="shared" ca="1" si="266"/>
        <v>1.000173611111111</v>
      </c>
    </row>
    <row r="8180" spans="12:15" x14ac:dyDescent="0.25">
      <c r="L8180" s="147">
        <f ca="1"/>
        <v>53419</v>
      </c>
      <c r="M8180" s="92">
        <f t="shared" ca="1" si="265"/>
        <v>6.25</v>
      </c>
      <c r="N8180" s="143">
        <f ca="1">(PRODUCT($O$5:$O8180)-1)*36000/_xlfn.DAYS(L8180, $C$2)</f>
        <v>15.06545448723408</v>
      </c>
      <c r="O8180" s="149">
        <f t="shared" ca="1" si="266"/>
        <v>1.000173611111111</v>
      </c>
    </row>
    <row r="8181" spans="12:15" x14ac:dyDescent="0.25">
      <c r="L8181" s="147">
        <f ca="1"/>
        <v>53420</v>
      </c>
      <c r="M8181" s="92">
        <f t="shared" ca="1" si="265"/>
        <v>6.25</v>
      </c>
      <c r="N8181" s="143">
        <f ca="1">(PRODUCT($O$5:$O8181)-1)*36000/_xlfn.DAYS(L8181, $C$2)</f>
        <v>15.066991618356457</v>
      </c>
      <c r="O8181" s="149">
        <f t="shared" ca="1" si="266"/>
        <v>1.000173611111111</v>
      </c>
    </row>
    <row r="8182" spans="12:15" x14ac:dyDescent="0.25">
      <c r="L8182" s="147">
        <f ca="1"/>
        <v>53421</v>
      </c>
      <c r="M8182" s="92">
        <f t="shared" ca="1" si="265"/>
        <v>6.25</v>
      </c>
      <c r="N8182" s="143">
        <f ca="1">(PRODUCT($O$5:$O8182)-1)*36000/_xlfn.DAYS(L8182, $C$2)</f>
        <v>15.068528960215833</v>
      </c>
      <c r="O8182" s="149">
        <f t="shared" ca="1" si="266"/>
        <v>1.000173611111111</v>
      </c>
    </row>
    <row r="8183" spans="12:15" x14ac:dyDescent="0.25">
      <c r="L8183" s="147">
        <f ca="1"/>
        <v>53422</v>
      </c>
      <c r="M8183" s="92">
        <f t="shared" ca="1" si="265"/>
        <v>6.25</v>
      </c>
      <c r="N8183" s="143">
        <f ca="1">(PRODUCT($O$5:$O8183)-1)*36000/_xlfn.DAYS(L8183, $C$2)</f>
        <v>15.070066512836739</v>
      </c>
      <c r="O8183" s="149">
        <f t="shared" ca="1" si="266"/>
        <v>1.000173611111111</v>
      </c>
    </row>
    <row r="8184" spans="12:15" x14ac:dyDescent="0.25">
      <c r="L8184" s="147">
        <f ca="1"/>
        <v>53423</v>
      </c>
      <c r="M8184" s="92">
        <f t="shared" ca="1" si="265"/>
        <v>6.25</v>
      </c>
      <c r="N8184" s="143">
        <f ca="1">(PRODUCT($O$5:$O8184)-1)*36000/_xlfn.DAYS(L8184, $C$2)</f>
        <v>15.071604276243729</v>
      </c>
      <c r="O8184" s="149">
        <f t="shared" ca="1" si="266"/>
        <v>1.000173611111111</v>
      </c>
    </row>
    <row r="8185" spans="12:15" x14ac:dyDescent="0.25">
      <c r="L8185" s="147">
        <f ca="1"/>
        <v>53424</v>
      </c>
      <c r="M8185" s="92">
        <f t="shared" ca="1" si="265"/>
        <v>6.25</v>
      </c>
      <c r="N8185" s="143">
        <f ca="1">(PRODUCT($O$5:$O8185)-1)*36000/_xlfn.DAYS(L8185, $C$2)</f>
        <v>15.073142250461354</v>
      </c>
      <c r="O8185" s="149">
        <f t="shared" ca="1" si="266"/>
        <v>1.000173611111111</v>
      </c>
    </row>
    <row r="8186" spans="12:15" x14ac:dyDescent="0.25">
      <c r="L8186" s="147">
        <f ca="1"/>
        <v>53425</v>
      </c>
      <c r="M8186" s="92">
        <f t="shared" ca="1" si="265"/>
        <v>6.25</v>
      </c>
      <c r="N8186" s="143">
        <f ca="1">(PRODUCT($O$5:$O8186)-1)*36000/_xlfn.DAYS(L8186, $C$2)</f>
        <v>15.074680435514168</v>
      </c>
      <c r="O8186" s="149">
        <f t="shared" ca="1" si="266"/>
        <v>1.000173611111111</v>
      </c>
    </row>
    <row r="8187" spans="12:15" x14ac:dyDescent="0.25">
      <c r="L8187" s="147">
        <f ca="1"/>
        <v>53426</v>
      </c>
      <c r="M8187" s="92">
        <f t="shared" ca="1" si="265"/>
        <v>6.25</v>
      </c>
      <c r="N8187" s="143">
        <f ca="1">(PRODUCT($O$5:$O8187)-1)*36000/_xlfn.DAYS(L8187, $C$2)</f>
        <v>15.076218831426736</v>
      </c>
      <c r="O8187" s="149">
        <f t="shared" ca="1" si="266"/>
        <v>1.000173611111111</v>
      </c>
    </row>
    <row r="8188" spans="12:15" x14ac:dyDescent="0.25">
      <c r="L8188" s="147">
        <f ca="1"/>
        <v>53427</v>
      </c>
      <c r="M8188" s="92">
        <f t="shared" ca="1" si="265"/>
        <v>6.25</v>
      </c>
      <c r="N8188" s="143">
        <f ca="1">(PRODUCT($O$5:$O8188)-1)*36000/_xlfn.DAYS(L8188, $C$2)</f>
        <v>15.077757438223628</v>
      </c>
      <c r="O8188" s="149">
        <f t="shared" ca="1" si="266"/>
        <v>1.000173611111111</v>
      </c>
    </row>
    <row r="8189" spans="12:15" x14ac:dyDescent="0.25">
      <c r="L8189" s="147">
        <f ca="1"/>
        <v>53428</v>
      </c>
      <c r="M8189" s="92">
        <f t="shared" ca="1" si="265"/>
        <v>6.25</v>
      </c>
      <c r="N8189" s="143">
        <f ca="1">(PRODUCT($O$5:$O8189)-1)*36000/_xlfn.DAYS(L8189, $C$2)</f>
        <v>15.079296255929423</v>
      </c>
      <c r="O8189" s="149">
        <f t="shared" ca="1" si="266"/>
        <v>1.000173611111111</v>
      </c>
    </row>
    <row r="8190" spans="12:15" x14ac:dyDescent="0.25">
      <c r="L8190" s="147">
        <f ca="1"/>
        <v>53429</v>
      </c>
      <c r="M8190" s="92">
        <f t="shared" ca="1" si="265"/>
        <v>6.25</v>
      </c>
      <c r="N8190" s="143">
        <f ca="1">(PRODUCT($O$5:$O8190)-1)*36000/_xlfn.DAYS(L8190, $C$2)</f>
        <v>15.080835284568694</v>
      </c>
      <c r="O8190" s="149">
        <f t="shared" ca="1" si="266"/>
        <v>1.000173611111111</v>
      </c>
    </row>
    <row r="8191" spans="12:15" x14ac:dyDescent="0.25">
      <c r="L8191" s="147">
        <f ca="1"/>
        <v>53430</v>
      </c>
      <c r="M8191" s="92">
        <f t="shared" ca="1" si="265"/>
        <v>6.25</v>
      </c>
      <c r="N8191" s="143">
        <f ca="1">(PRODUCT($O$5:$O8191)-1)*36000/_xlfn.DAYS(L8191, $C$2)</f>
        <v>15.082374524166031</v>
      </c>
      <c r="O8191" s="149">
        <f t="shared" ca="1" si="266"/>
        <v>1.000173611111111</v>
      </c>
    </row>
    <row r="8192" spans="12:15" x14ac:dyDescent="0.25">
      <c r="L8192" s="147">
        <f ca="1"/>
        <v>53431</v>
      </c>
      <c r="M8192" s="92">
        <f t="shared" ca="1" si="265"/>
        <v>6.25</v>
      </c>
      <c r="N8192" s="143">
        <f ca="1">(PRODUCT($O$5:$O8192)-1)*36000/_xlfn.DAYS(L8192, $C$2)</f>
        <v>15.083913974746025</v>
      </c>
      <c r="O8192" s="149">
        <f t="shared" ca="1" si="266"/>
        <v>1.000173611111111</v>
      </c>
    </row>
    <row r="8193" spans="12:15" x14ac:dyDescent="0.25">
      <c r="L8193" s="147">
        <f ca="1"/>
        <v>53432</v>
      </c>
      <c r="M8193" s="92">
        <f t="shared" ca="1" si="265"/>
        <v>6.25</v>
      </c>
      <c r="N8193" s="143">
        <f ca="1">(PRODUCT($O$5:$O8193)-1)*36000/_xlfn.DAYS(L8193, $C$2)</f>
        <v>15.085453636333268</v>
      </c>
      <c r="O8193" s="149">
        <f t="shared" ca="1" si="266"/>
        <v>1.000173611111111</v>
      </c>
    </row>
    <row r="8194" spans="12:15" x14ac:dyDescent="0.25">
      <c r="L8194" s="147">
        <f ca="1"/>
        <v>53433</v>
      </c>
      <c r="M8194" s="92">
        <f t="shared" ca="1" si="265"/>
        <v>6.25</v>
      </c>
      <c r="N8194" s="143">
        <f ca="1">(PRODUCT($O$5:$O8194)-1)*36000/_xlfn.DAYS(L8194, $C$2)</f>
        <v>15.08699350895237</v>
      </c>
      <c r="O8194" s="149">
        <f t="shared" ca="1" si="266"/>
        <v>1.000173611111111</v>
      </c>
    </row>
    <row r="8195" spans="12:15" x14ac:dyDescent="0.25">
      <c r="L8195" s="147">
        <f ca="1"/>
        <v>53434</v>
      </c>
      <c r="M8195" s="92">
        <f t="shared" ca="1" si="265"/>
        <v>6.25</v>
      </c>
      <c r="N8195" s="143">
        <f ca="1">(PRODUCT($O$5:$O8195)-1)*36000/_xlfn.DAYS(L8195, $C$2)</f>
        <v>15.088533592627941</v>
      </c>
      <c r="O8195" s="149">
        <f t="shared" ca="1" si="266"/>
        <v>1.000173611111111</v>
      </c>
    </row>
    <row r="8196" spans="12:15" x14ac:dyDescent="0.25">
      <c r="L8196" s="147">
        <f ca="1"/>
        <v>53435</v>
      </c>
      <c r="M8196" s="92">
        <f t="shared" ca="1" si="265"/>
        <v>6.25</v>
      </c>
      <c r="N8196" s="143">
        <f ca="1">(PRODUCT($O$5:$O8196)-1)*36000/_xlfn.DAYS(L8196, $C$2)</f>
        <v>15.090073887384589</v>
      </c>
      <c r="O8196" s="149">
        <f t="shared" ca="1" si="266"/>
        <v>1.000173611111111</v>
      </c>
    </row>
    <row r="8197" spans="12:15" x14ac:dyDescent="0.25">
      <c r="L8197" s="147">
        <f ca="1"/>
        <v>53436</v>
      </c>
      <c r="M8197" s="92">
        <f t="shared" ref="M8197:M8260" ca="1" si="267">IFERROR(INDEX($E$27:$H$47, MATCH(L8197, $F$27:$F$47, 0), 4), IF(ISNUMBER(M8196), M8196, $C$5))</f>
        <v>6.25</v>
      </c>
      <c r="N8197" s="143">
        <f ca="1">(PRODUCT($O$5:$O8197)-1)*36000/_xlfn.DAYS(L8197, $C$2)</f>
        <v>15.091614393246935</v>
      </c>
      <c r="O8197" s="149">
        <f t="shared" ca="1" si="266"/>
        <v>1.000173611111111</v>
      </c>
    </row>
    <row r="8198" spans="12:15" x14ac:dyDescent="0.25">
      <c r="L8198" s="147">
        <f ca="1"/>
        <v>53437</v>
      </c>
      <c r="M8198" s="92">
        <f t="shared" ca="1" si="267"/>
        <v>6.25</v>
      </c>
      <c r="N8198" s="143">
        <f ca="1">(PRODUCT($O$5:$O8198)-1)*36000/_xlfn.DAYS(L8198, $C$2)</f>
        <v>15.093155110239609</v>
      </c>
      <c r="O8198" s="149">
        <f t="shared" ref="O8198:O8261" ca="1" si="268">1+M8198*IFERROR(_xlfn.DAYS(L8198, L8197), _xlfn.DAYS(L8198, $C$2))/36000</f>
        <v>1.000173611111111</v>
      </c>
    </row>
    <row r="8199" spans="12:15" x14ac:dyDescent="0.25">
      <c r="L8199" s="147">
        <f ca="1"/>
        <v>53438</v>
      </c>
      <c r="M8199" s="92">
        <f t="shared" ca="1" si="267"/>
        <v>6.25</v>
      </c>
      <c r="N8199" s="143">
        <f ca="1">(PRODUCT($O$5:$O8199)-1)*36000/_xlfn.DAYS(L8199, $C$2)</f>
        <v>15.094696038387239</v>
      </c>
      <c r="O8199" s="149">
        <f t="shared" ca="1" si="268"/>
        <v>1.000173611111111</v>
      </c>
    </row>
    <row r="8200" spans="12:15" x14ac:dyDescent="0.25">
      <c r="L8200" s="147">
        <f ca="1"/>
        <v>53439</v>
      </c>
      <c r="M8200" s="92">
        <f t="shared" ca="1" si="267"/>
        <v>6.25</v>
      </c>
      <c r="N8200" s="143">
        <f ca="1">(PRODUCT($O$5:$O8200)-1)*36000/_xlfn.DAYS(L8200, $C$2)</f>
        <v>15.096237177714466</v>
      </c>
      <c r="O8200" s="149">
        <f t="shared" ca="1" si="268"/>
        <v>1.000173611111111</v>
      </c>
    </row>
    <row r="8201" spans="12:15" x14ac:dyDescent="0.25">
      <c r="L8201" s="147">
        <f ca="1"/>
        <v>53440</v>
      </c>
      <c r="M8201" s="92">
        <f t="shared" ca="1" si="267"/>
        <v>6.25</v>
      </c>
      <c r="N8201" s="143">
        <f ca="1">(PRODUCT($O$5:$O8201)-1)*36000/_xlfn.DAYS(L8201, $C$2)</f>
        <v>15.097778528245929</v>
      </c>
      <c r="O8201" s="149">
        <f t="shared" ca="1" si="268"/>
        <v>1.000173611111111</v>
      </c>
    </row>
    <row r="8202" spans="12:15" x14ac:dyDescent="0.25">
      <c r="L8202" s="147">
        <f ca="1"/>
        <v>53441</v>
      </c>
      <c r="M8202" s="92">
        <f t="shared" ca="1" si="267"/>
        <v>6.25</v>
      </c>
      <c r="N8202" s="143">
        <f ca="1">(PRODUCT($O$5:$O8202)-1)*36000/_xlfn.DAYS(L8202, $C$2)</f>
        <v>15.099320090006273</v>
      </c>
      <c r="O8202" s="149">
        <f t="shared" ca="1" si="268"/>
        <v>1.000173611111111</v>
      </c>
    </row>
    <row r="8203" spans="12:15" x14ac:dyDescent="0.25">
      <c r="L8203" s="147">
        <f ca="1"/>
        <v>53442</v>
      </c>
      <c r="M8203" s="92">
        <f t="shared" ca="1" si="267"/>
        <v>6.25</v>
      </c>
      <c r="N8203" s="143">
        <f ca="1">(PRODUCT($O$5:$O8203)-1)*36000/_xlfn.DAYS(L8203, $C$2)</f>
        <v>15.100861863020162</v>
      </c>
      <c r="O8203" s="149">
        <f t="shared" ca="1" si="268"/>
        <v>1.000173611111111</v>
      </c>
    </row>
    <row r="8204" spans="12:15" x14ac:dyDescent="0.25">
      <c r="L8204" s="147">
        <f ca="1"/>
        <v>53443</v>
      </c>
      <c r="M8204" s="92">
        <f t="shared" ca="1" si="267"/>
        <v>6.25</v>
      </c>
      <c r="N8204" s="143">
        <f ca="1">(PRODUCT($O$5:$O8204)-1)*36000/_xlfn.DAYS(L8204, $C$2)</f>
        <v>15.102403847312251</v>
      </c>
      <c r="O8204" s="149">
        <f t="shared" ca="1" si="268"/>
        <v>1.000173611111111</v>
      </c>
    </row>
    <row r="8205" spans="12:15" x14ac:dyDescent="0.25">
      <c r="L8205" s="147">
        <f ca="1"/>
        <v>53444</v>
      </c>
      <c r="M8205" s="92">
        <f t="shared" ca="1" si="267"/>
        <v>6.25</v>
      </c>
      <c r="N8205" s="143">
        <f ca="1">(PRODUCT($O$5:$O8205)-1)*36000/_xlfn.DAYS(L8205, $C$2)</f>
        <v>15.1039460429072</v>
      </c>
      <c r="O8205" s="149">
        <f t="shared" ca="1" si="268"/>
        <v>1.000173611111111</v>
      </c>
    </row>
    <row r="8206" spans="12:15" x14ac:dyDescent="0.25">
      <c r="L8206" s="147">
        <f ca="1"/>
        <v>53445</v>
      </c>
      <c r="M8206" s="92">
        <f t="shared" ca="1" si="267"/>
        <v>6.25</v>
      </c>
      <c r="N8206" s="143">
        <f ca="1">(PRODUCT($O$5:$O8206)-1)*36000/_xlfn.DAYS(L8206, $C$2)</f>
        <v>15.105488449829686</v>
      </c>
      <c r="O8206" s="149">
        <f t="shared" ca="1" si="268"/>
        <v>1.000173611111111</v>
      </c>
    </row>
    <row r="8207" spans="12:15" x14ac:dyDescent="0.25">
      <c r="L8207" s="147">
        <f ca="1"/>
        <v>53446</v>
      </c>
      <c r="M8207" s="92">
        <f t="shared" ca="1" si="267"/>
        <v>6.25</v>
      </c>
      <c r="N8207" s="143">
        <f ca="1">(PRODUCT($O$5:$O8207)-1)*36000/_xlfn.DAYS(L8207, $C$2)</f>
        <v>15.107031068104387</v>
      </c>
      <c r="O8207" s="149">
        <f t="shared" ca="1" si="268"/>
        <v>1.000173611111111</v>
      </c>
    </row>
    <row r="8208" spans="12:15" x14ac:dyDescent="0.25">
      <c r="L8208" s="147">
        <f ca="1"/>
        <v>53447</v>
      </c>
      <c r="M8208" s="92">
        <f t="shared" ca="1" si="267"/>
        <v>6.25</v>
      </c>
      <c r="N8208" s="143">
        <f ca="1">(PRODUCT($O$5:$O8208)-1)*36000/_xlfn.DAYS(L8208, $C$2)</f>
        <v>15.108573897755981</v>
      </c>
      <c r="O8208" s="149">
        <f t="shared" ca="1" si="268"/>
        <v>1.000173611111111</v>
      </c>
    </row>
    <row r="8209" spans="12:15" x14ac:dyDescent="0.25">
      <c r="L8209" s="147">
        <f ca="1"/>
        <v>53448</v>
      </c>
      <c r="M8209" s="92">
        <f t="shared" ca="1" si="267"/>
        <v>6.25</v>
      </c>
      <c r="N8209" s="143">
        <f ca="1">(PRODUCT($O$5:$O8209)-1)*36000/_xlfn.DAYS(L8209, $C$2)</f>
        <v>15.110116938809158</v>
      </c>
      <c r="O8209" s="149">
        <f t="shared" ca="1" si="268"/>
        <v>1.000173611111111</v>
      </c>
    </row>
    <row r="8210" spans="12:15" x14ac:dyDescent="0.25">
      <c r="L8210" s="147">
        <f ca="1"/>
        <v>53449</v>
      </c>
      <c r="M8210" s="92">
        <f t="shared" ca="1" si="267"/>
        <v>6.25</v>
      </c>
      <c r="N8210" s="143">
        <f ca="1">(PRODUCT($O$5:$O8210)-1)*36000/_xlfn.DAYS(L8210, $C$2)</f>
        <v>15.111660191288616</v>
      </c>
      <c r="O8210" s="149">
        <f t="shared" ca="1" si="268"/>
        <v>1.000173611111111</v>
      </c>
    </row>
    <row r="8211" spans="12:15" x14ac:dyDescent="0.25">
      <c r="L8211" s="147">
        <f ca="1"/>
        <v>53450</v>
      </c>
      <c r="M8211" s="92">
        <f t="shared" ca="1" si="267"/>
        <v>6.25</v>
      </c>
      <c r="N8211" s="143">
        <f ca="1">(PRODUCT($O$5:$O8211)-1)*36000/_xlfn.DAYS(L8211, $C$2)</f>
        <v>15.113203655219047</v>
      </c>
      <c r="O8211" s="149">
        <f t="shared" ca="1" si="268"/>
        <v>1.000173611111111</v>
      </c>
    </row>
    <row r="8212" spans="12:15" x14ac:dyDescent="0.25">
      <c r="L8212" s="147">
        <f ca="1"/>
        <v>53451</v>
      </c>
      <c r="M8212" s="92">
        <f t="shared" ca="1" si="267"/>
        <v>6.25</v>
      </c>
      <c r="N8212" s="143">
        <f ca="1">(PRODUCT($O$5:$O8212)-1)*36000/_xlfn.DAYS(L8212, $C$2)</f>
        <v>15.114747330625159</v>
      </c>
      <c r="O8212" s="149">
        <f t="shared" ca="1" si="268"/>
        <v>1.000173611111111</v>
      </c>
    </row>
    <row r="8213" spans="12:15" x14ac:dyDescent="0.25">
      <c r="L8213" s="147">
        <f ca="1"/>
        <v>53452</v>
      </c>
      <c r="M8213" s="92">
        <f t="shared" ca="1" si="267"/>
        <v>6.25</v>
      </c>
      <c r="N8213" s="143">
        <f ca="1">(PRODUCT($O$5:$O8213)-1)*36000/_xlfn.DAYS(L8213, $C$2)</f>
        <v>15.116291217531666</v>
      </c>
      <c r="O8213" s="149">
        <f t="shared" ca="1" si="268"/>
        <v>1.000173611111111</v>
      </c>
    </row>
    <row r="8214" spans="12:15" x14ac:dyDescent="0.25">
      <c r="L8214" s="147">
        <f ca="1"/>
        <v>53453</v>
      </c>
      <c r="M8214" s="92">
        <f t="shared" ca="1" si="267"/>
        <v>6.25</v>
      </c>
      <c r="N8214" s="143">
        <f ca="1">(PRODUCT($O$5:$O8214)-1)*36000/_xlfn.DAYS(L8214, $C$2)</f>
        <v>15.117835315963278</v>
      </c>
      <c r="O8214" s="149">
        <f t="shared" ca="1" si="268"/>
        <v>1.000173611111111</v>
      </c>
    </row>
    <row r="8215" spans="12:15" x14ac:dyDescent="0.25">
      <c r="L8215" s="147">
        <f ca="1"/>
        <v>53454</v>
      </c>
      <c r="M8215" s="92">
        <f t="shared" ca="1" si="267"/>
        <v>6.25</v>
      </c>
      <c r="N8215" s="143">
        <f ca="1">(PRODUCT($O$5:$O8215)-1)*36000/_xlfn.DAYS(L8215, $C$2)</f>
        <v>15.119379625944724</v>
      </c>
      <c r="O8215" s="149">
        <f t="shared" ca="1" si="268"/>
        <v>1.000173611111111</v>
      </c>
    </row>
    <row r="8216" spans="12:15" x14ac:dyDescent="0.25">
      <c r="L8216" s="147">
        <f ca="1"/>
        <v>53455</v>
      </c>
      <c r="M8216" s="92">
        <f t="shared" ca="1" si="267"/>
        <v>6.25</v>
      </c>
      <c r="N8216" s="143">
        <f ca="1">(PRODUCT($O$5:$O8216)-1)*36000/_xlfn.DAYS(L8216, $C$2)</f>
        <v>15.120924147500725</v>
      </c>
      <c r="O8216" s="149">
        <f t="shared" ca="1" si="268"/>
        <v>1.000173611111111</v>
      </c>
    </row>
    <row r="8217" spans="12:15" x14ac:dyDescent="0.25">
      <c r="L8217" s="147">
        <f ca="1"/>
        <v>53456</v>
      </c>
      <c r="M8217" s="92">
        <f t="shared" ca="1" si="267"/>
        <v>6.25</v>
      </c>
      <c r="N8217" s="143">
        <f ca="1">(PRODUCT($O$5:$O8217)-1)*36000/_xlfn.DAYS(L8217, $C$2)</f>
        <v>15.122468880656022</v>
      </c>
      <c r="O8217" s="149">
        <f t="shared" ca="1" si="268"/>
        <v>1.000173611111111</v>
      </c>
    </row>
    <row r="8218" spans="12:15" x14ac:dyDescent="0.25">
      <c r="L8218" s="147">
        <f ca="1"/>
        <v>53457</v>
      </c>
      <c r="M8218" s="92">
        <f t="shared" ca="1" si="267"/>
        <v>6.25</v>
      </c>
      <c r="N8218" s="143">
        <f ca="1">(PRODUCT($O$5:$O8218)-1)*36000/_xlfn.DAYS(L8218, $C$2)</f>
        <v>15.12401382543535</v>
      </c>
      <c r="O8218" s="149">
        <f t="shared" ca="1" si="268"/>
        <v>1.000173611111111</v>
      </c>
    </row>
    <row r="8219" spans="12:15" x14ac:dyDescent="0.25">
      <c r="L8219" s="147">
        <f ca="1"/>
        <v>53458</v>
      </c>
      <c r="M8219" s="92">
        <f t="shared" ca="1" si="267"/>
        <v>6.25</v>
      </c>
      <c r="N8219" s="143">
        <f ca="1">(PRODUCT($O$5:$O8219)-1)*36000/_xlfn.DAYS(L8219, $C$2)</f>
        <v>15.125558981863454</v>
      </c>
      <c r="O8219" s="149">
        <f t="shared" ca="1" si="268"/>
        <v>1.000173611111111</v>
      </c>
    </row>
    <row r="8220" spans="12:15" x14ac:dyDescent="0.25">
      <c r="L8220" s="147">
        <f ca="1"/>
        <v>53459</v>
      </c>
      <c r="M8220" s="92">
        <f t="shared" ca="1" si="267"/>
        <v>6.25</v>
      </c>
      <c r="N8220" s="143">
        <f ca="1">(PRODUCT($O$5:$O8220)-1)*36000/_xlfn.DAYS(L8220, $C$2)</f>
        <v>15.127104349965084</v>
      </c>
      <c r="O8220" s="149">
        <f t="shared" ca="1" si="268"/>
        <v>1.000173611111111</v>
      </c>
    </row>
    <row r="8221" spans="12:15" x14ac:dyDescent="0.25">
      <c r="L8221" s="147">
        <f ca="1"/>
        <v>53460</v>
      </c>
      <c r="M8221" s="92">
        <f t="shared" ca="1" si="267"/>
        <v>6.25</v>
      </c>
      <c r="N8221" s="143">
        <f ca="1">(PRODUCT($O$5:$O8221)-1)*36000/_xlfn.DAYS(L8221, $C$2)</f>
        <v>15.128649929764995</v>
      </c>
      <c r="O8221" s="149">
        <f t="shared" ca="1" si="268"/>
        <v>1.000173611111111</v>
      </c>
    </row>
    <row r="8222" spans="12:15" x14ac:dyDescent="0.25">
      <c r="L8222" s="147">
        <f ca="1"/>
        <v>53461</v>
      </c>
      <c r="M8222" s="92">
        <f t="shared" ca="1" si="267"/>
        <v>6.25</v>
      </c>
      <c r="N8222" s="143">
        <f ca="1">(PRODUCT($O$5:$O8222)-1)*36000/_xlfn.DAYS(L8222, $C$2)</f>
        <v>15.130195721287951</v>
      </c>
      <c r="O8222" s="149">
        <f t="shared" ca="1" si="268"/>
        <v>1.000173611111111</v>
      </c>
    </row>
    <row r="8223" spans="12:15" x14ac:dyDescent="0.25">
      <c r="L8223" s="147">
        <f ca="1"/>
        <v>53462</v>
      </c>
      <c r="M8223" s="92">
        <f t="shared" ca="1" si="267"/>
        <v>6.25</v>
      </c>
      <c r="N8223" s="143">
        <f ca="1">(PRODUCT($O$5:$O8223)-1)*36000/_xlfn.DAYS(L8223, $C$2)</f>
        <v>15.131741724558719</v>
      </c>
      <c r="O8223" s="149">
        <f t="shared" ca="1" si="268"/>
        <v>1.000173611111111</v>
      </c>
    </row>
    <row r="8224" spans="12:15" x14ac:dyDescent="0.25">
      <c r="L8224" s="147">
        <f ca="1"/>
        <v>53463</v>
      </c>
      <c r="M8224" s="92">
        <f t="shared" ca="1" si="267"/>
        <v>6.25</v>
      </c>
      <c r="N8224" s="143">
        <f ca="1">(PRODUCT($O$5:$O8224)-1)*36000/_xlfn.DAYS(L8224, $C$2)</f>
        <v>15.133287939602068</v>
      </c>
      <c r="O8224" s="149">
        <f t="shared" ca="1" si="268"/>
        <v>1.000173611111111</v>
      </c>
    </row>
    <row r="8225" spans="12:15" x14ac:dyDescent="0.25">
      <c r="L8225" s="147">
        <f ca="1"/>
        <v>53464</v>
      </c>
      <c r="M8225" s="92">
        <f t="shared" ca="1" si="267"/>
        <v>6.25</v>
      </c>
      <c r="N8225" s="143">
        <f ca="1">(PRODUCT($O$5:$O8225)-1)*36000/_xlfn.DAYS(L8225, $C$2)</f>
        <v>15.134834366442787</v>
      </c>
      <c r="O8225" s="149">
        <f t="shared" ca="1" si="268"/>
        <v>1.000173611111111</v>
      </c>
    </row>
    <row r="8226" spans="12:15" x14ac:dyDescent="0.25">
      <c r="L8226" s="147">
        <f ca="1"/>
        <v>53465</v>
      </c>
      <c r="M8226" s="92">
        <f t="shared" ca="1" si="267"/>
        <v>6.25</v>
      </c>
      <c r="N8226" s="143">
        <f ca="1">(PRODUCT($O$5:$O8226)-1)*36000/_xlfn.DAYS(L8226, $C$2)</f>
        <v>15.136381005105649</v>
      </c>
      <c r="O8226" s="149">
        <f t="shared" ca="1" si="268"/>
        <v>1.000173611111111</v>
      </c>
    </row>
    <row r="8227" spans="12:15" x14ac:dyDescent="0.25">
      <c r="L8227" s="147">
        <f ca="1"/>
        <v>53466</v>
      </c>
      <c r="M8227" s="92">
        <f t="shared" ca="1" si="267"/>
        <v>6.25</v>
      </c>
      <c r="N8227" s="143">
        <f ca="1">(PRODUCT($O$5:$O8227)-1)*36000/_xlfn.DAYS(L8227, $C$2)</f>
        <v>15.137927855615448</v>
      </c>
      <c r="O8227" s="149">
        <f t="shared" ca="1" si="268"/>
        <v>1.000173611111111</v>
      </c>
    </row>
    <row r="8228" spans="12:15" x14ac:dyDescent="0.25">
      <c r="L8228" s="147">
        <f ca="1"/>
        <v>53467</v>
      </c>
      <c r="M8228" s="92">
        <f t="shared" ca="1" si="267"/>
        <v>6.25</v>
      </c>
      <c r="N8228" s="143">
        <f ca="1">(PRODUCT($O$5:$O8228)-1)*36000/_xlfn.DAYS(L8228, $C$2)</f>
        <v>15.139474917996985</v>
      </c>
      <c r="O8228" s="149">
        <f t="shared" ca="1" si="268"/>
        <v>1.000173611111111</v>
      </c>
    </row>
    <row r="8229" spans="12:15" x14ac:dyDescent="0.25">
      <c r="L8229" s="147">
        <f ca="1"/>
        <v>53468</v>
      </c>
      <c r="M8229" s="92">
        <f t="shared" ca="1" si="267"/>
        <v>6.25</v>
      </c>
      <c r="N8229" s="143">
        <f ca="1">(PRODUCT($O$5:$O8229)-1)*36000/_xlfn.DAYS(L8229, $C$2)</f>
        <v>15.141022192275058</v>
      </c>
      <c r="O8229" s="149">
        <f t="shared" ca="1" si="268"/>
        <v>1.000173611111111</v>
      </c>
    </row>
    <row r="8230" spans="12:15" x14ac:dyDescent="0.25">
      <c r="L8230" s="147">
        <f ca="1"/>
        <v>53469</v>
      </c>
      <c r="M8230" s="92">
        <f t="shared" ca="1" si="267"/>
        <v>6.25</v>
      </c>
      <c r="N8230" s="143">
        <f ca="1">(PRODUCT($O$5:$O8230)-1)*36000/_xlfn.DAYS(L8230, $C$2)</f>
        <v>15.142569678474471</v>
      </c>
      <c r="O8230" s="149">
        <f t="shared" ca="1" si="268"/>
        <v>1.000173611111111</v>
      </c>
    </row>
    <row r="8231" spans="12:15" x14ac:dyDescent="0.25">
      <c r="L8231" s="147">
        <f ca="1"/>
        <v>53470</v>
      </c>
      <c r="M8231" s="92">
        <f t="shared" ca="1" si="267"/>
        <v>6.25</v>
      </c>
      <c r="N8231" s="143">
        <f ca="1">(PRODUCT($O$5:$O8231)-1)*36000/_xlfn.DAYS(L8231, $C$2)</f>
        <v>15.14411737662004</v>
      </c>
      <c r="O8231" s="149">
        <f t="shared" ca="1" si="268"/>
        <v>1.000173611111111</v>
      </c>
    </row>
    <row r="8232" spans="12:15" x14ac:dyDescent="0.25">
      <c r="L8232" s="147">
        <f ca="1"/>
        <v>53471</v>
      </c>
      <c r="M8232" s="92">
        <f t="shared" ca="1" si="267"/>
        <v>6.25</v>
      </c>
      <c r="N8232" s="143">
        <f ca="1">(PRODUCT($O$5:$O8232)-1)*36000/_xlfn.DAYS(L8232, $C$2)</f>
        <v>15.145665286736579</v>
      </c>
      <c r="O8232" s="149">
        <f t="shared" ca="1" si="268"/>
        <v>1.000173611111111</v>
      </c>
    </row>
    <row r="8233" spans="12:15" x14ac:dyDescent="0.25">
      <c r="L8233" s="147">
        <f ca="1"/>
        <v>53472</v>
      </c>
      <c r="M8233" s="92">
        <f t="shared" ca="1" si="267"/>
        <v>6.25</v>
      </c>
      <c r="N8233" s="143">
        <f ca="1">(PRODUCT($O$5:$O8233)-1)*36000/_xlfn.DAYS(L8233, $C$2)</f>
        <v>15.147213408848918</v>
      </c>
      <c r="O8233" s="149">
        <f t="shared" ca="1" si="268"/>
        <v>1.000173611111111</v>
      </c>
    </row>
    <row r="8234" spans="12:15" x14ac:dyDescent="0.25">
      <c r="L8234" s="147">
        <f ca="1"/>
        <v>53473</v>
      </c>
      <c r="M8234" s="92">
        <f t="shared" ca="1" si="267"/>
        <v>6.25</v>
      </c>
      <c r="N8234" s="143">
        <f ca="1">(PRODUCT($O$5:$O8234)-1)*36000/_xlfn.DAYS(L8234, $C$2)</f>
        <v>15.148761742981883</v>
      </c>
      <c r="O8234" s="149">
        <f t="shared" ca="1" si="268"/>
        <v>1.000173611111111</v>
      </c>
    </row>
    <row r="8235" spans="12:15" x14ac:dyDescent="0.25">
      <c r="L8235" s="147">
        <f ca="1"/>
        <v>53474</v>
      </c>
      <c r="M8235" s="92">
        <f t="shared" ca="1" si="267"/>
        <v>6.25</v>
      </c>
      <c r="N8235" s="143">
        <f ca="1">(PRODUCT($O$5:$O8235)-1)*36000/_xlfn.DAYS(L8235, $C$2)</f>
        <v>15.150310289160307</v>
      </c>
      <c r="O8235" s="149">
        <f t="shared" ca="1" si="268"/>
        <v>1.000173611111111</v>
      </c>
    </row>
    <row r="8236" spans="12:15" x14ac:dyDescent="0.25">
      <c r="L8236" s="147">
        <f ca="1"/>
        <v>53475</v>
      </c>
      <c r="M8236" s="92">
        <f t="shared" ca="1" si="267"/>
        <v>6.25</v>
      </c>
      <c r="N8236" s="143">
        <f ca="1">(PRODUCT($O$5:$O8236)-1)*36000/_xlfn.DAYS(L8236, $C$2)</f>
        <v>15.151859047409038</v>
      </c>
      <c r="O8236" s="149">
        <f t="shared" ca="1" si="268"/>
        <v>1.000173611111111</v>
      </c>
    </row>
    <row r="8237" spans="12:15" x14ac:dyDescent="0.25">
      <c r="L8237" s="147">
        <f ca="1"/>
        <v>53476</v>
      </c>
      <c r="M8237" s="92">
        <f t="shared" ca="1" si="267"/>
        <v>6.25</v>
      </c>
      <c r="N8237" s="143">
        <f ca="1">(PRODUCT($O$5:$O8237)-1)*36000/_xlfn.DAYS(L8237, $C$2)</f>
        <v>15.153408017752916</v>
      </c>
      <c r="O8237" s="149">
        <f t="shared" ca="1" si="268"/>
        <v>1.000173611111111</v>
      </c>
    </row>
    <row r="8238" spans="12:15" x14ac:dyDescent="0.25">
      <c r="L8238" s="147">
        <f ca="1"/>
        <v>53477</v>
      </c>
      <c r="M8238" s="92">
        <f t="shared" ca="1" si="267"/>
        <v>6.25</v>
      </c>
      <c r="N8238" s="143">
        <f ca="1">(PRODUCT($O$5:$O8238)-1)*36000/_xlfn.DAYS(L8238, $C$2)</f>
        <v>15.154957200216799</v>
      </c>
      <c r="O8238" s="149">
        <f t="shared" ca="1" si="268"/>
        <v>1.000173611111111</v>
      </c>
    </row>
    <row r="8239" spans="12:15" x14ac:dyDescent="0.25">
      <c r="L8239" s="147">
        <f ca="1"/>
        <v>53478</v>
      </c>
      <c r="M8239" s="92">
        <f t="shared" ca="1" si="267"/>
        <v>6.25</v>
      </c>
      <c r="N8239" s="143">
        <f ca="1">(PRODUCT($O$5:$O8239)-1)*36000/_xlfn.DAYS(L8239, $C$2)</f>
        <v>15.156506594825544</v>
      </c>
      <c r="O8239" s="149">
        <f t="shared" ca="1" si="268"/>
        <v>1.000173611111111</v>
      </c>
    </row>
    <row r="8240" spans="12:15" x14ac:dyDescent="0.25">
      <c r="L8240" s="147">
        <f ca="1"/>
        <v>53479</v>
      </c>
      <c r="M8240" s="92">
        <f t="shared" ca="1" si="267"/>
        <v>6.25</v>
      </c>
      <c r="N8240" s="143">
        <f ca="1">(PRODUCT($O$5:$O8240)-1)*36000/_xlfn.DAYS(L8240, $C$2)</f>
        <v>15.158056201604008</v>
      </c>
      <c r="O8240" s="149">
        <f t="shared" ca="1" si="268"/>
        <v>1.000173611111111</v>
      </c>
    </row>
    <row r="8241" spans="12:15" x14ac:dyDescent="0.25">
      <c r="L8241" s="147">
        <f ca="1"/>
        <v>53480</v>
      </c>
      <c r="M8241" s="92">
        <f t="shared" ca="1" si="267"/>
        <v>6.25</v>
      </c>
      <c r="N8241" s="143">
        <f ca="1">(PRODUCT($O$5:$O8241)-1)*36000/_xlfn.DAYS(L8241, $C$2)</f>
        <v>15.159606020577066</v>
      </c>
      <c r="O8241" s="149">
        <f t="shared" ca="1" si="268"/>
        <v>1.000173611111111</v>
      </c>
    </row>
    <row r="8242" spans="12:15" x14ac:dyDescent="0.25">
      <c r="L8242" s="147">
        <f ca="1"/>
        <v>53481</v>
      </c>
      <c r="M8242" s="92">
        <f t="shared" ca="1" si="267"/>
        <v>6.25</v>
      </c>
      <c r="N8242" s="143">
        <f ca="1">(PRODUCT($O$5:$O8242)-1)*36000/_xlfn.DAYS(L8242, $C$2)</f>
        <v>15.161156051769595</v>
      </c>
      <c r="O8242" s="149">
        <f t="shared" ca="1" si="268"/>
        <v>1.000173611111111</v>
      </c>
    </row>
    <row r="8243" spans="12:15" x14ac:dyDescent="0.25">
      <c r="L8243" s="147">
        <f ca="1"/>
        <v>53482</v>
      </c>
      <c r="M8243" s="92">
        <f t="shared" ca="1" si="267"/>
        <v>6.25</v>
      </c>
      <c r="N8243" s="143">
        <f ca="1">(PRODUCT($O$5:$O8243)-1)*36000/_xlfn.DAYS(L8243, $C$2)</f>
        <v>15.162706295206473</v>
      </c>
      <c r="O8243" s="149">
        <f t="shared" ca="1" si="268"/>
        <v>1.000173611111111</v>
      </c>
    </row>
    <row r="8244" spans="12:15" x14ac:dyDescent="0.25">
      <c r="L8244" s="147">
        <f ca="1"/>
        <v>53483</v>
      </c>
      <c r="M8244" s="92">
        <f t="shared" ca="1" si="267"/>
        <v>6.25</v>
      </c>
      <c r="N8244" s="143">
        <f ca="1">(PRODUCT($O$5:$O8244)-1)*36000/_xlfn.DAYS(L8244, $C$2)</f>
        <v>15.164256750912582</v>
      </c>
      <c r="O8244" s="149">
        <f t="shared" ca="1" si="268"/>
        <v>1.000173611111111</v>
      </c>
    </row>
    <row r="8245" spans="12:15" x14ac:dyDescent="0.25">
      <c r="L8245" s="147">
        <f ca="1"/>
        <v>53484</v>
      </c>
      <c r="M8245" s="92">
        <f t="shared" ca="1" si="267"/>
        <v>6.25</v>
      </c>
      <c r="N8245" s="143">
        <f ca="1">(PRODUCT($O$5:$O8245)-1)*36000/_xlfn.DAYS(L8245, $C$2)</f>
        <v>15.16580741891282</v>
      </c>
      <c r="O8245" s="149">
        <f t="shared" ca="1" si="268"/>
        <v>1.000173611111111</v>
      </c>
    </row>
    <row r="8246" spans="12:15" x14ac:dyDescent="0.25">
      <c r="L8246" s="147">
        <f ca="1"/>
        <v>53485</v>
      </c>
      <c r="M8246" s="92">
        <f t="shared" ca="1" si="267"/>
        <v>6.25</v>
      </c>
      <c r="N8246" s="143">
        <f ca="1">(PRODUCT($O$5:$O8246)-1)*36000/_xlfn.DAYS(L8246, $C$2)</f>
        <v>15.167358299232083</v>
      </c>
      <c r="O8246" s="149">
        <f t="shared" ca="1" si="268"/>
        <v>1.000173611111111</v>
      </c>
    </row>
    <row r="8247" spans="12:15" x14ac:dyDescent="0.25">
      <c r="L8247" s="147">
        <f ca="1"/>
        <v>53486</v>
      </c>
      <c r="M8247" s="92">
        <f t="shared" ca="1" si="267"/>
        <v>6.25</v>
      </c>
      <c r="N8247" s="143">
        <f ca="1">(PRODUCT($O$5:$O8247)-1)*36000/_xlfn.DAYS(L8247, $C$2)</f>
        <v>15.168909391895276</v>
      </c>
      <c r="O8247" s="149">
        <f t="shared" ca="1" si="268"/>
        <v>1.000173611111111</v>
      </c>
    </row>
    <row r="8248" spans="12:15" x14ac:dyDescent="0.25">
      <c r="L8248" s="147">
        <f ca="1"/>
        <v>53487</v>
      </c>
      <c r="M8248" s="92">
        <f t="shared" ca="1" si="267"/>
        <v>6.25</v>
      </c>
      <c r="N8248" s="143">
        <f ca="1">(PRODUCT($O$5:$O8248)-1)*36000/_xlfn.DAYS(L8248, $C$2)</f>
        <v>15.170460696927304</v>
      </c>
      <c r="O8248" s="149">
        <f t="shared" ca="1" si="268"/>
        <v>1.000173611111111</v>
      </c>
    </row>
    <row r="8249" spans="12:15" x14ac:dyDescent="0.25">
      <c r="L8249" s="147">
        <f ca="1"/>
        <v>53488</v>
      </c>
      <c r="M8249" s="92">
        <f t="shared" ca="1" si="267"/>
        <v>6.25</v>
      </c>
      <c r="N8249" s="143">
        <f ca="1">(PRODUCT($O$5:$O8249)-1)*36000/_xlfn.DAYS(L8249, $C$2)</f>
        <v>15.172012214353082</v>
      </c>
      <c r="O8249" s="149">
        <f t="shared" ca="1" si="268"/>
        <v>1.000173611111111</v>
      </c>
    </row>
    <row r="8250" spans="12:15" x14ac:dyDescent="0.25">
      <c r="L8250" s="147">
        <f ca="1"/>
        <v>53489</v>
      </c>
      <c r="M8250" s="92">
        <f t="shared" ca="1" si="267"/>
        <v>6.25</v>
      </c>
      <c r="N8250" s="143">
        <f ca="1">(PRODUCT($O$5:$O8250)-1)*36000/_xlfn.DAYS(L8250, $C$2)</f>
        <v>15.173563944197531</v>
      </c>
      <c r="O8250" s="149">
        <f t="shared" ca="1" si="268"/>
        <v>1.000173611111111</v>
      </c>
    </row>
    <row r="8251" spans="12:15" x14ac:dyDescent="0.25">
      <c r="L8251" s="147">
        <f ca="1"/>
        <v>53490</v>
      </c>
      <c r="M8251" s="92">
        <f t="shared" ca="1" si="267"/>
        <v>6.25</v>
      </c>
      <c r="N8251" s="143">
        <f ca="1">(PRODUCT($O$5:$O8251)-1)*36000/_xlfn.DAYS(L8251, $C$2)</f>
        <v>15.175115886485576</v>
      </c>
      <c r="O8251" s="149">
        <f t="shared" ca="1" si="268"/>
        <v>1.000173611111111</v>
      </c>
    </row>
    <row r="8252" spans="12:15" x14ac:dyDescent="0.25">
      <c r="L8252" s="147">
        <f ca="1"/>
        <v>53491</v>
      </c>
      <c r="M8252" s="92">
        <f t="shared" ca="1" si="267"/>
        <v>6.25</v>
      </c>
      <c r="N8252" s="143">
        <f ca="1">(PRODUCT($O$5:$O8252)-1)*36000/_xlfn.DAYS(L8252, $C$2)</f>
        <v>15.17666804124215</v>
      </c>
      <c r="O8252" s="149">
        <f t="shared" ca="1" si="268"/>
        <v>1.000173611111111</v>
      </c>
    </row>
    <row r="8253" spans="12:15" x14ac:dyDescent="0.25">
      <c r="L8253" s="147">
        <f ca="1"/>
        <v>53492</v>
      </c>
      <c r="M8253" s="92">
        <f t="shared" ca="1" si="267"/>
        <v>6.25</v>
      </c>
      <c r="N8253" s="143">
        <f ca="1">(PRODUCT($O$5:$O8253)-1)*36000/_xlfn.DAYS(L8253, $C$2)</f>
        <v>15.178220408492193</v>
      </c>
      <c r="O8253" s="149">
        <f t="shared" ca="1" si="268"/>
        <v>1.000173611111111</v>
      </c>
    </row>
    <row r="8254" spans="12:15" x14ac:dyDescent="0.25">
      <c r="L8254" s="147">
        <f ca="1"/>
        <v>53493</v>
      </c>
      <c r="M8254" s="92">
        <f t="shared" ca="1" si="267"/>
        <v>6.25</v>
      </c>
      <c r="N8254" s="143">
        <f ca="1">(PRODUCT($O$5:$O8254)-1)*36000/_xlfn.DAYS(L8254, $C$2)</f>
        <v>15.179772988260641</v>
      </c>
      <c r="O8254" s="149">
        <f t="shared" ca="1" si="268"/>
        <v>1.000173611111111</v>
      </c>
    </row>
    <row r="8255" spans="12:15" x14ac:dyDescent="0.25">
      <c r="L8255" s="147">
        <f ca="1"/>
        <v>53494</v>
      </c>
      <c r="M8255" s="92">
        <f t="shared" ca="1" si="267"/>
        <v>6.25</v>
      </c>
      <c r="N8255" s="143">
        <f ca="1">(PRODUCT($O$5:$O8255)-1)*36000/_xlfn.DAYS(L8255, $C$2)</f>
        <v>15.181325780572447</v>
      </c>
      <c r="O8255" s="149">
        <f t="shared" ca="1" si="268"/>
        <v>1.000173611111111</v>
      </c>
    </row>
    <row r="8256" spans="12:15" x14ac:dyDescent="0.25">
      <c r="L8256" s="147">
        <f ca="1"/>
        <v>53495</v>
      </c>
      <c r="M8256" s="92">
        <f t="shared" ca="1" si="267"/>
        <v>6.25</v>
      </c>
      <c r="N8256" s="143">
        <f ca="1">(PRODUCT($O$5:$O8256)-1)*36000/_xlfn.DAYS(L8256, $C$2)</f>
        <v>15.182878785452562</v>
      </c>
      <c r="O8256" s="149">
        <f t="shared" ca="1" si="268"/>
        <v>1.000173611111111</v>
      </c>
    </row>
    <row r="8257" spans="12:15" x14ac:dyDescent="0.25">
      <c r="L8257" s="147">
        <f ca="1"/>
        <v>53496</v>
      </c>
      <c r="M8257" s="92">
        <f t="shared" ca="1" si="267"/>
        <v>6.25</v>
      </c>
      <c r="N8257" s="143">
        <f ca="1">(PRODUCT($O$5:$O8257)-1)*36000/_xlfn.DAYS(L8257, $C$2)</f>
        <v>15.184432002925949</v>
      </c>
      <c r="O8257" s="149">
        <f t="shared" ca="1" si="268"/>
        <v>1.000173611111111</v>
      </c>
    </row>
    <row r="8258" spans="12:15" x14ac:dyDescent="0.25">
      <c r="L8258" s="147">
        <f ca="1"/>
        <v>53497</v>
      </c>
      <c r="M8258" s="92">
        <f t="shared" ca="1" si="267"/>
        <v>6.25</v>
      </c>
      <c r="N8258" s="143">
        <f ca="1">(PRODUCT($O$5:$O8258)-1)*36000/_xlfn.DAYS(L8258, $C$2)</f>
        <v>15.185985433017571</v>
      </c>
      <c r="O8258" s="149">
        <f t="shared" ca="1" si="268"/>
        <v>1.000173611111111</v>
      </c>
    </row>
    <row r="8259" spans="12:15" x14ac:dyDescent="0.25">
      <c r="L8259" s="147">
        <f ca="1"/>
        <v>53498</v>
      </c>
      <c r="M8259" s="92">
        <f t="shared" ca="1" si="267"/>
        <v>6.25</v>
      </c>
      <c r="N8259" s="143">
        <f ca="1">(PRODUCT($O$5:$O8259)-1)*36000/_xlfn.DAYS(L8259, $C$2)</f>
        <v>15.187539075752401</v>
      </c>
      <c r="O8259" s="149">
        <f t="shared" ca="1" si="268"/>
        <v>1.000173611111111</v>
      </c>
    </row>
    <row r="8260" spans="12:15" x14ac:dyDescent="0.25">
      <c r="L8260" s="147">
        <f ca="1"/>
        <v>53499</v>
      </c>
      <c r="M8260" s="92">
        <f t="shared" ca="1" si="267"/>
        <v>6.25</v>
      </c>
      <c r="N8260" s="143">
        <f ca="1">(PRODUCT($O$5:$O8260)-1)*36000/_xlfn.DAYS(L8260, $C$2)</f>
        <v>15.189092931155415</v>
      </c>
      <c r="O8260" s="149">
        <f t="shared" ca="1" si="268"/>
        <v>1.000173611111111</v>
      </c>
    </row>
    <row r="8261" spans="12:15" x14ac:dyDescent="0.25">
      <c r="L8261" s="147">
        <f ca="1"/>
        <v>53500</v>
      </c>
      <c r="M8261" s="92">
        <f t="shared" ref="M8261:M8324" ca="1" si="269">IFERROR(INDEX($E$27:$H$47, MATCH(L8261, $F$27:$F$47, 0), 4), IF(ISNUMBER(M8260), M8260, $C$5))</f>
        <v>6.25</v>
      </c>
      <c r="N8261" s="143">
        <f ca="1">(PRODUCT($O$5:$O8261)-1)*36000/_xlfn.DAYS(L8261, $C$2)</f>
        <v>15.190646999251593</v>
      </c>
      <c r="O8261" s="149">
        <f t="shared" ca="1" si="268"/>
        <v>1.000173611111111</v>
      </c>
    </row>
    <row r="8262" spans="12:15" x14ac:dyDescent="0.25">
      <c r="L8262" s="147">
        <f ca="1"/>
        <v>53501</v>
      </c>
      <c r="M8262" s="92">
        <f t="shared" ca="1" si="269"/>
        <v>6.25</v>
      </c>
      <c r="N8262" s="143">
        <f ca="1">(PRODUCT($O$5:$O8262)-1)*36000/_xlfn.DAYS(L8262, $C$2)</f>
        <v>15.192201280065927</v>
      </c>
      <c r="O8262" s="149">
        <f t="shared" ref="O8262:O8325" ca="1" si="270">1+M8262*IFERROR(_xlfn.DAYS(L8262, L8261), _xlfn.DAYS(L8262, $C$2))/36000</f>
        <v>1.000173611111111</v>
      </c>
    </row>
    <row r="8263" spans="12:15" x14ac:dyDescent="0.25">
      <c r="L8263" s="147">
        <f ca="1"/>
        <v>53502</v>
      </c>
      <c r="M8263" s="92">
        <f t="shared" ca="1" si="269"/>
        <v>6.25</v>
      </c>
      <c r="N8263" s="143">
        <f ca="1">(PRODUCT($O$5:$O8263)-1)*36000/_xlfn.DAYS(L8263, $C$2)</f>
        <v>15.193755773623408</v>
      </c>
      <c r="O8263" s="149">
        <f t="shared" ca="1" si="270"/>
        <v>1.000173611111111</v>
      </c>
    </row>
    <row r="8264" spans="12:15" x14ac:dyDescent="0.25">
      <c r="L8264" s="147">
        <f ca="1"/>
        <v>53503</v>
      </c>
      <c r="M8264" s="92">
        <f t="shared" ca="1" si="269"/>
        <v>6.25</v>
      </c>
      <c r="N8264" s="143">
        <f ca="1">(PRODUCT($O$5:$O8264)-1)*36000/_xlfn.DAYS(L8264, $C$2)</f>
        <v>15.195310479949034</v>
      </c>
      <c r="O8264" s="149">
        <f t="shared" ca="1" si="270"/>
        <v>1.000173611111111</v>
      </c>
    </row>
    <row r="8265" spans="12:15" x14ac:dyDescent="0.25">
      <c r="L8265" s="147">
        <f ca="1"/>
        <v>53504</v>
      </c>
      <c r="M8265" s="92">
        <f t="shared" ca="1" si="269"/>
        <v>6.25</v>
      </c>
      <c r="N8265" s="143">
        <f ca="1">(PRODUCT($O$5:$O8265)-1)*36000/_xlfn.DAYS(L8265, $C$2)</f>
        <v>15.196865399067814</v>
      </c>
      <c r="O8265" s="149">
        <f t="shared" ca="1" si="270"/>
        <v>1.000173611111111</v>
      </c>
    </row>
    <row r="8266" spans="12:15" x14ac:dyDescent="0.25">
      <c r="L8266" s="147">
        <f ca="1"/>
        <v>53505</v>
      </c>
      <c r="M8266" s="92">
        <f t="shared" ca="1" si="269"/>
        <v>6.25</v>
      </c>
      <c r="N8266" s="143">
        <f ca="1">(PRODUCT($O$5:$O8266)-1)*36000/_xlfn.DAYS(L8266, $C$2)</f>
        <v>15.198420531004757</v>
      </c>
      <c r="O8266" s="149">
        <f t="shared" ca="1" si="270"/>
        <v>1.000173611111111</v>
      </c>
    </row>
    <row r="8267" spans="12:15" x14ac:dyDescent="0.25">
      <c r="L8267" s="147">
        <f ca="1"/>
        <v>53506</v>
      </c>
      <c r="M8267" s="92">
        <f t="shared" ca="1" si="269"/>
        <v>6.25</v>
      </c>
      <c r="N8267" s="143">
        <f ca="1">(PRODUCT($O$5:$O8267)-1)*36000/_xlfn.DAYS(L8267, $C$2)</f>
        <v>15.199975875784878</v>
      </c>
      <c r="O8267" s="149">
        <f t="shared" ca="1" si="270"/>
        <v>1.000173611111111</v>
      </c>
    </row>
    <row r="8268" spans="12:15" x14ac:dyDescent="0.25">
      <c r="L8268" s="147">
        <f ca="1"/>
        <v>53507</v>
      </c>
      <c r="M8268" s="92">
        <f t="shared" ca="1" si="269"/>
        <v>6.25</v>
      </c>
      <c r="N8268" s="143">
        <f ca="1">(PRODUCT($O$5:$O8268)-1)*36000/_xlfn.DAYS(L8268, $C$2)</f>
        <v>15.2015314334332</v>
      </c>
      <c r="O8268" s="149">
        <f t="shared" ca="1" si="270"/>
        <v>1.000173611111111</v>
      </c>
    </row>
    <row r="8269" spans="12:15" x14ac:dyDescent="0.25">
      <c r="L8269" s="147">
        <f ca="1"/>
        <v>53508</v>
      </c>
      <c r="M8269" s="92">
        <f t="shared" ca="1" si="269"/>
        <v>6.25</v>
      </c>
      <c r="N8269" s="143">
        <f ca="1">(PRODUCT($O$5:$O8269)-1)*36000/_xlfn.DAYS(L8269, $C$2)</f>
        <v>15.203087203974752</v>
      </c>
      <c r="O8269" s="149">
        <f t="shared" ca="1" si="270"/>
        <v>1.000173611111111</v>
      </c>
    </row>
    <row r="8270" spans="12:15" x14ac:dyDescent="0.25">
      <c r="L8270" s="147">
        <f ca="1"/>
        <v>53509</v>
      </c>
      <c r="M8270" s="92">
        <f t="shared" ca="1" si="269"/>
        <v>6.25</v>
      </c>
      <c r="N8270" s="143">
        <f ca="1">(PRODUCT($O$5:$O8270)-1)*36000/_xlfn.DAYS(L8270, $C$2)</f>
        <v>15.204643187434561</v>
      </c>
      <c r="O8270" s="149">
        <f t="shared" ca="1" si="270"/>
        <v>1.000173611111111</v>
      </c>
    </row>
    <row r="8271" spans="12:15" x14ac:dyDescent="0.25">
      <c r="L8271" s="147">
        <f ca="1"/>
        <v>53510</v>
      </c>
      <c r="M8271" s="92">
        <f t="shared" ca="1" si="269"/>
        <v>6.25</v>
      </c>
      <c r="N8271" s="143">
        <f ca="1">(PRODUCT($O$5:$O8271)-1)*36000/_xlfn.DAYS(L8271, $C$2)</f>
        <v>15.206199383837673</v>
      </c>
      <c r="O8271" s="149">
        <f t="shared" ca="1" si="270"/>
        <v>1.000173611111111</v>
      </c>
    </row>
    <row r="8272" spans="12:15" x14ac:dyDescent="0.25">
      <c r="L8272" s="147">
        <f ca="1"/>
        <v>53511</v>
      </c>
      <c r="M8272" s="92">
        <f t="shared" ca="1" si="269"/>
        <v>6.25</v>
      </c>
      <c r="N8272" s="143">
        <f ca="1">(PRODUCT($O$5:$O8272)-1)*36000/_xlfn.DAYS(L8272, $C$2)</f>
        <v>15.207755793209129</v>
      </c>
      <c r="O8272" s="149">
        <f t="shared" ca="1" si="270"/>
        <v>1.000173611111111</v>
      </c>
    </row>
    <row r="8273" spans="12:15" x14ac:dyDescent="0.25">
      <c r="L8273" s="147">
        <f ca="1"/>
        <v>53512</v>
      </c>
      <c r="M8273" s="92">
        <f t="shared" ca="1" si="269"/>
        <v>6.25</v>
      </c>
      <c r="N8273" s="143">
        <f ca="1">(PRODUCT($O$5:$O8273)-1)*36000/_xlfn.DAYS(L8273, $C$2)</f>
        <v>15.209312415573981</v>
      </c>
      <c r="O8273" s="149">
        <f t="shared" ca="1" si="270"/>
        <v>1.000173611111111</v>
      </c>
    </row>
    <row r="8274" spans="12:15" x14ac:dyDescent="0.25">
      <c r="L8274" s="147">
        <f ca="1"/>
        <v>53513</v>
      </c>
      <c r="M8274" s="92">
        <f t="shared" ca="1" si="269"/>
        <v>6.25</v>
      </c>
      <c r="N8274" s="143">
        <f ca="1">(PRODUCT($O$5:$O8274)-1)*36000/_xlfn.DAYS(L8274, $C$2)</f>
        <v>15.21086925095728</v>
      </c>
      <c r="O8274" s="149">
        <f t="shared" ca="1" si="270"/>
        <v>1.000173611111111</v>
      </c>
    </row>
    <row r="8275" spans="12:15" x14ac:dyDescent="0.25">
      <c r="L8275" s="147">
        <f ca="1"/>
        <v>53514</v>
      </c>
      <c r="M8275" s="92">
        <f t="shared" ca="1" si="269"/>
        <v>6.25</v>
      </c>
      <c r="N8275" s="143">
        <f ca="1">(PRODUCT($O$5:$O8275)-1)*36000/_xlfn.DAYS(L8275, $C$2)</f>
        <v>15.212426299384092</v>
      </c>
      <c r="O8275" s="149">
        <f t="shared" ca="1" si="270"/>
        <v>1.000173611111111</v>
      </c>
    </row>
    <row r="8276" spans="12:15" x14ac:dyDescent="0.25">
      <c r="L8276" s="147">
        <f ca="1"/>
        <v>53515</v>
      </c>
      <c r="M8276" s="92">
        <f t="shared" ca="1" si="269"/>
        <v>6.25</v>
      </c>
      <c r="N8276" s="143">
        <f ca="1">(PRODUCT($O$5:$O8276)-1)*36000/_xlfn.DAYS(L8276, $C$2)</f>
        <v>15.213983560879484</v>
      </c>
      <c r="O8276" s="149">
        <f t="shared" ca="1" si="270"/>
        <v>1.000173611111111</v>
      </c>
    </row>
    <row r="8277" spans="12:15" x14ac:dyDescent="0.25">
      <c r="L8277" s="147">
        <f ca="1"/>
        <v>53516</v>
      </c>
      <c r="M8277" s="92">
        <f t="shared" ca="1" si="269"/>
        <v>6.25</v>
      </c>
      <c r="N8277" s="143">
        <f ca="1">(PRODUCT($O$5:$O8277)-1)*36000/_xlfn.DAYS(L8277, $C$2)</f>
        <v>15.215541035468528</v>
      </c>
      <c r="O8277" s="149">
        <f t="shared" ca="1" si="270"/>
        <v>1.000173611111111</v>
      </c>
    </row>
    <row r="8278" spans="12:15" x14ac:dyDescent="0.25">
      <c r="L8278" s="147">
        <f ca="1"/>
        <v>53517</v>
      </c>
      <c r="M8278" s="92">
        <f t="shared" ca="1" si="269"/>
        <v>6.25</v>
      </c>
      <c r="N8278" s="143">
        <f ca="1">(PRODUCT($O$5:$O8278)-1)*36000/_xlfn.DAYS(L8278, $C$2)</f>
        <v>15.217098723176299</v>
      </c>
      <c r="O8278" s="149">
        <f t="shared" ca="1" si="270"/>
        <v>1.000173611111111</v>
      </c>
    </row>
    <row r="8279" spans="12:15" x14ac:dyDescent="0.25">
      <c r="L8279" s="147">
        <f ca="1"/>
        <v>53518</v>
      </c>
      <c r="M8279" s="92">
        <f t="shared" ca="1" si="269"/>
        <v>6.25</v>
      </c>
      <c r="N8279" s="143">
        <f ca="1">(PRODUCT($O$5:$O8279)-1)*36000/_xlfn.DAYS(L8279, $C$2)</f>
        <v>15.218656624027886</v>
      </c>
      <c r="O8279" s="149">
        <f t="shared" ca="1" si="270"/>
        <v>1.000173611111111</v>
      </c>
    </row>
    <row r="8280" spans="12:15" x14ac:dyDescent="0.25">
      <c r="L8280" s="147">
        <f ca="1"/>
        <v>53519</v>
      </c>
      <c r="M8280" s="92">
        <f t="shared" ca="1" si="269"/>
        <v>6.25</v>
      </c>
      <c r="N8280" s="143">
        <f ca="1">(PRODUCT($O$5:$O8280)-1)*36000/_xlfn.DAYS(L8280, $C$2)</f>
        <v>15.220214738048377</v>
      </c>
      <c r="O8280" s="149">
        <f t="shared" ca="1" si="270"/>
        <v>1.000173611111111</v>
      </c>
    </row>
    <row r="8281" spans="12:15" x14ac:dyDescent="0.25">
      <c r="L8281" s="147">
        <f ca="1"/>
        <v>53520</v>
      </c>
      <c r="M8281" s="92">
        <f t="shared" ca="1" si="269"/>
        <v>6.25</v>
      </c>
      <c r="N8281" s="143">
        <f ca="1">(PRODUCT($O$5:$O8281)-1)*36000/_xlfn.DAYS(L8281, $C$2)</f>
        <v>15.221773065262864</v>
      </c>
      <c r="O8281" s="149">
        <f t="shared" ca="1" si="270"/>
        <v>1.000173611111111</v>
      </c>
    </row>
    <row r="8282" spans="12:15" x14ac:dyDescent="0.25">
      <c r="L8282" s="147">
        <f ca="1"/>
        <v>53521</v>
      </c>
      <c r="M8282" s="92">
        <f t="shared" ca="1" si="269"/>
        <v>6.25</v>
      </c>
      <c r="N8282" s="143">
        <f ca="1">(PRODUCT($O$5:$O8282)-1)*36000/_xlfn.DAYS(L8282, $C$2)</f>
        <v>15.223331605696449</v>
      </c>
      <c r="O8282" s="149">
        <f t="shared" ca="1" si="270"/>
        <v>1.000173611111111</v>
      </c>
    </row>
    <row r="8283" spans="12:15" x14ac:dyDescent="0.25">
      <c r="L8283" s="147">
        <f ca="1"/>
        <v>53522</v>
      </c>
      <c r="M8283" s="92">
        <f t="shared" ca="1" si="269"/>
        <v>6.25</v>
      </c>
      <c r="N8283" s="143">
        <f ca="1">(PRODUCT($O$5:$O8283)-1)*36000/_xlfn.DAYS(L8283, $C$2)</f>
        <v>15.224890359374244</v>
      </c>
      <c r="O8283" s="149">
        <f t="shared" ca="1" si="270"/>
        <v>1.000173611111111</v>
      </c>
    </row>
    <row r="8284" spans="12:15" x14ac:dyDescent="0.25">
      <c r="L8284" s="147">
        <f ca="1"/>
        <v>53523</v>
      </c>
      <c r="M8284" s="92">
        <f t="shared" ca="1" si="269"/>
        <v>6.25</v>
      </c>
      <c r="N8284" s="143">
        <f ca="1">(PRODUCT($O$5:$O8284)-1)*36000/_xlfn.DAYS(L8284, $C$2)</f>
        <v>15.226449326321355</v>
      </c>
      <c r="O8284" s="149">
        <f t="shared" ca="1" si="270"/>
        <v>1.000173611111111</v>
      </c>
    </row>
    <row r="8285" spans="12:15" x14ac:dyDescent="0.25">
      <c r="L8285" s="147">
        <f ca="1"/>
        <v>53524</v>
      </c>
      <c r="M8285" s="92">
        <f t="shared" ca="1" si="269"/>
        <v>6.25</v>
      </c>
      <c r="N8285" s="143">
        <f ca="1">(PRODUCT($O$5:$O8285)-1)*36000/_xlfn.DAYS(L8285, $C$2)</f>
        <v>15.228008506562901</v>
      </c>
      <c r="O8285" s="149">
        <f t="shared" ca="1" si="270"/>
        <v>1.000173611111111</v>
      </c>
    </row>
    <row r="8286" spans="12:15" x14ac:dyDescent="0.25">
      <c r="L8286" s="147">
        <f ca="1"/>
        <v>53525</v>
      </c>
      <c r="M8286" s="92">
        <f t="shared" ca="1" si="269"/>
        <v>6.25</v>
      </c>
      <c r="N8286" s="143">
        <f ca="1">(PRODUCT($O$5:$O8286)-1)*36000/_xlfn.DAYS(L8286, $C$2)</f>
        <v>15.229567900124009</v>
      </c>
      <c r="O8286" s="149">
        <f t="shared" ca="1" si="270"/>
        <v>1.000173611111111</v>
      </c>
    </row>
    <row r="8287" spans="12:15" x14ac:dyDescent="0.25">
      <c r="L8287" s="147">
        <f ca="1"/>
        <v>53526</v>
      </c>
      <c r="M8287" s="92">
        <f t="shared" ca="1" si="269"/>
        <v>6.25</v>
      </c>
      <c r="N8287" s="143">
        <f ca="1">(PRODUCT($O$5:$O8287)-1)*36000/_xlfn.DAYS(L8287, $C$2)</f>
        <v>15.231127507029802</v>
      </c>
      <c r="O8287" s="149">
        <f t="shared" ca="1" si="270"/>
        <v>1.000173611111111</v>
      </c>
    </row>
    <row r="8288" spans="12:15" x14ac:dyDescent="0.25">
      <c r="L8288" s="147">
        <f ca="1"/>
        <v>53527</v>
      </c>
      <c r="M8288" s="92">
        <f t="shared" ca="1" si="269"/>
        <v>6.25</v>
      </c>
      <c r="N8288" s="143">
        <f ca="1">(PRODUCT($O$5:$O8288)-1)*36000/_xlfn.DAYS(L8288, $C$2)</f>
        <v>15.23268732730542</v>
      </c>
      <c r="O8288" s="149">
        <f t="shared" ca="1" si="270"/>
        <v>1.000173611111111</v>
      </c>
    </row>
    <row r="8289" spans="12:15" x14ac:dyDescent="0.25">
      <c r="L8289" s="147">
        <f ca="1"/>
        <v>53528</v>
      </c>
      <c r="M8289" s="92">
        <f t="shared" ca="1" si="269"/>
        <v>6.25</v>
      </c>
      <c r="N8289" s="143">
        <f ca="1">(PRODUCT($O$5:$O8289)-1)*36000/_xlfn.DAYS(L8289, $C$2)</f>
        <v>15.234247360975999</v>
      </c>
      <c r="O8289" s="149">
        <f t="shared" ca="1" si="270"/>
        <v>1.000173611111111</v>
      </c>
    </row>
    <row r="8290" spans="12:15" x14ac:dyDescent="0.25">
      <c r="L8290" s="147">
        <f ca="1"/>
        <v>53529</v>
      </c>
      <c r="M8290" s="92">
        <f t="shared" ca="1" si="269"/>
        <v>6.25</v>
      </c>
      <c r="N8290" s="143">
        <f ca="1">(PRODUCT($O$5:$O8290)-1)*36000/_xlfn.DAYS(L8290, $C$2)</f>
        <v>15.235807608066692</v>
      </c>
      <c r="O8290" s="149">
        <f t="shared" ca="1" si="270"/>
        <v>1.000173611111111</v>
      </c>
    </row>
    <row r="8291" spans="12:15" x14ac:dyDescent="0.25">
      <c r="L8291" s="147">
        <f ca="1"/>
        <v>53530</v>
      </c>
      <c r="M8291" s="92">
        <f t="shared" ca="1" si="269"/>
        <v>6.25</v>
      </c>
      <c r="N8291" s="143">
        <f ca="1">(PRODUCT($O$5:$O8291)-1)*36000/_xlfn.DAYS(L8291, $C$2)</f>
        <v>15.237368068602644</v>
      </c>
      <c r="O8291" s="149">
        <f t="shared" ca="1" si="270"/>
        <v>1.000173611111111</v>
      </c>
    </row>
    <row r="8292" spans="12:15" x14ac:dyDescent="0.25">
      <c r="L8292" s="147">
        <f ca="1"/>
        <v>53531</v>
      </c>
      <c r="M8292" s="92">
        <f t="shared" ca="1" si="269"/>
        <v>6.25</v>
      </c>
      <c r="N8292" s="143">
        <f ca="1">(PRODUCT($O$5:$O8292)-1)*36000/_xlfn.DAYS(L8292, $C$2)</f>
        <v>15.238928742609014</v>
      </c>
      <c r="O8292" s="149">
        <f t="shared" ca="1" si="270"/>
        <v>1.000173611111111</v>
      </c>
    </row>
    <row r="8293" spans="12:15" x14ac:dyDescent="0.25">
      <c r="L8293" s="147">
        <f ca="1"/>
        <v>53532</v>
      </c>
      <c r="M8293" s="92">
        <f t="shared" ca="1" si="269"/>
        <v>6.25</v>
      </c>
      <c r="N8293" s="143">
        <f ca="1">(PRODUCT($O$5:$O8293)-1)*36000/_xlfn.DAYS(L8293, $C$2)</f>
        <v>15.240489630110968</v>
      </c>
      <c r="O8293" s="149">
        <f t="shared" ca="1" si="270"/>
        <v>1.000173611111111</v>
      </c>
    </row>
    <row r="8294" spans="12:15" x14ac:dyDescent="0.25">
      <c r="L8294" s="147">
        <f ca="1"/>
        <v>53533</v>
      </c>
      <c r="M8294" s="92">
        <f t="shared" ca="1" si="269"/>
        <v>6.25</v>
      </c>
      <c r="N8294" s="143">
        <f ca="1">(PRODUCT($O$5:$O8294)-1)*36000/_xlfn.DAYS(L8294, $C$2)</f>
        <v>15.24205073113367</v>
      </c>
      <c r="O8294" s="149">
        <f t="shared" ca="1" si="270"/>
        <v>1.000173611111111</v>
      </c>
    </row>
    <row r="8295" spans="12:15" x14ac:dyDescent="0.25">
      <c r="L8295" s="147">
        <f ca="1"/>
        <v>53534</v>
      </c>
      <c r="M8295" s="92">
        <f t="shared" ca="1" si="269"/>
        <v>6.25</v>
      </c>
      <c r="N8295" s="143">
        <f ca="1">(PRODUCT($O$5:$O8295)-1)*36000/_xlfn.DAYS(L8295, $C$2)</f>
        <v>15.243612045702296</v>
      </c>
      <c r="O8295" s="149">
        <f t="shared" ca="1" si="270"/>
        <v>1.000173611111111</v>
      </c>
    </row>
    <row r="8296" spans="12:15" x14ac:dyDescent="0.25">
      <c r="L8296" s="147">
        <f ca="1"/>
        <v>53535</v>
      </c>
      <c r="M8296" s="92">
        <f t="shared" ca="1" si="269"/>
        <v>6.25</v>
      </c>
      <c r="N8296" s="143">
        <f ca="1">(PRODUCT($O$5:$O8296)-1)*36000/_xlfn.DAYS(L8296, $C$2)</f>
        <v>15.245173573842029</v>
      </c>
      <c r="O8296" s="149">
        <f t="shared" ca="1" si="270"/>
        <v>1.000173611111111</v>
      </c>
    </row>
    <row r="8297" spans="12:15" x14ac:dyDescent="0.25">
      <c r="L8297" s="147">
        <f ca="1"/>
        <v>53536</v>
      </c>
      <c r="M8297" s="92">
        <f t="shared" ca="1" si="269"/>
        <v>6.25</v>
      </c>
      <c r="N8297" s="143">
        <f ca="1">(PRODUCT($O$5:$O8297)-1)*36000/_xlfn.DAYS(L8297, $C$2)</f>
        <v>15.24673531557805</v>
      </c>
      <c r="O8297" s="149">
        <f t="shared" ca="1" si="270"/>
        <v>1.000173611111111</v>
      </c>
    </row>
    <row r="8298" spans="12:15" x14ac:dyDescent="0.25">
      <c r="L8298" s="147">
        <f ca="1"/>
        <v>53537</v>
      </c>
      <c r="M8298" s="92">
        <f t="shared" ca="1" si="269"/>
        <v>6.25</v>
      </c>
      <c r="N8298" s="143">
        <f ca="1">(PRODUCT($O$5:$O8298)-1)*36000/_xlfn.DAYS(L8298, $C$2)</f>
        <v>15.24829727093555</v>
      </c>
      <c r="O8298" s="149">
        <f t="shared" ca="1" si="270"/>
        <v>1.000173611111111</v>
      </c>
    </row>
    <row r="8299" spans="12:15" x14ac:dyDescent="0.25">
      <c r="L8299" s="147">
        <f ca="1"/>
        <v>53538</v>
      </c>
      <c r="M8299" s="92">
        <f t="shared" ca="1" si="269"/>
        <v>6.25</v>
      </c>
      <c r="N8299" s="143">
        <f ca="1">(PRODUCT($O$5:$O8299)-1)*36000/_xlfn.DAYS(L8299, $C$2)</f>
        <v>15.249859439939732</v>
      </c>
      <c r="O8299" s="149">
        <f t="shared" ca="1" si="270"/>
        <v>1.000173611111111</v>
      </c>
    </row>
    <row r="8300" spans="12:15" x14ac:dyDescent="0.25">
      <c r="L8300" s="147">
        <f ca="1"/>
        <v>53539</v>
      </c>
      <c r="M8300" s="92">
        <f t="shared" ca="1" si="269"/>
        <v>6.25</v>
      </c>
      <c r="N8300" s="143">
        <f ca="1">(PRODUCT($O$5:$O8300)-1)*36000/_xlfn.DAYS(L8300, $C$2)</f>
        <v>15.251421822615791</v>
      </c>
      <c r="O8300" s="149">
        <f t="shared" ca="1" si="270"/>
        <v>1.000173611111111</v>
      </c>
    </row>
    <row r="8301" spans="12:15" x14ac:dyDescent="0.25">
      <c r="L8301" s="147">
        <f ca="1"/>
        <v>53540</v>
      </c>
      <c r="M8301" s="92">
        <f t="shared" ca="1" si="269"/>
        <v>6.25</v>
      </c>
      <c r="N8301" s="143">
        <f ca="1">(PRODUCT($O$5:$O8301)-1)*36000/_xlfn.DAYS(L8301, $C$2)</f>
        <v>15.252984418988941</v>
      </c>
      <c r="O8301" s="149">
        <f t="shared" ca="1" si="270"/>
        <v>1.000173611111111</v>
      </c>
    </row>
    <row r="8302" spans="12:15" x14ac:dyDescent="0.25">
      <c r="L8302" s="147">
        <f ca="1"/>
        <v>53541</v>
      </c>
      <c r="M8302" s="92">
        <f t="shared" ca="1" si="269"/>
        <v>6.25</v>
      </c>
      <c r="N8302" s="143">
        <f ca="1">(PRODUCT($O$5:$O8302)-1)*36000/_xlfn.DAYS(L8302, $C$2)</f>
        <v>15.254547229084389</v>
      </c>
      <c r="O8302" s="149">
        <f t="shared" ca="1" si="270"/>
        <v>1.000173611111111</v>
      </c>
    </row>
    <row r="8303" spans="12:15" x14ac:dyDescent="0.25">
      <c r="L8303" s="147">
        <f ca="1"/>
        <v>53542</v>
      </c>
      <c r="M8303" s="92">
        <f t="shared" ca="1" si="269"/>
        <v>6.25</v>
      </c>
      <c r="N8303" s="143">
        <f ca="1">(PRODUCT($O$5:$O8303)-1)*36000/_xlfn.DAYS(L8303, $C$2)</f>
        <v>15.256110252927357</v>
      </c>
      <c r="O8303" s="149">
        <f t="shared" ca="1" si="270"/>
        <v>1.000173611111111</v>
      </c>
    </row>
    <row r="8304" spans="12:15" x14ac:dyDescent="0.25">
      <c r="L8304" s="147">
        <f ca="1"/>
        <v>53543</v>
      </c>
      <c r="M8304" s="92">
        <f t="shared" ca="1" si="269"/>
        <v>6.25</v>
      </c>
      <c r="N8304" s="143">
        <f ca="1">(PRODUCT($O$5:$O8304)-1)*36000/_xlfn.DAYS(L8304, $C$2)</f>
        <v>15.257673490543072</v>
      </c>
      <c r="O8304" s="149">
        <f t="shared" ca="1" si="270"/>
        <v>1.000173611111111</v>
      </c>
    </row>
    <row r="8305" spans="12:15" x14ac:dyDescent="0.25">
      <c r="L8305" s="147">
        <f ca="1"/>
        <v>53544</v>
      </c>
      <c r="M8305" s="92">
        <f t="shared" ca="1" si="269"/>
        <v>6.25</v>
      </c>
      <c r="N8305" s="143">
        <f ca="1">(PRODUCT($O$5:$O8305)-1)*36000/_xlfn.DAYS(L8305, $C$2)</f>
        <v>15.259236941956765</v>
      </c>
      <c r="O8305" s="149">
        <f t="shared" ca="1" si="270"/>
        <v>1.000173611111111</v>
      </c>
    </row>
    <row r="8306" spans="12:15" x14ac:dyDescent="0.25">
      <c r="L8306" s="147">
        <f ca="1"/>
        <v>53545</v>
      </c>
      <c r="M8306" s="92">
        <f t="shared" ca="1" si="269"/>
        <v>6.25</v>
      </c>
      <c r="N8306" s="143">
        <f ca="1">(PRODUCT($O$5:$O8306)-1)*36000/_xlfn.DAYS(L8306, $C$2)</f>
        <v>15.260800607193667</v>
      </c>
      <c r="O8306" s="149">
        <f t="shared" ca="1" si="270"/>
        <v>1.000173611111111</v>
      </c>
    </row>
    <row r="8307" spans="12:15" x14ac:dyDescent="0.25">
      <c r="L8307" s="147">
        <f ca="1"/>
        <v>53546</v>
      </c>
      <c r="M8307" s="92">
        <f t="shared" ca="1" si="269"/>
        <v>6.25</v>
      </c>
      <c r="N8307" s="143">
        <f ca="1">(PRODUCT($O$5:$O8307)-1)*36000/_xlfn.DAYS(L8307, $C$2)</f>
        <v>15.262364486279026</v>
      </c>
      <c r="O8307" s="149">
        <f t="shared" ca="1" si="270"/>
        <v>1.000173611111111</v>
      </c>
    </row>
    <row r="8308" spans="12:15" x14ac:dyDescent="0.25">
      <c r="L8308" s="147">
        <f ca="1"/>
        <v>53547</v>
      </c>
      <c r="M8308" s="92">
        <f t="shared" ca="1" si="269"/>
        <v>6.25</v>
      </c>
      <c r="N8308" s="143">
        <f ca="1">(PRODUCT($O$5:$O8308)-1)*36000/_xlfn.DAYS(L8308, $C$2)</f>
        <v>15.263928579238089</v>
      </c>
      <c r="O8308" s="149">
        <f t="shared" ca="1" si="270"/>
        <v>1.000173611111111</v>
      </c>
    </row>
    <row r="8309" spans="12:15" x14ac:dyDescent="0.25">
      <c r="L8309" s="147">
        <f ca="1"/>
        <v>53548</v>
      </c>
      <c r="M8309" s="92">
        <f t="shared" ca="1" si="269"/>
        <v>6.25</v>
      </c>
      <c r="N8309" s="143">
        <f ca="1">(PRODUCT($O$5:$O8309)-1)*36000/_xlfn.DAYS(L8309, $C$2)</f>
        <v>15.265492886096101</v>
      </c>
      <c r="O8309" s="149">
        <f t="shared" ca="1" si="270"/>
        <v>1.000173611111111</v>
      </c>
    </row>
    <row r="8310" spans="12:15" x14ac:dyDescent="0.25">
      <c r="L8310" s="147">
        <f ca="1"/>
        <v>53549</v>
      </c>
      <c r="M8310" s="92">
        <f t="shared" ca="1" si="269"/>
        <v>6.25</v>
      </c>
      <c r="N8310" s="143">
        <f ca="1">(PRODUCT($O$5:$O8310)-1)*36000/_xlfn.DAYS(L8310, $C$2)</f>
        <v>15.267057406878333</v>
      </c>
      <c r="O8310" s="149">
        <f t="shared" ca="1" si="270"/>
        <v>1.000173611111111</v>
      </c>
    </row>
    <row r="8311" spans="12:15" x14ac:dyDescent="0.25">
      <c r="L8311" s="147">
        <f ca="1"/>
        <v>53550</v>
      </c>
      <c r="M8311" s="92">
        <f t="shared" ca="1" si="269"/>
        <v>6.25</v>
      </c>
      <c r="N8311" s="143">
        <f ca="1">(PRODUCT($O$5:$O8311)-1)*36000/_xlfn.DAYS(L8311, $C$2)</f>
        <v>15.268622141610036</v>
      </c>
      <c r="O8311" s="149">
        <f t="shared" ca="1" si="270"/>
        <v>1.000173611111111</v>
      </c>
    </row>
    <row r="8312" spans="12:15" x14ac:dyDescent="0.25">
      <c r="L8312" s="147">
        <f ca="1"/>
        <v>53551</v>
      </c>
      <c r="M8312" s="92">
        <f t="shared" ca="1" si="269"/>
        <v>6.25</v>
      </c>
      <c r="N8312" s="143">
        <f ca="1">(PRODUCT($O$5:$O8312)-1)*36000/_xlfn.DAYS(L8312, $C$2)</f>
        <v>15.270187090316494</v>
      </c>
      <c r="O8312" s="149">
        <f t="shared" ca="1" si="270"/>
        <v>1.000173611111111</v>
      </c>
    </row>
    <row r="8313" spans="12:15" x14ac:dyDescent="0.25">
      <c r="L8313" s="147">
        <f ca="1"/>
        <v>53552</v>
      </c>
      <c r="M8313" s="92">
        <f t="shared" ca="1" si="269"/>
        <v>6.25</v>
      </c>
      <c r="N8313" s="143">
        <f ca="1">(PRODUCT($O$5:$O8313)-1)*36000/_xlfn.DAYS(L8313, $C$2)</f>
        <v>15.271752253022973</v>
      </c>
      <c r="O8313" s="149">
        <f t="shared" ca="1" si="270"/>
        <v>1.000173611111111</v>
      </c>
    </row>
    <row r="8314" spans="12:15" x14ac:dyDescent="0.25">
      <c r="L8314" s="147">
        <f ca="1"/>
        <v>53553</v>
      </c>
      <c r="M8314" s="92">
        <f t="shared" ca="1" si="269"/>
        <v>6.25</v>
      </c>
      <c r="N8314" s="143">
        <f ca="1">(PRODUCT($O$5:$O8314)-1)*36000/_xlfn.DAYS(L8314, $C$2)</f>
        <v>15.273317629754754</v>
      </c>
      <c r="O8314" s="149">
        <f t="shared" ca="1" si="270"/>
        <v>1.000173611111111</v>
      </c>
    </row>
    <row r="8315" spans="12:15" x14ac:dyDescent="0.25">
      <c r="L8315" s="147">
        <f ca="1"/>
        <v>53554</v>
      </c>
      <c r="M8315" s="92">
        <f t="shared" ca="1" si="269"/>
        <v>6.25</v>
      </c>
      <c r="N8315" s="143">
        <f ca="1">(PRODUCT($O$5:$O8315)-1)*36000/_xlfn.DAYS(L8315, $C$2)</f>
        <v>15.274883220537131</v>
      </c>
      <c r="O8315" s="149">
        <f t="shared" ca="1" si="270"/>
        <v>1.000173611111111</v>
      </c>
    </row>
    <row r="8316" spans="12:15" x14ac:dyDescent="0.25">
      <c r="L8316" s="147">
        <f ca="1"/>
        <v>53555</v>
      </c>
      <c r="M8316" s="92">
        <f t="shared" ca="1" si="269"/>
        <v>6.25</v>
      </c>
      <c r="N8316" s="143">
        <f ca="1">(PRODUCT($O$5:$O8316)-1)*36000/_xlfn.DAYS(L8316, $C$2)</f>
        <v>15.276449025395388</v>
      </c>
      <c r="O8316" s="149">
        <f t="shared" ca="1" si="270"/>
        <v>1.000173611111111</v>
      </c>
    </row>
    <row r="8317" spans="12:15" x14ac:dyDescent="0.25">
      <c r="L8317" s="147">
        <f ca="1"/>
        <v>53556</v>
      </c>
      <c r="M8317" s="92">
        <f t="shared" ca="1" si="269"/>
        <v>6.25</v>
      </c>
      <c r="N8317" s="143">
        <f ca="1">(PRODUCT($O$5:$O8317)-1)*36000/_xlfn.DAYS(L8317, $C$2)</f>
        <v>15.278015044354833</v>
      </c>
      <c r="O8317" s="149">
        <f t="shared" ca="1" si="270"/>
        <v>1.000173611111111</v>
      </c>
    </row>
    <row r="8318" spans="12:15" x14ac:dyDescent="0.25">
      <c r="L8318" s="147">
        <f ca="1"/>
        <v>53557</v>
      </c>
      <c r="M8318" s="92">
        <f t="shared" ca="1" si="269"/>
        <v>6.25</v>
      </c>
      <c r="N8318" s="143">
        <f ca="1">(PRODUCT($O$5:$O8318)-1)*36000/_xlfn.DAYS(L8318, $C$2)</f>
        <v>15.279581277440762</v>
      </c>
      <c r="O8318" s="149">
        <f t="shared" ca="1" si="270"/>
        <v>1.000173611111111</v>
      </c>
    </row>
    <row r="8319" spans="12:15" x14ac:dyDescent="0.25">
      <c r="L8319" s="147">
        <f ca="1"/>
        <v>53558</v>
      </c>
      <c r="M8319" s="92">
        <f t="shared" ca="1" si="269"/>
        <v>6.25</v>
      </c>
      <c r="N8319" s="143">
        <f ca="1">(PRODUCT($O$5:$O8319)-1)*36000/_xlfn.DAYS(L8319, $C$2)</f>
        <v>15.281147724678487</v>
      </c>
      <c r="O8319" s="149">
        <f t="shared" ca="1" si="270"/>
        <v>1.000173611111111</v>
      </c>
    </row>
    <row r="8320" spans="12:15" x14ac:dyDescent="0.25">
      <c r="L8320" s="147">
        <f ca="1"/>
        <v>53559</v>
      </c>
      <c r="M8320" s="92">
        <f t="shared" ca="1" si="269"/>
        <v>6.25</v>
      </c>
      <c r="N8320" s="143">
        <f ca="1">(PRODUCT($O$5:$O8320)-1)*36000/_xlfn.DAYS(L8320, $C$2)</f>
        <v>15.282714386093321</v>
      </c>
      <c r="O8320" s="149">
        <f t="shared" ca="1" si="270"/>
        <v>1.000173611111111</v>
      </c>
    </row>
    <row r="8321" spans="12:15" x14ac:dyDescent="0.25">
      <c r="L8321" s="147">
        <f ca="1"/>
        <v>53560</v>
      </c>
      <c r="M8321" s="92">
        <f t="shared" ca="1" si="269"/>
        <v>6.25</v>
      </c>
      <c r="N8321" s="143">
        <f ca="1">(PRODUCT($O$5:$O8321)-1)*36000/_xlfn.DAYS(L8321, $C$2)</f>
        <v>15.284281261710589</v>
      </c>
      <c r="O8321" s="149">
        <f t="shared" ca="1" si="270"/>
        <v>1.000173611111111</v>
      </c>
    </row>
    <row r="8322" spans="12:15" x14ac:dyDescent="0.25">
      <c r="L8322" s="147">
        <f ca="1"/>
        <v>53561</v>
      </c>
      <c r="M8322" s="92">
        <f t="shared" ca="1" si="269"/>
        <v>6.25</v>
      </c>
      <c r="N8322" s="143">
        <f ca="1">(PRODUCT($O$5:$O8322)-1)*36000/_xlfn.DAYS(L8322, $C$2)</f>
        <v>15.285848351555616</v>
      </c>
      <c r="O8322" s="149">
        <f t="shared" ca="1" si="270"/>
        <v>1.000173611111111</v>
      </c>
    </row>
    <row r="8323" spans="12:15" x14ac:dyDescent="0.25">
      <c r="L8323" s="147">
        <f ca="1"/>
        <v>53562</v>
      </c>
      <c r="M8323" s="92">
        <f t="shared" ca="1" si="269"/>
        <v>6.25</v>
      </c>
      <c r="N8323" s="143">
        <f ca="1">(PRODUCT($O$5:$O8323)-1)*36000/_xlfn.DAYS(L8323, $C$2)</f>
        <v>15.287415655653733</v>
      </c>
      <c r="O8323" s="149">
        <f t="shared" ca="1" si="270"/>
        <v>1.000173611111111</v>
      </c>
    </row>
    <row r="8324" spans="12:15" x14ac:dyDescent="0.25">
      <c r="L8324" s="147">
        <f ca="1"/>
        <v>53563</v>
      </c>
      <c r="M8324" s="92">
        <f t="shared" ca="1" si="269"/>
        <v>6.25</v>
      </c>
      <c r="N8324" s="143">
        <f ca="1">(PRODUCT($O$5:$O8324)-1)*36000/_xlfn.DAYS(L8324, $C$2)</f>
        <v>15.288983174030278</v>
      </c>
      <c r="O8324" s="149">
        <f t="shared" ca="1" si="270"/>
        <v>1.000173611111111</v>
      </c>
    </row>
    <row r="8325" spans="12:15" x14ac:dyDescent="0.25">
      <c r="L8325" s="147">
        <f ca="1"/>
        <v>53564</v>
      </c>
      <c r="M8325" s="92">
        <f t="shared" ref="M8325:M8388" ca="1" si="271">IFERROR(INDEX($E$27:$H$47, MATCH(L8325, $F$27:$F$47, 0), 4), IF(ISNUMBER(M8324), M8324, $C$5))</f>
        <v>6.25</v>
      </c>
      <c r="N8325" s="143">
        <f ca="1">(PRODUCT($O$5:$O8325)-1)*36000/_xlfn.DAYS(L8325, $C$2)</f>
        <v>15.290550906710591</v>
      </c>
      <c r="O8325" s="149">
        <f t="shared" ca="1" si="270"/>
        <v>1.000173611111111</v>
      </c>
    </row>
    <row r="8326" spans="12:15" x14ac:dyDescent="0.25">
      <c r="L8326" s="147">
        <f ca="1"/>
        <v>53565</v>
      </c>
      <c r="M8326" s="92">
        <f t="shared" ca="1" si="271"/>
        <v>6.25</v>
      </c>
      <c r="N8326" s="143">
        <f ca="1">(PRODUCT($O$5:$O8326)-1)*36000/_xlfn.DAYS(L8326, $C$2)</f>
        <v>15.292118853720021</v>
      </c>
      <c r="O8326" s="149">
        <f t="shared" ref="O8326:O8389" ca="1" si="272">1+M8326*IFERROR(_xlfn.DAYS(L8326, L8325), _xlfn.DAYS(L8326, $C$2))/36000</f>
        <v>1.000173611111111</v>
      </c>
    </row>
    <row r="8327" spans="12:15" x14ac:dyDescent="0.25">
      <c r="L8327" s="147">
        <f ca="1"/>
        <v>53566</v>
      </c>
      <c r="M8327" s="92">
        <f t="shared" ca="1" si="271"/>
        <v>6.25</v>
      </c>
      <c r="N8327" s="143">
        <f ca="1">(PRODUCT($O$5:$O8327)-1)*36000/_xlfn.DAYS(L8327, $C$2)</f>
        <v>15.293687015083931</v>
      </c>
      <c r="O8327" s="149">
        <f t="shared" ca="1" si="272"/>
        <v>1.000173611111111</v>
      </c>
    </row>
    <row r="8328" spans="12:15" x14ac:dyDescent="0.25">
      <c r="L8328" s="147">
        <f ca="1"/>
        <v>53567</v>
      </c>
      <c r="M8328" s="92">
        <f t="shared" ca="1" si="271"/>
        <v>6.25</v>
      </c>
      <c r="N8328" s="143">
        <f ca="1">(PRODUCT($O$5:$O8328)-1)*36000/_xlfn.DAYS(L8328, $C$2)</f>
        <v>15.29525539082767</v>
      </c>
      <c r="O8328" s="149">
        <f t="shared" ca="1" si="272"/>
        <v>1.000173611111111</v>
      </c>
    </row>
    <row r="8329" spans="12:15" x14ac:dyDescent="0.25">
      <c r="L8329" s="147">
        <f ca="1"/>
        <v>53568</v>
      </c>
      <c r="M8329" s="92">
        <f t="shared" ca="1" si="271"/>
        <v>6.25</v>
      </c>
      <c r="N8329" s="143">
        <f ca="1">(PRODUCT($O$5:$O8329)-1)*36000/_xlfn.DAYS(L8329, $C$2)</f>
        <v>15.296823980976612</v>
      </c>
      <c r="O8329" s="149">
        <f t="shared" ca="1" si="272"/>
        <v>1.000173611111111</v>
      </c>
    </row>
    <row r="8330" spans="12:15" x14ac:dyDescent="0.25">
      <c r="L8330" s="147">
        <f ca="1"/>
        <v>53569</v>
      </c>
      <c r="M8330" s="92">
        <f t="shared" ca="1" si="271"/>
        <v>6.25</v>
      </c>
      <c r="N8330" s="143">
        <f ca="1">(PRODUCT($O$5:$O8330)-1)*36000/_xlfn.DAYS(L8330, $C$2)</f>
        <v>15.298392785556121</v>
      </c>
      <c r="O8330" s="149">
        <f t="shared" ca="1" si="272"/>
        <v>1.000173611111111</v>
      </c>
    </row>
    <row r="8331" spans="12:15" x14ac:dyDescent="0.25">
      <c r="L8331" s="147">
        <f ca="1"/>
        <v>53570</v>
      </c>
      <c r="M8331" s="92">
        <f t="shared" ca="1" si="271"/>
        <v>6.25</v>
      </c>
      <c r="N8331" s="143">
        <f ca="1">(PRODUCT($O$5:$O8331)-1)*36000/_xlfn.DAYS(L8331, $C$2)</f>
        <v>15.299961804591582</v>
      </c>
      <c r="O8331" s="149">
        <f t="shared" ca="1" si="272"/>
        <v>1.000173611111111</v>
      </c>
    </row>
    <row r="8332" spans="12:15" x14ac:dyDescent="0.25">
      <c r="L8332" s="147">
        <f ca="1"/>
        <v>53571</v>
      </c>
      <c r="M8332" s="92">
        <f t="shared" ca="1" si="271"/>
        <v>6.25</v>
      </c>
      <c r="N8332" s="143">
        <f ca="1">(PRODUCT($O$5:$O8332)-1)*36000/_xlfn.DAYS(L8332, $C$2)</f>
        <v>15.301531038108372</v>
      </c>
      <c r="O8332" s="149">
        <f t="shared" ca="1" si="272"/>
        <v>1.000173611111111</v>
      </c>
    </row>
    <row r="8333" spans="12:15" x14ac:dyDescent="0.25">
      <c r="L8333" s="147">
        <f ca="1"/>
        <v>53572</v>
      </c>
      <c r="M8333" s="92">
        <f t="shared" ca="1" si="271"/>
        <v>6.25</v>
      </c>
      <c r="N8333" s="143">
        <f ca="1">(PRODUCT($O$5:$O8333)-1)*36000/_xlfn.DAYS(L8333, $C$2)</f>
        <v>15.30310048613188</v>
      </c>
      <c r="O8333" s="149">
        <f t="shared" ca="1" si="272"/>
        <v>1.000173611111111</v>
      </c>
    </row>
    <row r="8334" spans="12:15" x14ac:dyDescent="0.25">
      <c r="L8334" s="147">
        <f ca="1"/>
        <v>53573</v>
      </c>
      <c r="M8334" s="92">
        <f t="shared" ca="1" si="271"/>
        <v>6.25</v>
      </c>
      <c r="N8334" s="143">
        <f ca="1">(PRODUCT($O$5:$O8334)-1)*36000/_xlfn.DAYS(L8334, $C$2)</f>
        <v>15.304670148687501</v>
      </c>
      <c r="O8334" s="149">
        <f t="shared" ca="1" si="272"/>
        <v>1.000173611111111</v>
      </c>
    </row>
    <row r="8335" spans="12:15" x14ac:dyDescent="0.25">
      <c r="L8335" s="147">
        <f ca="1"/>
        <v>53574</v>
      </c>
      <c r="M8335" s="92">
        <f t="shared" ca="1" si="271"/>
        <v>6.25</v>
      </c>
      <c r="N8335" s="143">
        <f ca="1">(PRODUCT($O$5:$O8335)-1)*36000/_xlfn.DAYS(L8335, $C$2)</f>
        <v>15.306240025800635</v>
      </c>
      <c r="O8335" s="149">
        <f t="shared" ca="1" si="272"/>
        <v>1.000173611111111</v>
      </c>
    </row>
    <row r="8336" spans="12:15" x14ac:dyDescent="0.25">
      <c r="L8336" s="147">
        <f ca="1"/>
        <v>53575</v>
      </c>
      <c r="M8336" s="92">
        <f t="shared" ca="1" si="271"/>
        <v>6.25</v>
      </c>
      <c r="N8336" s="143">
        <f ca="1">(PRODUCT($O$5:$O8336)-1)*36000/_xlfn.DAYS(L8336, $C$2)</f>
        <v>15.307810117496686</v>
      </c>
      <c r="O8336" s="149">
        <f t="shared" ca="1" si="272"/>
        <v>1.000173611111111</v>
      </c>
    </row>
    <row r="8337" spans="12:15" x14ac:dyDescent="0.25">
      <c r="L8337" s="147">
        <f ca="1"/>
        <v>53576</v>
      </c>
      <c r="M8337" s="92">
        <f t="shared" ca="1" si="271"/>
        <v>6.25</v>
      </c>
      <c r="N8337" s="143">
        <f ca="1">(PRODUCT($O$5:$O8337)-1)*36000/_xlfn.DAYS(L8337, $C$2)</f>
        <v>15.309380423801064</v>
      </c>
      <c r="O8337" s="149">
        <f t="shared" ca="1" si="272"/>
        <v>1.000173611111111</v>
      </c>
    </row>
    <row r="8338" spans="12:15" x14ac:dyDescent="0.25">
      <c r="L8338" s="147">
        <f ca="1"/>
        <v>53577</v>
      </c>
      <c r="M8338" s="92">
        <f t="shared" ca="1" si="271"/>
        <v>6.25</v>
      </c>
      <c r="N8338" s="143">
        <f ca="1">(PRODUCT($O$5:$O8338)-1)*36000/_xlfn.DAYS(L8338, $C$2)</f>
        <v>15.31095094473919</v>
      </c>
      <c r="O8338" s="149">
        <f t="shared" ca="1" si="272"/>
        <v>1.000173611111111</v>
      </c>
    </row>
    <row r="8339" spans="12:15" x14ac:dyDescent="0.25">
      <c r="L8339" s="147">
        <f ca="1"/>
        <v>53578</v>
      </c>
      <c r="M8339" s="92">
        <f t="shared" ca="1" si="271"/>
        <v>6.25</v>
      </c>
      <c r="N8339" s="143">
        <f ca="1">(PRODUCT($O$5:$O8339)-1)*36000/_xlfn.DAYS(L8339, $C$2)</f>
        <v>15.312521680336481</v>
      </c>
      <c r="O8339" s="149">
        <f t="shared" ca="1" si="272"/>
        <v>1.000173611111111</v>
      </c>
    </row>
    <row r="8340" spans="12:15" x14ac:dyDescent="0.25">
      <c r="L8340" s="147">
        <f ca="1"/>
        <v>53579</v>
      </c>
      <c r="M8340" s="92">
        <f t="shared" ca="1" si="271"/>
        <v>6.25</v>
      </c>
      <c r="N8340" s="143">
        <f ca="1">(PRODUCT($O$5:$O8340)-1)*36000/_xlfn.DAYS(L8340, $C$2)</f>
        <v>15.314092630618367</v>
      </c>
      <c r="O8340" s="149">
        <f t="shared" ca="1" si="272"/>
        <v>1.000173611111111</v>
      </c>
    </row>
    <row r="8341" spans="12:15" x14ac:dyDescent="0.25">
      <c r="L8341" s="147">
        <f ca="1"/>
        <v>53580</v>
      </c>
      <c r="M8341" s="92">
        <f t="shared" ca="1" si="271"/>
        <v>6.25</v>
      </c>
      <c r="N8341" s="143">
        <f ca="1">(PRODUCT($O$5:$O8341)-1)*36000/_xlfn.DAYS(L8341, $C$2)</f>
        <v>15.315663795610279</v>
      </c>
      <c r="O8341" s="149">
        <f t="shared" ca="1" si="272"/>
        <v>1.000173611111111</v>
      </c>
    </row>
    <row r="8342" spans="12:15" x14ac:dyDescent="0.25">
      <c r="L8342" s="147">
        <f ca="1"/>
        <v>53581</v>
      </c>
      <c r="M8342" s="92">
        <f t="shared" ca="1" si="271"/>
        <v>6.25</v>
      </c>
      <c r="N8342" s="143">
        <f ca="1">(PRODUCT($O$5:$O8342)-1)*36000/_xlfn.DAYS(L8342, $C$2)</f>
        <v>15.317235175337657</v>
      </c>
      <c r="O8342" s="149">
        <f t="shared" ca="1" si="272"/>
        <v>1.000173611111111</v>
      </c>
    </row>
    <row r="8343" spans="12:15" x14ac:dyDescent="0.25">
      <c r="L8343" s="147">
        <f ca="1"/>
        <v>53582</v>
      </c>
      <c r="M8343" s="92">
        <f t="shared" ca="1" si="271"/>
        <v>6.25</v>
      </c>
      <c r="N8343" s="143">
        <f ca="1">(PRODUCT($O$5:$O8343)-1)*36000/_xlfn.DAYS(L8343, $C$2)</f>
        <v>15.318806769825944</v>
      </c>
      <c r="O8343" s="149">
        <f t="shared" ca="1" si="272"/>
        <v>1.000173611111111</v>
      </c>
    </row>
    <row r="8344" spans="12:15" x14ac:dyDescent="0.25">
      <c r="L8344" s="147">
        <f ca="1"/>
        <v>53583</v>
      </c>
      <c r="M8344" s="92">
        <f t="shared" ca="1" si="271"/>
        <v>6.25</v>
      </c>
      <c r="N8344" s="143">
        <f ca="1">(PRODUCT($O$5:$O8344)-1)*36000/_xlfn.DAYS(L8344, $C$2)</f>
        <v>15.320378579100593</v>
      </c>
      <c r="O8344" s="149">
        <f t="shared" ca="1" si="272"/>
        <v>1.000173611111111</v>
      </c>
    </row>
    <row r="8345" spans="12:15" x14ac:dyDescent="0.25">
      <c r="L8345" s="147">
        <f ca="1"/>
        <v>53584</v>
      </c>
      <c r="M8345" s="92">
        <f t="shared" ca="1" si="271"/>
        <v>6.25</v>
      </c>
      <c r="N8345" s="143">
        <f ca="1">(PRODUCT($O$5:$O8345)-1)*36000/_xlfn.DAYS(L8345, $C$2)</f>
        <v>15.321950603187062</v>
      </c>
      <c r="O8345" s="149">
        <f t="shared" ca="1" si="272"/>
        <v>1.000173611111111</v>
      </c>
    </row>
    <row r="8346" spans="12:15" x14ac:dyDescent="0.25">
      <c r="L8346" s="147">
        <f ca="1"/>
        <v>53585</v>
      </c>
      <c r="M8346" s="92">
        <f t="shared" ca="1" si="271"/>
        <v>6.25</v>
      </c>
      <c r="N8346" s="143">
        <f ca="1">(PRODUCT($O$5:$O8346)-1)*36000/_xlfn.DAYS(L8346, $C$2)</f>
        <v>15.323522842110801</v>
      </c>
      <c r="O8346" s="149">
        <f t="shared" ca="1" si="272"/>
        <v>1.000173611111111</v>
      </c>
    </row>
    <row r="8347" spans="12:15" x14ac:dyDescent="0.25">
      <c r="L8347" s="147">
        <f ca="1"/>
        <v>53586</v>
      </c>
      <c r="M8347" s="92">
        <f t="shared" ca="1" si="271"/>
        <v>6.25</v>
      </c>
      <c r="N8347" s="143">
        <f ca="1">(PRODUCT($O$5:$O8347)-1)*36000/_xlfn.DAYS(L8347, $C$2)</f>
        <v>15.325095295897292</v>
      </c>
      <c r="O8347" s="149">
        <f t="shared" ca="1" si="272"/>
        <v>1.000173611111111</v>
      </c>
    </row>
    <row r="8348" spans="12:15" x14ac:dyDescent="0.25">
      <c r="L8348" s="147">
        <f ca="1"/>
        <v>53587</v>
      </c>
      <c r="M8348" s="92">
        <f t="shared" ca="1" si="271"/>
        <v>6.25</v>
      </c>
      <c r="N8348" s="143">
        <f ca="1">(PRODUCT($O$5:$O8348)-1)*36000/_xlfn.DAYS(L8348, $C$2)</f>
        <v>15.326667964571998</v>
      </c>
      <c r="O8348" s="149">
        <f t="shared" ca="1" si="272"/>
        <v>1.000173611111111</v>
      </c>
    </row>
    <row r="8349" spans="12:15" x14ac:dyDescent="0.25">
      <c r="L8349" s="147">
        <f ca="1"/>
        <v>53588</v>
      </c>
      <c r="M8349" s="92">
        <f t="shared" ca="1" si="271"/>
        <v>6.25</v>
      </c>
      <c r="N8349" s="143">
        <f ca="1">(PRODUCT($O$5:$O8349)-1)*36000/_xlfn.DAYS(L8349, $C$2)</f>
        <v>15.3282408481604</v>
      </c>
      <c r="O8349" s="149">
        <f t="shared" ca="1" si="272"/>
        <v>1.000173611111111</v>
      </c>
    </row>
    <row r="8350" spans="12:15" x14ac:dyDescent="0.25">
      <c r="L8350" s="147">
        <f ca="1"/>
        <v>53589</v>
      </c>
      <c r="M8350" s="92">
        <f t="shared" ca="1" si="271"/>
        <v>6.25</v>
      </c>
      <c r="N8350" s="143">
        <f ca="1">(PRODUCT($O$5:$O8350)-1)*36000/_xlfn.DAYS(L8350, $C$2)</f>
        <v>15.329813946687979</v>
      </c>
      <c r="O8350" s="149">
        <f t="shared" ca="1" si="272"/>
        <v>1.000173611111111</v>
      </c>
    </row>
    <row r="8351" spans="12:15" x14ac:dyDescent="0.25">
      <c r="L8351" s="147">
        <f ca="1"/>
        <v>53590</v>
      </c>
      <c r="M8351" s="92">
        <f t="shared" ca="1" si="271"/>
        <v>6.25</v>
      </c>
      <c r="N8351" s="143">
        <f ca="1">(PRODUCT($O$5:$O8351)-1)*36000/_xlfn.DAYS(L8351, $C$2)</f>
        <v>15.331387260180229</v>
      </c>
      <c r="O8351" s="149">
        <f t="shared" ca="1" si="272"/>
        <v>1.000173611111111</v>
      </c>
    </row>
    <row r="8352" spans="12:15" x14ac:dyDescent="0.25">
      <c r="L8352" s="147">
        <f ca="1"/>
        <v>53591</v>
      </c>
      <c r="M8352" s="92">
        <f t="shared" ca="1" si="271"/>
        <v>6.25</v>
      </c>
      <c r="N8352" s="143">
        <f ca="1">(PRODUCT($O$5:$O8352)-1)*36000/_xlfn.DAYS(L8352, $C$2)</f>
        <v>15.332960788662643</v>
      </c>
      <c r="O8352" s="149">
        <f t="shared" ca="1" si="272"/>
        <v>1.000173611111111</v>
      </c>
    </row>
    <row r="8353" spans="12:15" x14ac:dyDescent="0.25">
      <c r="L8353" s="147">
        <f ca="1"/>
        <v>53592</v>
      </c>
      <c r="M8353" s="92">
        <f t="shared" ca="1" si="271"/>
        <v>6.25</v>
      </c>
      <c r="N8353" s="143">
        <f ca="1">(PRODUCT($O$5:$O8353)-1)*36000/_xlfn.DAYS(L8353, $C$2)</f>
        <v>15.334534532160719</v>
      </c>
      <c r="O8353" s="149">
        <f t="shared" ca="1" si="272"/>
        <v>1.000173611111111</v>
      </c>
    </row>
    <row r="8354" spans="12:15" x14ac:dyDescent="0.25">
      <c r="L8354" s="147">
        <f ca="1"/>
        <v>53593</v>
      </c>
      <c r="M8354" s="92">
        <f t="shared" ca="1" si="271"/>
        <v>6.25</v>
      </c>
      <c r="N8354" s="143">
        <f ca="1">(PRODUCT($O$5:$O8354)-1)*36000/_xlfn.DAYS(L8354, $C$2)</f>
        <v>15.336108490699967</v>
      </c>
      <c r="O8354" s="149">
        <f t="shared" ca="1" si="272"/>
        <v>1.000173611111111</v>
      </c>
    </row>
    <row r="8355" spans="12:15" x14ac:dyDescent="0.25">
      <c r="L8355" s="147">
        <f ca="1"/>
        <v>53594</v>
      </c>
      <c r="M8355" s="92">
        <f t="shared" ca="1" si="271"/>
        <v>6.25</v>
      </c>
      <c r="N8355" s="143">
        <f ca="1">(PRODUCT($O$5:$O8355)-1)*36000/_xlfn.DAYS(L8355, $C$2)</f>
        <v>15.337682664305898</v>
      </c>
      <c r="O8355" s="149">
        <f t="shared" ca="1" si="272"/>
        <v>1.000173611111111</v>
      </c>
    </row>
    <row r="8356" spans="12:15" x14ac:dyDescent="0.25">
      <c r="L8356" s="147">
        <f ca="1"/>
        <v>53595</v>
      </c>
      <c r="M8356" s="92">
        <f t="shared" ca="1" si="271"/>
        <v>6.25</v>
      </c>
      <c r="N8356" s="143">
        <f ca="1">(PRODUCT($O$5:$O8356)-1)*36000/_xlfn.DAYS(L8356, $C$2)</f>
        <v>15.33925705300403</v>
      </c>
      <c r="O8356" s="149">
        <f t="shared" ca="1" si="272"/>
        <v>1.000173611111111</v>
      </c>
    </row>
    <row r="8357" spans="12:15" x14ac:dyDescent="0.25">
      <c r="L8357" s="147">
        <f ca="1"/>
        <v>53596</v>
      </c>
      <c r="M8357" s="92">
        <f t="shared" ca="1" si="271"/>
        <v>6.25</v>
      </c>
      <c r="N8357" s="143">
        <f ca="1">(PRODUCT($O$5:$O8357)-1)*36000/_xlfn.DAYS(L8357, $C$2)</f>
        <v>15.340831656819885</v>
      </c>
      <c r="O8357" s="149">
        <f t="shared" ca="1" si="272"/>
        <v>1.000173611111111</v>
      </c>
    </row>
    <row r="8358" spans="12:15" x14ac:dyDescent="0.25">
      <c r="L8358" s="147">
        <f ca="1"/>
        <v>53597</v>
      </c>
      <c r="M8358" s="92">
        <f t="shared" ca="1" si="271"/>
        <v>6.25</v>
      </c>
      <c r="N8358" s="143">
        <f ca="1">(PRODUCT($O$5:$O8358)-1)*36000/_xlfn.DAYS(L8358, $C$2)</f>
        <v>15.342406475778992</v>
      </c>
      <c r="O8358" s="149">
        <f t="shared" ca="1" si="272"/>
        <v>1.000173611111111</v>
      </c>
    </row>
    <row r="8359" spans="12:15" x14ac:dyDescent="0.25">
      <c r="L8359" s="147">
        <f ca="1"/>
        <v>53598</v>
      </c>
      <c r="M8359" s="92">
        <f t="shared" ca="1" si="271"/>
        <v>6.25</v>
      </c>
      <c r="N8359" s="143">
        <f ca="1">(PRODUCT($O$5:$O8359)-1)*36000/_xlfn.DAYS(L8359, $C$2)</f>
        <v>15.343981509906886</v>
      </c>
      <c r="O8359" s="149">
        <f t="shared" ca="1" si="272"/>
        <v>1.000173611111111</v>
      </c>
    </row>
    <row r="8360" spans="12:15" x14ac:dyDescent="0.25">
      <c r="L8360" s="147">
        <f ca="1"/>
        <v>53599</v>
      </c>
      <c r="M8360" s="92">
        <f t="shared" ca="1" si="271"/>
        <v>6.25</v>
      </c>
      <c r="N8360" s="143">
        <f ca="1">(PRODUCT($O$5:$O8360)-1)*36000/_xlfn.DAYS(L8360, $C$2)</f>
        <v>15.345556759229108</v>
      </c>
      <c r="O8360" s="149">
        <f t="shared" ca="1" si="272"/>
        <v>1.000173611111111</v>
      </c>
    </row>
    <row r="8361" spans="12:15" x14ac:dyDescent="0.25">
      <c r="L8361" s="147">
        <f ca="1"/>
        <v>53600</v>
      </c>
      <c r="M8361" s="92">
        <f t="shared" ca="1" si="271"/>
        <v>6.25</v>
      </c>
      <c r="N8361" s="143">
        <f ca="1">(PRODUCT($O$5:$O8361)-1)*36000/_xlfn.DAYS(L8361, $C$2)</f>
        <v>15.347132223771203</v>
      </c>
      <c r="O8361" s="149">
        <f t="shared" ca="1" si="272"/>
        <v>1.000173611111111</v>
      </c>
    </row>
    <row r="8362" spans="12:15" x14ac:dyDescent="0.25">
      <c r="L8362" s="147">
        <f ca="1"/>
        <v>53601</v>
      </c>
      <c r="M8362" s="92">
        <f t="shared" ca="1" si="271"/>
        <v>6.25</v>
      </c>
      <c r="N8362" s="143">
        <f ca="1">(PRODUCT($O$5:$O8362)-1)*36000/_xlfn.DAYS(L8362, $C$2)</f>
        <v>15.348707903558722</v>
      </c>
      <c r="O8362" s="149">
        <f t="shared" ca="1" si="272"/>
        <v>1.000173611111111</v>
      </c>
    </row>
    <row r="8363" spans="12:15" x14ac:dyDescent="0.25">
      <c r="L8363" s="147">
        <f ca="1"/>
        <v>53602</v>
      </c>
      <c r="M8363" s="92">
        <f t="shared" ca="1" si="271"/>
        <v>6.25</v>
      </c>
      <c r="N8363" s="143">
        <f ca="1">(PRODUCT($O$5:$O8363)-1)*36000/_xlfn.DAYS(L8363, $C$2)</f>
        <v>15.350283798617221</v>
      </c>
      <c r="O8363" s="149">
        <f t="shared" ca="1" si="272"/>
        <v>1.000173611111111</v>
      </c>
    </row>
    <row r="8364" spans="12:15" x14ac:dyDescent="0.25">
      <c r="L8364" s="147">
        <f ca="1"/>
        <v>53603</v>
      </c>
      <c r="M8364" s="92">
        <f t="shared" ca="1" si="271"/>
        <v>6.25</v>
      </c>
      <c r="N8364" s="143">
        <f ca="1">(PRODUCT($O$5:$O8364)-1)*36000/_xlfn.DAYS(L8364, $C$2)</f>
        <v>15.35185990897226</v>
      </c>
      <c r="O8364" s="149">
        <f t="shared" ca="1" si="272"/>
        <v>1.000173611111111</v>
      </c>
    </row>
    <row r="8365" spans="12:15" x14ac:dyDescent="0.25">
      <c r="L8365" s="147">
        <f ca="1"/>
        <v>53604</v>
      </c>
      <c r="M8365" s="92">
        <f t="shared" ca="1" si="271"/>
        <v>6.25</v>
      </c>
      <c r="N8365" s="143">
        <f ca="1">(PRODUCT($O$5:$O8365)-1)*36000/_xlfn.DAYS(L8365, $C$2)</f>
        <v>15.353436234649413</v>
      </c>
      <c r="O8365" s="149">
        <f t="shared" ca="1" si="272"/>
        <v>1.000173611111111</v>
      </c>
    </row>
    <row r="8366" spans="12:15" x14ac:dyDescent="0.25">
      <c r="L8366" s="147">
        <f ca="1"/>
        <v>53605</v>
      </c>
      <c r="M8366" s="92">
        <f t="shared" ca="1" si="271"/>
        <v>6.25</v>
      </c>
      <c r="N8366" s="143">
        <f ca="1">(PRODUCT($O$5:$O8366)-1)*36000/_xlfn.DAYS(L8366, $C$2)</f>
        <v>15.35501277567425</v>
      </c>
      <c r="O8366" s="149">
        <f t="shared" ca="1" si="272"/>
        <v>1.000173611111111</v>
      </c>
    </row>
    <row r="8367" spans="12:15" x14ac:dyDescent="0.25">
      <c r="L8367" s="147">
        <f ca="1"/>
        <v>53606</v>
      </c>
      <c r="M8367" s="92">
        <f t="shared" ca="1" si="271"/>
        <v>6.25</v>
      </c>
      <c r="N8367" s="143">
        <f ca="1">(PRODUCT($O$5:$O8367)-1)*36000/_xlfn.DAYS(L8367, $C$2)</f>
        <v>15.356589532072354</v>
      </c>
      <c r="O8367" s="149">
        <f t="shared" ca="1" si="272"/>
        <v>1.000173611111111</v>
      </c>
    </row>
    <row r="8368" spans="12:15" x14ac:dyDescent="0.25">
      <c r="L8368" s="147">
        <f ca="1"/>
        <v>53607</v>
      </c>
      <c r="M8368" s="92">
        <f t="shared" ca="1" si="271"/>
        <v>6.25</v>
      </c>
      <c r="N8368" s="143">
        <f ca="1">(PRODUCT($O$5:$O8368)-1)*36000/_xlfn.DAYS(L8368, $C$2)</f>
        <v>15.358166503869306</v>
      </c>
      <c r="O8368" s="149">
        <f t="shared" ca="1" si="272"/>
        <v>1.000173611111111</v>
      </c>
    </row>
    <row r="8369" spans="12:15" x14ac:dyDescent="0.25">
      <c r="L8369" s="147">
        <f ca="1"/>
        <v>53608</v>
      </c>
      <c r="M8369" s="92">
        <f t="shared" ca="1" si="271"/>
        <v>6.25</v>
      </c>
      <c r="N8369" s="143">
        <f ca="1">(PRODUCT($O$5:$O8369)-1)*36000/_xlfn.DAYS(L8369, $C$2)</f>
        <v>15.359743691090697</v>
      </c>
      <c r="O8369" s="149">
        <f t="shared" ca="1" si="272"/>
        <v>1.000173611111111</v>
      </c>
    </row>
    <row r="8370" spans="12:15" x14ac:dyDescent="0.25">
      <c r="L8370" s="147">
        <f ca="1"/>
        <v>53609</v>
      </c>
      <c r="M8370" s="92">
        <f t="shared" ca="1" si="271"/>
        <v>6.25</v>
      </c>
      <c r="N8370" s="143">
        <f ca="1">(PRODUCT($O$5:$O8370)-1)*36000/_xlfn.DAYS(L8370, $C$2)</f>
        <v>15.361321093762127</v>
      </c>
      <c r="O8370" s="149">
        <f t="shared" ca="1" si="272"/>
        <v>1.000173611111111</v>
      </c>
    </row>
    <row r="8371" spans="12:15" x14ac:dyDescent="0.25">
      <c r="L8371" s="147">
        <f ca="1"/>
        <v>53610</v>
      </c>
      <c r="M8371" s="92">
        <f t="shared" ca="1" si="271"/>
        <v>6.25</v>
      </c>
      <c r="N8371" s="143">
        <f ca="1">(PRODUCT($O$5:$O8371)-1)*36000/_xlfn.DAYS(L8371, $C$2)</f>
        <v>15.362898711909194</v>
      </c>
      <c r="O8371" s="149">
        <f t="shared" ca="1" si="272"/>
        <v>1.000173611111111</v>
      </c>
    </row>
    <row r="8372" spans="12:15" x14ac:dyDescent="0.25">
      <c r="L8372" s="147">
        <f ca="1"/>
        <v>53611</v>
      </c>
      <c r="M8372" s="92">
        <f t="shared" ca="1" si="271"/>
        <v>6.25</v>
      </c>
      <c r="N8372" s="143">
        <f ca="1">(PRODUCT($O$5:$O8372)-1)*36000/_xlfn.DAYS(L8372, $C$2)</f>
        <v>15.364476545557507</v>
      </c>
      <c r="O8372" s="149">
        <f t="shared" ca="1" si="272"/>
        <v>1.000173611111111</v>
      </c>
    </row>
    <row r="8373" spans="12:15" x14ac:dyDescent="0.25">
      <c r="L8373" s="147">
        <f ca="1"/>
        <v>53612</v>
      </c>
      <c r="M8373" s="92">
        <f t="shared" ca="1" si="271"/>
        <v>6.25</v>
      </c>
      <c r="N8373" s="143">
        <f ca="1">(PRODUCT($O$5:$O8373)-1)*36000/_xlfn.DAYS(L8373, $C$2)</f>
        <v>15.366054594732677</v>
      </c>
      <c r="O8373" s="149">
        <f t="shared" ca="1" si="272"/>
        <v>1.000173611111111</v>
      </c>
    </row>
    <row r="8374" spans="12:15" x14ac:dyDescent="0.25">
      <c r="L8374" s="147">
        <f ca="1"/>
        <v>53613</v>
      </c>
      <c r="M8374" s="92">
        <f t="shared" ca="1" si="271"/>
        <v>6.25</v>
      </c>
      <c r="N8374" s="143">
        <f ca="1">(PRODUCT($O$5:$O8374)-1)*36000/_xlfn.DAYS(L8374, $C$2)</f>
        <v>15.367632859460324</v>
      </c>
      <c r="O8374" s="149">
        <f t="shared" ca="1" si="272"/>
        <v>1.000173611111111</v>
      </c>
    </row>
    <row r="8375" spans="12:15" x14ac:dyDescent="0.25">
      <c r="L8375" s="147">
        <f ca="1"/>
        <v>53614</v>
      </c>
      <c r="M8375" s="92">
        <f t="shared" ca="1" si="271"/>
        <v>6.25</v>
      </c>
      <c r="N8375" s="143">
        <f ca="1">(PRODUCT($O$5:$O8375)-1)*36000/_xlfn.DAYS(L8375, $C$2)</f>
        <v>15.369211339766073</v>
      </c>
      <c r="O8375" s="149">
        <f t="shared" ca="1" si="272"/>
        <v>1.000173611111111</v>
      </c>
    </row>
    <row r="8376" spans="12:15" x14ac:dyDescent="0.25">
      <c r="L8376" s="147">
        <f ca="1"/>
        <v>53615</v>
      </c>
      <c r="M8376" s="92">
        <f t="shared" ca="1" si="271"/>
        <v>6.25</v>
      </c>
      <c r="N8376" s="143">
        <f ca="1">(PRODUCT($O$5:$O8376)-1)*36000/_xlfn.DAYS(L8376, $C$2)</f>
        <v>15.370790035675554</v>
      </c>
      <c r="O8376" s="149">
        <f t="shared" ca="1" si="272"/>
        <v>1.000173611111111</v>
      </c>
    </row>
    <row r="8377" spans="12:15" x14ac:dyDescent="0.25">
      <c r="L8377" s="147">
        <f ca="1"/>
        <v>53616</v>
      </c>
      <c r="M8377" s="92">
        <f t="shared" ca="1" si="271"/>
        <v>6.25</v>
      </c>
      <c r="N8377" s="143">
        <f ca="1">(PRODUCT($O$5:$O8377)-1)*36000/_xlfn.DAYS(L8377, $C$2)</f>
        <v>15.372368947214401</v>
      </c>
      <c r="O8377" s="149">
        <f t="shared" ca="1" si="272"/>
        <v>1.000173611111111</v>
      </c>
    </row>
    <row r="8378" spans="12:15" x14ac:dyDescent="0.25">
      <c r="L8378" s="147">
        <f ca="1"/>
        <v>53617</v>
      </c>
      <c r="M8378" s="92">
        <f t="shared" ca="1" si="271"/>
        <v>6.25</v>
      </c>
      <c r="N8378" s="143">
        <f ca="1">(PRODUCT($O$5:$O8378)-1)*36000/_xlfn.DAYS(L8378, $C$2)</f>
        <v>15.373948074408256</v>
      </c>
      <c r="O8378" s="149">
        <f t="shared" ca="1" si="272"/>
        <v>1.000173611111111</v>
      </c>
    </row>
    <row r="8379" spans="12:15" x14ac:dyDescent="0.25">
      <c r="L8379" s="147">
        <f ca="1"/>
        <v>53618</v>
      </c>
      <c r="M8379" s="92">
        <f t="shared" ca="1" si="271"/>
        <v>6.25</v>
      </c>
      <c r="N8379" s="143">
        <f ca="1">(PRODUCT($O$5:$O8379)-1)*36000/_xlfn.DAYS(L8379, $C$2)</f>
        <v>15.375527417282767</v>
      </c>
      <c r="O8379" s="149">
        <f t="shared" ca="1" si="272"/>
        <v>1.000173611111111</v>
      </c>
    </row>
    <row r="8380" spans="12:15" x14ac:dyDescent="0.25">
      <c r="L8380" s="147">
        <f ca="1"/>
        <v>53619</v>
      </c>
      <c r="M8380" s="92">
        <f t="shared" ca="1" si="271"/>
        <v>6.25</v>
      </c>
      <c r="N8380" s="143">
        <f ca="1">(PRODUCT($O$5:$O8380)-1)*36000/_xlfn.DAYS(L8380, $C$2)</f>
        <v>15.377106975863585</v>
      </c>
      <c r="O8380" s="149">
        <f t="shared" ca="1" si="272"/>
        <v>1.000173611111111</v>
      </c>
    </row>
    <row r="8381" spans="12:15" x14ac:dyDescent="0.25">
      <c r="L8381" s="147">
        <f ca="1"/>
        <v>53620</v>
      </c>
      <c r="M8381" s="92">
        <f t="shared" ca="1" si="271"/>
        <v>6.25</v>
      </c>
      <c r="N8381" s="143">
        <f ca="1">(PRODUCT($O$5:$O8381)-1)*36000/_xlfn.DAYS(L8381, $C$2)</f>
        <v>15.378686750176369</v>
      </c>
      <c r="O8381" s="149">
        <f t="shared" ca="1" si="272"/>
        <v>1.000173611111111</v>
      </c>
    </row>
    <row r="8382" spans="12:15" x14ac:dyDescent="0.25">
      <c r="L8382" s="147">
        <f ca="1"/>
        <v>53621</v>
      </c>
      <c r="M8382" s="92">
        <f t="shared" ca="1" si="271"/>
        <v>6.25</v>
      </c>
      <c r="N8382" s="143">
        <f ca="1">(PRODUCT($O$5:$O8382)-1)*36000/_xlfn.DAYS(L8382, $C$2)</f>
        <v>15.380266740246784</v>
      </c>
      <c r="O8382" s="149">
        <f t="shared" ca="1" si="272"/>
        <v>1.000173611111111</v>
      </c>
    </row>
    <row r="8383" spans="12:15" x14ac:dyDescent="0.25">
      <c r="L8383" s="147">
        <f ca="1"/>
        <v>53622</v>
      </c>
      <c r="M8383" s="92">
        <f t="shared" ca="1" si="271"/>
        <v>6.25</v>
      </c>
      <c r="N8383" s="143">
        <f ca="1">(PRODUCT($O$5:$O8383)-1)*36000/_xlfn.DAYS(L8383, $C$2)</f>
        <v>15.381846946100495</v>
      </c>
      <c r="O8383" s="149">
        <f t="shared" ca="1" si="272"/>
        <v>1.000173611111111</v>
      </c>
    </row>
    <row r="8384" spans="12:15" x14ac:dyDescent="0.25">
      <c r="L8384" s="147">
        <f ca="1"/>
        <v>53623</v>
      </c>
      <c r="M8384" s="92">
        <f t="shared" ca="1" si="271"/>
        <v>6.25</v>
      </c>
      <c r="N8384" s="143">
        <f ca="1">(PRODUCT($O$5:$O8384)-1)*36000/_xlfn.DAYS(L8384, $C$2)</f>
        <v>15.383427367763181</v>
      </c>
      <c r="O8384" s="149">
        <f t="shared" ca="1" si="272"/>
        <v>1.000173611111111</v>
      </c>
    </row>
    <row r="8385" spans="12:15" x14ac:dyDescent="0.25">
      <c r="L8385" s="147">
        <f ca="1"/>
        <v>53624</v>
      </c>
      <c r="M8385" s="92">
        <f t="shared" ca="1" si="271"/>
        <v>6.25</v>
      </c>
      <c r="N8385" s="143">
        <f ca="1">(PRODUCT($O$5:$O8385)-1)*36000/_xlfn.DAYS(L8385, $C$2)</f>
        <v>15.385008005260516</v>
      </c>
      <c r="O8385" s="149">
        <f t="shared" ca="1" si="272"/>
        <v>1.000173611111111</v>
      </c>
    </row>
    <row r="8386" spans="12:15" x14ac:dyDescent="0.25">
      <c r="L8386" s="147">
        <f ca="1"/>
        <v>53625</v>
      </c>
      <c r="M8386" s="92">
        <f t="shared" ca="1" si="271"/>
        <v>6.25</v>
      </c>
      <c r="N8386" s="143">
        <f ca="1">(PRODUCT($O$5:$O8386)-1)*36000/_xlfn.DAYS(L8386, $C$2)</f>
        <v>15.386588858618191</v>
      </c>
      <c r="O8386" s="149">
        <f t="shared" ca="1" si="272"/>
        <v>1.000173611111111</v>
      </c>
    </row>
    <row r="8387" spans="12:15" x14ac:dyDescent="0.25">
      <c r="L8387" s="147">
        <f ca="1"/>
        <v>53626</v>
      </c>
      <c r="M8387" s="92">
        <f t="shared" ca="1" si="271"/>
        <v>6.25</v>
      </c>
      <c r="N8387" s="143">
        <f ca="1">(PRODUCT($O$5:$O8387)-1)*36000/_xlfn.DAYS(L8387, $C$2)</f>
        <v>15.388169927861901</v>
      </c>
      <c r="O8387" s="149">
        <f t="shared" ca="1" si="272"/>
        <v>1.000173611111111</v>
      </c>
    </row>
    <row r="8388" spans="12:15" x14ac:dyDescent="0.25">
      <c r="L8388" s="147">
        <f ca="1"/>
        <v>53627</v>
      </c>
      <c r="M8388" s="92">
        <f t="shared" ca="1" si="271"/>
        <v>6.25</v>
      </c>
      <c r="N8388" s="143">
        <f ca="1">(PRODUCT($O$5:$O8388)-1)*36000/_xlfn.DAYS(L8388, $C$2)</f>
        <v>15.389751213017336</v>
      </c>
      <c r="O8388" s="149">
        <f t="shared" ca="1" si="272"/>
        <v>1.000173611111111</v>
      </c>
    </row>
    <row r="8389" spans="12:15" x14ac:dyDescent="0.25">
      <c r="L8389" s="147">
        <f ca="1"/>
        <v>53628</v>
      </c>
      <c r="M8389" s="92">
        <f t="shared" ref="M8389:M8452" ca="1" si="273">IFERROR(INDEX($E$27:$H$47, MATCH(L8389, $F$27:$F$47, 0), 4), IF(ISNUMBER(M8388), M8388, $C$5))</f>
        <v>6.25</v>
      </c>
      <c r="N8389" s="143">
        <f ca="1">(PRODUCT($O$5:$O8389)-1)*36000/_xlfn.DAYS(L8389, $C$2)</f>
        <v>15.391332714110204</v>
      </c>
      <c r="O8389" s="149">
        <f t="shared" ca="1" si="272"/>
        <v>1.000173611111111</v>
      </c>
    </row>
    <row r="8390" spans="12:15" x14ac:dyDescent="0.25">
      <c r="L8390" s="147">
        <f ca="1"/>
        <v>53629</v>
      </c>
      <c r="M8390" s="92">
        <f t="shared" ca="1" si="273"/>
        <v>6.25</v>
      </c>
      <c r="N8390" s="143">
        <f ca="1">(PRODUCT($O$5:$O8390)-1)*36000/_xlfn.DAYS(L8390, $C$2)</f>
        <v>15.392914431166211</v>
      </c>
      <c r="O8390" s="149">
        <f t="shared" ref="O8390:O8453" ca="1" si="274">1+M8390*IFERROR(_xlfn.DAYS(L8390, L8389), _xlfn.DAYS(L8390, $C$2))/36000</f>
        <v>1.000173611111111</v>
      </c>
    </row>
    <row r="8391" spans="12:15" x14ac:dyDescent="0.25">
      <c r="L8391" s="147">
        <f ca="1"/>
        <v>53630</v>
      </c>
      <c r="M8391" s="92">
        <f t="shared" ca="1" si="273"/>
        <v>6.25</v>
      </c>
      <c r="N8391" s="143">
        <f ca="1">(PRODUCT($O$5:$O8391)-1)*36000/_xlfn.DAYS(L8391, $C$2)</f>
        <v>15.394496364211069</v>
      </c>
      <c r="O8391" s="149">
        <f t="shared" ca="1" si="274"/>
        <v>1.000173611111111</v>
      </c>
    </row>
    <row r="8392" spans="12:15" x14ac:dyDescent="0.25">
      <c r="L8392" s="147">
        <f ca="1"/>
        <v>53631</v>
      </c>
      <c r="M8392" s="92">
        <f t="shared" ca="1" si="273"/>
        <v>6.25</v>
      </c>
      <c r="N8392" s="143">
        <f ca="1">(PRODUCT($O$5:$O8392)-1)*36000/_xlfn.DAYS(L8392, $C$2)</f>
        <v>15.396078513270506</v>
      </c>
      <c r="O8392" s="149">
        <f t="shared" ca="1" si="274"/>
        <v>1.000173611111111</v>
      </c>
    </row>
    <row r="8393" spans="12:15" x14ac:dyDescent="0.25">
      <c r="L8393" s="147">
        <f ca="1"/>
        <v>53632</v>
      </c>
      <c r="M8393" s="92">
        <f t="shared" ca="1" si="273"/>
        <v>6.25</v>
      </c>
      <c r="N8393" s="143">
        <f ca="1">(PRODUCT($O$5:$O8393)-1)*36000/_xlfn.DAYS(L8393, $C$2)</f>
        <v>15.397660878370239</v>
      </c>
      <c r="O8393" s="149">
        <f t="shared" ca="1" si="274"/>
        <v>1.000173611111111</v>
      </c>
    </row>
    <row r="8394" spans="12:15" x14ac:dyDescent="0.25">
      <c r="L8394" s="147">
        <f ca="1"/>
        <v>53633</v>
      </c>
      <c r="M8394" s="92">
        <f t="shared" ca="1" si="273"/>
        <v>6.25</v>
      </c>
      <c r="N8394" s="143">
        <f ca="1">(PRODUCT($O$5:$O8394)-1)*36000/_xlfn.DAYS(L8394, $C$2)</f>
        <v>15.399243459535999</v>
      </c>
      <c r="O8394" s="149">
        <f t="shared" ca="1" si="274"/>
        <v>1.000173611111111</v>
      </c>
    </row>
    <row r="8395" spans="12:15" x14ac:dyDescent="0.25">
      <c r="L8395" s="147">
        <f ca="1"/>
        <v>53634</v>
      </c>
      <c r="M8395" s="92">
        <f t="shared" ca="1" si="273"/>
        <v>6.25</v>
      </c>
      <c r="N8395" s="143">
        <f ca="1">(PRODUCT($O$5:$O8395)-1)*36000/_xlfn.DAYS(L8395, $C$2)</f>
        <v>15.400826256793531</v>
      </c>
      <c r="O8395" s="149">
        <f t="shared" ca="1" si="274"/>
        <v>1.000173611111111</v>
      </c>
    </row>
    <row r="8396" spans="12:15" x14ac:dyDescent="0.25">
      <c r="L8396" s="147">
        <f ca="1"/>
        <v>53635</v>
      </c>
      <c r="M8396" s="92">
        <f t="shared" ca="1" si="273"/>
        <v>6.25</v>
      </c>
      <c r="N8396" s="143">
        <f ca="1">(PRODUCT($O$5:$O8396)-1)*36000/_xlfn.DAYS(L8396, $C$2)</f>
        <v>15.402409270168571</v>
      </c>
      <c r="O8396" s="149">
        <f t="shared" ca="1" si="274"/>
        <v>1.000173611111111</v>
      </c>
    </row>
    <row r="8397" spans="12:15" x14ac:dyDescent="0.25">
      <c r="L8397" s="147">
        <f ca="1"/>
        <v>53636</v>
      </c>
      <c r="M8397" s="92">
        <f t="shared" ca="1" si="273"/>
        <v>6.25</v>
      </c>
      <c r="N8397" s="143">
        <f ca="1">(PRODUCT($O$5:$O8397)-1)*36000/_xlfn.DAYS(L8397, $C$2)</f>
        <v>15.403992499686865</v>
      </c>
      <c r="O8397" s="149">
        <f t="shared" ca="1" si="274"/>
        <v>1.000173611111111</v>
      </c>
    </row>
    <row r="8398" spans="12:15" x14ac:dyDescent="0.25">
      <c r="L8398" s="147">
        <f ca="1"/>
        <v>53637</v>
      </c>
      <c r="M8398" s="92">
        <f t="shared" ca="1" si="273"/>
        <v>6.25</v>
      </c>
      <c r="N8398" s="143">
        <f ca="1">(PRODUCT($O$5:$O8398)-1)*36000/_xlfn.DAYS(L8398, $C$2)</f>
        <v>15.405575945374169</v>
      </c>
      <c r="O8398" s="149">
        <f t="shared" ca="1" si="274"/>
        <v>1.000173611111111</v>
      </c>
    </row>
    <row r="8399" spans="12:15" x14ac:dyDescent="0.25">
      <c r="L8399" s="147">
        <f ca="1"/>
        <v>53638</v>
      </c>
      <c r="M8399" s="92">
        <f t="shared" ca="1" si="273"/>
        <v>6.25</v>
      </c>
      <c r="N8399" s="143">
        <f ca="1">(PRODUCT($O$5:$O8399)-1)*36000/_xlfn.DAYS(L8399, $C$2)</f>
        <v>15.407159607256244</v>
      </c>
      <c r="O8399" s="149">
        <f t="shared" ca="1" si="274"/>
        <v>1.000173611111111</v>
      </c>
    </row>
    <row r="8400" spans="12:15" x14ac:dyDescent="0.25">
      <c r="L8400" s="147">
        <f ca="1"/>
        <v>53639</v>
      </c>
      <c r="M8400" s="92">
        <f t="shared" ca="1" si="273"/>
        <v>6.25</v>
      </c>
      <c r="N8400" s="143">
        <f ca="1">(PRODUCT($O$5:$O8400)-1)*36000/_xlfn.DAYS(L8400, $C$2)</f>
        <v>15.408743485358849</v>
      </c>
      <c r="O8400" s="149">
        <f t="shared" ca="1" si="274"/>
        <v>1.000173611111111</v>
      </c>
    </row>
    <row r="8401" spans="12:15" x14ac:dyDescent="0.25">
      <c r="L8401" s="147">
        <f ca="1"/>
        <v>53640</v>
      </c>
      <c r="M8401" s="92">
        <f t="shared" ca="1" si="273"/>
        <v>6.25</v>
      </c>
      <c r="N8401" s="143">
        <f ca="1">(PRODUCT($O$5:$O8401)-1)*36000/_xlfn.DAYS(L8401, $C$2)</f>
        <v>15.410327579707761</v>
      </c>
      <c r="O8401" s="149">
        <f t="shared" ca="1" si="274"/>
        <v>1.000173611111111</v>
      </c>
    </row>
    <row r="8402" spans="12:15" x14ac:dyDescent="0.25">
      <c r="L8402" s="147">
        <f ca="1"/>
        <v>53641</v>
      </c>
      <c r="M8402" s="92">
        <f t="shared" ca="1" si="273"/>
        <v>6.25</v>
      </c>
      <c r="N8402" s="143">
        <f ca="1">(PRODUCT($O$5:$O8402)-1)*36000/_xlfn.DAYS(L8402, $C$2)</f>
        <v>15.411911890328751</v>
      </c>
      <c r="O8402" s="149">
        <f t="shared" ca="1" si="274"/>
        <v>1.000173611111111</v>
      </c>
    </row>
    <row r="8403" spans="12:15" x14ac:dyDescent="0.25">
      <c r="L8403" s="147">
        <f ca="1"/>
        <v>53642</v>
      </c>
      <c r="M8403" s="92">
        <f t="shared" ca="1" si="273"/>
        <v>6.25</v>
      </c>
      <c r="N8403" s="143">
        <f ca="1">(PRODUCT($O$5:$O8403)-1)*36000/_xlfn.DAYS(L8403, $C$2)</f>
        <v>15.413496417247602</v>
      </c>
      <c r="O8403" s="149">
        <f t="shared" ca="1" si="274"/>
        <v>1.000173611111111</v>
      </c>
    </row>
    <row r="8404" spans="12:15" x14ac:dyDescent="0.25">
      <c r="L8404" s="147">
        <f ca="1"/>
        <v>53643</v>
      </c>
      <c r="M8404" s="92">
        <f t="shared" ca="1" si="273"/>
        <v>6.25</v>
      </c>
      <c r="N8404" s="143">
        <f ca="1">(PRODUCT($O$5:$O8404)-1)*36000/_xlfn.DAYS(L8404, $C$2)</f>
        <v>15.415081160490097</v>
      </c>
      <c r="O8404" s="149">
        <f t="shared" ca="1" si="274"/>
        <v>1.000173611111111</v>
      </c>
    </row>
    <row r="8405" spans="12:15" x14ac:dyDescent="0.25">
      <c r="L8405" s="147">
        <f ca="1"/>
        <v>53644</v>
      </c>
      <c r="M8405" s="92">
        <f t="shared" ca="1" si="273"/>
        <v>6.25</v>
      </c>
      <c r="N8405" s="143">
        <f ca="1">(PRODUCT($O$5:$O8405)-1)*36000/_xlfn.DAYS(L8405, $C$2)</f>
        <v>15.416666120082036</v>
      </c>
      <c r="O8405" s="149">
        <f t="shared" ca="1" si="274"/>
        <v>1.000173611111111</v>
      </c>
    </row>
    <row r="8406" spans="12:15" x14ac:dyDescent="0.25">
      <c r="L8406" s="147">
        <f ca="1"/>
        <v>53645</v>
      </c>
      <c r="M8406" s="92">
        <f t="shared" ca="1" si="273"/>
        <v>6.25</v>
      </c>
      <c r="N8406" s="143">
        <f ca="1">(PRODUCT($O$5:$O8406)-1)*36000/_xlfn.DAYS(L8406, $C$2)</f>
        <v>15.418251296049212</v>
      </c>
      <c r="O8406" s="149">
        <f t="shared" ca="1" si="274"/>
        <v>1.000173611111111</v>
      </c>
    </row>
    <row r="8407" spans="12:15" x14ac:dyDescent="0.25">
      <c r="L8407" s="147">
        <f ca="1"/>
        <v>53646</v>
      </c>
      <c r="M8407" s="92">
        <f t="shared" ca="1" si="273"/>
        <v>6.25</v>
      </c>
      <c r="N8407" s="143">
        <f ca="1">(PRODUCT($O$5:$O8407)-1)*36000/_xlfn.DAYS(L8407, $C$2)</f>
        <v>15.419836688417435</v>
      </c>
      <c r="O8407" s="149">
        <f t="shared" ca="1" si="274"/>
        <v>1.000173611111111</v>
      </c>
    </row>
    <row r="8408" spans="12:15" x14ac:dyDescent="0.25">
      <c r="L8408" s="147">
        <f ca="1"/>
        <v>53647</v>
      </c>
      <c r="M8408" s="92">
        <f t="shared" ca="1" si="273"/>
        <v>6.25</v>
      </c>
      <c r="N8408" s="143">
        <f ca="1">(PRODUCT($O$5:$O8408)-1)*36000/_xlfn.DAYS(L8408, $C$2)</f>
        <v>15.421422297212509</v>
      </c>
      <c r="O8408" s="149">
        <f t="shared" ca="1" si="274"/>
        <v>1.000173611111111</v>
      </c>
    </row>
    <row r="8409" spans="12:15" x14ac:dyDescent="0.25">
      <c r="L8409" s="147">
        <f ca="1"/>
        <v>53648</v>
      </c>
      <c r="M8409" s="92">
        <f t="shared" ca="1" si="273"/>
        <v>6.25</v>
      </c>
      <c r="N8409" s="143">
        <f ca="1">(PRODUCT($O$5:$O8409)-1)*36000/_xlfn.DAYS(L8409, $C$2)</f>
        <v>15.423008122460249</v>
      </c>
      <c r="O8409" s="149">
        <f t="shared" ca="1" si="274"/>
        <v>1.000173611111111</v>
      </c>
    </row>
    <row r="8410" spans="12:15" x14ac:dyDescent="0.25">
      <c r="L8410" s="147">
        <f ca="1"/>
        <v>53649</v>
      </c>
      <c r="M8410" s="92">
        <f t="shared" ca="1" si="273"/>
        <v>6.25</v>
      </c>
      <c r="N8410" s="143">
        <f ca="1">(PRODUCT($O$5:$O8410)-1)*36000/_xlfn.DAYS(L8410, $C$2)</f>
        <v>15.424594164186475</v>
      </c>
      <c r="O8410" s="149">
        <f t="shared" ca="1" si="274"/>
        <v>1.000173611111111</v>
      </c>
    </row>
    <row r="8411" spans="12:15" x14ac:dyDescent="0.25">
      <c r="L8411" s="147">
        <f ca="1"/>
        <v>53650</v>
      </c>
      <c r="M8411" s="92">
        <f t="shared" ca="1" si="273"/>
        <v>6.25</v>
      </c>
      <c r="N8411" s="143">
        <f ca="1">(PRODUCT($O$5:$O8411)-1)*36000/_xlfn.DAYS(L8411, $C$2)</f>
        <v>15.426180422417016</v>
      </c>
      <c r="O8411" s="149">
        <f t="shared" ca="1" si="274"/>
        <v>1.000173611111111</v>
      </c>
    </row>
    <row r="8412" spans="12:15" x14ac:dyDescent="0.25">
      <c r="L8412" s="147">
        <f ca="1"/>
        <v>53651</v>
      </c>
      <c r="M8412" s="92">
        <f t="shared" ca="1" si="273"/>
        <v>6.25</v>
      </c>
      <c r="N8412" s="143">
        <f ca="1">(PRODUCT($O$5:$O8412)-1)*36000/_xlfn.DAYS(L8412, $C$2)</f>
        <v>15.427766897177701</v>
      </c>
      <c r="O8412" s="149">
        <f t="shared" ca="1" si="274"/>
        <v>1.000173611111111</v>
      </c>
    </row>
    <row r="8413" spans="12:15" x14ac:dyDescent="0.25">
      <c r="L8413" s="147">
        <f ca="1"/>
        <v>53652</v>
      </c>
      <c r="M8413" s="92">
        <f t="shared" ca="1" si="273"/>
        <v>6.25</v>
      </c>
      <c r="N8413" s="143">
        <f ca="1">(PRODUCT($O$5:$O8413)-1)*36000/_xlfn.DAYS(L8413, $C$2)</f>
        <v>15.429353588494372</v>
      </c>
      <c r="O8413" s="149">
        <f t="shared" ca="1" si="274"/>
        <v>1.000173611111111</v>
      </c>
    </row>
    <row r="8414" spans="12:15" x14ac:dyDescent="0.25">
      <c r="L8414" s="147">
        <f ca="1"/>
        <v>53653</v>
      </c>
      <c r="M8414" s="92">
        <f t="shared" ca="1" si="273"/>
        <v>6.25</v>
      </c>
      <c r="N8414" s="143">
        <f ca="1">(PRODUCT($O$5:$O8414)-1)*36000/_xlfn.DAYS(L8414, $C$2)</f>
        <v>15.43094049639287</v>
      </c>
      <c r="O8414" s="149">
        <f t="shared" ca="1" si="274"/>
        <v>1.000173611111111</v>
      </c>
    </row>
    <row r="8415" spans="12:15" x14ac:dyDescent="0.25">
      <c r="L8415" s="147">
        <f ca="1"/>
        <v>53654</v>
      </c>
      <c r="M8415" s="92">
        <f t="shared" ca="1" si="273"/>
        <v>6.25</v>
      </c>
      <c r="N8415" s="143">
        <f ca="1">(PRODUCT($O$5:$O8415)-1)*36000/_xlfn.DAYS(L8415, $C$2)</f>
        <v>15.432527620899043</v>
      </c>
      <c r="O8415" s="149">
        <f t="shared" ca="1" si="274"/>
        <v>1.000173611111111</v>
      </c>
    </row>
    <row r="8416" spans="12:15" x14ac:dyDescent="0.25">
      <c r="L8416" s="147">
        <f ca="1"/>
        <v>53655</v>
      </c>
      <c r="M8416" s="92">
        <f t="shared" ca="1" si="273"/>
        <v>6.25</v>
      </c>
      <c r="N8416" s="143">
        <f ca="1">(PRODUCT($O$5:$O8416)-1)*36000/_xlfn.DAYS(L8416, $C$2)</f>
        <v>15.434114962038745</v>
      </c>
      <c r="O8416" s="149">
        <f t="shared" ca="1" si="274"/>
        <v>1.000173611111111</v>
      </c>
    </row>
    <row r="8417" spans="12:15" x14ac:dyDescent="0.25">
      <c r="L8417" s="147">
        <f ca="1"/>
        <v>53656</v>
      </c>
      <c r="M8417" s="92">
        <f t="shared" ca="1" si="273"/>
        <v>6.25</v>
      </c>
      <c r="N8417" s="143">
        <f ca="1">(PRODUCT($O$5:$O8417)-1)*36000/_xlfn.DAYS(L8417, $C$2)</f>
        <v>15.435702519837838</v>
      </c>
      <c r="O8417" s="149">
        <f t="shared" ca="1" si="274"/>
        <v>1.000173611111111</v>
      </c>
    </row>
    <row r="8418" spans="12:15" x14ac:dyDescent="0.25">
      <c r="L8418" s="147">
        <f ca="1"/>
        <v>53657</v>
      </c>
      <c r="M8418" s="92">
        <f t="shared" ca="1" si="273"/>
        <v>6.25</v>
      </c>
      <c r="N8418" s="143">
        <f ca="1">(PRODUCT($O$5:$O8418)-1)*36000/_xlfn.DAYS(L8418, $C$2)</f>
        <v>15.437290294322185</v>
      </c>
      <c r="O8418" s="149">
        <f t="shared" ca="1" si="274"/>
        <v>1.000173611111111</v>
      </c>
    </row>
    <row r="8419" spans="12:15" x14ac:dyDescent="0.25">
      <c r="L8419" s="147">
        <f ca="1"/>
        <v>53658</v>
      </c>
      <c r="M8419" s="92">
        <f t="shared" ca="1" si="273"/>
        <v>6.25</v>
      </c>
      <c r="N8419" s="143">
        <f ca="1">(PRODUCT($O$5:$O8419)-1)*36000/_xlfn.DAYS(L8419, $C$2)</f>
        <v>15.43887828551766</v>
      </c>
      <c r="O8419" s="149">
        <f t="shared" ca="1" si="274"/>
        <v>1.000173611111111</v>
      </c>
    </row>
    <row r="8420" spans="12:15" x14ac:dyDescent="0.25">
      <c r="L8420" s="147">
        <f ca="1"/>
        <v>53659</v>
      </c>
      <c r="M8420" s="92">
        <f t="shared" ca="1" si="273"/>
        <v>6.25</v>
      </c>
      <c r="N8420" s="143">
        <f ca="1">(PRODUCT($O$5:$O8420)-1)*36000/_xlfn.DAYS(L8420, $C$2)</f>
        <v>15.440466493450135</v>
      </c>
      <c r="O8420" s="149">
        <f t="shared" ca="1" si="274"/>
        <v>1.000173611111111</v>
      </c>
    </row>
    <row r="8421" spans="12:15" x14ac:dyDescent="0.25">
      <c r="L8421" s="147">
        <f ca="1"/>
        <v>53660</v>
      </c>
      <c r="M8421" s="92">
        <f t="shared" ca="1" si="273"/>
        <v>6.25</v>
      </c>
      <c r="N8421" s="143">
        <f ca="1">(PRODUCT($O$5:$O8421)-1)*36000/_xlfn.DAYS(L8421, $C$2)</f>
        <v>15.442054918145494</v>
      </c>
      <c r="O8421" s="149">
        <f t="shared" ca="1" si="274"/>
        <v>1.000173611111111</v>
      </c>
    </row>
    <row r="8422" spans="12:15" x14ac:dyDescent="0.25">
      <c r="L8422" s="147">
        <f ca="1"/>
        <v>53661</v>
      </c>
      <c r="M8422" s="92">
        <f t="shared" ca="1" si="273"/>
        <v>6.25</v>
      </c>
      <c r="N8422" s="143">
        <f ca="1">(PRODUCT($O$5:$O8422)-1)*36000/_xlfn.DAYS(L8422, $C$2)</f>
        <v>15.443643559629628</v>
      </c>
      <c r="O8422" s="149">
        <f t="shared" ca="1" si="274"/>
        <v>1.000173611111111</v>
      </c>
    </row>
    <row r="8423" spans="12:15" x14ac:dyDescent="0.25">
      <c r="L8423" s="147">
        <f ca="1"/>
        <v>53662</v>
      </c>
      <c r="M8423" s="92">
        <f t="shared" ca="1" si="273"/>
        <v>6.25</v>
      </c>
      <c r="N8423" s="143">
        <f ca="1">(PRODUCT($O$5:$O8423)-1)*36000/_xlfn.DAYS(L8423, $C$2)</f>
        <v>15.445232417928429</v>
      </c>
      <c r="O8423" s="149">
        <f t="shared" ca="1" si="274"/>
        <v>1.000173611111111</v>
      </c>
    </row>
    <row r="8424" spans="12:15" x14ac:dyDescent="0.25">
      <c r="L8424" s="147">
        <f ca="1"/>
        <v>53663</v>
      </c>
      <c r="M8424" s="92">
        <f t="shared" ca="1" si="273"/>
        <v>6.25</v>
      </c>
      <c r="N8424" s="143">
        <f ca="1">(PRODUCT($O$5:$O8424)-1)*36000/_xlfn.DAYS(L8424, $C$2)</f>
        <v>15.446821493067795</v>
      </c>
      <c r="O8424" s="149">
        <f t="shared" ca="1" si="274"/>
        <v>1.000173611111111</v>
      </c>
    </row>
    <row r="8425" spans="12:15" x14ac:dyDescent="0.25">
      <c r="L8425" s="147">
        <f ca="1"/>
        <v>53664</v>
      </c>
      <c r="M8425" s="92">
        <f t="shared" ca="1" si="273"/>
        <v>6.25</v>
      </c>
      <c r="N8425" s="143">
        <f ca="1">(PRODUCT($O$5:$O8425)-1)*36000/_xlfn.DAYS(L8425, $C$2)</f>
        <v>15.448410785073632</v>
      </c>
      <c r="O8425" s="149">
        <f t="shared" ca="1" si="274"/>
        <v>1.000173611111111</v>
      </c>
    </row>
    <row r="8426" spans="12:15" x14ac:dyDescent="0.25">
      <c r="L8426" s="147">
        <f ca="1"/>
        <v>53665</v>
      </c>
      <c r="M8426" s="92">
        <f t="shared" ca="1" si="273"/>
        <v>6.25</v>
      </c>
      <c r="N8426" s="143">
        <f ca="1">(PRODUCT($O$5:$O8426)-1)*36000/_xlfn.DAYS(L8426, $C$2)</f>
        <v>15.450000293971852</v>
      </c>
      <c r="O8426" s="149">
        <f t="shared" ca="1" si="274"/>
        <v>1.000173611111111</v>
      </c>
    </row>
    <row r="8427" spans="12:15" x14ac:dyDescent="0.25">
      <c r="L8427" s="147">
        <f ca="1"/>
        <v>53666</v>
      </c>
      <c r="M8427" s="92">
        <f t="shared" ca="1" si="273"/>
        <v>6.25</v>
      </c>
      <c r="N8427" s="143">
        <f ca="1">(PRODUCT($O$5:$O8427)-1)*36000/_xlfn.DAYS(L8427, $C$2)</f>
        <v>15.45159001978837</v>
      </c>
      <c r="O8427" s="149">
        <f t="shared" ca="1" si="274"/>
        <v>1.000173611111111</v>
      </c>
    </row>
    <row r="8428" spans="12:15" x14ac:dyDescent="0.25">
      <c r="L8428" s="147">
        <f ca="1"/>
        <v>53667</v>
      </c>
      <c r="M8428" s="92">
        <f t="shared" ca="1" si="273"/>
        <v>6.25</v>
      </c>
      <c r="N8428" s="143">
        <f ca="1">(PRODUCT($O$5:$O8428)-1)*36000/_xlfn.DAYS(L8428, $C$2)</f>
        <v>15.453179962549106</v>
      </c>
      <c r="O8428" s="149">
        <f t="shared" ca="1" si="274"/>
        <v>1.000173611111111</v>
      </c>
    </row>
    <row r="8429" spans="12:15" x14ac:dyDescent="0.25">
      <c r="L8429" s="147">
        <f ca="1"/>
        <v>53668</v>
      </c>
      <c r="M8429" s="92">
        <f t="shared" ca="1" si="273"/>
        <v>6.25</v>
      </c>
      <c r="N8429" s="143">
        <f ca="1">(PRODUCT($O$5:$O8429)-1)*36000/_xlfn.DAYS(L8429, $C$2)</f>
        <v>15.454770122279985</v>
      </c>
      <c r="O8429" s="149">
        <f t="shared" ca="1" si="274"/>
        <v>1.000173611111111</v>
      </c>
    </row>
    <row r="8430" spans="12:15" x14ac:dyDescent="0.25">
      <c r="L8430" s="147">
        <f ca="1"/>
        <v>53669</v>
      </c>
      <c r="M8430" s="92">
        <f t="shared" ca="1" si="273"/>
        <v>6.25</v>
      </c>
      <c r="N8430" s="143">
        <f ca="1">(PRODUCT($O$5:$O8430)-1)*36000/_xlfn.DAYS(L8430, $C$2)</f>
        <v>15.456360499006946</v>
      </c>
      <c r="O8430" s="149">
        <f t="shared" ca="1" si="274"/>
        <v>1.000173611111111</v>
      </c>
    </row>
    <row r="8431" spans="12:15" x14ac:dyDescent="0.25">
      <c r="L8431" s="147">
        <f ca="1"/>
        <v>53670</v>
      </c>
      <c r="M8431" s="92">
        <f t="shared" ca="1" si="273"/>
        <v>6.25</v>
      </c>
      <c r="N8431" s="143">
        <f ca="1">(PRODUCT($O$5:$O8431)-1)*36000/_xlfn.DAYS(L8431, $C$2)</f>
        <v>15.457951092755918</v>
      </c>
      <c r="O8431" s="149">
        <f t="shared" ca="1" si="274"/>
        <v>1.000173611111111</v>
      </c>
    </row>
    <row r="8432" spans="12:15" x14ac:dyDescent="0.25">
      <c r="L8432" s="147">
        <f ca="1"/>
        <v>53671</v>
      </c>
      <c r="M8432" s="92">
        <f t="shared" ca="1" si="273"/>
        <v>6.25</v>
      </c>
      <c r="N8432" s="143">
        <f ca="1">(PRODUCT($O$5:$O8432)-1)*36000/_xlfn.DAYS(L8432, $C$2)</f>
        <v>15.459541903552854</v>
      </c>
      <c r="O8432" s="149">
        <f t="shared" ca="1" si="274"/>
        <v>1.000173611111111</v>
      </c>
    </row>
    <row r="8433" spans="12:15" x14ac:dyDescent="0.25">
      <c r="L8433" s="147">
        <f ca="1"/>
        <v>53672</v>
      </c>
      <c r="M8433" s="92">
        <f t="shared" ca="1" si="273"/>
        <v>6.25</v>
      </c>
      <c r="N8433" s="143">
        <f ca="1">(PRODUCT($O$5:$O8433)-1)*36000/_xlfn.DAYS(L8433, $C$2)</f>
        <v>15.461132931423702</v>
      </c>
      <c r="O8433" s="149">
        <f t="shared" ca="1" si="274"/>
        <v>1.000173611111111</v>
      </c>
    </row>
    <row r="8434" spans="12:15" x14ac:dyDescent="0.25">
      <c r="L8434" s="147">
        <f ca="1"/>
        <v>53673</v>
      </c>
      <c r="M8434" s="92">
        <f t="shared" ca="1" si="273"/>
        <v>6.25</v>
      </c>
      <c r="N8434" s="143">
        <f ca="1">(PRODUCT($O$5:$O8434)-1)*36000/_xlfn.DAYS(L8434, $C$2)</f>
        <v>15.462724176394413</v>
      </c>
      <c r="O8434" s="149">
        <f t="shared" ca="1" si="274"/>
        <v>1.000173611111111</v>
      </c>
    </row>
    <row r="8435" spans="12:15" x14ac:dyDescent="0.25">
      <c r="L8435" s="147">
        <f ca="1"/>
        <v>53674</v>
      </c>
      <c r="M8435" s="92">
        <f t="shared" ca="1" si="273"/>
        <v>6.25</v>
      </c>
      <c r="N8435" s="143">
        <f ca="1">(PRODUCT($O$5:$O8435)-1)*36000/_xlfn.DAYS(L8435, $C$2)</f>
        <v>15.464315638490953</v>
      </c>
      <c r="O8435" s="149">
        <f t="shared" ca="1" si="274"/>
        <v>1.000173611111111</v>
      </c>
    </row>
    <row r="8436" spans="12:15" x14ac:dyDescent="0.25">
      <c r="L8436" s="147">
        <f ca="1"/>
        <v>53675</v>
      </c>
      <c r="M8436" s="92">
        <f t="shared" ca="1" si="273"/>
        <v>6.25</v>
      </c>
      <c r="N8436" s="143">
        <f ca="1">(PRODUCT($O$5:$O8436)-1)*36000/_xlfn.DAYS(L8436, $C$2)</f>
        <v>15.465907317739285</v>
      </c>
      <c r="O8436" s="149">
        <f t="shared" ca="1" si="274"/>
        <v>1.000173611111111</v>
      </c>
    </row>
    <row r="8437" spans="12:15" x14ac:dyDescent="0.25">
      <c r="L8437" s="147">
        <f ca="1"/>
        <v>53676</v>
      </c>
      <c r="M8437" s="92">
        <f t="shared" ca="1" si="273"/>
        <v>6.25</v>
      </c>
      <c r="N8437" s="143">
        <f ca="1">(PRODUCT($O$5:$O8437)-1)*36000/_xlfn.DAYS(L8437, $C$2)</f>
        <v>15.467499214165379</v>
      </c>
      <c r="O8437" s="149">
        <f t="shared" ca="1" si="274"/>
        <v>1.000173611111111</v>
      </c>
    </row>
    <row r="8438" spans="12:15" x14ac:dyDescent="0.25">
      <c r="L8438" s="147">
        <f ca="1"/>
        <v>53677</v>
      </c>
      <c r="M8438" s="92">
        <f t="shared" ca="1" si="273"/>
        <v>6.25</v>
      </c>
      <c r="N8438" s="143">
        <f ca="1">(PRODUCT($O$5:$O8438)-1)*36000/_xlfn.DAYS(L8438, $C$2)</f>
        <v>15.469091327795221</v>
      </c>
      <c r="O8438" s="149">
        <f t="shared" ca="1" si="274"/>
        <v>1.000173611111111</v>
      </c>
    </row>
    <row r="8439" spans="12:15" x14ac:dyDescent="0.25">
      <c r="L8439" s="147">
        <f ca="1"/>
        <v>53678</v>
      </c>
      <c r="M8439" s="92">
        <f t="shared" ca="1" si="273"/>
        <v>6.25</v>
      </c>
      <c r="N8439" s="143">
        <f ca="1">(PRODUCT($O$5:$O8439)-1)*36000/_xlfn.DAYS(L8439, $C$2)</f>
        <v>15.470683658654783</v>
      </c>
      <c r="O8439" s="149">
        <f t="shared" ca="1" si="274"/>
        <v>1.000173611111111</v>
      </c>
    </row>
    <row r="8440" spans="12:15" x14ac:dyDescent="0.25">
      <c r="L8440" s="147">
        <f ca="1"/>
        <v>53679</v>
      </c>
      <c r="M8440" s="92">
        <f t="shared" ca="1" si="273"/>
        <v>6.25</v>
      </c>
      <c r="N8440" s="143">
        <f ca="1">(PRODUCT($O$5:$O8440)-1)*36000/_xlfn.DAYS(L8440, $C$2)</f>
        <v>15.472276206770063</v>
      </c>
      <c r="O8440" s="149">
        <f t="shared" ca="1" si="274"/>
        <v>1.000173611111111</v>
      </c>
    </row>
    <row r="8441" spans="12:15" x14ac:dyDescent="0.25">
      <c r="L8441" s="147">
        <f ca="1"/>
        <v>53680</v>
      </c>
      <c r="M8441" s="92">
        <f t="shared" ca="1" si="273"/>
        <v>6.25</v>
      </c>
      <c r="N8441" s="143">
        <f ca="1">(PRODUCT($O$5:$O8441)-1)*36000/_xlfn.DAYS(L8441, $C$2)</f>
        <v>15.47386897216705</v>
      </c>
      <c r="O8441" s="149">
        <f t="shared" ca="1" si="274"/>
        <v>1.000173611111111</v>
      </c>
    </row>
    <row r="8442" spans="12:15" x14ac:dyDescent="0.25">
      <c r="L8442" s="147">
        <f ca="1"/>
        <v>53681</v>
      </c>
      <c r="M8442" s="92">
        <f t="shared" ca="1" si="273"/>
        <v>6.25</v>
      </c>
      <c r="N8442" s="143">
        <f ca="1">(PRODUCT($O$5:$O8442)-1)*36000/_xlfn.DAYS(L8442, $C$2)</f>
        <v>15.475461954871747</v>
      </c>
      <c r="O8442" s="149">
        <f t="shared" ca="1" si="274"/>
        <v>1.000173611111111</v>
      </c>
    </row>
    <row r="8443" spans="12:15" x14ac:dyDescent="0.25">
      <c r="L8443" s="147">
        <f ca="1"/>
        <v>53682</v>
      </c>
      <c r="M8443" s="92">
        <f t="shared" ca="1" si="273"/>
        <v>6.25</v>
      </c>
      <c r="N8443" s="143">
        <f ca="1">(PRODUCT($O$5:$O8443)-1)*36000/_xlfn.DAYS(L8443, $C$2)</f>
        <v>15.477055154910161</v>
      </c>
      <c r="O8443" s="149">
        <f t="shared" ca="1" si="274"/>
        <v>1.000173611111111</v>
      </c>
    </row>
    <row r="8444" spans="12:15" x14ac:dyDescent="0.25">
      <c r="L8444" s="147">
        <f ca="1"/>
        <v>53683</v>
      </c>
      <c r="M8444" s="92">
        <f t="shared" ca="1" si="273"/>
        <v>6.25</v>
      </c>
      <c r="N8444" s="143">
        <f ca="1">(PRODUCT($O$5:$O8444)-1)*36000/_xlfn.DAYS(L8444, $C$2)</f>
        <v>15.478648572308293</v>
      </c>
      <c r="O8444" s="149">
        <f t="shared" ca="1" si="274"/>
        <v>1.000173611111111</v>
      </c>
    </row>
    <row r="8445" spans="12:15" x14ac:dyDescent="0.25">
      <c r="L8445" s="147">
        <f ca="1"/>
        <v>53684</v>
      </c>
      <c r="M8445" s="92">
        <f t="shared" ca="1" si="273"/>
        <v>6.25</v>
      </c>
      <c r="N8445" s="143">
        <f ca="1">(PRODUCT($O$5:$O8445)-1)*36000/_xlfn.DAYS(L8445, $C$2)</f>
        <v>15.48024220709217</v>
      </c>
      <c r="O8445" s="149">
        <f t="shared" ca="1" si="274"/>
        <v>1.000173611111111</v>
      </c>
    </row>
    <row r="8446" spans="12:15" x14ac:dyDescent="0.25">
      <c r="L8446" s="147">
        <f ca="1"/>
        <v>53685</v>
      </c>
      <c r="M8446" s="92">
        <f t="shared" ca="1" si="273"/>
        <v>6.25</v>
      </c>
      <c r="N8446" s="143">
        <f ca="1">(PRODUCT($O$5:$O8446)-1)*36000/_xlfn.DAYS(L8446, $C$2)</f>
        <v>15.481836059287811</v>
      </c>
      <c r="O8446" s="149">
        <f t="shared" ca="1" si="274"/>
        <v>1.000173611111111</v>
      </c>
    </row>
    <row r="8447" spans="12:15" x14ac:dyDescent="0.25">
      <c r="L8447" s="147">
        <f ca="1"/>
        <v>53686</v>
      </c>
      <c r="M8447" s="92">
        <f t="shared" ca="1" si="273"/>
        <v>6.25</v>
      </c>
      <c r="N8447" s="143">
        <f ca="1">(PRODUCT($O$5:$O8447)-1)*36000/_xlfn.DAYS(L8447, $C$2)</f>
        <v>15.483430128921247</v>
      </c>
      <c r="O8447" s="149">
        <f t="shared" ca="1" si="274"/>
        <v>1.000173611111111</v>
      </c>
    </row>
    <row r="8448" spans="12:15" x14ac:dyDescent="0.25">
      <c r="L8448" s="147">
        <f ca="1"/>
        <v>53687</v>
      </c>
      <c r="M8448" s="92">
        <f t="shared" ca="1" si="273"/>
        <v>6.25</v>
      </c>
      <c r="N8448" s="143">
        <f ca="1">(PRODUCT($O$5:$O8448)-1)*36000/_xlfn.DAYS(L8448, $C$2)</f>
        <v>15.485024416018508</v>
      </c>
      <c r="O8448" s="149">
        <f t="shared" ca="1" si="274"/>
        <v>1.000173611111111</v>
      </c>
    </row>
    <row r="8449" spans="12:15" x14ac:dyDescent="0.25">
      <c r="L8449" s="147">
        <f ca="1"/>
        <v>53688</v>
      </c>
      <c r="M8449" s="92">
        <f t="shared" ca="1" si="273"/>
        <v>6.25</v>
      </c>
      <c r="N8449" s="143">
        <f ca="1">(PRODUCT($O$5:$O8449)-1)*36000/_xlfn.DAYS(L8449, $C$2)</f>
        <v>15.486618920605634</v>
      </c>
      <c r="O8449" s="149">
        <f t="shared" ca="1" si="274"/>
        <v>1.000173611111111</v>
      </c>
    </row>
    <row r="8450" spans="12:15" x14ac:dyDescent="0.25">
      <c r="L8450" s="147">
        <f ca="1"/>
        <v>53689</v>
      </c>
      <c r="M8450" s="92">
        <f t="shared" ca="1" si="273"/>
        <v>6.25</v>
      </c>
      <c r="N8450" s="143">
        <f ca="1">(PRODUCT($O$5:$O8450)-1)*36000/_xlfn.DAYS(L8450, $C$2)</f>
        <v>15.488213642708674</v>
      </c>
      <c r="O8450" s="149">
        <f t="shared" ca="1" si="274"/>
        <v>1.000173611111111</v>
      </c>
    </row>
    <row r="8451" spans="12:15" x14ac:dyDescent="0.25">
      <c r="L8451" s="147">
        <f ca="1"/>
        <v>53690</v>
      </c>
      <c r="M8451" s="92">
        <f t="shared" ca="1" si="273"/>
        <v>6.25</v>
      </c>
      <c r="N8451" s="143">
        <f ca="1">(PRODUCT($O$5:$O8451)-1)*36000/_xlfn.DAYS(L8451, $C$2)</f>
        <v>15.489808582353671</v>
      </c>
      <c r="O8451" s="149">
        <f t="shared" ca="1" si="274"/>
        <v>1.000173611111111</v>
      </c>
    </row>
    <row r="8452" spans="12:15" x14ac:dyDescent="0.25">
      <c r="L8452" s="147">
        <f ca="1"/>
        <v>53691</v>
      </c>
      <c r="M8452" s="92">
        <f t="shared" ca="1" si="273"/>
        <v>6.25</v>
      </c>
      <c r="N8452" s="143">
        <f ca="1">(PRODUCT($O$5:$O8452)-1)*36000/_xlfn.DAYS(L8452, $C$2)</f>
        <v>15.491403739566682</v>
      </c>
      <c r="O8452" s="149">
        <f t="shared" ca="1" si="274"/>
        <v>1.000173611111111</v>
      </c>
    </row>
    <row r="8453" spans="12:15" x14ac:dyDescent="0.25">
      <c r="L8453" s="147">
        <f ca="1"/>
        <v>53692</v>
      </c>
      <c r="M8453" s="92">
        <f t="shared" ref="M8453:M8516" ca="1" si="275">IFERROR(INDEX($E$27:$H$47, MATCH(L8453, $F$27:$F$47, 0), 4), IF(ISNUMBER(M8452), M8452, $C$5))</f>
        <v>6.25</v>
      </c>
      <c r="N8453" s="143">
        <f ca="1">(PRODUCT($O$5:$O8453)-1)*36000/_xlfn.DAYS(L8453, $C$2)</f>
        <v>15.492999114373776</v>
      </c>
      <c r="O8453" s="149">
        <f t="shared" ca="1" si="274"/>
        <v>1.000173611111111</v>
      </c>
    </row>
    <row r="8454" spans="12:15" x14ac:dyDescent="0.25">
      <c r="L8454" s="147">
        <f ca="1"/>
        <v>53693</v>
      </c>
      <c r="M8454" s="92">
        <f t="shared" ca="1" si="275"/>
        <v>6.25</v>
      </c>
      <c r="N8454" s="143">
        <f ca="1">(PRODUCT($O$5:$O8454)-1)*36000/_xlfn.DAYS(L8454, $C$2)</f>
        <v>15.494594706801013</v>
      </c>
      <c r="O8454" s="149">
        <f t="shared" ref="O8454:O8517" ca="1" si="276">1+M8454*IFERROR(_xlfn.DAYS(L8454, L8453), _xlfn.DAYS(L8454, $C$2))/36000</f>
        <v>1.000173611111111</v>
      </c>
    </row>
    <row r="8455" spans="12:15" x14ac:dyDescent="0.25">
      <c r="L8455" s="147">
        <f ca="1"/>
        <v>53694</v>
      </c>
      <c r="M8455" s="92">
        <f t="shared" ca="1" si="275"/>
        <v>6.25</v>
      </c>
      <c r="N8455" s="143">
        <f ca="1">(PRODUCT($O$5:$O8455)-1)*36000/_xlfn.DAYS(L8455, $C$2)</f>
        <v>15.496190516874467</v>
      </c>
      <c r="O8455" s="149">
        <f t="shared" ca="1" si="276"/>
        <v>1.000173611111111</v>
      </c>
    </row>
    <row r="8456" spans="12:15" x14ac:dyDescent="0.25">
      <c r="L8456" s="147">
        <f ca="1"/>
        <v>53695</v>
      </c>
      <c r="M8456" s="92">
        <f t="shared" ca="1" si="275"/>
        <v>6.25</v>
      </c>
      <c r="N8456" s="143">
        <f ca="1">(PRODUCT($O$5:$O8456)-1)*36000/_xlfn.DAYS(L8456, $C$2)</f>
        <v>15.497786544620219</v>
      </c>
      <c r="O8456" s="149">
        <f t="shared" ca="1" si="276"/>
        <v>1.000173611111111</v>
      </c>
    </row>
    <row r="8457" spans="12:15" x14ac:dyDescent="0.25">
      <c r="L8457" s="147">
        <f ca="1"/>
        <v>53696</v>
      </c>
      <c r="M8457" s="92">
        <f t="shared" ca="1" si="275"/>
        <v>6.25</v>
      </c>
      <c r="N8457" s="143">
        <f ca="1">(PRODUCT($O$5:$O8457)-1)*36000/_xlfn.DAYS(L8457, $C$2)</f>
        <v>15.499382790064349</v>
      </c>
      <c r="O8457" s="149">
        <f t="shared" ca="1" si="276"/>
        <v>1.000173611111111</v>
      </c>
    </row>
    <row r="8458" spans="12:15" x14ac:dyDescent="0.25">
      <c r="L8458" s="147">
        <f ca="1"/>
        <v>53697</v>
      </c>
      <c r="M8458" s="92">
        <f t="shared" ca="1" si="275"/>
        <v>6.25</v>
      </c>
      <c r="N8458" s="143">
        <f ca="1">(PRODUCT($O$5:$O8458)-1)*36000/_xlfn.DAYS(L8458, $C$2)</f>
        <v>15.500979253232952</v>
      </c>
      <c r="O8458" s="149">
        <f t="shared" ca="1" si="276"/>
        <v>1.000173611111111</v>
      </c>
    </row>
    <row r="8459" spans="12:15" x14ac:dyDescent="0.25">
      <c r="L8459" s="147">
        <f ca="1"/>
        <v>53698</v>
      </c>
      <c r="M8459" s="92">
        <f t="shared" ca="1" si="275"/>
        <v>6.25</v>
      </c>
      <c r="N8459" s="143">
        <f ca="1">(PRODUCT($O$5:$O8459)-1)*36000/_xlfn.DAYS(L8459, $C$2)</f>
        <v>15.502575934152118</v>
      </c>
      <c r="O8459" s="149">
        <f t="shared" ca="1" si="276"/>
        <v>1.000173611111111</v>
      </c>
    </row>
    <row r="8460" spans="12:15" x14ac:dyDescent="0.25">
      <c r="L8460" s="147">
        <f ca="1"/>
        <v>53699</v>
      </c>
      <c r="M8460" s="92">
        <f t="shared" ca="1" si="275"/>
        <v>6.25</v>
      </c>
      <c r="N8460" s="143">
        <f ca="1">(PRODUCT($O$5:$O8460)-1)*36000/_xlfn.DAYS(L8460, $C$2)</f>
        <v>15.504172832847949</v>
      </c>
      <c r="O8460" s="149">
        <f t="shared" ca="1" si="276"/>
        <v>1.000173611111111</v>
      </c>
    </row>
    <row r="8461" spans="12:15" x14ac:dyDescent="0.25">
      <c r="L8461" s="147">
        <f ca="1"/>
        <v>53700</v>
      </c>
      <c r="M8461" s="92">
        <f t="shared" ca="1" si="275"/>
        <v>6.25</v>
      </c>
      <c r="N8461" s="143">
        <f ca="1">(PRODUCT($O$5:$O8461)-1)*36000/_xlfn.DAYS(L8461, $C$2)</f>
        <v>15.505769949346554</v>
      </c>
      <c r="O8461" s="149">
        <f t="shared" ca="1" si="276"/>
        <v>1.000173611111111</v>
      </c>
    </row>
    <row r="8462" spans="12:15" x14ac:dyDescent="0.25">
      <c r="L8462" s="147">
        <f ca="1"/>
        <v>53701</v>
      </c>
      <c r="M8462" s="92">
        <f t="shared" ca="1" si="275"/>
        <v>6.25</v>
      </c>
      <c r="N8462" s="143">
        <f ca="1">(PRODUCT($O$5:$O8462)-1)*36000/_xlfn.DAYS(L8462, $C$2)</f>
        <v>15.507367283674043</v>
      </c>
      <c r="O8462" s="149">
        <f t="shared" ca="1" si="276"/>
        <v>1.000173611111111</v>
      </c>
    </row>
    <row r="8463" spans="12:15" x14ac:dyDescent="0.25">
      <c r="L8463" s="147">
        <f ca="1"/>
        <v>53702</v>
      </c>
      <c r="M8463" s="92">
        <f t="shared" ca="1" si="275"/>
        <v>6.25</v>
      </c>
      <c r="N8463" s="143">
        <f ca="1">(PRODUCT($O$5:$O8463)-1)*36000/_xlfn.DAYS(L8463, $C$2)</f>
        <v>15.508964835856535</v>
      </c>
      <c r="O8463" s="149">
        <f t="shared" ca="1" si="276"/>
        <v>1.000173611111111</v>
      </c>
    </row>
    <row r="8464" spans="12:15" x14ac:dyDescent="0.25">
      <c r="L8464" s="147">
        <f ca="1"/>
        <v>53703</v>
      </c>
      <c r="M8464" s="92">
        <f t="shared" ca="1" si="275"/>
        <v>6.25</v>
      </c>
      <c r="N8464" s="143">
        <f ca="1">(PRODUCT($O$5:$O8464)-1)*36000/_xlfn.DAYS(L8464, $C$2)</f>
        <v>15.510562605920148</v>
      </c>
      <c r="O8464" s="149">
        <f t="shared" ca="1" si="276"/>
        <v>1.000173611111111</v>
      </c>
    </row>
    <row r="8465" spans="12:15" x14ac:dyDescent="0.25">
      <c r="L8465" s="147">
        <f ca="1"/>
        <v>53704</v>
      </c>
      <c r="M8465" s="92">
        <f t="shared" ca="1" si="275"/>
        <v>6.25</v>
      </c>
      <c r="N8465" s="143">
        <f ca="1">(PRODUCT($O$5:$O8465)-1)*36000/_xlfn.DAYS(L8465, $C$2)</f>
        <v>15.512160593891018</v>
      </c>
      <c r="O8465" s="149">
        <f t="shared" ca="1" si="276"/>
        <v>1.000173611111111</v>
      </c>
    </row>
    <row r="8466" spans="12:15" x14ac:dyDescent="0.25">
      <c r="L8466" s="147">
        <f ca="1"/>
        <v>53705</v>
      </c>
      <c r="M8466" s="92">
        <f t="shared" ca="1" si="275"/>
        <v>6.25</v>
      </c>
      <c r="N8466" s="143">
        <f ca="1">(PRODUCT($O$5:$O8466)-1)*36000/_xlfn.DAYS(L8466, $C$2)</f>
        <v>15.513758799795271</v>
      </c>
      <c r="O8466" s="149">
        <f t="shared" ca="1" si="276"/>
        <v>1.000173611111111</v>
      </c>
    </row>
    <row r="8467" spans="12:15" x14ac:dyDescent="0.25">
      <c r="L8467" s="147">
        <f ca="1"/>
        <v>53706</v>
      </c>
      <c r="M8467" s="92">
        <f t="shared" ca="1" si="275"/>
        <v>6.25</v>
      </c>
      <c r="N8467" s="143">
        <f ca="1">(PRODUCT($O$5:$O8467)-1)*36000/_xlfn.DAYS(L8467, $C$2)</f>
        <v>15.515357223659054</v>
      </c>
      <c r="O8467" s="149">
        <f t="shared" ca="1" si="276"/>
        <v>1.000173611111111</v>
      </c>
    </row>
    <row r="8468" spans="12:15" x14ac:dyDescent="0.25">
      <c r="L8468" s="147">
        <f ca="1"/>
        <v>53707</v>
      </c>
      <c r="M8468" s="92">
        <f t="shared" ca="1" si="275"/>
        <v>6.25</v>
      </c>
      <c r="N8468" s="143">
        <f ca="1">(PRODUCT($O$5:$O8468)-1)*36000/_xlfn.DAYS(L8468, $C$2)</f>
        <v>15.516955865508509</v>
      </c>
      <c r="O8468" s="149">
        <f t="shared" ca="1" si="276"/>
        <v>1.000173611111111</v>
      </c>
    </row>
    <row r="8469" spans="12:15" x14ac:dyDescent="0.25">
      <c r="L8469" s="147">
        <f ca="1"/>
        <v>53708</v>
      </c>
      <c r="M8469" s="92">
        <f t="shared" ca="1" si="275"/>
        <v>6.25</v>
      </c>
      <c r="N8469" s="143">
        <f ca="1">(PRODUCT($O$5:$O8469)-1)*36000/_xlfn.DAYS(L8469, $C$2)</f>
        <v>15.518554725369787</v>
      </c>
      <c r="O8469" s="149">
        <f t="shared" ca="1" si="276"/>
        <v>1.000173611111111</v>
      </c>
    </row>
    <row r="8470" spans="12:15" x14ac:dyDescent="0.25">
      <c r="L8470" s="147">
        <f ca="1"/>
        <v>53709</v>
      </c>
      <c r="M8470" s="92">
        <f t="shared" ca="1" si="275"/>
        <v>6.25</v>
      </c>
      <c r="N8470" s="143">
        <f ca="1">(PRODUCT($O$5:$O8470)-1)*36000/_xlfn.DAYS(L8470, $C$2)</f>
        <v>15.520153803269046</v>
      </c>
      <c r="O8470" s="149">
        <f t="shared" ca="1" si="276"/>
        <v>1.000173611111111</v>
      </c>
    </row>
    <row r="8471" spans="12:15" x14ac:dyDescent="0.25">
      <c r="L8471" s="147">
        <f ca="1"/>
        <v>53710</v>
      </c>
      <c r="M8471" s="92">
        <f t="shared" ca="1" si="275"/>
        <v>6.25</v>
      </c>
      <c r="N8471" s="143">
        <f ca="1">(PRODUCT($O$5:$O8471)-1)*36000/_xlfn.DAYS(L8471, $C$2)</f>
        <v>15.521753099232452</v>
      </c>
      <c r="O8471" s="149">
        <f t="shared" ca="1" si="276"/>
        <v>1.000173611111111</v>
      </c>
    </row>
    <row r="8472" spans="12:15" x14ac:dyDescent="0.25">
      <c r="L8472" s="147">
        <f ca="1"/>
        <v>53711</v>
      </c>
      <c r="M8472" s="92">
        <f t="shared" ca="1" si="275"/>
        <v>6.25</v>
      </c>
      <c r="N8472" s="143">
        <f ca="1">(PRODUCT($O$5:$O8472)-1)*36000/_xlfn.DAYS(L8472, $C$2)</f>
        <v>15.523352613286168</v>
      </c>
      <c r="O8472" s="149">
        <f t="shared" ca="1" si="276"/>
        <v>1.000173611111111</v>
      </c>
    </row>
    <row r="8473" spans="12:15" x14ac:dyDescent="0.25">
      <c r="L8473" s="147">
        <f ca="1"/>
        <v>53712</v>
      </c>
      <c r="M8473" s="92">
        <f t="shared" ca="1" si="275"/>
        <v>6.25</v>
      </c>
      <c r="N8473" s="143">
        <f ca="1">(PRODUCT($O$5:$O8473)-1)*36000/_xlfn.DAYS(L8473, $C$2)</f>
        <v>15.524952345456366</v>
      </c>
      <c r="O8473" s="149">
        <f t="shared" ca="1" si="276"/>
        <v>1.000173611111111</v>
      </c>
    </row>
    <row r="8474" spans="12:15" x14ac:dyDescent="0.25">
      <c r="L8474" s="147">
        <f ca="1"/>
        <v>53713</v>
      </c>
      <c r="M8474" s="92">
        <f t="shared" ca="1" si="275"/>
        <v>6.25</v>
      </c>
      <c r="N8474" s="143">
        <f ca="1">(PRODUCT($O$5:$O8474)-1)*36000/_xlfn.DAYS(L8474, $C$2)</f>
        <v>15.526552295769232</v>
      </c>
      <c r="O8474" s="149">
        <f t="shared" ca="1" si="276"/>
        <v>1.000173611111111</v>
      </c>
    </row>
    <row r="8475" spans="12:15" x14ac:dyDescent="0.25">
      <c r="L8475" s="147">
        <f ca="1"/>
        <v>53714</v>
      </c>
      <c r="M8475" s="92">
        <f t="shared" ca="1" si="275"/>
        <v>6.25</v>
      </c>
      <c r="N8475" s="143">
        <f ca="1">(PRODUCT($O$5:$O8475)-1)*36000/_xlfn.DAYS(L8475, $C$2)</f>
        <v>15.528152464250946</v>
      </c>
      <c r="O8475" s="149">
        <f t="shared" ca="1" si="276"/>
        <v>1.000173611111111</v>
      </c>
    </row>
    <row r="8476" spans="12:15" x14ac:dyDescent="0.25">
      <c r="L8476" s="147">
        <f ca="1"/>
        <v>53715</v>
      </c>
      <c r="M8476" s="92">
        <f t="shared" ca="1" si="275"/>
        <v>6.25</v>
      </c>
      <c r="N8476" s="143">
        <f ca="1">(PRODUCT($O$5:$O8476)-1)*36000/_xlfn.DAYS(L8476, $C$2)</f>
        <v>15.529752850927697</v>
      </c>
      <c r="O8476" s="149">
        <f t="shared" ca="1" si="276"/>
        <v>1.000173611111111</v>
      </c>
    </row>
    <row r="8477" spans="12:15" x14ac:dyDescent="0.25">
      <c r="L8477" s="147">
        <f ca="1"/>
        <v>53716</v>
      </c>
      <c r="M8477" s="92">
        <f t="shared" ca="1" si="275"/>
        <v>6.25</v>
      </c>
      <c r="N8477" s="143">
        <f ca="1">(PRODUCT($O$5:$O8477)-1)*36000/_xlfn.DAYS(L8477, $C$2)</f>
        <v>15.53135345582568</v>
      </c>
      <c r="O8477" s="149">
        <f t="shared" ca="1" si="276"/>
        <v>1.000173611111111</v>
      </c>
    </row>
    <row r="8478" spans="12:15" x14ac:dyDescent="0.25">
      <c r="L8478" s="147">
        <f ca="1"/>
        <v>53717</v>
      </c>
      <c r="M8478" s="92">
        <f t="shared" ca="1" si="275"/>
        <v>6.25</v>
      </c>
      <c r="N8478" s="143">
        <f ca="1">(PRODUCT($O$5:$O8478)-1)*36000/_xlfn.DAYS(L8478, $C$2)</f>
        <v>15.532954278971101</v>
      </c>
      <c r="O8478" s="149">
        <f t="shared" ca="1" si="276"/>
        <v>1.000173611111111</v>
      </c>
    </row>
    <row r="8479" spans="12:15" x14ac:dyDescent="0.25">
      <c r="L8479" s="147">
        <f ca="1"/>
        <v>53718</v>
      </c>
      <c r="M8479" s="92">
        <f t="shared" ca="1" si="275"/>
        <v>6.25</v>
      </c>
      <c r="N8479" s="143">
        <f ca="1">(PRODUCT($O$5:$O8479)-1)*36000/_xlfn.DAYS(L8479, $C$2)</f>
        <v>15.534555320390163</v>
      </c>
      <c r="O8479" s="149">
        <f t="shared" ca="1" si="276"/>
        <v>1.000173611111111</v>
      </c>
    </row>
    <row r="8480" spans="12:15" x14ac:dyDescent="0.25">
      <c r="L8480" s="147">
        <f ca="1"/>
        <v>53719</v>
      </c>
      <c r="M8480" s="92">
        <f t="shared" ca="1" si="275"/>
        <v>6.25</v>
      </c>
      <c r="N8480" s="143">
        <f ca="1">(PRODUCT($O$5:$O8480)-1)*36000/_xlfn.DAYS(L8480, $C$2)</f>
        <v>15.536156580109084</v>
      </c>
      <c r="O8480" s="149">
        <f t="shared" ca="1" si="276"/>
        <v>1.000173611111111</v>
      </c>
    </row>
    <row r="8481" spans="12:15" x14ac:dyDescent="0.25">
      <c r="L8481" s="147">
        <f ca="1"/>
        <v>53720</v>
      </c>
      <c r="M8481" s="92">
        <f t="shared" ca="1" si="275"/>
        <v>6.25</v>
      </c>
      <c r="N8481" s="143">
        <f ca="1">(PRODUCT($O$5:$O8481)-1)*36000/_xlfn.DAYS(L8481, $C$2)</f>
        <v>15.537758058154077</v>
      </c>
      <c r="O8481" s="149">
        <f t="shared" ca="1" si="276"/>
        <v>1.000173611111111</v>
      </c>
    </row>
    <row r="8482" spans="12:15" x14ac:dyDescent="0.25">
      <c r="L8482" s="147">
        <f ca="1"/>
        <v>53721</v>
      </c>
      <c r="M8482" s="92">
        <f t="shared" ca="1" si="275"/>
        <v>6.25</v>
      </c>
      <c r="N8482" s="143">
        <f ca="1">(PRODUCT($O$5:$O8482)-1)*36000/_xlfn.DAYS(L8482, $C$2)</f>
        <v>15.539359754551372</v>
      </c>
      <c r="O8482" s="149">
        <f t="shared" ca="1" si="276"/>
        <v>1.000173611111111</v>
      </c>
    </row>
    <row r="8483" spans="12:15" x14ac:dyDescent="0.25">
      <c r="L8483" s="147">
        <f ca="1"/>
        <v>53722</v>
      </c>
      <c r="M8483" s="92">
        <f t="shared" ca="1" si="275"/>
        <v>6.25</v>
      </c>
      <c r="N8483" s="143">
        <f ca="1">(PRODUCT($O$5:$O8483)-1)*36000/_xlfn.DAYS(L8483, $C$2)</f>
        <v>15.540961669327189</v>
      </c>
      <c r="O8483" s="149">
        <f t="shared" ca="1" si="276"/>
        <v>1.000173611111111</v>
      </c>
    </row>
    <row r="8484" spans="12:15" x14ac:dyDescent="0.25">
      <c r="L8484" s="147">
        <f ca="1"/>
        <v>53723</v>
      </c>
      <c r="M8484" s="92">
        <f t="shared" ca="1" si="275"/>
        <v>6.25</v>
      </c>
      <c r="N8484" s="143">
        <f ca="1">(PRODUCT($O$5:$O8484)-1)*36000/_xlfn.DAYS(L8484, $C$2)</f>
        <v>15.542563802507768</v>
      </c>
      <c r="O8484" s="149">
        <f t="shared" ca="1" si="276"/>
        <v>1.000173611111111</v>
      </c>
    </row>
    <row r="8485" spans="12:15" x14ac:dyDescent="0.25">
      <c r="L8485" s="147">
        <f ca="1"/>
        <v>53724</v>
      </c>
      <c r="M8485" s="92">
        <f t="shared" ca="1" si="275"/>
        <v>6.25</v>
      </c>
      <c r="N8485" s="143">
        <f ca="1">(PRODUCT($O$5:$O8485)-1)*36000/_xlfn.DAYS(L8485, $C$2)</f>
        <v>15.544166154119354</v>
      </c>
      <c r="O8485" s="149">
        <f t="shared" ca="1" si="276"/>
        <v>1.000173611111111</v>
      </c>
    </row>
    <row r="8486" spans="12:15" x14ac:dyDescent="0.25">
      <c r="L8486" s="147">
        <f ca="1"/>
        <v>53725</v>
      </c>
      <c r="M8486" s="92">
        <f t="shared" ca="1" si="275"/>
        <v>6.25</v>
      </c>
      <c r="N8486" s="143">
        <f ca="1">(PRODUCT($O$5:$O8486)-1)*36000/_xlfn.DAYS(L8486, $C$2)</f>
        <v>15.545768724188187</v>
      </c>
      <c r="O8486" s="149">
        <f t="shared" ca="1" si="276"/>
        <v>1.000173611111111</v>
      </c>
    </row>
    <row r="8487" spans="12:15" x14ac:dyDescent="0.25">
      <c r="L8487" s="147">
        <f ca="1"/>
        <v>53726</v>
      </c>
      <c r="M8487" s="92">
        <f t="shared" ca="1" si="275"/>
        <v>6.25</v>
      </c>
      <c r="N8487" s="143">
        <f ca="1">(PRODUCT($O$5:$O8487)-1)*36000/_xlfn.DAYS(L8487, $C$2)</f>
        <v>15.54737151274052</v>
      </c>
      <c r="O8487" s="149">
        <f t="shared" ca="1" si="276"/>
        <v>1.000173611111111</v>
      </c>
    </row>
    <row r="8488" spans="12:15" x14ac:dyDescent="0.25">
      <c r="L8488" s="147">
        <f ca="1"/>
        <v>53727</v>
      </c>
      <c r="M8488" s="92">
        <f t="shared" ca="1" si="275"/>
        <v>6.25</v>
      </c>
      <c r="N8488" s="143">
        <f ca="1">(PRODUCT($O$5:$O8488)-1)*36000/_xlfn.DAYS(L8488, $C$2)</f>
        <v>15.548974519802609</v>
      </c>
      <c r="O8488" s="149">
        <f t="shared" ca="1" si="276"/>
        <v>1.000173611111111</v>
      </c>
    </row>
    <row r="8489" spans="12:15" x14ac:dyDescent="0.25">
      <c r="L8489" s="147">
        <f ca="1"/>
        <v>53728</v>
      </c>
      <c r="M8489" s="92">
        <f t="shared" ca="1" si="275"/>
        <v>6.25</v>
      </c>
      <c r="N8489" s="143">
        <f ca="1">(PRODUCT($O$5:$O8489)-1)*36000/_xlfn.DAYS(L8489, $C$2)</f>
        <v>15.550577745400719</v>
      </c>
      <c r="O8489" s="149">
        <f t="shared" ca="1" si="276"/>
        <v>1.000173611111111</v>
      </c>
    </row>
    <row r="8490" spans="12:15" x14ac:dyDescent="0.25">
      <c r="L8490" s="147">
        <f ca="1"/>
        <v>53729</v>
      </c>
      <c r="M8490" s="92">
        <f t="shared" ca="1" si="275"/>
        <v>6.25</v>
      </c>
      <c r="N8490" s="143">
        <f ca="1">(PRODUCT($O$5:$O8490)-1)*36000/_xlfn.DAYS(L8490, $C$2)</f>
        <v>15.552181189561121</v>
      </c>
      <c r="O8490" s="149">
        <f t="shared" ca="1" si="276"/>
        <v>1.000173611111111</v>
      </c>
    </row>
    <row r="8491" spans="12:15" x14ac:dyDescent="0.25">
      <c r="L8491" s="147">
        <f ca="1"/>
        <v>53730</v>
      </c>
      <c r="M8491" s="92">
        <f t="shared" ca="1" si="275"/>
        <v>6.25</v>
      </c>
      <c r="N8491" s="143">
        <f ca="1">(PRODUCT($O$5:$O8491)-1)*36000/_xlfn.DAYS(L8491, $C$2)</f>
        <v>15.553784852310088</v>
      </c>
      <c r="O8491" s="149">
        <f t="shared" ca="1" si="276"/>
        <v>1.000173611111111</v>
      </c>
    </row>
    <row r="8492" spans="12:15" x14ac:dyDescent="0.25">
      <c r="L8492" s="147">
        <f ca="1"/>
        <v>53731</v>
      </c>
      <c r="M8492" s="92">
        <f t="shared" ca="1" si="275"/>
        <v>6.25</v>
      </c>
      <c r="N8492" s="143">
        <f ca="1">(PRODUCT($O$5:$O8492)-1)*36000/_xlfn.DAYS(L8492, $C$2)</f>
        <v>15.555388733673892</v>
      </c>
      <c r="O8492" s="149">
        <f t="shared" ca="1" si="276"/>
        <v>1.000173611111111</v>
      </c>
    </row>
    <row r="8493" spans="12:15" x14ac:dyDescent="0.25">
      <c r="L8493" s="147">
        <f ca="1"/>
        <v>53732</v>
      </c>
      <c r="M8493" s="92">
        <f t="shared" ca="1" si="275"/>
        <v>6.25</v>
      </c>
      <c r="N8493" s="143">
        <f ca="1">(PRODUCT($O$5:$O8493)-1)*36000/_xlfn.DAYS(L8493, $C$2)</f>
        <v>15.556992833678828</v>
      </c>
      <c r="O8493" s="149">
        <f t="shared" ca="1" si="276"/>
        <v>1.000173611111111</v>
      </c>
    </row>
    <row r="8494" spans="12:15" x14ac:dyDescent="0.25">
      <c r="L8494" s="147">
        <f ca="1"/>
        <v>53733</v>
      </c>
      <c r="M8494" s="92">
        <f t="shared" ca="1" si="275"/>
        <v>6.25</v>
      </c>
      <c r="N8494" s="143">
        <f ca="1">(PRODUCT($O$5:$O8494)-1)*36000/_xlfn.DAYS(L8494, $C$2)</f>
        <v>15.558597152351187</v>
      </c>
      <c r="O8494" s="149">
        <f t="shared" ca="1" si="276"/>
        <v>1.000173611111111</v>
      </c>
    </row>
    <row r="8495" spans="12:15" x14ac:dyDescent="0.25">
      <c r="L8495" s="147">
        <f ca="1"/>
        <v>53734</v>
      </c>
      <c r="M8495" s="92">
        <f t="shared" ca="1" si="275"/>
        <v>6.25</v>
      </c>
      <c r="N8495" s="143">
        <f ca="1">(PRODUCT($O$5:$O8495)-1)*36000/_xlfn.DAYS(L8495, $C$2)</f>
        <v>15.56020168971726</v>
      </c>
      <c r="O8495" s="149">
        <f t="shared" ca="1" si="276"/>
        <v>1.000173611111111</v>
      </c>
    </row>
    <row r="8496" spans="12:15" x14ac:dyDescent="0.25">
      <c r="L8496" s="147">
        <f ca="1"/>
        <v>53735</v>
      </c>
      <c r="M8496" s="92">
        <f t="shared" ca="1" si="275"/>
        <v>6.25</v>
      </c>
      <c r="N8496" s="143">
        <f ca="1">(PRODUCT($O$5:$O8496)-1)*36000/_xlfn.DAYS(L8496, $C$2)</f>
        <v>15.56180644580335</v>
      </c>
      <c r="O8496" s="149">
        <f t="shared" ca="1" si="276"/>
        <v>1.000173611111111</v>
      </c>
    </row>
    <row r="8497" spans="12:15" x14ac:dyDescent="0.25">
      <c r="L8497" s="147">
        <f ca="1"/>
        <v>53736</v>
      </c>
      <c r="M8497" s="92">
        <f t="shared" ca="1" si="275"/>
        <v>6.25</v>
      </c>
      <c r="N8497" s="143">
        <f ca="1">(PRODUCT($O$5:$O8497)-1)*36000/_xlfn.DAYS(L8497, $C$2)</f>
        <v>15.563411420635767</v>
      </c>
      <c r="O8497" s="149">
        <f t="shared" ca="1" si="276"/>
        <v>1.000173611111111</v>
      </c>
    </row>
    <row r="8498" spans="12:15" x14ac:dyDescent="0.25">
      <c r="L8498" s="147">
        <f ca="1"/>
        <v>53737</v>
      </c>
      <c r="M8498" s="92">
        <f t="shared" ca="1" si="275"/>
        <v>6.25</v>
      </c>
      <c r="N8498" s="143">
        <f ca="1">(PRODUCT($O$5:$O8498)-1)*36000/_xlfn.DAYS(L8498, $C$2)</f>
        <v>15.565016614240822</v>
      </c>
      <c r="O8498" s="149">
        <f t="shared" ca="1" si="276"/>
        <v>1.000173611111111</v>
      </c>
    </row>
    <row r="8499" spans="12:15" x14ac:dyDescent="0.25">
      <c r="L8499" s="147">
        <f ca="1"/>
        <v>53738</v>
      </c>
      <c r="M8499" s="92">
        <f t="shared" ca="1" si="275"/>
        <v>6.25</v>
      </c>
      <c r="N8499" s="143">
        <f ca="1">(PRODUCT($O$5:$O8499)-1)*36000/_xlfn.DAYS(L8499, $C$2)</f>
        <v>15.566622026644836</v>
      </c>
      <c r="O8499" s="149">
        <f t="shared" ca="1" si="276"/>
        <v>1.000173611111111</v>
      </c>
    </row>
    <row r="8500" spans="12:15" x14ac:dyDescent="0.25">
      <c r="L8500" s="147">
        <f ca="1"/>
        <v>53739</v>
      </c>
      <c r="M8500" s="92">
        <f t="shared" ca="1" si="275"/>
        <v>6.25</v>
      </c>
      <c r="N8500" s="143">
        <f ca="1">(PRODUCT($O$5:$O8500)-1)*36000/_xlfn.DAYS(L8500, $C$2)</f>
        <v>15.568227657874136</v>
      </c>
      <c r="O8500" s="149">
        <f t="shared" ca="1" si="276"/>
        <v>1.000173611111111</v>
      </c>
    </row>
    <row r="8501" spans="12:15" x14ac:dyDescent="0.25">
      <c r="L8501" s="147">
        <f ca="1"/>
        <v>53740</v>
      </c>
      <c r="M8501" s="92">
        <f t="shared" ca="1" si="275"/>
        <v>6.25</v>
      </c>
      <c r="N8501" s="143">
        <f ca="1">(PRODUCT($O$5:$O8501)-1)*36000/_xlfn.DAYS(L8501, $C$2)</f>
        <v>15.569833507955043</v>
      </c>
      <c r="O8501" s="149">
        <f t="shared" ca="1" si="276"/>
        <v>1.000173611111111</v>
      </c>
    </row>
    <row r="8502" spans="12:15" x14ac:dyDescent="0.25">
      <c r="L8502" s="147">
        <f ca="1"/>
        <v>53741</v>
      </c>
      <c r="M8502" s="92">
        <f t="shared" ca="1" si="275"/>
        <v>6.25</v>
      </c>
      <c r="N8502" s="143">
        <f ca="1">(PRODUCT($O$5:$O8502)-1)*36000/_xlfn.DAYS(L8502, $C$2)</f>
        <v>15.5714395769139</v>
      </c>
      <c r="O8502" s="149">
        <f t="shared" ca="1" si="276"/>
        <v>1.000173611111111</v>
      </c>
    </row>
    <row r="8503" spans="12:15" x14ac:dyDescent="0.25">
      <c r="L8503" s="147">
        <f ca="1"/>
        <v>53742</v>
      </c>
      <c r="M8503" s="92">
        <f t="shared" ca="1" si="275"/>
        <v>6.25</v>
      </c>
      <c r="N8503" s="143">
        <f ca="1">(PRODUCT($O$5:$O8503)-1)*36000/_xlfn.DAYS(L8503, $C$2)</f>
        <v>15.573045864777045</v>
      </c>
      <c r="O8503" s="149">
        <f t="shared" ca="1" si="276"/>
        <v>1.000173611111111</v>
      </c>
    </row>
    <row r="8504" spans="12:15" x14ac:dyDescent="0.25">
      <c r="L8504" s="147">
        <f ca="1"/>
        <v>53743</v>
      </c>
      <c r="M8504" s="92">
        <f t="shared" ca="1" si="275"/>
        <v>6.25</v>
      </c>
      <c r="N8504" s="143">
        <f ca="1">(PRODUCT($O$5:$O8504)-1)*36000/_xlfn.DAYS(L8504, $C$2)</f>
        <v>15.574652371570828</v>
      </c>
      <c r="O8504" s="149">
        <f t="shared" ca="1" si="276"/>
        <v>1.000173611111111</v>
      </c>
    </row>
    <row r="8505" spans="12:15" x14ac:dyDescent="0.25">
      <c r="L8505" s="147">
        <f ca="1"/>
        <v>53744</v>
      </c>
      <c r="M8505" s="92">
        <f t="shared" ca="1" si="275"/>
        <v>6.25</v>
      </c>
      <c r="N8505" s="143">
        <f ca="1">(PRODUCT($O$5:$O8505)-1)*36000/_xlfn.DAYS(L8505, $C$2)</f>
        <v>15.576259097321598</v>
      </c>
      <c r="O8505" s="149">
        <f t="shared" ca="1" si="276"/>
        <v>1.000173611111111</v>
      </c>
    </row>
    <row r="8506" spans="12:15" x14ac:dyDescent="0.25">
      <c r="L8506" s="147">
        <f ca="1"/>
        <v>53745</v>
      </c>
      <c r="M8506" s="92">
        <f t="shared" ca="1" si="275"/>
        <v>6.25</v>
      </c>
      <c r="N8506" s="143">
        <f ca="1">(PRODUCT($O$5:$O8506)-1)*36000/_xlfn.DAYS(L8506, $C$2)</f>
        <v>15.577866042055716</v>
      </c>
      <c r="O8506" s="149">
        <f t="shared" ca="1" si="276"/>
        <v>1.000173611111111</v>
      </c>
    </row>
    <row r="8507" spans="12:15" x14ac:dyDescent="0.25">
      <c r="L8507" s="147">
        <f ca="1"/>
        <v>53746</v>
      </c>
      <c r="M8507" s="92">
        <f t="shared" ca="1" si="275"/>
        <v>6.25</v>
      </c>
      <c r="N8507" s="143">
        <f ca="1">(PRODUCT($O$5:$O8507)-1)*36000/_xlfn.DAYS(L8507, $C$2)</f>
        <v>15.579473205799539</v>
      </c>
      <c r="O8507" s="149">
        <f t="shared" ca="1" si="276"/>
        <v>1.000173611111111</v>
      </c>
    </row>
    <row r="8508" spans="12:15" x14ac:dyDescent="0.25">
      <c r="L8508" s="147">
        <f ca="1"/>
        <v>53747</v>
      </c>
      <c r="M8508" s="92">
        <f t="shared" ca="1" si="275"/>
        <v>6.25</v>
      </c>
      <c r="N8508" s="143">
        <f ca="1">(PRODUCT($O$5:$O8508)-1)*36000/_xlfn.DAYS(L8508, $C$2)</f>
        <v>15.581080588579445</v>
      </c>
      <c r="O8508" s="149">
        <f t="shared" ca="1" si="276"/>
        <v>1.000173611111111</v>
      </c>
    </row>
    <row r="8509" spans="12:15" x14ac:dyDescent="0.25">
      <c r="L8509" s="147">
        <f ca="1"/>
        <v>53748</v>
      </c>
      <c r="M8509" s="92">
        <f t="shared" ca="1" si="275"/>
        <v>6.25</v>
      </c>
      <c r="N8509" s="143">
        <f ca="1">(PRODUCT($O$5:$O8509)-1)*36000/_xlfn.DAYS(L8509, $C$2)</f>
        <v>15.582688190421806</v>
      </c>
      <c r="O8509" s="149">
        <f t="shared" ca="1" si="276"/>
        <v>1.000173611111111</v>
      </c>
    </row>
    <row r="8510" spans="12:15" x14ac:dyDescent="0.25">
      <c r="L8510" s="147">
        <f ca="1"/>
        <v>53749</v>
      </c>
      <c r="M8510" s="92">
        <f t="shared" ca="1" si="275"/>
        <v>6.25</v>
      </c>
      <c r="N8510" s="143">
        <f ca="1">(PRODUCT($O$5:$O8510)-1)*36000/_xlfn.DAYS(L8510, $C$2)</f>
        <v>15.584296011352997</v>
      </c>
      <c r="O8510" s="149">
        <f t="shared" ca="1" si="276"/>
        <v>1.000173611111111</v>
      </c>
    </row>
    <row r="8511" spans="12:15" x14ac:dyDescent="0.25">
      <c r="L8511" s="147">
        <f ca="1"/>
        <v>53750</v>
      </c>
      <c r="M8511" s="92">
        <f t="shared" ca="1" si="275"/>
        <v>6.25</v>
      </c>
      <c r="N8511" s="143">
        <f ca="1">(PRODUCT($O$5:$O8511)-1)*36000/_xlfn.DAYS(L8511, $C$2)</f>
        <v>15.58590405139941</v>
      </c>
      <c r="O8511" s="149">
        <f t="shared" ca="1" si="276"/>
        <v>1.000173611111111</v>
      </c>
    </row>
    <row r="8512" spans="12:15" x14ac:dyDescent="0.25">
      <c r="L8512" s="147">
        <f ca="1"/>
        <v>53751</v>
      </c>
      <c r="M8512" s="92">
        <f t="shared" ca="1" si="275"/>
        <v>6.25</v>
      </c>
      <c r="N8512" s="143">
        <f ca="1">(PRODUCT($O$5:$O8512)-1)*36000/_xlfn.DAYS(L8512, $C$2)</f>
        <v>15.587512310587435</v>
      </c>
      <c r="O8512" s="149">
        <f t="shared" ca="1" si="276"/>
        <v>1.000173611111111</v>
      </c>
    </row>
    <row r="8513" spans="12:15" x14ac:dyDescent="0.25">
      <c r="L8513" s="147">
        <f ca="1"/>
        <v>53752</v>
      </c>
      <c r="M8513" s="92">
        <f t="shared" ca="1" si="275"/>
        <v>6.25</v>
      </c>
      <c r="N8513" s="143">
        <f ca="1">(PRODUCT($O$5:$O8513)-1)*36000/_xlfn.DAYS(L8513, $C$2)</f>
        <v>15.58912078894347</v>
      </c>
      <c r="O8513" s="149">
        <f t="shared" ca="1" si="276"/>
        <v>1.000173611111111</v>
      </c>
    </row>
    <row r="8514" spans="12:15" x14ac:dyDescent="0.25">
      <c r="L8514" s="147">
        <f ca="1"/>
        <v>53753</v>
      </c>
      <c r="M8514" s="92">
        <f t="shared" ca="1" si="275"/>
        <v>6.25</v>
      </c>
      <c r="N8514" s="143">
        <f ca="1">(PRODUCT($O$5:$O8514)-1)*36000/_xlfn.DAYS(L8514, $C$2)</f>
        <v>15.590729486493919</v>
      </c>
      <c r="O8514" s="149">
        <f t="shared" ca="1" si="276"/>
        <v>1.000173611111111</v>
      </c>
    </row>
    <row r="8515" spans="12:15" x14ac:dyDescent="0.25">
      <c r="L8515" s="147">
        <f ca="1"/>
        <v>53754</v>
      </c>
      <c r="M8515" s="92">
        <f t="shared" ca="1" si="275"/>
        <v>6.25</v>
      </c>
      <c r="N8515" s="143">
        <f ca="1">(PRODUCT($O$5:$O8515)-1)*36000/_xlfn.DAYS(L8515, $C$2)</f>
        <v>15.592338403265185</v>
      </c>
      <c r="O8515" s="149">
        <f t="shared" ca="1" si="276"/>
        <v>1.000173611111111</v>
      </c>
    </row>
    <row r="8516" spans="12:15" x14ac:dyDescent="0.25">
      <c r="L8516" s="147">
        <f ca="1"/>
        <v>53755</v>
      </c>
      <c r="M8516" s="92">
        <f t="shared" ca="1" si="275"/>
        <v>6.25</v>
      </c>
      <c r="N8516" s="143">
        <f ca="1">(PRODUCT($O$5:$O8516)-1)*36000/_xlfn.DAYS(L8516, $C$2)</f>
        <v>15.593947539283681</v>
      </c>
      <c r="O8516" s="149">
        <f t="shared" ca="1" si="276"/>
        <v>1.000173611111111</v>
      </c>
    </row>
    <row r="8517" spans="12:15" x14ac:dyDescent="0.25">
      <c r="L8517" s="147">
        <f ca="1"/>
        <v>53756</v>
      </c>
      <c r="M8517" s="92">
        <f t="shared" ref="M8517:M8580" ca="1" si="277">IFERROR(INDEX($E$27:$H$47, MATCH(L8517, $F$27:$F$47, 0), 4), IF(ISNUMBER(M8516), M8516, $C$5))</f>
        <v>6.25</v>
      </c>
      <c r="N8517" s="143">
        <f ca="1">(PRODUCT($O$5:$O8517)-1)*36000/_xlfn.DAYS(L8517, $C$2)</f>
        <v>15.595556894575832</v>
      </c>
      <c r="O8517" s="149">
        <f t="shared" ca="1" si="276"/>
        <v>1.000173611111111</v>
      </c>
    </row>
    <row r="8518" spans="12:15" x14ac:dyDescent="0.25">
      <c r="L8518" s="147">
        <f ca="1"/>
        <v>53757</v>
      </c>
      <c r="M8518" s="92">
        <f t="shared" ca="1" si="277"/>
        <v>6.25</v>
      </c>
      <c r="N8518" s="143">
        <f ca="1">(PRODUCT($O$5:$O8518)-1)*36000/_xlfn.DAYS(L8518, $C$2)</f>
        <v>15.597166469168062</v>
      </c>
      <c r="O8518" s="149">
        <f t="shared" ref="O8518:O8581" ca="1" si="278">1+M8518*IFERROR(_xlfn.DAYS(L8518, L8517), _xlfn.DAYS(L8518, $C$2))/36000</f>
        <v>1.000173611111111</v>
      </c>
    </row>
    <row r="8519" spans="12:15" x14ac:dyDescent="0.25">
      <c r="L8519" s="147">
        <f ca="1"/>
        <v>53758</v>
      </c>
      <c r="M8519" s="92">
        <f t="shared" ca="1" si="277"/>
        <v>6.25</v>
      </c>
      <c r="N8519" s="143">
        <f ca="1">(PRODUCT($O$5:$O8519)-1)*36000/_xlfn.DAYS(L8519, $C$2)</f>
        <v>15.598776263086801</v>
      </c>
      <c r="O8519" s="149">
        <f t="shared" ca="1" si="278"/>
        <v>1.000173611111111</v>
      </c>
    </row>
    <row r="8520" spans="12:15" x14ac:dyDescent="0.25">
      <c r="L8520" s="147">
        <f ca="1"/>
        <v>53759</v>
      </c>
      <c r="M8520" s="92">
        <f t="shared" ca="1" si="277"/>
        <v>6.25</v>
      </c>
      <c r="N8520" s="143">
        <f ca="1">(PRODUCT($O$5:$O8520)-1)*36000/_xlfn.DAYS(L8520, $C$2)</f>
        <v>15.600386276358487</v>
      </c>
      <c r="O8520" s="149">
        <f t="shared" ca="1" si="278"/>
        <v>1.000173611111111</v>
      </c>
    </row>
    <row r="8521" spans="12:15" x14ac:dyDescent="0.25">
      <c r="L8521" s="147">
        <f ca="1"/>
        <v>53760</v>
      </c>
      <c r="M8521" s="92">
        <f t="shared" ca="1" si="277"/>
        <v>6.25</v>
      </c>
      <c r="N8521" s="143">
        <f ca="1">(PRODUCT($O$5:$O8521)-1)*36000/_xlfn.DAYS(L8521, $C$2)</f>
        <v>15.601996509009556</v>
      </c>
      <c r="O8521" s="149">
        <f t="shared" ca="1" si="278"/>
        <v>1.000173611111111</v>
      </c>
    </row>
    <row r="8522" spans="12:15" x14ac:dyDescent="0.25">
      <c r="L8522" s="147">
        <f ca="1"/>
        <v>53761</v>
      </c>
      <c r="M8522" s="92">
        <f t="shared" ca="1" si="277"/>
        <v>6.25</v>
      </c>
      <c r="N8522" s="143">
        <f ca="1">(PRODUCT($O$5:$O8522)-1)*36000/_xlfn.DAYS(L8522, $C$2)</f>
        <v>15.603606961066461</v>
      </c>
      <c r="O8522" s="149">
        <f t="shared" ca="1" si="278"/>
        <v>1.000173611111111</v>
      </c>
    </row>
    <row r="8523" spans="12:15" x14ac:dyDescent="0.25">
      <c r="L8523" s="147">
        <f ca="1"/>
        <v>53762</v>
      </c>
      <c r="M8523" s="92">
        <f t="shared" ca="1" si="277"/>
        <v>6.25</v>
      </c>
      <c r="N8523" s="143">
        <f ca="1">(PRODUCT($O$5:$O8523)-1)*36000/_xlfn.DAYS(L8523, $C$2)</f>
        <v>15.60521763255565</v>
      </c>
      <c r="O8523" s="149">
        <f t="shared" ca="1" si="278"/>
        <v>1.000173611111111</v>
      </c>
    </row>
    <row r="8524" spans="12:15" x14ac:dyDescent="0.25">
      <c r="L8524" s="147">
        <f ca="1"/>
        <v>53763</v>
      </c>
      <c r="M8524" s="92">
        <f t="shared" ca="1" si="277"/>
        <v>6.25</v>
      </c>
      <c r="N8524" s="143">
        <f ca="1">(PRODUCT($O$5:$O8524)-1)*36000/_xlfn.DAYS(L8524, $C$2)</f>
        <v>15.606828523503587</v>
      </c>
      <c r="O8524" s="149">
        <f t="shared" ca="1" si="278"/>
        <v>1.000173611111111</v>
      </c>
    </row>
    <row r="8525" spans="12:15" x14ac:dyDescent="0.25">
      <c r="L8525" s="147">
        <f ca="1"/>
        <v>53764</v>
      </c>
      <c r="M8525" s="92">
        <f t="shared" ca="1" si="277"/>
        <v>6.25</v>
      </c>
      <c r="N8525" s="143">
        <f ca="1">(PRODUCT($O$5:$O8525)-1)*36000/_xlfn.DAYS(L8525, $C$2)</f>
        <v>15.608439633936733</v>
      </c>
      <c r="O8525" s="149">
        <f t="shared" ca="1" si="278"/>
        <v>1.000173611111111</v>
      </c>
    </row>
    <row r="8526" spans="12:15" x14ac:dyDescent="0.25">
      <c r="L8526" s="147">
        <f ca="1"/>
        <v>53765</v>
      </c>
      <c r="M8526" s="92">
        <f t="shared" ca="1" si="277"/>
        <v>6.25</v>
      </c>
      <c r="N8526" s="143">
        <f ca="1">(PRODUCT($O$5:$O8526)-1)*36000/_xlfn.DAYS(L8526, $C$2)</f>
        <v>15.610050963881553</v>
      </c>
      <c r="O8526" s="149">
        <f t="shared" ca="1" si="278"/>
        <v>1.000173611111111</v>
      </c>
    </row>
    <row r="8527" spans="12:15" x14ac:dyDescent="0.25">
      <c r="L8527" s="147">
        <f ca="1"/>
        <v>53766</v>
      </c>
      <c r="M8527" s="92">
        <f t="shared" ca="1" si="277"/>
        <v>6.25</v>
      </c>
      <c r="N8527" s="143">
        <f ca="1">(PRODUCT($O$5:$O8527)-1)*36000/_xlfn.DAYS(L8527, $C$2)</f>
        <v>15.611662513364536</v>
      </c>
      <c r="O8527" s="149">
        <f t="shared" ca="1" si="278"/>
        <v>1.000173611111111</v>
      </c>
    </row>
    <row r="8528" spans="12:15" x14ac:dyDescent="0.25">
      <c r="L8528" s="147">
        <f ca="1"/>
        <v>53767</v>
      </c>
      <c r="M8528" s="92">
        <f t="shared" ca="1" si="277"/>
        <v>6.25</v>
      </c>
      <c r="N8528" s="143">
        <f ca="1">(PRODUCT($O$5:$O8528)-1)*36000/_xlfn.DAYS(L8528, $C$2)</f>
        <v>15.613274282412151</v>
      </c>
      <c r="O8528" s="149">
        <f t="shared" ca="1" si="278"/>
        <v>1.000173611111111</v>
      </c>
    </row>
    <row r="8529" spans="12:15" x14ac:dyDescent="0.25">
      <c r="L8529" s="147">
        <f ca="1"/>
        <v>53768</v>
      </c>
      <c r="M8529" s="92">
        <f t="shared" ca="1" si="277"/>
        <v>6.25</v>
      </c>
      <c r="N8529" s="143">
        <f ca="1">(PRODUCT($O$5:$O8529)-1)*36000/_xlfn.DAYS(L8529, $C$2)</f>
        <v>15.614886271050887</v>
      </c>
      <c r="O8529" s="149">
        <f t="shared" ca="1" si="278"/>
        <v>1.000173611111111</v>
      </c>
    </row>
    <row r="8530" spans="12:15" x14ac:dyDescent="0.25">
      <c r="L8530" s="147">
        <f ca="1"/>
        <v>53769</v>
      </c>
      <c r="M8530" s="92">
        <f t="shared" ca="1" si="277"/>
        <v>6.25</v>
      </c>
      <c r="N8530" s="143">
        <f ca="1">(PRODUCT($O$5:$O8530)-1)*36000/_xlfn.DAYS(L8530, $C$2)</f>
        <v>15.616498479307239</v>
      </c>
      <c r="O8530" s="149">
        <f t="shared" ca="1" si="278"/>
        <v>1.000173611111111</v>
      </c>
    </row>
    <row r="8531" spans="12:15" x14ac:dyDescent="0.25">
      <c r="L8531" s="147">
        <f ca="1"/>
        <v>53770</v>
      </c>
      <c r="M8531" s="92">
        <f t="shared" ca="1" si="277"/>
        <v>6.25</v>
      </c>
      <c r="N8531" s="143">
        <f ca="1">(PRODUCT($O$5:$O8531)-1)*36000/_xlfn.DAYS(L8531, $C$2)</f>
        <v>15.618110907207699</v>
      </c>
      <c r="O8531" s="149">
        <f t="shared" ca="1" si="278"/>
        <v>1.000173611111111</v>
      </c>
    </row>
    <row r="8532" spans="12:15" x14ac:dyDescent="0.25">
      <c r="L8532" s="147">
        <f ca="1"/>
        <v>53771</v>
      </c>
      <c r="M8532" s="92">
        <f t="shared" ca="1" si="277"/>
        <v>6.25</v>
      </c>
      <c r="N8532" s="143">
        <f ca="1">(PRODUCT($O$5:$O8532)-1)*36000/_xlfn.DAYS(L8532, $C$2)</f>
        <v>15.619723554778774</v>
      </c>
      <c r="O8532" s="149">
        <f t="shared" ca="1" si="278"/>
        <v>1.000173611111111</v>
      </c>
    </row>
    <row r="8533" spans="12:15" x14ac:dyDescent="0.25">
      <c r="L8533" s="147">
        <f ca="1"/>
        <v>53772</v>
      </c>
      <c r="M8533" s="92">
        <f t="shared" ca="1" si="277"/>
        <v>6.25</v>
      </c>
      <c r="N8533" s="143">
        <f ca="1">(PRODUCT($O$5:$O8533)-1)*36000/_xlfn.DAYS(L8533, $C$2)</f>
        <v>15.621336422046975</v>
      </c>
      <c r="O8533" s="149">
        <f t="shared" ca="1" si="278"/>
        <v>1.000173611111111</v>
      </c>
    </row>
    <row r="8534" spans="12:15" x14ac:dyDescent="0.25">
      <c r="L8534" s="147">
        <f ca="1"/>
        <v>53773</v>
      </c>
      <c r="M8534" s="92">
        <f t="shared" ca="1" si="277"/>
        <v>6.25</v>
      </c>
      <c r="N8534" s="143">
        <f ca="1">(PRODUCT($O$5:$O8534)-1)*36000/_xlfn.DAYS(L8534, $C$2)</f>
        <v>15.622949509038811</v>
      </c>
      <c r="O8534" s="149">
        <f t="shared" ca="1" si="278"/>
        <v>1.000173611111111</v>
      </c>
    </row>
    <row r="8535" spans="12:15" x14ac:dyDescent="0.25">
      <c r="L8535" s="147">
        <f ca="1"/>
        <v>53774</v>
      </c>
      <c r="M8535" s="92">
        <f t="shared" ca="1" si="277"/>
        <v>6.25</v>
      </c>
      <c r="N8535" s="143">
        <f ca="1">(PRODUCT($O$5:$O8535)-1)*36000/_xlfn.DAYS(L8535, $C$2)</f>
        <v>15.624562815780806</v>
      </c>
      <c r="O8535" s="149">
        <f t="shared" ca="1" si="278"/>
        <v>1.000173611111111</v>
      </c>
    </row>
    <row r="8536" spans="12:15" x14ac:dyDescent="0.25">
      <c r="L8536" s="147">
        <f ca="1"/>
        <v>53775</v>
      </c>
      <c r="M8536" s="92">
        <f t="shared" ca="1" si="277"/>
        <v>6.25</v>
      </c>
      <c r="N8536" s="143">
        <f ca="1">(PRODUCT($O$5:$O8536)-1)*36000/_xlfn.DAYS(L8536, $C$2)</f>
        <v>15.626176342299484</v>
      </c>
      <c r="O8536" s="149">
        <f t="shared" ca="1" si="278"/>
        <v>1.000173611111111</v>
      </c>
    </row>
    <row r="8537" spans="12:15" x14ac:dyDescent="0.25">
      <c r="L8537" s="147">
        <f ca="1"/>
        <v>53776</v>
      </c>
      <c r="M8537" s="92">
        <f t="shared" ca="1" si="277"/>
        <v>6.25</v>
      </c>
      <c r="N8537" s="143">
        <f ca="1">(PRODUCT($O$5:$O8537)-1)*36000/_xlfn.DAYS(L8537, $C$2)</f>
        <v>15.62779008862138</v>
      </c>
      <c r="O8537" s="149">
        <f t="shared" ca="1" si="278"/>
        <v>1.000173611111111</v>
      </c>
    </row>
    <row r="8538" spans="12:15" x14ac:dyDescent="0.25">
      <c r="L8538" s="147">
        <f ca="1"/>
        <v>53777</v>
      </c>
      <c r="M8538" s="92">
        <f t="shared" ca="1" si="277"/>
        <v>6.25</v>
      </c>
      <c r="N8538" s="143">
        <f ca="1">(PRODUCT($O$5:$O8538)-1)*36000/_xlfn.DAYS(L8538, $C$2)</f>
        <v>15.629404054773024</v>
      </c>
      <c r="O8538" s="149">
        <f t="shared" ca="1" si="278"/>
        <v>1.000173611111111</v>
      </c>
    </row>
    <row r="8539" spans="12:15" x14ac:dyDescent="0.25">
      <c r="L8539" s="147">
        <f ca="1"/>
        <v>53778</v>
      </c>
      <c r="M8539" s="92">
        <f t="shared" ca="1" si="277"/>
        <v>6.25</v>
      </c>
      <c r="N8539" s="143">
        <f ca="1">(PRODUCT($O$5:$O8539)-1)*36000/_xlfn.DAYS(L8539, $C$2)</f>
        <v>15.631018240780962</v>
      </c>
      <c r="O8539" s="149">
        <f t="shared" ca="1" si="278"/>
        <v>1.000173611111111</v>
      </c>
    </row>
    <row r="8540" spans="12:15" x14ac:dyDescent="0.25">
      <c r="L8540" s="147">
        <f ca="1"/>
        <v>53779</v>
      </c>
      <c r="M8540" s="92">
        <f t="shared" ca="1" si="277"/>
        <v>6.25</v>
      </c>
      <c r="N8540" s="143">
        <f ca="1">(PRODUCT($O$5:$O8540)-1)*36000/_xlfn.DAYS(L8540, $C$2)</f>
        <v>15.632632646671739</v>
      </c>
      <c r="O8540" s="149">
        <f t="shared" ca="1" si="278"/>
        <v>1.000173611111111</v>
      </c>
    </row>
    <row r="8541" spans="12:15" x14ac:dyDescent="0.25">
      <c r="L8541" s="147">
        <f ca="1"/>
        <v>53780</v>
      </c>
      <c r="M8541" s="92">
        <f t="shared" ca="1" si="277"/>
        <v>6.25</v>
      </c>
      <c r="N8541" s="143">
        <f ca="1">(PRODUCT($O$5:$O8541)-1)*36000/_xlfn.DAYS(L8541, $C$2)</f>
        <v>15.634247272471915</v>
      </c>
      <c r="O8541" s="149">
        <f t="shared" ca="1" si="278"/>
        <v>1.000173611111111</v>
      </c>
    </row>
    <row r="8542" spans="12:15" x14ac:dyDescent="0.25">
      <c r="L8542" s="147">
        <f ca="1"/>
        <v>53781</v>
      </c>
      <c r="M8542" s="92">
        <f t="shared" ca="1" si="277"/>
        <v>6.25</v>
      </c>
      <c r="N8542" s="143">
        <f ca="1">(PRODUCT($O$5:$O8542)-1)*36000/_xlfn.DAYS(L8542, $C$2)</f>
        <v>15.635862118208044</v>
      </c>
      <c r="O8542" s="149">
        <f t="shared" ca="1" si="278"/>
        <v>1.000173611111111</v>
      </c>
    </row>
    <row r="8543" spans="12:15" x14ac:dyDescent="0.25">
      <c r="L8543" s="147">
        <f ca="1"/>
        <v>53782</v>
      </c>
      <c r="M8543" s="92">
        <f t="shared" ca="1" si="277"/>
        <v>6.25</v>
      </c>
      <c r="N8543" s="143">
        <f ca="1">(PRODUCT($O$5:$O8543)-1)*36000/_xlfn.DAYS(L8543, $C$2)</f>
        <v>15.637477183906688</v>
      </c>
      <c r="O8543" s="149">
        <f t="shared" ca="1" si="278"/>
        <v>1.000173611111111</v>
      </c>
    </row>
    <row r="8544" spans="12:15" x14ac:dyDescent="0.25">
      <c r="L8544" s="147">
        <f ca="1"/>
        <v>53783</v>
      </c>
      <c r="M8544" s="92">
        <f t="shared" ca="1" si="277"/>
        <v>6.25</v>
      </c>
      <c r="N8544" s="143">
        <f ca="1">(PRODUCT($O$5:$O8544)-1)*36000/_xlfn.DAYS(L8544, $C$2)</f>
        <v>15.639092469594424</v>
      </c>
      <c r="O8544" s="149">
        <f t="shared" ca="1" si="278"/>
        <v>1.000173611111111</v>
      </c>
    </row>
    <row r="8545" spans="12:15" x14ac:dyDescent="0.25">
      <c r="L8545" s="147">
        <f ca="1"/>
        <v>53784</v>
      </c>
      <c r="M8545" s="92">
        <f t="shared" ca="1" si="277"/>
        <v>6.25</v>
      </c>
      <c r="N8545" s="143">
        <f ca="1">(PRODUCT($O$5:$O8545)-1)*36000/_xlfn.DAYS(L8545, $C$2)</f>
        <v>15.640707975297822</v>
      </c>
      <c r="O8545" s="149">
        <f t="shared" ca="1" si="278"/>
        <v>1.000173611111111</v>
      </c>
    </row>
    <row r="8546" spans="12:15" x14ac:dyDescent="0.25">
      <c r="L8546" s="147">
        <f ca="1"/>
        <v>53785</v>
      </c>
      <c r="M8546" s="92">
        <f t="shared" ca="1" si="277"/>
        <v>6.25</v>
      </c>
      <c r="N8546" s="143">
        <f ca="1">(PRODUCT($O$5:$O8546)-1)*36000/_xlfn.DAYS(L8546, $C$2)</f>
        <v>15.642323701043471</v>
      </c>
      <c r="O8546" s="149">
        <f t="shared" ca="1" si="278"/>
        <v>1.000173611111111</v>
      </c>
    </row>
    <row r="8547" spans="12:15" x14ac:dyDescent="0.25">
      <c r="L8547" s="147">
        <f ca="1"/>
        <v>53786</v>
      </c>
      <c r="M8547" s="92">
        <f t="shared" ca="1" si="277"/>
        <v>6.25</v>
      </c>
      <c r="N8547" s="143">
        <f ca="1">(PRODUCT($O$5:$O8547)-1)*36000/_xlfn.DAYS(L8547, $C$2)</f>
        <v>15.64393964685795</v>
      </c>
      <c r="O8547" s="149">
        <f t="shared" ca="1" si="278"/>
        <v>1.000173611111111</v>
      </c>
    </row>
    <row r="8548" spans="12:15" x14ac:dyDescent="0.25">
      <c r="L8548" s="147">
        <f ca="1"/>
        <v>53787</v>
      </c>
      <c r="M8548" s="92">
        <f t="shared" ca="1" si="277"/>
        <v>6.25</v>
      </c>
      <c r="N8548" s="143">
        <f ca="1">(PRODUCT($O$5:$O8548)-1)*36000/_xlfn.DAYS(L8548, $C$2)</f>
        <v>15.645555812767853</v>
      </c>
      <c r="O8548" s="149">
        <f t="shared" ca="1" si="278"/>
        <v>1.000173611111111</v>
      </c>
    </row>
    <row r="8549" spans="12:15" x14ac:dyDescent="0.25">
      <c r="L8549" s="147">
        <f ca="1"/>
        <v>53788</v>
      </c>
      <c r="M8549" s="92">
        <f t="shared" ca="1" si="277"/>
        <v>6.25</v>
      </c>
      <c r="N8549" s="143">
        <f ca="1">(PRODUCT($O$5:$O8549)-1)*36000/_xlfn.DAYS(L8549, $C$2)</f>
        <v>15.647172198799781</v>
      </c>
      <c r="O8549" s="149">
        <f t="shared" ca="1" si="278"/>
        <v>1.000173611111111</v>
      </c>
    </row>
    <row r="8550" spans="12:15" x14ac:dyDescent="0.25">
      <c r="L8550" s="147">
        <f ca="1"/>
        <v>53789</v>
      </c>
      <c r="M8550" s="92">
        <f t="shared" ca="1" si="277"/>
        <v>6.25</v>
      </c>
      <c r="N8550" s="143">
        <f ca="1">(PRODUCT($O$5:$O8550)-1)*36000/_xlfn.DAYS(L8550, $C$2)</f>
        <v>15.648788804980338</v>
      </c>
      <c r="O8550" s="149">
        <f t="shared" ca="1" si="278"/>
        <v>1.000173611111111</v>
      </c>
    </row>
    <row r="8551" spans="12:15" x14ac:dyDescent="0.25">
      <c r="L8551" s="147">
        <f ca="1"/>
        <v>53790</v>
      </c>
      <c r="M8551" s="92">
        <f t="shared" ca="1" si="277"/>
        <v>6.25</v>
      </c>
      <c r="N8551" s="143">
        <f ca="1">(PRODUCT($O$5:$O8551)-1)*36000/_xlfn.DAYS(L8551, $C$2)</f>
        <v>15.650405631336131</v>
      </c>
      <c r="O8551" s="149">
        <f t="shared" ca="1" si="278"/>
        <v>1.000173611111111</v>
      </c>
    </row>
    <row r="8552" spans="12:15" x14ac:dyDescent="0.25">
      <c r="L8552" s="147">
        <f ca="1"/>
        <v>53791</v>
      </c>
      <c r="M8552" s="92">
        <f t="shared" ca="1" si="277"/>
        <v>6.25</v>
      </c>
      <c r="N8552" s="143">
        <f ca="1">(PRODUCT($O$5:$O8552)-1)*36000/_xlfn.DAYS(L8552, $C$2)</f>
        <v>15.652022677893775</v>
      </c>
      <c r="O8552" s="149">
        <f t="shared" ca="1" si="278"/>
        <v>1.000173611111111</v>
      </c>
    </row>
    <row r="8553" spans="12:15" x14ac:dyDescent="0.25">
      <c r="L8553" s="147">
        <f ca="1"/>
        <v>53792</v>
      </c>
      <c r="M8553" s="92">
        <f t="shared" ca="1" si="277"/>
        <v>6.25</v>
      </c>
      <c r="N8553" s="143">
        <f ca="1">(PRODUCT($O$5:$O8553)-1)*36000/_xlfn.DAYS(L8553, $C$2)</f>
        <v>15.653639944679888</v>
      </c>
      <c r="O8553" s="149">
        <f t="shared" ca="1" si="278"/>
        <v>1.000173611111111</v>
      </c>
    </row>
    <row r="8554" spans="12:15" x14ac:dyDescent="0.25">
      <c r="L8554" s="147">
        <f ca="1"/>
        <v>53793</v>
      </c>
      <c r="M8554" s="92">
        <f t="shared" ca="1" si="277"/>
        <v>6.25</v>
      </c>
      <c r="N8554" s="143">
        <f ca="1">(PRODUCT($O$5:$O8554)-1)*36000/_xlfn.DAYS(L8554, $C$2)</f>
        <v>15.655257431721102</v>
      </c>
      <c r="O8554" s="149">
        <f t="shared" ca="1" si="278"/>
        <v>1.000173611111111</v>
      </c>
    </row>
    <row r="8555" spans="12:15" x14ac:dyDescent="0.25">
      <c r="L8555" s="147">
        <f ca="1"/>
        <v>53794</v>
      </c>
      <c r="M8555" s="92">
        <f t="shared" ca="1" si="277"/>
        <v>6.25</v>
      </c>
      <c r="N8555" s="143">
        <f ca="1">(PRODUCT($O$5:$O8555)-1)*36000/_xlfn.DAYS(L8555, $C$2)</f>
        <v>15.65687513904404</v>
      </c>
      <c r="O8555" s="149">
        <f t="shared" ca="1" si="278"/>
        <v>1.000173611111111</v>
      </c>
    </row>
    <row r="8556" spans="12:15" x14ac:dyDescent="0.25">
      <c r="L8556" s="147">
        <f ca="1"/>
        <v>53795</v>
      </c>
      <c r="M8556" s="92">
        <f t="shared" ca="1" si="277"/>
        <v>6.25</v>
      </c>
      <c r="N8556" s="143">
        <f ca="1">(PRODUCT($O$5:$O8556)-1)*36000/_xlfn.DAYS(L8556, $C$2)</f>
        <v>15.65849306667535</v>
      </c>
      <c r="O8556" s="149">
        <f t="shared" ca="1" si="278"/>
        <v>1.000173611111111</v>
      </c>
    </row>
    <row r="8557" spans="12:15" x14ac:dyDescent="0.25">
      <c r="L8557" s="147">
        <f ca="1"/>
        <v>53796</v>
      </c>
      <c r="M8557" s="92">
        <f t="shared" ca="1" si="277"/>
        <v>6.25</v>
      </c>
      <c r="N8557" s="143">
        <f ca="1">(PRODUCT($O$5:$O8557)-1)*36000/_xlfn.DAYS(L8557, $C$2)</f>
        <v>15.660111214641667</v>
      </c>
      <c r="O8557" s="149">
        <f t="shared" ca="1" si="278"/>
        <v>1.000173611111111</v>
      </c>
    </row>
    <row r="8558" spans="12:15" x14ac:dyDescent="0.25">
      <c r="L8558" s="147">
        <f ca="1"/>
        <v>53797</v>
      </c>
      <c r="M8558" s="92">
        <f t="shared" ca="1" si="277"/>
        <v>6.25</v>
      </c>
      <c r="N8558" s="143">
        <f ca="1">(PRODUCT($O$5:$O8558)-1)*36000/_xlfn.DAYS(L8558, $C$2)</f>
        <v>15.66172958296964</v>
      </c>
      <c r="O8558" s="149">
        <f t="shared" ca="1" si="278"/>
        <v>1.000173611111111</v>
      </c>
    </row>
    <row r="8559" spans="12:15" x14ac:dyDescent="0.25">
      <c r="L8559" s="147">
        <f ca="1"/>
        <v>53798</v>
      </c>
      <c r="M8559" s="92">
        <f t="shared" ca="1" si="277"/>
        <v>6.25</v>
      </c>
      <c r="N8559" s="143">
        <f ca="1">(PRODUCT($O$5:$O8559)-1)*36000/_xlfn.DAYS(L8559, $C$2)</f>
        <v>15.663348171685929</v>
      </c>
      <c r="O8559" s="149">
        <f t="shared" ca="1" si="278"/>
        <v>1.000173611111111</v>
      </c>
    </row>
    <row r="8560" spans="12:15" x14ac:dyDescent="0.25">
      <c r="L8560" s="147">
        <f ca="1"/>
        <v>53799</v>
      </c>
      <c r="M8560" s="92">
        <f t="shared" ca="1" si="277"/>
        <v>6.25</v>
      </c>
      <c r="N8560" s="143">
        <f ca="1">(PRODUCT($O$5:$O8560)-1)*36000/_xlfn.DAYS(L8560, $C$2)</f>
        <v>15.664966980817189</v>
      </c>
      <c r="O8560" s="149">
        <f t="shared" ca="1" si="278"/>
        <v>1.000173611111111</v>
      </c>
    </row>
    <row r="8561" spans="12:15" x14ac:dyDescent="0.25">
      <c r="L8561" s="147">
        <f ca="1"/>
        <v>53800</v>
      </c>
      <c r="M8561" s="92">
        <f t="shared" ca="1" si="277"/>
        <v>6.25</v>
      </c>
      <c r="N8561" s="143">
        <f ca="1">(PRODUCT($O$5:$O8561)-1)*36000/_xlfn.DAYS(L8561, $C$2)</f>
        <v>15.666586010390084</v>
      </c>
      <c r="O8561" s="149">
        <f t="shared" ca="1" si="278"/>
        <v>1.000173611111111</v>
      </c>
    </row>
    <row r="8562" spans="12:15" x14ac:dyDescent="0.25">
      <c r="L8562" s="147">
        <f ca="1"/>
        <v>53801</v>
      </c>
      <c r="M8562" s="92">
        <f t="shared" ca="1" si="277"/>
        <v>6.25</v>
      </c>
      <c r="N8562" s="143">
        <f ca="1">(PRODUCT($O$5:$O8562)-1)*36000/_xlfn.DAYS(L8562, $C$2)</f>
        <v>15.668205260431284</v>
      </c>
      <c r="O8562" s="149">
        <f t="shared" ca="1" si="278"/>
        <v>1.000173611111111</v>
      </c>
    </row>
    <row r="8563" spans="12:15" x14ac:dyDescent="0.25">
      <c r="L8563" s="147">
        <f ca="1"/>
        <v>53802</v>
      </c>
      <c r="M8563" s="92">
        <f t="shared" ca="1" si="277"/>
        <v>6.25</v>
      </c>
      <c r="N8563" s="143">
        <f ca="1">(PRODUCT($O$5:$O8563)-1)*36000/_xlfn.DAYS(L8563, $C$2)</f>
        <v>15.669824730967466</v>
      </c>
      <c r="O8563" s="149">
        <f t="shared" ca="1" si="278"/>
        <v>1.000173611111111</v>
      </c>
    </row>
    <row r="8564" spans="12:15" x14ac:dyDescent="0.25">
      <c r="L8564" s="147">
        <f ca="1"/>
        <v>53803</v>
      </c>
      <c r="M8564" s="92">
        <f t="shared" ca="1" si="277"/>
        <v>6.25</v>
      </c>
      <c r="N8564" s="143">
        <f ca="1">(PRODUCT($O$5:$O8564)-1)*36000/_xlfn.DAYS(L8564, $C$2)</f>
        <v>15.671444422025317</v>
      </c>
      <c r="O8564" s="149">
        <f t="shared" ca="1" si="278"/>
        <v>1.000173611111111</v>
      </c>
    </row>
    <row r="8565" spans="12:15" x14ac:dyDescent="0.25">
      <c r="L8565" s="147">
        <f ca="1"/>
        <v>53804</v>
      </c>
      <c r="M8565" s="92">
        <f t="shared" ca="1" si="277"/>
        <v>6.25</v>
      </c>
      <c r="N8565" s="143">
        <f ca="1">(PRODUCT($O$5:$O8565)-1)*36000/_xlfn.DAYS(L8565, $C$2)</f>
        <v>15.673064333631517</v>
      </c>
      <c r="O8565" s="149">
        <f t="shared" ca="1" si="278"/>
        <v>1.000173611111111</v>
      </c>
    </row>
    <row r="8566" spans="12:15" x14ac:dyDescent="0.25">
      <c r="L8566" s="147">
        <f ca="1"/>
        <v>53805</v>
      </c>
      <c r="M8566" s="92">
        <f t="shared" ca="1" si="277"/>
        <v>6.25</v>
      </c>
      <c r="N8566" s="143">
        <f ca="1">(PRODUCT($O$5:$O8566)-1)*36000/_xlfn.DAYS(L8566, $C$2)</f>
        <v>15.674684465812764</v>
      </c>
      <c r="O8566" s="149">
        <f t="shared" ca="1" si="278"/>
        <v>1.000173611111111</v>
      </c>
    </row>
    <row r="8567" spans="12:15" x14ac:dyDescent="0.25">
      <c r="L8567" s="147">
        <f ca="1"/>
        <v>53806</v>
      </c>
      <c r="M8567" s="92">
        <f t="shared" ca="1" si="277"/>
        <v>6.25</v>
      </c>
      <c r="N8567" s="143">
        <f ca="1">(PRODUCT($O$5:$O8567)-1)*36000/_xlfn.DAYS(L8567, $C$2)</f>
        <v>15.676304818595757</v>
      </c>
      <c r="O8567" s="149">
        <f t="shared" ca="1" si="278"/>
        <v>1.000173611111111</v>
      </c>
    </row>
    <row r="8568" spans="12:15" x14ac:dyDescent="0.25">
      <c r="L8568" s="147">
        <f ca="1"/>
        <v>53807</v>
      </c>
      <c r="M8568" s="92">
        <f t="shared" ca="1" si="277"/>
        <v>6.25</v>
      </c>
      <c r="N8568" s="143">
        <f ca="1">(PRODUCT($O$5:$O8568)-1)*36000/_xlfn.DAYS(L8568, $C$2)</f>
        <v>15.677925392007195</v>
      </c>
      <c r="O8568" s="149">
        <f t="shared" ca="1" si="278"/>
        <v>1.000173611111111</v>
      </c>
    </row>
    <row r="8569" spans="12:15" x14ac:dyDescent="0.25">
      <c r="L8569" s="147">
        <f ca="1"/>
        <v>53808</v>
      </c>
      <c r="M8569" s="92">
        <f t="shared" ca="1" si="277"/>
        <v>6.25</v>
      </c>
      <c r="N8569" s="143">
        <f ca="1">(PRODUCT($O$5:$O8569)-1)*36000/_xlfn.DAYS(L8569, $C$2)</f>
        <v>15.679546186073791</v>
      </c>
      <c r="O8569" s="149">
        <f t="shared" ca="1" si="278"/>
        <v>1.000173611111111</v>
      </c>
    </row>
    <row r="8570" spans="12:15" x14ac:dyDescent="0.25">
      <c r="L8570" s="147">
        <f ca="1"/>
        <v>53809</v>
      </c>
      <c r="M8570" s="92">
        <f t="shared" ca="1" si="277"/>
        <v>6.25</v>
      </c>
      <c r="N8570" s="143">
        <f ca="1">(PRODUCT($O$5:$O8570)-1)*36000/_xlfn.DAYS(L8570, $C$2)</f>
        <v>15.68116720082226</v>
      </c>
      <c r="O8570" s="149">
        <f t="shared" ca="1" si="278"/>
        <v>1.000173611111111</v>
      </c>
    </row>
    <row r="8571" spans="12:15" x14ac:dyDescent="0.25">
      <c r="L8571" s="147">
        <f ca="1"/>
        <v>53810</v>
      </c>
      <c r="M8571" s="92">
        <f t="shared" ca="1" si="277"/>
        <v>6.25</v>
      </c>
      <c r="N8571" s="143">
        <f ca="1">(PRODUCT($O$5:$O8571)-1)*36000/_xlfn.DAYS(L8571, $C$2)</f>
        <v>15.682788436279324</v>
      </c>
      <c r="O8571" s="149">
        <f t="shared" ca="1" si="278"/>
        <v>1.000173611111111</v>
      </c>
    </row>
    <row r="8572" spans="12:15" x14ac:dyDescent="0.25">
      <c r="L8572" s="147">
        <f ca="1"/>
        <v>53811</v>
      </c>
      <c r="M8572" s="92">
        <f t="shared" ca="1" si="277"/>
        <v>6.25</v>
      </c>
      <c r="N8572" s="143">
        <f ca="1">(PRODUCT($O$5:$O8572)-1)*36000/_xlfn.DAYS(L8572, $C$2)</f>
        <v>15.684409892471704</v>
      </c>
      <c r="O8572" s="149">
        <f t="shared" ca="1" si="278"/>
        <v>1.000173611111111</v>
      </c>
    </row>
    <row r="8573" spans="12:15" x14ac:dyDescent="0.25">
      <c r="L8573" s="147">
        <f ca="1"/>
        <v>53812</v>
      </c>
      <c r="M8573" s="92">
        <f t="shared" ca="1" si="277"/>
        <v>6.25</v>
      </c>
      <c r="N8573" s="143">
        <f ca="1">(PRODUCT($O$5:$O8573)-1)*36000/_xlfn.DAYS(L8573, $C$2)</f>
        <v>15.686031569426142</v>
      </c>
      <c r="O8573" s="149">
        <f t="shared" ca="1" si="278"/>
        <v>1.000173611111111</v>
      </c>
    </row>
    <row r="8574" spans="12:15" x14ac:dyDescent="0.25">
      <c r="L8574" s="147">
        <f ca="1"/>
        <v>53813</v>
      </c>
      <c r="M8574" s="92">
        <f t="shared" ca="1" si="277"/>
        <v>6.25</v>
      </c>
      <c r="N8574" s="143">
        <f ca="1">(PRODUCT($O$5:$O8574)-1)*36000/_xlfn.DAYS(L8574, $C$2)</f>
        <v>15.687653467169371</v>
      </c>
      <c r="O8574" s="149">
        <f t="shared" ca="1" si="278"/>
        <v>1.000173611111111</v>
      </c>
    </row>
    <row r="8575" spans="12:15" x14ac:dyDescent="0.25">
      <c r="L8575" s="147">
        <f ca="1"/>
        <v>53814</v>
      </c>
      <c r="M8575" s="92">
        <f t="shared" ca="1" si="277"/>
        <v>6.25</v>
      </c>
      <c r="N8575" s="143">
        <f ca="1">(PRODUCT($O$5:$O8575)-1)*36000/_xlfn.DAYS(L8575, $C$2)</f>
        <v>15.689275585728126</v>
      </c>
      <c r="O8575" s="149">
        <f t="shared" ca="1" si="278"/>
        <v>1.000173611111111</v>
      </c>
    </row>
    <row r="8576" spans="12:15" x14ac:dyDescent="0.25">
      <c r="L8576" s="147">
        <f ca="1"/>
        <v>53815</v>
      </c>
      <c r="M8576" s="92">
        <f t="shared" ca="1" si="277"/>
        <v>6.25</v>
      </c>
      <c r="N8576" s="143">
        <f ca="1">(PRODUCT($O$5:$O8576)-1)*36000/_xlfn.DAYS(L8576, $C$2)</f>
        <v>15.690897925129169</v>
      </c>
      <c r="O8576" s="149">
        <f t="shared" ca="1" si="278"/>
        <v>1.000173611111111</v>
      </c>
    </row>
    <row r="8577" spans="12:15" x14ac:dyDescent="0.25">
      <c r="L8577" s="147">
        <f ca="1"/>
        <v>53816</v>
      </c>
      <c r="M8577" s="92">
        <f t="shared" ca="1" si="277"/>
        <v>6.25</v>
      </c>
      <c r="N8577" s="143">
        <f ca="1">(PRODUCT($O$5:$O8577)-1)*36000/_xlfn.DAYS(L8577, $C$2)</f>
        <v>15.69252048539925</v>
      </c>
      <c r="O8577" s="149">
        <f t="shared" ca="1" si="278"/>
        <v>1.000173611111111</v>
      </c>
    </row>
    <row r="8578" spans="12:15" x14ac:dyDescent="0.25">
      <c r="L8578" s="147">
        <f ca="1"/>
        <v>53817</v>
      </c>
      <c r="M8578" s="92">
        <f t="shared" ca="1" si="277"/>
        <v>6.25</v>
      </c>
      <c r="N8578" s="143">
        <f ca="1">(PRODUCT($O$5:$O8578)-1)*36000/_xlfn.DAYS(L8578, $C$2)</f>
        <v>15.694143266565124</v>
      </c>
      <c r="O8578" s="149">
        <f t="shared" ca="1" si="278"/>
        <v>1.000173611111111</v>
      </c>
    </row>
    <row r="8579" spans="12:15" x14ac:dyDescent="0.25">
      <c r="L8579" s="147">
        <f ca="1"/>
        <v>53818</v>
      </c>
      <c r="M8579" s="92">
        <f t="shared" ca="1" si="277"/>
        <v>6.25</v>
      </c>
      <c r="N8579" s="143">
        <f ca="1">(PRODUCT($O$5:$O8579)-1)*36000/_xlfn.DAYS(L8579, $C$2)</f>
        <v>15.695766268653562</v>
      </c>
      <c r="O8579" s="149">
        <f t="shared" ca="1" si="278"/>
        <v>1.000173611111111</v>
      </c>
    </row>
    <row r="8580" spans="12:15" x14ac:dyDescent="0.25">
      <c r="L8580" s="147">
        <f ca="1"/>
        <v>53819</v>
      </c>
      <c r="M8580" s="92">
        <f t="shared" ca="1" si="277"/>
        <v>6.25</v>
      </c>
      <c r="N8580" s="143">
        <f ca="1">(PRODUCT($O$5:$O8580)-1)*36000/_xlfn.DAYS(L8580, $C$2)</f>
        <v>15.697389491691329</v>
      </c>
      <c r="O8580" s="149">
        <f t="shared" ca="1" si="278"/>
        <v>1.000173611111111</v>
      </c>
    </row>
    <row r="8581" spans="12:15" x14ac:dyDescent="0.25">
      <c r="L8581" s="147">
        <f ca="1"/>
        <v>53820</v>
      </c>
      <c r="M8581" s="92">
        <f t="shared" ref="M8581:M8644" ca="1" si="279">IFERROR(INDEX($E$27:$H$47, MATCH(L8581, $F$27:$F$47, 0), 4), IF(ISNUMBER(M8580), M8580, $C$5))</f>
        <v>6.25</v>
      </c>
      <c r="N8581" s="143">
        <f ca="1">(PRODUCT($O$5:$O8581)-1)*36000/_xlfn.DAYS(L8581, $C$2)</f>
        <v>15.699012935705209</v>
      </c>
      <c r="O8581" s="149">
        <f t="shared" ca="1" si="278"/>
        <v>1.000173611111111</v>
      </c>
    </row>
    <row r="8582" spans="12:15" x14ac:dyDescent="0.25">
      <c r="L8582" s="147">
        <f ca="1"/>
        <v>53821</v>
      </c>
      <c r="M8582" s="92">
        <f t="shared" ca="1" si="279"/>
        <v>6.25</v>
      </c>
      <c r="N8582" s="143">
        <f ca="1">(PRODUCT($O$5:$O8582)-1)*36000/_xlfn.DAYS(L8582, $C$2)</f>
        <v>15.700636600721982</v>
      </c>
      <c r="O8582" s="149">
        <f t="shared" ref="O8582:O8645" ca="1" si="280">1+M8582*IFERROR(_xlfn.DAYS(L8582, L8581), _xlfn.DAYS(L8582, $C$2))/36000</f>
        <v>1.000173611111111</v>
      </c>
    </row>
    <row r="8583" spans="12:15" x14ac:dyDescent="0.25">
      <c r="L8583" s="147">
        <f ca="1"/>
        <v>53822</v>
      </c>
      <c r="M8583" s="92">
        <f t="shared" ca="1" si="279"/>
        <v>6.25</v>
      </c>
      <c r="N8583" s="143">
        <f ca="1">(PRODUCT($O$5:$O8583)-1)*36000/_xlfn.DAYS(L8583, $C$2)</f>
        <v>15.702260486768431</v>
      </c>
      <c r="O8583" s="149">
        <f t="shared" ca="1" si="280"/>
        <v>1.000173611111111</v>
      </c>
    </row>
    <row r="8584" spans="12:15" x14ac:dyDescent="0.25">
      <c r="L8584" s="147">
        <f ca="1"/>
        <v>53823</v>
      </c>
      <c r="M8584" s="92">
        <f t="shared" ca="1" si="279"/>
        <v>6.25</v>
      </c>
      <c r="N8584" s="143">
        <f ca="1">(PRODUCT($O$5:$O8584)-1)*36000/_xlfn.DAYS(L8584, $C$2)</f>
        <v>15.703884593871351</v>
      </c>
      <c r="O8584" s="149">
        <f t="shared" ca="1" si="280"/>
        <v>1.000173611111111</v>
      </c>
    </row>
    <row r="8585" spans="12:15" x14ac:dyDescent="0.25">
      <c r="L8585" s="147">
        <f ca="1"/>
        <v>53824</v>
      </c>
      <c r="M8585" s="92">
        <f t="shared" ca="1" si="279"/>
        <v>6.25</v>
      </c>
      <c r="N8585" s="143">
        <f ca="1">(PRODUCT($O$5:$O8585)-1)*36000/_xlfn.DAYS(L8585, $C$2)</f>
        <v>15.705508922057545</v>
      </c>
      <c r="O8585" s="149">
        <f t="shared" ca="1" si="280"/>
        <v>1.000173611111111</v>
      </c>
    </row>
    <row r="8586" spans="12:15" x14ac:dyDescent="0.25">
      <c r="L8586" s="147">
        <f ca="1"/>
        <v>53825</v>
      </c>
      <c r="M8586" s="92">
        <f t="shared" ca="1" si="279"/>
        <v>6.25</v>
      </c>
      <c r="N8586" s="143">
        <f ca="1">(PRODUCT($O$5:$O8586)-1)*36000/_xlfn.DAYS(L8586, $C$2)</f>
        <v>15.707133471353815</v>
      </c>
      <c r="O8586" s="149">
        <f t="shared" ca="1" si="280"/>
        <v>1.000173611111111</v>
      </c>
    </row>
    <row r="8587" spans="12:15" x14ac:dyDescent="0.25">
      <c r="L8587" s="147">
        <f ca="1"/>
        <v>53826</v>
      </c>
      <c r="M8587" s="92">
        <f t="shared" ca="1" si="279"/>
        <v>6.25</v>
      </c>
      <c r="N8587" s="143">
        <f ca="1">(PRODUCT($O$5:$O8587)-1)*36000/_xlfn.DAYS(L8587, $C$2)</f>
        <v>15.708758241786974</v>
      </c>
      <c r="O8587" s="149">
        <f t="shared" ca="1" si="280"/>
        <v>1.000173611111111</v>
      </c>
    </row>
    <row r="8588" spans="12:15" x14ac:dyDescent="0.25">
      <c r="L8588" s="147">
        <f ca="1"/>
        <v>53827</v>
      </c>
      <c r="M8588" s="92">
        <f t="shared" ca="1" si="279"/>
        <v>6.25</v>
      </c>
      <c r="N8588" s="143">
        <f ca="1">(PRODUCT($O$5:$O8588)-1)*36000/_xlfn.DAYS(L8588, $C$2)</f>
        <v>15.710383233383835</v>
      </c>
      <c r="O8588" s="149">
        <f t="shared" ca="1" si="280"/>
        <v>1.000173611111111</v>
      </c>
    </row>
    <row r="8589" spans="12:15" x14ac:dyDescent="0.25">
      <c r="L8589" s="147">
        <f ca="1"/>
        <v>53828</v>
      </c>
      <c r="M8589" s="92">
        <f t="shared" ca="1" si="279"/>
        <v>6.25</v>
      </c>
      <c r="N8589" s="143">
        <f ca="1">(PRODUCT($O$5:$O8589)-1)*36000/_xlfn.DAYS(L8589, $C$2)</f>
        <v>15.712008446171218</v>
      </c>
      <c r="O8589" s="149">
        <f t="shared" ca="1" si="280"/>
        <v>1.000173611111111</v>
      </c>
    </row>
    <row r="8590" spans="12:15" x14ac:dyDescent="0.25">
      <c r="L8590" s="147">
        <f ca="1"/>
        <v>53829</v>
      </c>
      <c r="M8590" s="92">
        <f t="shared" ca="1" si="279"/>
        <v>6.25</v>
      </c>
      <c r="N8590" s="143">
        <f ca="1">(PRODUCT($O$5:$O8590)-1)*36000/_xlfn.DAYS(L8590, $C$2)</f>
        <v>15.713633880175951</v>
      </c>
      <c r="O8590" s="149">
        <f t="shared" ca="1" si="280"/>
        <v>1.000173611111111</v>
      </c>
    </row>
    <row r="8591" spans="12:15" x14ac:dyDescent="0.25">
      <c r="L8591" s="147">
        <f ca="1"/>
        <v>53830</v>
      </c>
      <c r="M8591" s="92">
        <f t="shared" ca="1" si="279"/>
        <v>6.25</v>
      </c>
      <c r="N8591" s="143">
        <f ca="1">(PRODUCT($O$5:$O8591)-1)*36000/_xlfn.DAYS(L8591, $C$2)</f>
        <v>15.715259535424867</v>
      </c>
      <c r="O8591" s="149">
        <f t="shared" ca="1" si="280"/>
        <v>1.000173611111111</v>
      </c>
    </row>
    <row r="8592" spans="12:15" x14ac:dyDescent="0.25">
      <c r="L8592" s="147">
        <f ca="1"/>
        <v>53831</v>
      </c>
      <c r="M8592" s="92">
        <f t="shared" ca="1" si="279"/>
        <v>6.25</v>
      </c>
      <c r="N8592" s="143">
        <f ca="1">(PRODUCT($O$5:$O8592)-1)*36000/_xlfn.DAYS(L8592, $C$2)</f>
        <v>15.716885411944807</v>
      </c>
      <c r="O8592" s="149">
        <f t="shared" ca="1" si="280"/>
        <v>1.000173611111111</v>
      </c>
    </row>
    <row r="8593" spans="12:15" x14ac:dyDescent="0.25">
      <c r="L8593" s="147">
        <f ca="1"/>
        <v>53832</v>
      </c>
      <c r="M8593" s="92">
        <f t="shared" ca="1" si="279"/>
        <v>6.25</v>
      </c>
      <c r="N8593" s="143">
        <f ca="1">(PRODUCT($O$5:$O8593)-1)*36000/_xlfn.DAYS(L8593, $C$2)</f>
        <v>15.718511509762608</v>
      </c>
      <c r="O8593" s="149">
        <f t="shared" ca="1" si="280"/>
        <v>1.000173611111111</v>
      </c>
    </row>
    <row r="8594" spans="12:15" x14ac:dyDescent="0.25">
      <c r="L8594" s="147">
        <f ca="1"/>
        <v>53833</v>
      </c>
      <c r="M8594" s="92">
        <f t="shared" ca="1" si="279"/>
        <v>6.25</v>
      </c>
      <c r="N8594" s="143">
        <f ca="1">(PRODUCT($O$5:$O8594)-1)*36000/_xlfn.DAYS(L8594, $C$2)</f>
        <v>15.720137828905122</v>
      </c>
      <c r="O8594" s="149">
        <f t="shared" ca="1" si="280"/>
        <v>1.000173611111111</v>
      </c>
    </row>
    <row r="8595" spans="12:15" x14ac:dyDescent="0.25">
      <c r="L8595" s="147">
        <f ca="1"/>
        <v>53834</v>
      </c>
      <c r="M8595" s="92">
        <f t="shared" ca="1" si="279"/>
        <v>6.25</v>
      </c>
      <c r="N8595" s="143">
        <f ca="1">(PRODUCT($O$5:$O8595)-1)*36000/_xlfn.DAYS(L8595, $C$2)</f>
        <v>15.721764369399205</v>
      </c>
      <c r="O8595" s="149">
        <f t="shared" ca="1" si="280"/>
        <v>1.000173611111111</v>
      </c>
    </row>
    <row r="8596" spans="12:15" x14ac:dyDescent="0.25">
      <c r="L8596" s="147">
        <f ca="1"/>
        <v>53835</v>
      </c>
      <c r="M8596" s="92">
        <f t="shared" ca="1" si="279"/>
        <v>6.25</v>
      </c>
      <c r="N8596" s="143">
        <f ca="1">(PRODUCT($O$5:$O8596)-1)*36000/_xlfn.DAYS(L8596, $C$2)</f>
        <v>15.723391131271718</v>
      </c>
      <c r="O8596" s="149">
        <f t="shared" ca="1" si="280"/>
        <v>1.000173611111111</v>
      </c>
    </row>
    <row r="8597" spans="12:15" x14ac:dyDescent="0.25">
      <c r="L8597" s="147">
        <f ca="1"/>
        <v>53836</v>
      </c>
      <c r="M8597" s="92">
        <f t="shared" ca="1" si="279"/>
        <v>6.25</v>
      </c>
      <c r="N8597" s="143">
        <f ca="1">(PRODUCT($O$5:$O8597)-1)*36000/_xlfn.DAYS(L8597, $C$2)</f>
        <v>15.725018114549524</v>
      </c>
      <c r="O8597" s="149">
        <f t="shared" ca="1" si="280"/>
        <v>1.000173611111111</v>
      </c>
    </row>
    <row r="8598" spans="12:15" x14ac:dyDescent="0.25">
      <c r="L8598" s="147">
        <f ca="1"/>
        <v>53837</v>
      </c>
      <c r="M8598" s="92">
        <f t="shared" ca="1" si="279"/>
        <v>6.25</v>
      </c>
      <c r="N8598" s="143">
        <f ca="1">(PRODUCT($O$5:$O8598)-1)*36000/_xlfn.DAYS(L8598, $C$2)</f>
        <v>15.726645319259495</v>
      </c>
      <c r="O8598" s="149">
        <f t="shared" ca="1" si="280"/>
        <v>1.000173611111111</v>
      </c>
    </row>
    <row r="8599" spans="12:15" x14ac:dyDescent="0.25">
      <c r="L8599" s="147">
        <f ca="1"/>
        <v>53838</v>
      </c>
      <c r="M8599" s="92">
        <f t="shared" ca="1" si="279"/>
        <v>6.25</v>
      </c>
      <c r="N8599" s="143">
        <f ca="1">(PRODUCT($O$5:$O8599)-1)*36000/_xlfn.DAYS(L8599, $C$2)</f>
        <v>15.728272745428512</v>
      </c>
      <c r="O8599" s="149">
        <f t="shared" ca="1" si="280"/>
        <v>1.000173611111111</v>
      </c>
    </row>
    <row r="8600" spans="12:15" x14ac:dyDescent="0.25">
      <c r="L8600" s="147">
        <f ca="1"/>
        <v>53839</v>
      </c>
      <c r="M8600" s="92">
        <f t="shared" ca="1" si="279"/>
        <v>6.25</v>
      </c>
      <c r="N8600" s="143">
        <f ca="1">(PRODUCT($O$5:$O8600)-1)*36000/_xlfn.DAYS(L8600, $C$2)</f>
        <v>15.729900393083456</v>
      </c>
      <c r="O8600" s="149">
        <f t="shared" ca="1" si="280"/>
        <v>1.000173611111111</v>
      </c>
    </row>
    <row r="8601" spans="12:15" x14ac:dyDescent="0.25">
      <c r="L8601" s="147">
        <f ca="1"/>
        <v>53840</v>
      </c>
      <c r="M8601" s="92">
        <f t="shared" ca="1" si="279"/>
        <v>6.25</v>
      </c>
      <c r="N8601" s="143">
        <f ca="1">(PRODUCT($O$5:$O8601)-1)*36000/_xlfn.DAYS(L8601, $C$2)</f>
        <v>15.731528262251212</v>
      </c>
      <c r="O8601" s="149">
        <f t="shared" ca="1" si="280"/>
        <v>1.000173611111111</v>
      </c>
    </row>
    <row r="8602" spans="12:15" x14ac:dyDescent="0.25">
      <c r="L8602" s="147">
        <f ca="1"/>
        <v>53841</v>
      </c>
      <c r="M8602" s="92">
        <f t="shared" ca="1" si="279"/>
        <v>6.25</v>
      </c>
      <c r="N8602" s="143">
        <f ca="1">(PRODUCT($O$5:$O8602)-1)*36000/_xlfn.DAYS(L8602, $C$2)</f>
        <v>15.733156352958677</v>
      </c>
      <c r="O8602" s="149">
        <f t="shared" ca="1" si="280"/>
        <v>1.000173611111111</v>
      </c>
    </row>
    <row r="8603" spans="12:15" x14ac:dyDescent="0.25">
      <c r="L8603" s="147">
        <f ca="1"/>
        <v>53842</v>
      </c>
      <c r="M8603" s="92">
        <f t="shared" ca="1" si="279"/>
        <v>6.25</v>
      </c>
      <c r="N8603" s="143">
        <f ca="1">(PRODUCT($O$5:$O8603)-1)*36000/_xlfn.DAYS(L8603, $C$2)</f>
        <v>15.734784665232745</v>
      </c>
      <c r="O8603" s="149">
        <f t="shared" ca="1" si="280"/>
        <v>1.000173611111111</v>
      </c>
    </row>
    <row r="8604" spans="12:15" x14ac:dyDescent="0.25">
      <c r="L8604" s="147">
        <f ca="1"/>
        <v>53843</v>
      </c>
      <c r="M8604" s="92">
        <f t="shared" ca="1" si="279"/>
        <v>6.25</v>
      </c>
      <c r="N8604" s="143">
        <f ca="1">(PRODUCT($O$5:$O8604)-1)*36000/_xlfn.DAYS(L8604, $C$2)</f>
        <v>15.736413199100324</v>
      </c>
      <c r="O8604" s="149">
        <f t="shared" ca="1" si="280"/>
        <v>1.000173611111111</v>
      </c>
    </row>
    <row r="8605" spans="12:15" x14ac:dyDescent="0.25">
      <c r="L8605" s="147">
        <f ca="1"/>
        <v>53844</v>
      </c>
      <c r="M8605" s="92">
        <f t="shared" ca="1" si="279"/>
        <v>6.25</v>
      </c>
      <c r="N8605" s="143">
        <f ca="1">(PRODUCT($O$5:$O8605)-1)*36000/_xlfn.DAYS(L8605, $C$2)</f>
        <v>15.738041954588331</v>
      </c>
      <c r="O8605" s="149">
        <f t="shared" ca="1" si="280"/>
        <v>1.000173611111111</v>
      </c>
    </row>
    <row r="8606" spans="12:15" x14ac:dyDescent="0.25">
      <c r="L8606" s="147">
        <f ca="1"/>
        <v>53845</v>
      </c>
      <c r="M8606" s="92">
        <f t="shared" ca="1" si="279"/>
        <v>6.25</v>
      </c>
      <c r="N8606" s="143">
        <f ca="1">(PRODUCT($O$5:$O8606)-1)*36000/_xlfn.DAYS(L8606, $C$2)</f>
        <v>15.739670931723671</v>
      </c>
      <c r="O8606" s="149">
        <f t="shared" ca="1" si="280"/>
        <v>1.000173611111111</v>
      </c>
    </row>
    <row r="8607" spans="12:15" x14ac:dyDescent="0.25">
      <c r="L8607" s="147">
        <f ca="1"/>
        <v>53846</v>
      </c>
      <c r="M8607" s="92">
        <f t="shared" ca="1" si="279"/>
        <v>6.25</v>
      </c>
      <c r="N8607" s="143">
        <f ca="1">(PRODUCT($O$5:$O8607)-1)*36000/_xlfn.DAYS(L8607, $C$2)</f>
        <v>15.741300130533276</v>
      </c>
      <c r="O8607" s="149">
        <f t="shared" ca="1" si="280"/>
        <v>1.000173611111111</v>
      </c>
    </row>
    <row r="8608" spans="12:15" x14ac:dyDescent="0.25">
      <c r="L8608" s="147">
        <f ca="1"/>
        <v>53847</v>
      </c>
      <c r="M8608" s="92">
        <f t="shared" ca="1" si="279"/>
        <v>6.25</v>
      </c>
      <c r="N8608" s="143">
        <f ca="1">(PRODUCT($O$5:$O8608)-1)*36000/_xlfn.DAYS(L8608, $C$2)</f>
        <v>15.742929551044062</v>
      </c>
      <c r="O8608" s="149">
        <f t="shared" ca="1" si="280"/>
        <v>1.000173611111111</v>
      </c>
    </row>
    <row r="8609" spans="12:15" x14ac:dyDescent="0.25">
      <c r="L8609" s="147">
        <f ca="1"/>
        <v>53848</v>
      </c>
      <c r="M8609" s="92">
        <f t="shared" ca="1" si="279"/>
        <v>6.25</v>
      </c>
      <c r="N8609" s="143">
        <f ca="1">(PRODUCT($O$5:$O8609)-1)*36000/_xlfn.DAYS(L8609, $C$2)</f>
        <v>15.744559193282971</v>
      </c>
      <c r="O8609" s="149">
        <f t="shared" ca="1" si="280"/>
        <v>1.000173611111111</v>
      </c>
    </row>
    <row r="8610" spans="12:15" x14ac:dyDescent="0.25">
      <c r="L8610" s="147">
        <f ca="1"/>
        <v>53849</v>
      </c>
      <c r="M8610" s="92">
        <f t="shared" ca="1" si="279"/>
        <v>6.25</v>
      </c>
      <c r="N8610" s="143">
        <f ca="1">(PRODUCT($O$5:$O8610)-1)*36000/_xlfn.DAYS(L8610, $C$2)</f>
        <v>15.746189057276942</v>
      </c>
      <c r="O8610" s="149">
        <f t="shared" ca="1" si="280"/>
        <v>1.000173611111111</v>
      </c>
    </row>
    <row r="8611" spans="12:15" x14ac:dyDescent="0.25">
      <c r="L8611" s="147">
        <f ca="1"/>
        <v>53850</v>
      </c>
      <c r="M8611" s="92">
        <f t="shared" ca="1" si="279"/>
        <v>6.25</v>
      </c>
      <c r="N8611" s="143">
        <f ca="1">(PRODUCT($O$5:$O8611)-1)*36000/_xlfn.DAYS(L8611, $C$2)</f>
        <v>15.747819143052912</v>
      </c>
      <c r="O8611" s="149">
        <f t="shared" ca="1" si="280"/>
        <v>1.000173611111111</v>
      </c>
    </row>
    <row r="8612" spans="12:15" x14ac:dyDescent="0.25">
      <c r="L8612" s="147">
        <f ca="1"/>
        <v>53851</v>
      </c>
      <c r="M8612" s="92">
        <f t="shared" ca="1" si="279"/>
        <v>6.25</v>
      </c>
      <c r="N8612" s="143">
        <f ca="1">(PRODUCT($O$5:$O8612)-1)*36000/_xlfn.DAYS(L8612, $C$2)</f>
        <v>15.74944945063783</v>
      </c>
      <c r="O8612" s="149">
        <f t="shared" ca="1" si="280"/>
        <v>1.000173611111111</v>
      </c>
    </row>
    <row r="8613" spans="12:15" x14ac:dyDescent="0.25">
      <c r="L8613" s="147">
        <f ca="1"/>
        <v>53852</v>
      </c>
      <c r="M8613" s="92">
        <f t="shared" ca="1" si="279"/>
        <v>6.25</v>
      </c>
      <c r="N8613" s="143">
        <f ca="1">(PRODUCT($O$5:$O8613)-1)*36000/_xlfn.DAYS(L8613, $C$2)</f>
        <v>15.751079980058657</v>
      </c>
      <c r="O8613" s="149">
        <f t="shared" ca="1" si="280"/>
        <v>1.000173611111111</v>
      </c>
    </row>
    <row r="8614" spans="12:15" x14ac:dyDescent="0.25">
      <c r="L8614" s="147">
        <f ca="1"/>
        <v>53853</v>
      </c>
      <c r="M8614" s="92">
        <f t="shared" ca="1" si="279"/>
        <v>6.25</v>
      </c>
      <c r="N8614" s="143">
        <f ca="1">(PRODUCT($O$5:$O8614)-1)*36000/_xlfn.DAYS(L8614, $C$2)</f>
        <v>15.752710731342352</v>
      </c>
      <c r="O8614" s="149">
        <f t="shared" ca="1" si="280"/>
        <v>1.000173611111111</v>
      </c>
    </row>
    <row r="8615" spans="12:15" x14ac:dyDescent="0.25">
      <c r="L8615" s="147">
        <f ca="1"/>
        <v>53854</v>
      </c>
      <c r="M8615" s="92">
        <f t="shared" ca="1" si="279"/>
        <v>6.25</v>
      </c>
      <c r="N8615" s="143">
        <f ca="1">(PRODUCT($O$5:$O8615)-1)*36000/_xlfn.DAYS(L8615, $C$2)</f>
        <v>15.75434170451588</v>
      </c>
      <c r="O8615" s="149">
        <f t="shared" ca="1" si="280"/>
        <v>1.000173611111111</v>
      </c>
    </row>
    <row r="8616" spans="12:15" x14ac:dyDescent="0.25">
      <c r="L8616" s="147">
        <f ca="1"/>
        <v>53855</v>
      </c>
      <c r="M8616" s="92">
        <f t="shared" ca="1" si="279"/>
        <v>6.25</v>
      </c>
      <c r="N8616" s="143">
        <f ca="1">(PRODUCT($O$5:$O8616)-1)*36000/_xlfn.DAYS(L8616, $C$2)</f>
        <v>15.755972899606219</v>
      </c>
      <c r="O8616" s="149">
        <f t="shared" ca="1" si="280"/>
        <v>1.000173611111111</v>
      </c>
    </row>
    <row r="8617" spans="12:15" x14ac:dyDescent="0.25">
      <c r="L8617" s="147">
        <f ca="1"/>
        <v>53856</v>
      </c>
      <c r="M8617" s="92">
        <f t="shared" ca="1" si="279"/>
        <v>6.25</v>
      </c>
      <c r="N8617" s="143">
        <f ca="1">(PRODUCT($O$5:$O8617)-1)*36000/_xlfn.DAYS(L8617, $C$2)</f>
        <v>15.757604316640338</v>
      </c>
      <c r="O8617" s="149">
        <f t="shared" ca="1" si="280"/>
        <v>1.000173611111111</v>
      </c>
    </row>
    <row r="8618" spans="12:15" x14ac:dyDescent="0.25">
      <c r="L8618" s="147">
        <f ca="1"/>
        <v>53857</v>
      </c>
      <c r="M8618" s="92">
        <f t="shared" ca="1" si="279"/>
        <v>6.25</v>
      </c>
      <c r="N8618" s="143">
        <f ca="1">(PRODUCT($O$5:$O8618)-1)*36000/_xlfn.DAYS(L8618, $C$2)</f>
        <v>15.759235955645222</v>
      </c>
      <c r="O8618" s="149">
        <f t="shared" ca="1" si="280"/>
        <v>1.000173611111111</v>
      </c>
    </row>
    <row r="8619" spans="12:15" x14ac:dyDescent="0.25">
      <c r="L8619" s="147">
        <f ca="1"/>
        <v>53858</v>
      </c>
      <c r="M8619" s="92">
        <f t="shared" ca="1" si="279"/>
        <v>6.25</v>
      </c>
      <c r="N8619" s="143">
        <f ca="1">(PRODUCT($O$5:$O8619)-1)*36000/_xlfn.DAYS(L8619, $C$2)</f>
        <v>15.760867816647862</v>
      </c>
      <c r="O8619" s="149">
        <f t="shared" ca="1" si="280"/>
        <v>1.000173611111111</v>
      </c>
    </row>
    <row r="8620" spans="12:15" x14ac:dyDescent="0.25">
      <c r="L8620" s="147">
        <f ca="1"/>
        <v>53859</v>
      </c>
      <c r="M8620" s="92">
        <f t="shared" ca="1" si="279"/>
        <v>6.25</v>
      </c>
      <c r="N8620" s="143">
        <f ca="1">(PRODUCT($O$5:$O8620)-1)*36000/_xlfn.DAYS(L8620, $C$2)</f>
        <v>15.762499899675246</v>
      </c>
      <c r="O8620" s="149">
        <f t="shared" ca="1" si="280"/>
        <v>1.000173611111111</v>
      </c>
    </row>
    <row r="8621" spans="12:15" x14ac:dyDescent="0.25">
      <c r="L8621" s="147">
        <f ca="1"/>
        <v>53860</v>
      </c>
      <c r="M8621" s="92">
        <f t="shared" ca="1" si="279"/>
        <v>6.25</v>
      </c>
      <c r="N8621" s="143">
        <f ca="1">(PRODUCT($O$5:$O8621)-1)*36000/_xlfn.DAYS(L8621, $C$2)</f>
        <v>15.764132204754384</v>
      </c>
      <c r="O8621" s="149">
        <f t="shared" ca="1" si="280"/>
        <v>1.000173611111111</v>
      </c>
    </row>
    <row r="8622" spans="12:15" x14ac:dyDescent="0.25">
      <c r="L8622" s="147">
        <f ca="1"/>
        <v>53861</v>
      </c>
      <c r="M8622" s="92">
        <f t="shared" ca="1" si="279"/>
        <v>6.25</v>
      </c>
      <c r="N8622" s="143">
        <f ca="1">(PRODUCT($O$5:$O8622)-1)*36000/_xlfn.DAYS(L8622, $C$2)</f>
        <v>15.765764731912272</v>
      </c>
      <c r="O8622" s="149">
        <f t="shared" ca="1" si="280"/>
        <v>1.000173611111111</v>
      </c>
    </row>
    <row r="8623" spans="12:15" x14ac:dyDescent="0.25">
      <c r="L8623" s="147">
        <f ca="1"/>
        <v>53862</v>
      </c>
      <c r="M8623" s="92">
        <f t="shared" ca="1" si="279"/>
        <v>6.25</v>
      </c>
      <c r="N8623" s="143">
        <f ca="1">(PRODUCT($O$5:$O8623)-1)*36000/_xlfn.DAYS(L8623, $C$2)</f>
        <v>15.767397481175925</v>
      </c>
      <c r="O8623" s="149">
        <f t="shared" ca="1" si="280"/>
        <v>1.000173611111111</v>
      </c>
    </row>
    <row r="8624" spans="12:15" x14ac:dyDescent="0.25">
      <c r="L8624" s="147">
        <f ca="1"/>
        <v>53863</v>
      </c>
      <c r="M8624" s="92">
        <f t="shared" ca="1" si="279"/>
        <v>6.25</v>
      </c>
      <c r="N8624" s="143">
        <f ca="1">(PRODUCT($O$5:$O8624)-1)*36000/_xlfn.DAYS(L8624, $C$2)</f>
        <v>15.769030452572359</v>
      </c>
      <c r="O8624" s="149">
        <f t="shared" ca="1" si="280"/>
        <v>1.000173611111111</v>
      </c>
    </row>
    <row r="8625" spans="12:15" x14ac:dyDescent="0.25">
      <c r="L8625" s="147">
        <f ca="1"/>
        <v>53864</v>
      </c>
      <c r="M8625" s="92">
        <f t="shared" ca="1" si="279"/>
        <v>6.25</v>
      </c>
      <c r="N8625" s="143">
        <f ca="1">(PRODUCT($O$5:$O8625)-1)*36000/_xlfn.DAYS(L8625, $C$2)</f>
        <v>15.770663646128595</v>
      </c>
      <c r="O8625" s="149">
        <f t="shared" ca="1" si="280"/>
        <v>1.000173611111111</v>
      </c>
    </row>
    <row r="8626" spans="12:15" x14ac:dyDescent="0.25">
      <c r="L8626" s="147">
        <f ca="1"/>
        <v>53865</v>
      </c>
      <c r="M8626" s="92">
        <f t="shared" ca="1" si="279"/>
        <v>6.25</v>
      </c>
      <c r="N8626" s="143">
        <f ca="1">(PRODUCT($O$5:$O8626)-1)*36000/_xlfn.DAYS(L8626, $C$2)</f>
        <v>15.77229706187166</v>
      </c>
      <c r="O8626" s="149">
        <f t="shared" ca="1" si="280"/>
        <v>1.000173611111111</v>
      </c>
    </row>
    <row r="8627" spans="12:15" x14ac:dyDescent="0.25">
      <c r="L8627" s="147">
        <f ca="1"/>
        <v>53866</v>
      </c>
      <c r="M8627" s="92">
        <f t="shared" ca="1" si="279"/>
        <v>6.25</v>
      </c>
      <c r="N8627" s="143">
        <f ca="1">(PRODUCT($O$5:$O8627)-1)*36000/_xlfn.DAYS(L8627, $C$2)</f>
        <v>15.773930699828588</v>
      </c>
      <c r="O8627" s="149">
        <f t="shared" ca="1" si="280"/>
        <v>1.000173611111111</v>
      </c>
    </row>
    <row r="8628" spans="12:15" x14ac:dyDescent="0.25">
      <c r="L8628" s="147">
        <f ca="1"/>
        <v>53867</v>
      </c>
      <c r="M8628" s="92">
        <f t="shared" ca="1" si="279"/>
        <v>6.25</v>
      </c>
      <c r="N8628" s="143">
        <f ca="1">(PRODUCT($O$5:$O8628)-1)*36000/_xlfn.DAYS(L8628, $C$2)</f>
        <v>15.775564560026419</v>
      </c>
      <c r="O8628" s="149">
        <f t="shared" ca="1" si="280"/>
        <v>1.000173611111111</v>
      </c>
    </row>
    <row r="8629" spans="12:15" x14ac:dyDescent="0.25">
      <c r="L8629" s="147">
        <f ca="1"/>
        <v>53868</v>
      </c>
      <c r="M8629" s="92">
        <f t="shared" ca="1" si="279"/>
        <v>6.25</v>
      </c>
      <c r="N8629" s="143">
        <f ca="1">(PRODUCT($O$5:$O8629)-1)*36000/_xlfn.DAYS(L8629, $C$2)</f>
        <v>15.777198642492197</v>
      </c>
      <c r="O8629" s="149">
        <f t="shared" ca="1" si="280"/>
        <v>1.000173611111111</v>
      </c>
    </row>
    <row r="8630" spans="12:15" x14ac:dyDescent="0.25">
      <c r="L8630" s="147">
        <f ca="1"/>
        <v>53869</v>
      </c>
      <c r="M8630" s="92">
        <f t="shared" ca="1" si="279"/>
        <v>6.25</v>
      </c>
      <c r="N8630" s="143">
        <f ca="1">(PRODUCT($O$5:$O8630)-1)*36000/_xlfn.DAYS(L8630, $C$2)</f>
        <v>15.778832947252972</v>
      </c>
      <c r="O8630" s="149">
        <f t="shared" ca="1" si="280"/>
        <v>1.000173611111111</v>
      </c>
    </row>
    <row r="8631" spans="12:15" x14ac:dyDescent="0.25">
      <c r="L8631" s="147">
        <f ca="1"/>
        <v>53870</v>
      </c>
      <c r="M8631" s="92">
        <f t="shared" ca="1" si="279"/>
        <v>6.25</v>
      </c>
      <c r="N8631" s="143">
        <f ca="1">(PRODUCT($O$5:$O8631)-1)*36000/_xlfn.DAYS(L8631, $C$2)</f>
        <v>15.780467474335795</v>
      </c>
      <c r="O8631" s="149">
        <f t="shared" ca="1" si="280"/>
        <v>1.000173611111111</v>
      </c>
    </row>
    <row r="8632" spans="12:15" x14ac:dyDescent="0.25">
      <c r="L8632" s="147">
        <f ca="1"/>
        <v>53871</v>
      </c>
      <c r="M8632" s="92">
        <f t="shared" ca="1" si="279"/>
        <v>6.25</v>
      </c>
      <c r="N8632" s="143">
        <f ca="1">(PRODUCT($O$5:$O8632)-1)*36000/_xlfn.DAYS(L8632, $C$2)</f>
        <v>15.782102223767737</v>
      </c>
      <c r="O8632" s="149">
        <f t="shared" ca="1" si="280"/>
        <v>1.000173611111111</v>
      </c>
    </row>
    <row r="8633" spans="12:15" x14ac:dyDescent="0.25">
      <c r="L8633" s="147">
        <f ca="1"/>
        <v>53872</v>
      </c>
      <c r="M8633" s="92">
        <f t="shared" ca="1" si="279"/>
        <v>6.25</v>
      </c>
      <c r="N8633" s="143">
        <f ca="1">(PRODUCT($O$5:$O8633)-1)*36000/_xlfn.DAYS(L8633, $C$2)</f>
        <v>15.783737195575853</v>
      </c>
      <c r="O8633" s="149">
        <f t="shared" ca="1" si="280"/>
        <v>1.000173611111111</v>
      </c>
    </row>
    <row r="8634" spans="12:15" x14ac:dyDescent="0.25">
      <c r="L8634" s="147">
        <f ca="1"/>
        <v>53873</v>
      </c>
      <c r="M8634" s="92">
        <f t="shared" ca="1" si="279"/>
        <v>6.25</v>
      </c>
      <c r="N8634" s="143">
        <f ca="1">(PRODUCT($O$5:$O8634)-1)*36000/_xlfn.DAYS(L8634, $C$2)</f>
        <v>15.785372389787218</v>
      </c>
      <c r="O8634" s="149">
        <f t="shared" ca="1" si="280"/>
        <v>1.000173611111111</v>
      </c>
    </row>
    <row r="8635" spans="12:15" x14ac:dyDescent="0.25">
      <c r="L8635" s="147">
        <f ca="1"/>
        <v>53874</v>
      </c>
      <c r="M8635" s="92">
        <f t="shared" ca="1" si="279"/>
        <v>6.25</v>
      </c>
      <c r="N8635" s="143">
        <f ca="1">(PRODUCT($O$5:$O8635)-1)*36000/_xlfn.DAYS(L8635, $C$2)</f>
        <v>15.787007806428914</v>
      </c>
      <c r="O8635" s="149">
        <f t="shared" ca="1" si="280"/>
        <v>1.000173611111111</v>
      </c>
    </row>
    <row r="8636" spans="12:15" x14ac:dyDescent="0.25">
      <c r="L8636" s="147">
        <f ca="1"/>
        <v>53875</v>
      </c>
      <c r="M8636" s="92">
        <f t="shared" ca="1" si="279"/>
        <v>6.25</v>
      </c>
      <c r="N8636" s="143">
        <f ca="1">(PRODUCT($O$5:$O8636)-1)*36000/_xlfn.DAYS(L8636, $C$2)</f>
        <v>15.788643445528026</v>
      </c>
      <c r="O8636" s="149">
        <f t="shared" ca="1" si="280"/>
        <v>1.000173611111111</v>
      </c>
    </row>
    <row r="8637" spans="12:15" x14ac:dyDescent="0.25">
      <c r="L8637" s="147">
        <f ca="1"/>
        <v>53876</v>
      </c>
      <c r="M8637" s="92">
        <f t="shared" ca="1" si="279"/>
        <v>6.25</v>
      </c>
      <c r="N8637" s="143">
        <f ca="1">(PRODUCT($O$5:$O8637)-1)*36000/_xlfn.DAYS(L8637, $C$2)</f>
        <v>15.790279307111632</v>
      </c>
      <c r="O8637" s="149">
        <f t="shared" ca="1" si="280"/>
        <v>1.000173611111111</v>
      </c>
    </row>
    <row r="8638" spans="12:15" x14ac:dyDescent="0.25">
      <c r="L8638" s="147">
        <f ca="1"/>
        <v>53877</v>
      </c>
      <c r="M8638" s="92">
        <f t="shared" ca="1" si="279"/>
        <v>6.25</v>
      </c>
      <c r="N8638" s="143">
        <f ca="1">(PRODUCT($O$5:$O8638)-1)*36000/_xlfn.DAYS(L8638, $C$2)</f>
        <v>15.791915391206839</v>
      </c>
      <c r="O8638" s="149">
        <f t="shared" ca="1" si="280"/>
        <v>1.000173611111111</v>
      </c>
    </row>
    <row r="8639" spans="12:15" x14ac:dyDescent="0.25">
      <c r="L8639" s="147">
        <f ca="1"/>
        <v>53878</v>
      </c>
      <c r="M8639" s="92">
        <f t="shared" ca="1" si="279"/>
        <v>6.25</v>
      </c>
      <c r="N8639" s="143">
        <f ca="1">(PRODUCT($O$5:$O8639)-1)*36000/_xlfn.DAYS(L8639, $C$2)</f>
        <v>15.793551697840739</v>
      </c>
      <c r="O8639" s="149">
        <f t="shared" ca="1" si="280"/>
        <v>1.000173611111111</v>
      </c>
    </row>
    <row r="8640" spans="12:15" x14ac:dyDescent="0.25">
      <c r="L8640" s="147">
        <f ca="1"/>
        <v>53879</v>
      </c>
      <c r="M8640" s="92">
        <f t="shared" ca="1" si="279"/>
        <v>6.25</v>
      </c>
      <c r="N8640" s="143">
        <f ca="1">(PRODUCT($O$5:$O8640)-1)*36000/_xlfn.DAYS(L8640, $C$2)</f>
        <v>15.795188227040438</v>
      </c>
      <c r="O8640" s="149">
        <f t="shared" ca="1" si="280"/>
        <v>1.000173611111111</v>
      </c>
    </row>
    <row r="8641" spans="12:15" x14ac:dyDescent="0.25">
      <c r="L8641" s="147">
        <f ca="1"/>
        <v>53880</v>
      </c>
      <c r="M8641" s="92">
        <f t="shared" ca="1" si="279"/>
        <v>6.25</v>
      </c>
      <c r="N8641" s="143">
        <f ca="1">(PRODUCT($O$5:$O8641)-1)*36000/_xlfn.DAYS(L8641, $C$2)</f>
        <v>15.796824978833051</v>
      </c>
      <c r="O8641" s="149">
        <f t="shared" ca="1" si="280"/>
        <v>1.000173611111111</v>
      </c>
    </row>
    <row r="8642" spans="12:15" x14ac:dyDescent="0.25">
      <c r="L8642" s="147">
        <f ca="1"/>
        <v>53881</v>
      </c>
      <c r="M8642" s="92">
        <f t="shared" ca="1" si="279"/>
        <v>6.25</v>
      </c>
      <c r="N8642" s="143">
        <f ca="1">(PRODUCT($O$5:$O8642)-1)*36000/_xlfn.DAYS(L8642, $C$2)</f>
        <v>15.798461953245694</v>
      </c>
      <c r="O8642" s="149">
        <f t="shared" ca="1" si="280"/>
        <v>1.000173611111111</v>
      </c>
    </row>
    <row r="8643" spans="12:15" x14ac:dyDescent="0.25">
      <c r="L8643" s="147">
        <f ca="1"/>
        <v>53882</v>
      </c>
      <c r="M8643" s="92">
        <f t="shared" ca="1" si="279"/>
        <v>6.25</v>
      </c>
      <c r="N8643" s="143">
        <f ca="1">(PRODUCT($O$5:$O8643)-1)*36000/_xlfn.DAYS(L8643, $C$2)</f>
        <v>15.800099150305488</v>
      </c>
      <c r="O8643" s="149">
        <f t="shared" ca="1" si="280"/>
        <v>1.000173611111111</v>
      </c>
    </row>
    <row r="8644" spans="12:15" x14ac:dyDescent="0.25">
      <c r="L8644" s="147">
        <f ca="1"/>
        <v>53883</v>
      </c>
      <c r="M8644" s="92">
        <f t="shared" ca="1" si="279"/>
        <v>6.25</v>
      </c>
      <c r="N8644" s="143">
        <f ca="1">(PRODUCT($O$5:$O8644)-1)*36000/_xlfn.DAYS(L8644, $C$2)</f>
        <v>15.801736570039557</v>
      </c>
      <c r="O8644" s="149">
        <f t="shared" ca="1" si="280"/>
        <v>1.000173611111111</v>
      </c>
    </row>
    <row r="8645" spans="12:15" x14ac:dyDescent="0.25">
      <c r="L8645" s="147">
        <f ca="1"/>
        <v>53884</v>
      </c>
      <c r="M8645" s="92">
        <f t="shared" ref="M8645:M8708" ca="1" si="281">IFERROR(INDEX($E$27:$H$47, MATCH(L8645, $F$27:$F$47, 0), 4), IF(ISNUMBER(M8644), M8644, $C$5))</f>
        <v>6.25</v>
      </c>
      <c r="N8645" s="143">
        <f ca="1">(PRODUCT($O$5:$O8645)-1)*36000/_xlfn.DAYS(L8645, $C$2)</f>
        <v>15.803374212475038</v>
      </c>
      <c r="O8645" s="149">
        <f t="shared" ca="1" si="280"/>
        <v>1.000173611111111</v>
      </c>
    </row>
    <row r="8646" spans="12:15" x14ac:dyDescent="0.25">
      <c r="L8646" s="147">
        <f ca="1"/>
        <v>53885</v>
      </c>
      <c r="M8646" s="92">
        <f t="shared" ca="1" si="281"/>
        <v>6.25</v>
      </c>
      <c r="N8646" s="143">
        <f ca="1">(PRODUCT($O$5:$O8646)-1)*36000/_xlfn.DAYS(L8646, $C$2)</f>
        <v>15.805012077639072</v>
      </c>
      <c r="O8646" s="149">
        <f t="shared" ref="O8646:O8709" ca="1" si="282">1+M8646*IFERROR(_xlfn.DAYS(L8646, L8645), _xlfn.DAYS(L8646, $C$2))/36000</f>
        <v>1.000173611111111</v>
      </c>
    </row>
    <row r="8647" spans="12:15" x14ac:dyDescent="0.25">
      <c r="L8647" s="147">
        <f ca="1"/>
        <v>53886</v>
      </c>
      <c r="M8647" s="92">
        <f t="shared" ca="1" si="281"/>
        <v>6.25</v>
      </c>
      <c r="N8647" s="143">
        <f ca="1">(PRODUCT($O$5:$O8647)-1)*36000/_xlfn.DAYS(L8647, $C$2)</f>
        <v>15.8066501655588</v>
      </c>
      <c r="O8647" s="149">
        <f t="shared" ca="1" si="282"/>
        <v>1.000173611111111</v>
      </c>
    </row>
    <row r="8648" spans="12:15" x14ac:dyDescent="0.25">
      <c r="L8648" s="147">
        <f ca="1"/>
        <v>53887</v>
      </c>
      <c r="M8648" s="92">
        <f t="shared" ca="1" si="281"/>
        <v>6.25</v>
      </c>
      <c r="N8648" s="143">
        <f ca="1">(PRODUCT($O$5:$O8648)-1)*36000/_xlfn.DAYS(L8648, $C$2)</f>
        <v>15.808288476261378</v>
      </c>
      <c r="O8648" s="149">
        <f t="shared" ca="1" si="282"/>
        <v>1.000173611111111</v>
      </c>
    </row>
    <row r="8649" spans="12:15" x14ac:dyDescent="0.25">
      <c r="L8649" s="147">
        <f ca="1"/>
        <v>53888</v>
      </c>
      <c r="M8649" s="92">
        <f t="shared" ca="1" si="281"/>
        <v>6.25</v>
      </c>
      <c r="N8649" s="143">
        <f ca="1">(PRODUCT($O$5:$O8649)-1)*36000/_xlfn.DAYS(L8649, $C$2)</f>
        <v>15.809927009773952</v>
      </c>
      <c r="O8649" s="149">
        <f t="shared" ca="1" si="282"/>
        <v>1.000173611111111</v>
      </c>
    </row>
    <row r="8650" spans="12:15" x14ac:dyDescent="0.25">
      <c r="L8650" s="147">
        <f ca="1"/>
        <v>53889</v>
      </c>
      <c r="M8650" s="92">
        <f t="shared" ca="1" si="281"/>
        <v>6.25</v>
      </c>
      <c r="N8650" s="143">
        <f ca="1">(PRODUCT($O$5:$O8650)-1)*36000/_xlfn.DAYS(L8650, $C$2)</f>
        <v>15.811565766123691</v>
      </c>
      <c r="O8650" s="149">
        <f t="shared" ca="1" si="282"/>
        <v>1.000173611111111</v>
      </c>
    </row>
    <row r="8651" spans="12:15" x14ac:dyDescent="0.25">
      <c r="L8651" s="147">
        <f ca="1"/>
        <v>53890</v>
      </c>
      <c r="M8651" s="92">
        <f t="shared" ca="1" si="281"/>
        <v>6.25</v>
      </c>
      <c r="N8651" s="143">
        <f ca="1">(PRODUCT($O$5:$O8651)-1)*36000/_xlfn.DAYS(L8651, $C$2)</f>
        <v>15.81320474533776</v>
      </c>
      <c r="O8651" s="149">
        <f t="shared" ca="1" si="282"/>
        <v>1.000173611111111</v>
      </c>
    </row>
    <row r="8652" spans="12:15" x14ac:dyDescent="0.25">
      <c r="L8652" s="147">
        <f ca="1"/>
        <v>53891</v>
      </c>
      <c r="M8652" s="92">
        <f t="shared" ca="1" si="281"/>
        <v>6.25</v>
      </c>
      <c r="N8652" s="143">
        <f ca="1">(PRODUCT($O$5:$O8652)-1)*36000/_xlfn.DAYS(L8652, $C$2)</f>
        <v>15.814843947443332</v>
      </c>
      <c r="O8652" s="149">
        <f t="shared" ca="1" si="282"/>
        <v>1.000173611111111</v>
      </c>
    </row>
    <row r="8653" spans="12:15" x14ac:dyDescent="0.25">
      <c r="L8653" s="147">
        <f ca="1"/>
        <v>53892</v>
      </c>
      <c r="M8653" s="92">
        <f t="shared" ca="1" si="281"/>
        <v>6.25</v>
      </c>
      <c r="N8653" s="143">
        <f ca="1">(PRODUCT($O$5:$O8653)-1)*36000/_xlfn.DAYS(L8653, $C$2)</f>
        <v>15.816483372467582</v>
      </c>
      <c r="O8653" s="149">
        <f t="shared" ca="1" si="282"/>
        <v>1.000173611111111</v>
      </c>
    </row>
    <row r="8654" spans="12:15" x14ac:dyDescent="0.25">
      <c r="L8654" s="147">
        <f ca="1"/>
        <v>53893</v>
      </c>
      <c r="M8654" s="92">
        <f t="shared" ca="1" si="281"/>
        <v>6.25</v>
      </c>
      <c r="N8654" s="143">
        <f ca="1">(PRODUCT($O$5:$O8654)-1)*36000/_xlfn.DAYS(L8654, $C$2)</f>
        <v>15.818123020437694</v>
      </c>
      <c r="O8654" s="149">
        <f t="shared" ca="1" si="282"/>
        <v>1.000173611111111</v>
      </c>
    </row>
    <row r="8655" spans="12:15" x14ac:dyDescent="0.25">
      <c r="L8655" s="147">
        <f ca="1"/>
        <v>53894</v>
      </c>
      <c r="M8655" s="92">
        <f t="shared" ca="1" si="281"/>
        <v>6.25</v>
      </c>
      <c r="N8655" s="143">
        <f ca="1">(PRODUCT($O$5:$O8655)-1)*36000/_xlfn.DAYS(L8655, $C$2)</f>
        <v>15.819762891380863</v>
      </c>
      <c r="O8655" s="149">
        <f t="shared" ca="1" si="282"/>
        <v>1.000173611111111</v>
      </c>
    </row>
    <row r="8656" spans="12:15" x14ac:dyDescent="0.25">
      <c r="L8656" s="147">
        <f ca="1"/>
        <v>53895</v>
      </c>
      <c r="M8656" s="92">
        <f t="shared" ca="1" si="281"/>
        <v>6.25</v>
      </c>
      <c r="N8656" s="143">
        <f ca="1">(PRODUCT($O$5:$O8656)-1)*36000/_xlfn.DAYS(L8656, $C$2)</f>
        <v>15.821402985324278</v>
      </c>
      <c r="O8656" s="149">
        <f t="shared" ca="1" si="282"/>
        <v>1.000173611111111</v>
      </c>
    </row>
    <row r="8657" spans="12:15" x14ac:dyDescent="0.25">
      <c r="L8657" s="147">
        <f ca="1"/>
        <v>53896</v>
      </c>
      <c r="M8657" s="92">
        <f t="shared" ca="1" si="281"/>
        <v>6.25</v>
      </c>
      <c r="N8657" s="143">
        <f ca="1">(PRODUCT($O$5:$O8657)-1)*36000/_xlfn.DAYS(L8657, $C$2)</f>
        <v>15.823043302295142</v>
      </c>
      <c r="O8657" s="149">
        <f t="shared" ca="1" si="282"/>
        <v>1.000173611111111</v>
      </c>
    </row>
    <row r="8658" spans="12:15" x14ac:dyDescent="0.25">
      <c r="L8658" s="147">
        <f ca="1"/>
        <v>53897</v>
      </c>
      <c r="M8658" s="92">
        <f t="shared" ca="1" si="281"/>
        <v>6.25</v>
      </c>
      <c r="N8658" s="143">
        <f ca="1">(PRODUCT($O$5:$O8658)-1)*36000/_xlfn.DAYS(L8658, $C$2)</f>
        <v>15.824683842320656</v>
      </c>
      <c r="O8658" s="149">
        <f t="shared" ca="1" si="282"/>
        <v>1.000173611111111</v>
      </c>
    </row>
    <row r="8659" spans="12:15" x14ac:dyDescent="0.25">
      <c r="L8659" s="147">
        <f ca="1"/>
        <v>53898</v>
      </c>
      <c r="M8659" s="92">
        <f t="shared" ca="1" si="281"/>
        <v>6.25</v>
      </c>
      <c r="N8659" s="143">
        <f ca="1">(PRODUCT($O$5:$O8659)-1)*36000/_xlfn.DAYS(L8659, $C$2)</f>
        <v>15.826324605428034</v>
      </c>
      <c r="O8659" s="149">
        <f t="shared" ca="1" si="282"/>
        <v>1.000173611111111</v>
      </c>
    </row>
    <row r="8660" spans="12:15" x14ac:dyDescent="0.25">
      <c r="L8660" s="147">
        <f ca="1"/>
        <v>53899</v>
      </c>
      <c r="M8660" s="92">
        <f t="shared" ca="1" si="281"/>
        <v>6.25</v>
      </c>
      <c r="N8660" s="143">
        <f ca="1">(PRODUCT($O$5:$O8660)-1)*36000/_xlfn.DAYS(L8660, $C$2)</f>
        <v>15.827965591644494</v>
      </c>
      <c r="O8660" s="149">
        <f t="shared" ca="1" si="282"/>
        <v>1.000173611111111</v>
      </c>
    </row>
    <row r="8661" spans="12:15" x14ac:dyDescent="0.25">
      <c r="L8661" s="147">
        <f ca="1"/>
        <v>53900</v>
      </c>
      <c r="M8661" s="92">
        <f t="shared" ca="1" si="281"/>
        <v>6.25</v>
      </c>
      <c r="N8661" s="143">
        <f ca="1">(PRODUCT($O$5:$O8661)-1)*36000/_xlfn.DAYS(L8661, $C$2)</f>
        <v>15.82960680099726</v>
      </c>
      <c r="O8661" s="149">
        <f t="shared" ca="1" si="282"/>
        <v>1.000173611111111</v>
      </c>
    </row>
    <row r="8662" spans="12:15" x14ac:dyDescent="0.25">
      <c r="L8662" s="147">
        <f ca="1"/>
        <v>53901</v>
      </c>
      <c r="M8662" s="92">
        <f t="shared" ca="1" si="281"/>
        <v>6.25</v>
      </c>
      <c r="N8662" s="143">
        <f ca="1">(PRODUCT($O$5:$O8662)-1)*36000/_xlfn.DAYS(L8662, $C$2)</f>
        <v>15.831248233513559</v>
      </c>
      <c r="O8662" s="149">
        <f t="shared" ca="1" si="282"/>
        <v>1.000173611111111</v>
      </c>
    </row>
    <row r="8663" spans="12:15" x14ac:dyDescent="0.25">
      <c r="L8663" s="147">
        <f ca="1"/>
        <v>53902</v>
      </c>
      <c r="M8663" s="92">
        <f t="shared" ca="1" si="281"/>
        <v>6.25</v>
      </c>
      <c r="N8663" s="143">
        <f ca="1">(PRODUCT($O$5:$O8663)-1)*36000/_xlfn.DAYS(L8663, $C$2)</f>
        <v>15.832889889220626</v>
      </c>
      <c r="O8663" s="149">
        <f t="shared" ca="1" si="282"/>
        <v>1.000173611111111</v>
      </c>
    </row>
    <row r="8664" spans="12:15" x14ac:dyDescent="0.25">
      <c r="L8664" s="147">
        <f ca="1"/>
        <v>53903</v>
      </c>
      <c r="M8664" s="92">
        <f t="shared" ca="1" si="281"/>
        <v>6.25</v>
      </c>
      <c r="N8664" s="143">
        <f ca="1">(PRODUCT($O$5:$O8664)-1)*36000/_xlfn.DAYS(L8664, $C$2)</f>
        <v>15.834531768145693</v>
      </c>
      <c r="O8664" s="149">
        <f t="shared" ca="1" si="282"/>
        <v>1.000173611111111</v>
      </c>
    </row>
    <row r="8665" spans="12:15" x14ac:dyDescent="0.25">
      <c r="L8665" s="147">
        <f ca="1"/>
        <v>53904</v>
      </c>
      <c r="M8665" s="92">
        <f t="shared" ca="1" si="281"/>
        <v>6.25</v>
      </c>
      <c r="N8665" s="143">
        <f ca="1">(PRODUCT($O$5:$O8665)-1)*36000/_xlfn.DAYS(L8665, $C$2)</f>
        <v>15.836173870316015</v>
      </c>
      <c r="O8665" s="149">
        <f t="shared" ca="1" si="282"/>
        <v>1.000173611111111</v>
      </c>
    </row>
    <row r="8666" spans="12:15" x14ac:dyDescent="0.25">
      <c r="L8666" s="147">
        <f ca="1"/>
        <v>53905</v>
      </c>
      <c r="M8666" s="92">
        <f t="shared" ca="1" si="281"/>
        <v>6.25</v>
      </c>
      <c r="N8666" s="143">
        <f ca="1">(PRODUCT($O$5:$O8666)-1)*36000/_xlfn.DAYS(L8666, $C$2)</f>
        <v>15.837816195758837</v>
      </c>
      <c r="O8666" s="149">
        <f t="shared" ca="1" si="282"/>
        <v>1.000173611111111</v>
      </c>
    </row>
    <row r="8667" spans="12:15" x14ac:dyDescent="0.25">
      <c r="L8667" s="147">
        <f ca="1"/>
        <v>53906</v>
      </c>
      <c r="M8667" s="92">
        <f t="shared" ca="1" si="281"/>
        <v>6.25</v>
      </c>
      <c r="N8667" s="143">
        <f ca="1">(PRODUCT($O$5:$O8667)-1)*36000/_xlfn.DAYS(L8667, $C$2)</f>
        <v>15.839458744501414</v>
      </c>
      <c r="O8667" s="149">
        <f t="shared" ca="1" si="282"/>
        <v>1.000173611111111</v>
      </c>
    </row>
    <row r="8668" spans="12:15" x14ac:dyDescent="0.25">
      <c r="L8668" s="147">
        <f ca="1"/>
        <v>53907</v>
      </c>
      <c r="M8668" s="92">
        <f t="shared" ca="1" si="281"/>
        <v>6.25</v>
      </c>
      <c r="N8668" s="143">
        <f ca="1">(PRODUCT($O$5:$O8668)-1)*36000/_xlfn.DAYS(L8668, $C$2)</f>
        <v>15.84110151657101</v>
      </c>
      <c r="O8668" s="149">
        <f t="shared" ca="1" si="282"/>
        <v>1.000173611111111</v>
      </c>
    </row>
    <row r="8669" spans="12:15" x14ac:dyDescent="0.25">
      <c r="L8669" s="147">
        <f ca="1"/>
        <v>53908</v>
      </c>
      <c r="M8669" s="92">
        <f t="shared" ca="1" si="281"/>
        <v>6.25</v>
      </c>
      <c r="N8669" s="143">
        <f ca="1">(PRODUCT($O$5:$O8669)-1)*36000/_xlfn.DAYS(L8669, $C$2)</f>
        <v>15.842744511994889</v>
      </c>
      <c r="O8669" s="149">
        <f t="shared" ca="1" si="282"/>
        <v>1.000173611111111</v>
      </c>
    </row>
    <row r="8670" spans="12:15" x14ac:dyDescent="0.25">
      <c r="L8670" s="147">
        <f ca="1"/>
        <v>53909</v>
      </c>
      <c r="M8670" s="92">
        <f t="shared" ca="1" si="281"/>
        <v>6.25</v>
      </c>
      <c r="N8670" s="143">
        <f ca="1">(PRODUCT($O$5:$O8670)-1)*36000/_xlfn.DAYS(L8670, $C$2)</f>
        <v>15.84438773080033</v>
      </c>
      <c r="O8670" s="149">
        <f t="shared" ca="1" si="282"/>
        <v>1.000173611111111</v>
      </c>
    </row>
    <row r="8671" spans="12:15" x14ac:dyDescent="0.25">
      <c r="L8671" s="147">
        <f ca="1"/>
        <v>53910</v>
      </c>
      <c r="M8671" s="92">
        <f t="shared" ca="1" si="281"/>
        <v>6.25</v>
      </c>
      <c r="N8671" s="143">
        <f ca="1">(PRODUCT($O$5:$O8671)-1)*36000/_xlfn.DAYS(L8671, $C$2)</f>
        <v>15.846031173014605</v>
      </c>
      <c r="O8671" s="149">
        <f t="shared" ca="1" si="282"/>
        <v>1.000173611111111</v>
      </c>
    </row>
    <row r="8672" spans="12:15" x14ac:dyDescent="0.25">
      <c r="L8672" s="147">
        <f ca="1"/>
        <v>53911</v>
      </c>
      <c r="M8672" s="92">
        <f t="shared" ca="1" si="281"/>
        <v>6.25</v>
      </c>
      <c r="N8672" s="143">
        <f ca="1">(PRODUCT($O$5:$O8672)-1)*36000/_xlfn.DAYS(L8672, $C$2)</f>
        <v>15.847674838664997</v>
      </c>
      <c r="O8672" s="149">
        <f t="shared" ca="1" si="282"/>
        <v>1.000173611111111</v>
      </c>
    </row>
    <row r="8673" spans="12:15" x14ac:dyDescent="0.25">
      <c r="L8673" s="147">
        <f ca="1"/>
        <v>53912</v>
      </c>
      <c r="M8673" s="92">
        <f t="shared" ca="1" si="281"/>
        <v>6.25</v>
      </c>
      <c r="N8673" s="143">
        <f ca="1">(PRODUCT($O$5:$O8673)-1)*36000/_xlfn.DAYS(L8673, $C$2)</f>
        <v>15.849318727778801</v>
      </c>
      <c r="O8673" s="149">
        <f t="shared" ca="1" si="282"/>
        <v>1.000173611111111</v>
      </c>
    </row>
    <row r="8674" spans="12:15" x14ac:dyDescent="0.25">
      <c r="L8674" s="147">
        <f ca="1"/>
        <v>53913</v>
      </c>
      <c r="M8674" s="92">
        <f t="shared" ca="1" si="281"/>
        <v>6.25</v>
      </c>
      <c r="N8674" s="143">
        <f ca="1">(PRODUCT($O$5:$O8674)-1)*36000/_xlfn.DAYS(L8674, $C$2)</f>
        <v>15.85096284038331</v>
      </c>
      <c r="O8674" s="149">
        <f t="shared" ca="1" si="282"/>
        <v>1.000173611111111</v>
      </c>
    </row>
    <row r="8675" spans="12:15" x14ac:dyDescent="0.25">
      <c r="L8675" s="147">
        <f ca="1"/>
        <v>53914</v>
      </c>
      <c r="M8675" s="92">
        <f t="shared" ca="1" si="281"/>
        <v>6.25</v>
      </c>
      <c r="N8675" s="143">
        <f ca="1">(PRODUCT($O$5:$O8675)-1)*36000/_xlfn.DAYS(L8675, $C$2)</f>
        <v>15.852607176505821</v>
      </c>
      <c r="O8675" s="149">
        <f t="shared" ca="1" si="282"/>
        <v>1.000173611111111</v>
      </c>
    </row>
    <row r="8676" spans="12:15" x14ac:dyDescent="0.25">
      <c r="L8676" s="147">
        <f ca="1"/>
        <v>53915</v>
      </c>
      <c r="M8676" s="92">
        <f t="shared" ca="1" si="281"/>
        <v>6.25</v>
      </c>
      <c r="N8676" s="143">
        <f ca="1">(PRODUCT($O$5:$O8676)-1)*36000/_xlfn.DAYS(L8676, $C$2)</f>
        <v>15.854251736173646</v>
      </c>
      <c r="O8676" s="149">
        <f t="shared" ca="1" si="282"/>
        <v>1.000173611111111</v>
      </c>
    </row>
    <row r="8677" spans="12:15" x14ac:dyDescent="0.25">
      <c r="L8677" s="147">
        <f ca="1"/>
        <v>53916</v>
      </c>
      <c r="M8677" s="92">
        <f t="shared" ca="1" si="281"/>
        <v>6.25</v>
      </c>
      <c r="N8677" s="143">
        <f ca="1">(PRODUCT($O$5:$O8677)-1)*36000/_xlfn.DAYS(L8677, $C$2)</f>
        <v>15.855896519414095</v>
      </c>
      <c r="O8677" s="149">
        <f t="shared" ca="1" si="282"/>
        <v>1.000173611111111</v>
      </c>
    </row>
    <row r="8678" spans="12:15" x14ac:dyDescent="0.25">
      <c r="L8678" s="147">
        <f ca="1"/>
        <v>53917</v>
      </c>
      <c r="M8678" s="92">
        <f t="shared" ca="1" si="281"/>
        <v>6.25</v>
      </c>
      <c r="N8678" s="143">
        <f ca="1">(PRODUCT($O$5:$O8678)-1)*36000/_xlfn.DAYS(L8678, $C$2)</f>
        <v>15.857541526254478</v>
      </c>
      <c r="O8678" s="149">
        <f t="shared" ca="1" si="282"/>
        <v>1.000173611111111</v>
      </c>
    </row>
    <row r="8679" spans="12:15" x14ac:dyDescent="0.25">
      <c r="L8679" s="147">
        <f ca="1"/>
        <v>53918</v>
      </c>
      <c r="M8679" s="92">
        <f t="shared" ca="1" si="281"/>
        <v>6.25</v>
      </c>
      <c r="N8679" s="143">
        <f ca="1">(PRODUCT($O$5:$O8679)-1)*36000/_xlfn.DAYS(L8679, $C$2)</f>
        <v>15.859186756722126</v>
      </c>
      <c r="O8679" s="149">
        <f t="shared" ca="1" si="282"/>
        <v>1.000173611111111</v>
      </c>
    </row>
    <row r="8680" spans="12:15" x14ac:dyDescent="0.25">
      <c r="L8680" s="147">
        <f ca="1"/>
        <v>53919</v>
      </c>
      <c r="M8680" s="92">
        <f t="shared" ca="1" si="281"/>
        <v>6.25</v>
      </c>
      <c r="N8680" s="143">
        <f ca="1">(PRODUCT($O$5:$O8680)-1)*36000/_xlfn.DAYS(L8680, $C$2)</f>
        <v>15.860832210844364</v>
      </c>
      <c r="O8680" s="149">
        <f t="shared" ca="1" si="282"/>
        <v>1.000173611111111</v>
      </c>
    </row>
    <row r="8681" spans="12:15" x14ac:dyDescent="0.25">
      <c r="L8681" s="147">
        <f ca="1"/>
        <v>53920</v>
      </c>
      <c r="M8681" s="92">
        <f t="shared" ca="1" si="281"/>
        <v>6.25</v>
      </c>
      <c r="N8681" s="143">
        <f ca="1">(PRODUCT($O$5:$O8681)-1)*36000/_xlfn.DAYS(L8681, $C$2)</f>
        <v>15.862477888648531</v>
      </c>
      <c r="O8681" s="149">
        <f t="shared" ca="1" si="282"/>
        <v>1.000173611111111</v>
      </c>
    </row>
    <row r="8682" spans="12:15" x14ac:dyDescent="0.25">
      <c r="L8682" s="147">
        <f ca="1"/>
        <v>53921</v>
      </c>
      <c r="M8682" s="92">
        <f t="shared" ca="1" si="281"/>
        <v>6.25</v>
      </c>
      <c r="N8682" s="143">
        <f ca="1">(PRODUCT($O$5:$O8682)-1)*36000/_xlfn.DAYS(L8682, $C$2)</f>
        <v>15.86412379016196</v>
      </c>
      <c r="O8682" s="149">
        <f t="shared" ca="1" si="282"/>
        <v>1.000173611111111</v>
      </c>
    </row>
    <row r="8683" spans="12:15" x14ac:dyDescent="0.25">
      <c r="L8683" s="147">
        <f ca="1"/>
        <v>53922</v>
      </c>
      <c r="M8683" s="92">
        <f t="shared" ca="1" si="281"/>
        <v>6.25</v>
      </c>
      <c r="N8683" s="143">
        <f ca="1">(PRODUCT($O$5:$O8683)-1)*36000/_xlfn.DAYS(L8683, $C$2)</f>
        <v>15.865769915411995</v>
      </c>
      <c r="O8683" s="149">
        <f t="shared" ca="1" si="282"/>
        <v>1.000173611111111</v>
      </c>
    </row>
    <row r="8684" spans="12:15" x14ac:dyDescent="0.25">
      <c r="L8684" s="147">
        <f ca="1"/>
        <v>53923</v>
      </c>
      <c r="M8684" s="92">
        <f t="shared" ca="1" si="281"/>
        <v>6.25</v>
      </c>
      <c r="N8684" s="143">
        <f ca="1">(PRODUCT($O$5:$O8684)-1)*36000/_xlfn.DAYS(L8684, $C$2)</f>
        <v>15.867416264425993</v>
      </c>
      <c r="O8684" s="149">
        <f t="shared" ca="1" si="282"/>
        <v>1.000173611111111</v>
      </c>
    </row>
    <row r="8685" spans="12:15" x14ac:dyDescent="0.25">
      <c r="L8685" s="147">
        <f ca="1"/>
        <v>53924</v>
      </c>
      <c r="M8685" s="92">
        <f t="shared" ca="1" si="281"/>
        <v>6.25</v>
      </c>
      <c r="N8685" s="143">
        <f ca="1">(PRODUCT($O$5:$O8685)-1)*36000/_xlfn.DAYS(L8685, $C$2)</f>
        <v>15.869062837231304</v>
      </c>
      <c r="O8685" s="149">
        <f t="shared" ca="1" si="282"/>
        <v>1.000173611111111</v>
      </c>
    </row>
    <row r="8686" spans="12:15" x14ac:dyDescent="0.25">
      <c r="L8686" s="147">
        <f ca="1"/>
        <v>53925</v>
      </c>
      <c r="M8686" s="92">
        <f t="shared" ca="1" si="281"/>
        <v>6.25</v>
      </c>
      <c r="N8686" s="143">
        <f ca="1">(PRODUCT($O$5:$O8686)-1)*36000/_xlfn.DAYS(L8686, $C$2)</f>
        <v>15.870709633855295</v>
      </c>
      <c r="O8686" s="149">
        <f t="shared" ca="1" si="282"/>
        <v>1.000173611111111</v>
      </c>
    </row>
    <row r="8687" spans="12:15" x14ac:dyDescent="0.25">
      <c r="L8687" s="147">
        <f ca="1"/>
        <v>53926</v>
      </c>
      <c r="M8687" s="92">
        <f t="shared" ca="1" si="281"/>
        <v>6.25</v>
      </c>
      <c r="N8687" s="143">
        <f ca="1">(PRODUCT($O$5:$O8687)-1)*36000/_xlfn.DAYS(L8687, $C$2)</f>
        <v>15.872356654325332</v>
      </c>
      <c r="O8687" s="149">
        <f t="shared" ca="1" si="282"/>
        <v>1.000173611111111</v>
      </c>
    </row>
    <row r="8688" spans="12:15" x14ac:dyDescent="0.25">
      <c r="L8688" s="147">
        <f ca="1"/>
        <v>53927</v>
      </c>
      <c r="M8688" s="92">
        <f t="shared" ca="1" si="281"/>
        <v>6.25</v>
      </c>
      <c r="N8688" s="143">
        <f ca="1">(PRODUCT($O$5:$O8688)-1)*36000/_xlfn.DAYS(L8688, $C$2)</f>
        <v>15.874003898668789</v>
      </c>
      <c r="O8688" s="149">
        <f t="shared" ca="1" si="282"/>
        <v>1.000173611111111</v>
      </c>
    </row>
    <row r="8689" spans="12:15" x14ac:dyDescent="0.25">
      <c r="L8689" s="147">
        <f ca="1"/>
        <v>53928</v>
      </c>
      <c r="M8689" s="92">
        <f t="shared" ca="1" si="281"/>
        <v>6.25</v>
      </c>
      <c r="N8689" s="143">
        <f ca="1">(PRODUCT($O$5:$O8689)-1)*36000/_xlfn.DAYS(L8689, $C$2)</f>
        <v>15.87565136691304</v>
      </c>
      <c r="O8689" s="149">
        <f t="shared" ca="1" si="282"/>
        <v>1.000173611111111</v>
      </c>
    </row>
    <row r="8690" spans="12:15" x14ac:dyDescent="0.25">
      <c r="L8690" s="147">
        <f ca="1"/>
        <v>53929</v>
      </c>
      <c r="M8690" s="92">
        <f t="shared" ca="1" si="281"/>
        <v>6.25</v>
      </c>
      <c r="N8690" s="143">
        <f ca="1">(PRODUCT($O$5:$O8690)-1)*36000/_xlfn.DAYS(L8690, $C$2)</f>
        <v>15.877299059085475</v>
      </c>
      <c r="O8690" s="149">
        <f t="shared" ca="1" si="282"/>
        <v>1.000173611111111</v>
      </c>
    </row>
    <row r="8691" spans="12:15" x14ac:dyDescent="0.25">
      <c r="L8691" s="147">
        <f ca="1"/>
        <v>53930</v>
      </c>
      <c r="M8691" s="92">
        <f t="shared" ca="1" si="281"/>
        <v>6.25</v>
      </c>
      <c r="N8691" s="143">
        <f ca="1">(PRODUCT($O$5:$O8691)-1)*36000/_xlfn.DAYS(L8691, $C$2)</f>
        <v>15.878946975213475</v>
      </c>
      <c r="O8691" s="149">
        <f t="shared" ca="1" si="282"/>
        <v>1.000173611111111</v>
      </c>
    </row>
    <row r="8692" spans="12:15" x14ac:dyDescent="0.25">
      <c r="L8692" s="147">
        <f ca="1"/>
        <v>53931</v>
      </c>
      <c r="M8692" s="92">
        <f t="shared" ca="1" si="281"/>
        <v>6.25</v>
      </c>
      <c r="N8692" s="143">
        <f ca="1">(PRODUCT($O$5:$O8692)-1)*36000/_xlfn.DAYS(L8692, $C$2)</f>
        <v>15.880595115324445</v>
      </c>
      <c r="O8692" s="149">
        <f t="shared" ca="1" si="282"/>
        <v>1.000173611111111</v>
      </c>
    </row>
    <row r="8693" spans="12:15" x14ac:dyDescent="0.25">
      <c r="L8693" s="147">
        <f ca="1"/>
        <v>53932</v>
      </c>
      <c r="M8693" s="92">
        <f t="shared" ca="1" si="281"/>
        <v>6.25</v>
      </c>
      <c r="N8693" s="143">
        <f ca="1">(PRODUCT($O$5:$O8693)-1)*36000/_xlfn.DAYS(L8693, $C$2)</f>
        <v>15.882243479445778</v>
      </c>
      <c r="O8693" s="149">
        <f t="shared" ca="1" si="282"/>
        <v>1.000173611111111</v>
      </c>
    </row>
    <row r="8694" spans="12:15" x14ac:dyDescent="0.25">
      <c r="L8694" s="147">
        <f ca="1"/>
        <v>53933</v>
      </c>
      <c r="M8694" s="92">
        <f t="shared" ca="1" si="281"/>
        <v>6.25</v>
      </c>
      <c r="N8694" s="143">
        <f ca="1">(PRODUCT($O$5:$O8694)-1)*36000/_xlfn.DAYS(L8694, $C$2)</f>
        <v>15.883892067604885</v>
      </c>
      <c r="O8694" s="149">
        <f t="shared" ca="1" si="282"/>
        <v>1.000173611111111</v>
      </c>
    </row>
    <row r="8695" spans="12:15" x14ac:dyDescent="0.25">
      <c r="L8695" s="147">
        <f ca="1"/>
        <v>53934</v>
      </c>
      <c r="M8695" s="92">
        <f t="shared" ca="1" si="281"/>
        <v>6.25</v>
      </c>
      <c r="N8695" s="143">
        <f ca="1">(PRODUCT($O$5:$O8695)-1)*36000/_xlfn.DAYS(L8695, $C$2)</f>
        <v>15.885540879829174</v>
      </c>
      <c r="O8695" s="149">
        <f t="shared" ca="1" si="282"/>
        <v>1.000173611111111</v>
      </c>
    </row>
    <row r="8696" spans="12:15" x14ac:dyDescent="0.25">
      <c r="L8696" s="147">
        <f ca="1"/>
        <v>53935</v>
      </c>
      <c r="M8696" s="92">
        <f t="shared" ca="1" si="281"/>
        <v>6.25</v>
      </c>
      <c r="N8696" s="143">
        <f ca="1">(PRODUCT($O$5:$O8696)-1)*36000/_xlfn.DAYS(L8696, $C$2)</f>
        <v>15.887189916146069</v>
      </c>
      <c r="O8696" s="149">
        <f t="shared" ca="1" si="282"/>
        <v>1.000173611111111</v>
      </c>
    </row>
    <row r="8697" spans="12:15" x14ac:dyDescent="0.25">
      <c r="L8697" s="147">
        <f ca="1"/>
        <v>53936</v>
      </c>
      <c r="M8697" s="92">
        <f t="shared" ca="1" si="281"/>
        <v>6.25</v>
      </c>
      <c r="N8697" s="143">
        <f ca="1">(PRODUCT($O$5:$O8697)-1)*36000/_xlfn.DAYS(L8697, $C$2)</f>
        <v>15.888839176582986</v>
      </c>
      <c r="O8697" s="149">
        <f t="shared" ca="1" si="282"/>
        <v>1.000173611111111</v>
      </c>
    </row>
    <row r="8698" spans="12:15" x14ac:dyDescent="0.25">
      <c r="L8698" s="147">
        <f ca="1"/>
        <v>53937</v>
      </c>
      <c r="M8698" s="92">
        <f t="shared" ca="1" si="281"/>
        <v>6.25</v>
      </c>
      <c r="N8698" s="143">
        <f ca="1">(PRODUCT($O$5:$O8698)-1)*36000/_xlfn.DAYS(L8698, $C$2)</f>
        <v>15.890488661167359</v>
      </c>
      <c r="O8698" s="149">
        <f t="shared" ca="1" si="282"/>
        <v>1.000173611111111</v>
      </c>
    </row>
    <row r="8699" spans="12:15" x14ac:dyDescent="0.25">
      <c r="L8699" s="147">
        <f ca="1"/>
        <v>53938</v>
      </c>
      <c r="M8699" s="92">
        <f t="shared" ca="1" si="281"/>
        <v>6.25</v>
      </c>
      <c r="N8699" s="143">
        <f ca="1">(PRODUCT($O$5:$O8699)-1)*36000/_xlfn.DAYS(L8699, $C$2)</f>
        <v>15.892138369926618</v>
      </c>
      <c r="O8699" s="149">
        <f t="shared" ca="1" si="282"/>
        <v>1.000173611111111</v>
      </c>
    </row>
    <row r="8700" spans="12:15" x14ac:dyDescent="0.25">
      <c r="L8700" s="147">
        <f ca="1"/>
        <v>53939</v>
      </c>
      <c r="M8700" s="92">
        <f t="shared" ca="1" si="281"/>
        <v>6.25</v>
      </c>
      <c r="N8700" s="143">
        <f ca="1">(PRODUCT($O$5:$O8700)-1)*36000/_xlfn.DAYS(L8700, $C$2)</f>
        <v>15.893788302888208</v>
      </c>
      <c r="O8700" s="149">
        <f t="shared" ca="1" si="282"/>
        <v>1.000173611111111</v>
      </c>
    </row>
    <row r="8701" spans="12:15" x14ac:dyDescent="0.25">
      <c r="L8701" s="147">
        <f ca="1"/>
        <v>53940</v>
      </c>
      <c r="M8701" s="92">
        <f t="shared" ca="1" si="281"/>
        <v>6.25</v>
      </c>
      <c r="N8701" s="143">
        <f ca="1">(PRODUCT($O$5:$O8701)-1)*36000/_xlfn.DAYS(L8701, $C$2)</f>
        <v>15.89543846007957</v>
      </c>
      <c r="O8701" s="149">
        <f t="shared" ca="1" si="282"/>
        <v>1.000173611111111</v>
      </c>
    </row>
    <row r="8702" spans="12:15" x14ac:dyDescent="0.25">
      <c r="L8702" s="147">
        <f ca="1"/>
        <v>53941</v>
      </c>
      <c r="M8702" s="92">
        <f t="shared" ca="1" si="281"/>
        <v>6.25</v>
      </c>
      <c r="N8702" s="143">
        <f ca="1">(PRODUCT($O$5:$O8702)-1)*36000/_xlfn.DAYS(L8702, $C$2)</f>
        <v>15.897088841528154</v>
      </c>
      <c r="O8702" s="149">
        <f t="shared" ca="1" si="282"/>
        <v>1.000173611111111</v>
      </c>
    </row>
    <row r="8703" spans="12:15" x14ac:dyDescent="0.25">
      <c r="L8703" s="147">
        <f ca="1"/>
        <v>53942</v>
      </c>
      <c r="M8703" s="92">
        <f t="shared" ca="1" si="281"/>
        <v>6.25</v>
      </c>
      <c r="N8703" s="143">
        <f ca="1">(PRODUCT($O$5:$O8703)-1)*36000/_xlfn.DAYS(L8703, $C$2)</f>
        <v>15.898739447261416</v>
      </c>
      <c r="O8703" s="149">
        <f t="shared" ca="1" si="282"/>
        <v>1.000173611111111</v>
      </c>
    </row>
    <row r="8704" spans="12:15" x14ac:dyDescent="0.25">
      <c r="L8704" s="147">
        <f ca="1"/>
        <v>53943</v>
      </c>
      <c r="M8704" s="92">
        <f t="shared" ca="1" si="281"/>
        <v>6.25</v>
      </c>
      <c r="N8704" s="143">
        <f ca="1">(PRODUCT($O$5:$O8704)-1)*36000/_xlfn.DAYS(L8704, $C$2)</f>
        <v>15.900390277306821</v>
      </c>
      <c r="O8704" s="149">
        <f t="shared" ca="1" si="282"/>
        <v>1.000173611111111</v>
      </c>
    </row>
    <row r="8705" spans="12:15" x14ac:dyDescent="0.25">
      <c r="L8705" s="147">
        <f ca="1"/>
        <v>53944</v>
      </c>
      <c r="M8705" s="92">
        <f t="shared" ca="1" si="281"/>
        <v>6.25</v>
      </c>
      <c r="N8705" s="143">
        <f ca="1">(PRODUCT($O$5:$O8705)-1)*36000/_xlfn.DAYS(L8705, $C$2)</f>
        <v>15.902041331691839</v>
      </c>
      <c r="O8705" s="149">
        <f t="shared" ca="1" si="282"/>
        <v>1.000173611111111</v>
      </c>
    </row>
    <row r="8706" spans="12:15" x14ac:dyDescent="0.25">
      <c r="L8706" s="147">
        <f ca="1"/>
        <v>53945</v>
      </c>
      <c r="M8706" s="92">
        <f t="shared" ca="1" si="281"/>
        <v>6.25</v>
      </c>
      <c r="N8706" s="143">
        <f ca="1">(PRODUCT($O$5:$O8706)-1)*36000/_xlfn.DAYS(L8706, $C$2)</f>
        <v>15.90369261044394</v>
      </c>
      <c r="O8706" s="149">
        <f t="shared" ca="1" si="282"/>
        <v>1.000173611111111</v>
      </c>
    </row>
    <row r="8707" spans="12:15" x14ac:dyDescent="0.25">
      <c r="L8707" s="147">
        <f ca="1"/>
        <v>53946</v>
      </c>
      <c r="M8707" s="92">
        <f t="shared" ca="1" si="281"/>
        <v>6.25</v>
      </c>
      <c r="N8707" s="143">
        <f ca="1">(PRODUCT($O$5:$O8707)-1)*36000/_xlfn.DAYS(L8707, $C$2)</f>
        <v>15.905344113590601</v>
      </c>
      <c r="O8707" s="149">
        <f t="shared" ca="1" si="282"/>
        <v>1.000173611111111</v>
      </c>
    </row>
    <row r="8708" spans="12:15" x14ac:dyDescent="0.25">
      <c r="L8708" s="147">
        <f ca="1"/>
        <v>53947</v>
      </c>
      <c r="M8708" s="92">
        <f t="shared" ca="1" si="281"/>
        <v>6.25</v>
      </c>
      <c r="N8708" s="143">
        <f ca="1">(PRODUCT($O$5:$O8708)-1)*36000/_xlfn.DAYS(L8708, $C$2)</f>
        <v>15.906995841159311</v>
      </c>
      <c r="O8708" s="149">
        <f t="shared" ca="1" si="282"/>
        <v>1.000173611111111</v>
      </c>
    </row>
    <row r="8709" spans="12:15" x14ac:dyDescent="0.25">
      <c r="L8709" s="147">
        <f ca="1"/>
        <v>53948</v>
      </c>
      <c r="M8709" s="92">
        <f t="shared" ref="M8709:M8772" ca="1" si="283">IFERROR(INDEX($E$27:$H$47, MATCH(L8709, $F$27:$F$47, 0), 4), IF(ISNUMBER(M8708), M8708, $C$5))</f>
        <v>6.25</v>
      </c>
      <c r="N8709" s="143">
        <f ca="1">(PRODUCT($O$5:$O8709)-1)*36000/_xlfn.DAYS(L8709, $C$2)</f>
        <v>15.908647793177551</v>
      </c>
      <c r="O8709" s="149">
        <f t="shared" ca="1" si="282"/>
        <v>1.000173611111111</v>
      </c>
    </row>
    <row r="8710" spans="12:15" x14ac:dyDescent="0.25">
      <c r="L8710" s="147">
        <f ca="1"/>
        <v>53949</v>
      </c>
      <c r="M8710" s="92">
        <f t="shared" ca="1" si="283"/>
        <v>6.25</v>
      </c>
      <c r="N8710" s="143">
        <f ca="1">(PRODUCT($O$5:$O8710)-1)*36000/_xlfn.DAYS(L8710, $C$2)</f>
        <v>15.910299969672822</v>
      </c>
      <c r="O8710" s="149">
        <f t="shared" ref="O8710:O8773" ca="1" si="284">1+M8710*IFERROR(_xlfn.DAYS(L8710, L8709), _xlfn.DAYS(L8710, $C$2))/36000</f>
        <v>1.000173611111111</v>
      </c>
    </row>
    <row r="8711" spans="12:15" x14ac:dyDescent="0.25">
      <c r="L8711" s="147">
        <f ca="1"/>
        <v>53950</v>
      </c>
      <c r="M8711" s="92">
        <f t="shared" ca="1" si="283"/>
        <v>6.25</v>
      </c>
      <c r="N8711" s="143">
        <f ca="1">(PRODUCT($O$5:$O8711)-1)*36000/_xlfn.DAYS(L8711, $C$2)</f>
        <v>15.911952370672628</v>
      </c>
      <c r="O8711" s="149">
        <f t="shared" ca="1" si="284"/>
        <v>1.000173611111111</v>
      </c>
    </row>
    <row r="8712" spans="12:15" x14ac:dyDescent="0.25">
      <c r="L8712" s="147">
        <f ca="1"/>
        <v>53951</v>
      </c>
      <c r="M8712" s="92">
        <f t="shared" ca="1" si="283"/>
        <v>6.25</v>
      </c>
      <c r="N8712" s="143">
        <f ca="1">(PRODUCT($O$5:$O8712)-1)*36000/_xlfn.DAYS(L8712, $C$2)</f>
        <v>15.913604996204473</v>
      </c>
      <c r="O8712" s="149">
        <f t="shared" ca="1" si="284"/>
        <v>1.000173611111111</v>
      </c>
    </row>
    <row r="8713" spans="12:15" x14ac:dyDescent="0.25">
      <c r="L8713" s="147">
        <f ca="1"/>
        <v>53952</v>
      </c>
      <c r="M8713" s="92">
        <f t="shared" ca="1" si="283"/>
        <v>6.25</v>
      </c>
      <c r="N8713" s="143">
        <f ca="1">(PRODUCT($O$5:$O8713)-1)*36000/_xlfn.DAYS(L8713, $C$2)</f>
        <v>15.915257846295868</v>
      </c>
      <c r="O8713" s="149">
        <f t="shared" ca="1" si="284"/>
        <v>1.000173611111111</v>
      </c>
    </row>
    <row r="8714" spans="12:15" x14ac:dyDescent="0.25">
      <c r="L8714" s="147">
        <f ca="1"/>
        <v>53953</v>
      </c>
      <c r="M8714" s="92">
        <f t="shared" ca="1" si="283"/>
        <v>6.25</v>
      </c>
      <c r="N8714" s="143">
        <f ca="1">(PRODUCT($O$5:$O8714)-1)*36000/_xlfn.DAYS(L8714, $C$2)</f>
        <v>15.916910920974331</v>
      </c>
      <c r="O8714" s="149">
        <f t="shared" ca="1" si="284"/>
        <v>1.000173611111111</v>
      </c>
    </row>
    <row r="8715" spans="12:15" x14ac:dyDescent="0.25">
      <c r="L8715" s="147">
        <f ca="1"/>
        <v>53954</v>
      </c>
      <c r="M8715" s="92">
        <f t="shared" ca="1" si="283"/>
        <v>6.25</v>
      </c>
      <c r="N8715" s="143">
        <f ca="1">(PRODUCT($O$5:$O8715)-1)*36000/_xlfn.DAYS(L8715, $C$2)</f>
        <v>15.918564220267385</v>
      </c>
      <c r="O8715" s="149">
        <f t="shared" ca="1" si="284"/>
        <v>1.000173611111111</v>
      </c>
    </row>
    <row r="8716" spans="12:15" x14ac:dyDescent="0.25">
      <c r="L8716" s="147">
        <f ca="1"/>
        <v>53955</v>
      </c>
      <c r="M8716" s="92">
        <f t="shared" ca="1" si="283"/>
        <v>6.25</v>
      </c>
      <c r="N8716" s="143">
        <f ca="1">(PRODUCT($O$5:$O8716)-1)*36000/_xlfn.DAYS(L8716, $C$2)</f>
        <v>15.920217744202562</v>
      </c>
      <c r="O8716" s="149">
        <f t="shared" ca="1" si="284"/>
        <v>1.000173611111111</v>
      </c>
    </row>
    <row r="8717" spans="12:15" x14ac:dyDescent="0.25">
      <c r="L8717" s="147">
        <f ca="1"/>
        <v>53956</v>
      </c>
      <c r="M8717" s="92">
        <f t="shared" ca="1" si="283"/>
        <v>6.25</v>
      </c>
      <c r="N8717" s="143">
        <f ca="1">(PRODUCT($O$5:$O8717)-1)*36000/_xlfn.DAYS(L8717, $C$2)</f>
        <v>15.921871492807391</v>
      </c>
      <c r="O8717" s="149">
        <f t="shared" ca="1" si="284"/>
        <v>1.000173611111111</v>
      </c>
    </row>
    <row r="8718" spans="12:15" x14ac:dyDescent="0.25">
      <c r="L8718" s="147">
        <f ca="1"/>
        <v>53957</v>
      </c>
      <c r="M8718" s="92">
        <f t="shared" ca="1" si="283"/>
        <v>6.25</v>
      </c>
      <c r="N8718" s="143">
        <f ca="1">(PRODUCT($O$5:$O8718)-1)*36000/_xlfn.DAYS(L8718, $C$2)</f>
        <v>15.923525466109414</v>
      </c>
      <c r="O8718" s="149">
        <f t="shared" ca="1" si="284"/>
        <v>1.000173611111111</v>
      </c>
    </row>
    <row r="8719" spans="12:15" x14ac:dyDescent="0.25">
      <c r="L8719" s="147">
        <f ca="1"/>
        <v>53958</v>
      </c>
      <c r="M8719" s="92">
        <f t="shared" ca="1" si="283"/>
        <v>6.25</v>
      </c>
      <c r="N8719" s="143">
        <f ca="1">(PRODUCT($O$5:$O8719)-1)*36000/_xlfn.DAYS(L8719, $C$2)</f>
        <v>15.925179664136181</v>
      </c>
      <c r="O8719" s="149">
        <f t="shared" ca="1" si="284"/>
        <v>1.000173611111111</v>
      </c>
    </row>
    <row r="8720" spans="12:15" x14ac:dyDescent="0.25">
      <c r="L8720" s="147">
        <f ca="1"/>
        <v>53959</v>
      </c>
      <c r="M8720" s="92">
        <f t="shared" ca="1" si="283"/>
        <v>6.25</v>
      </c>
      <c r="N8720" s="143">
        <f ca="1">(PRODUCT($O$5:$O8720)-1)*36000/_xlfn.DAYS(L8720, $C$2)</f>
        <v>15.926834086915239</v>
      </c>
      <c r="O8720" s="149">
        <f t="shared" ca="1" si="284"/>
        <v>1.000173611111111</v>
      </c>
    </row>
    <row r="8721" spans="12:15" x14ac:dyDescent="0.25">
      <c r="L8721" s="147">
        <f ca="1"/>
        <v>53960</v>
      </c>
      <c r="M8721" s="92">
        <f t="shared" ca="1" si="283"/>
        <v>6.25</v>
      </c>
      <c r="N8721" s="143">
        <f ca="1">(PRODUCT($O$5:$O8721)-1)*36000/_xlfn.DAYS(L8721, $C$2)</f>
        <v>15.928488734474145</v>
      </c>
      <c r="O8721" s="149">
        <f t="shared" ca="1" si="284"/>
        <v>1.000173611111111</v>
      </c>
    </row>
    <row r="8722" spans="12:15" x14ac:dyDescent="0.25">
      <c r="L8722" s="147">
        <f ca="1"/>
        <v>53961</v>
      </c>
      <c r="M8722" s="92">
        <f t="shared" ca="1" si="283"/>
        <v>6.25</v>
      </c>
      <c r="N8722" s="143">
        <f ca="1">(PRODUCT($O$5:$O8722)-1)*36000/_xlfn.DAYS(L8722, $C$2)</f>
        <v>15.930143606840462</v>
      </c>
      <c r="O8722" s="149">
        <f t="shared" ca="1" si="284"/>
        <v>1.000173611111111</v>
      </c>
    </row>
    <row r="8723" spans="12:15" x14ac:dyDescent="0.25">
      <c r="L8723" s="147">
        <f ca="1"/>
        <v>53962</v>
      </c>
      <c r="M8723" s="92">
        <f t="shared" ca="1" si="283"/>
        <v>6.25</v>
      </c>
      <c r="N8723" s="143">
        <f ca="1">(PRODUCT($O$5:$O8723)-1)*36000/_xlfn.DAYS(L8723, $C$2)</f>
        <v>15.931798704041757</v>
      </c>
      <c r="O8723" s="149">
        <f t="shared" ca="1" si="284"/>
        <v>1.000173611111111</v>
      </c>
    </row>
    <row r="8724" spans="12:15" x14ac:dyDescent="0.25">
      <c r="L8724" s="147">
        <f ca="1"/>
        <v>53963</v>
      </c>
      <c r="M8724" s="92">
        <f t="shared" ca="1" si="283"/>
        <v>6.25</v>
      </c>
      <c r="N8724" s="143">
        <f ca="1">(PRODUCT($O$5:$O8724)-1)*36000/_xlfn.DAYS(L8724, $C$2)</f>
        <v>15.933454026105602</v>
      </c>
      <c r="O8724" s="149">
        <f t="shared" ca="1" si="284"/>
        <v>1.000173611111111</v>
      </c>
    </row>
    <row r="8725" spans="12:15" x14ac:dyDescent="0.25">
      <c r="L8725" s="147">
        <f ca="1"/>
        <v>53964</v>
      </c>
      <c r="M8725" s="92">
        <f t="shared" ca="1" si="283"/>
        <v>6.25</v>
      </c>
      <c r="N8725" s="143">
        <f ca="1">(PRODUCT($O$5:$O8725)-1)*36000/_xlfn.DAYS(L8725, $C$2)</f>
        <v>15.935109573059577</v>
      </c>
      <c r="O8725" s="149">
        <f t="shared" ca="1" si="284"/>
        <v>1.000173611111111</v>
      </c>
    </row>
    <row r="8726" spans="12:15" x14ac:dyDescent="0.25">
      <c r="L8726" s="147">
        <f ca="1"/>
        <v>53965</v>
      </c>
      <c r="M8726" s="92">
        <f t="shared" ca="1" si="283"/>
        <v>6.25</v>
      </c>
      <c r="N8726" s="143">
        <f ca="1">(PRODUCT($O$5:$O8726)-1)*36000/_xlfn.DAYS(L8726, $C$2)</f>
        <v>15.936765344931267</v>
      </c>
      <c r="O8726" s="149">
        <f t="shared" ca="1" si="284"/>
        <v>1.000173611111111</v>
      </c>
    </row>
    <row r="8727" spans="12:15" x14ac:dyDescent="0.25">
      <c r="L8727" s="147">
        <f ca="1"/>
        <v>53966</v>
      </c>
      <c r="M8727" s="92">
        <f t="shared" ca="1" si="283"/>
        <v>6.25</v>
      </c>
      <c r="N8727" s="143">
        <f ca="1">(PRODUCT($O$5:$O8727)-1)*36000/_xlfn.DAYS(L8727, $C$2)</f>
        <v>15.938421341748263</v>
      </c>
      <c r="O8727" s="149">
        <f t="shared" ca="1" si="284"/>
        <v>1.000173611111111</v>
      </c>
    </row>
    <row r="8728" spans="12:15" x14ac:dyDescent="0.25">
      <c r="L8728" s="147">
        <f ca="1"/>
        <v>53967</v>
      </c>
      <c r="M8728" s="92">
        <f t="shared" ca="1" si="283"/>
        <v>6.25</v>
      </c>
      <c r="N8728" s="143">
        <f ca="1">(PRODUCT($O$5:$O8728)-1)*36000/_xlfn.DAYS(L8728, $C$2)</f>
        <v>15.940077563538162</v>
      </c>
      <c r="O8728" s="149">
        <f t="shared" ca="1" si="284"/>
        <v>1.000173611111111</v>
      </c>
    </row>
    <row r="8729" spans="12:15" x14ac:dyDescent="0.25">
      <c r="L8729" s="147">
        <f ca="1"/>
        <v>53968</v>
      </c>
      <c r="M8729" s="92">
        <f t="shared" ca="1" si="283"/>
        <v>6.25</v>
      </c>
      <c r="N8729" s="143">
        <f ca="1">(PRODUCT($O$5:$O8729)-1)*36000/_xlfn.DAYS(L8729, $C$2)</f>
        <v>15.94173401032856</v>
      </c>
      <c r="O8729" s="149">
        <f t="shared" ca="1" si="284"/>
        <v>1.000173611111111</v>
      </c>
    </row>
    <row r="8730" spans="12:15" x14ac:dyDescent="0.25">
      <c r="L8730" s="147">
        <f ca="1"/>
        <v>53969</v>
      </c>
      <c r="M8730" s="92">
        <f t="shared" ca="1" si="283"/>
        <v>6.25</v>
      </c>
      <c r="N8730" s="143">
        <f ca="1">(PRODUCT($O$5:$O8730)-1)*36000/_xlfn.DAYS(L8730, $C$2)</f>
        <v>15.943390682147069</v>
      </c>
      <c r="O8730" s="149">
        <f t="shared" ca="1" si="284"/>
        <v>1.000173611111111</v>
      </c>
    </row>
    <row r="8731" spans="12:15" x14ac:dyDescent="0.25">
      <c r="L8731" s="147">
        <f ca="1"/>
        <v>53970</v>
      </c>
      <c r="M8731" s="92">
        <f t="shared" ca="1" si="283"/>
        <v>6.25</v>
      </c>
      <c r="N8731" s="143">
        <f ca="1">(PRODUCT($O$5:$O8731)-1)*36000/_xlfn.DAYS(L8731, $C$2)</f>
        <v>15.945047579021297</v>
      </c>
      <c r="O8731" s="149">
        <f t="shared" ca="1" si="284"/>
        <v>1.000173611111111</v>
      </c>
    </row>
    <row r="8732" spans="12:15" x14ac:dyDescent="0.25">
      <c r="L8732" s="147">
        <f ca="1"/>
        <v>53971</v>
      </c>
      <c r="M8732" s="92">
        <f t="shared" ca="1" si="283"/>
        <v>6.25</v>
      </c>
      <c r="N8732" s="143">
        <f ca="1">(PRODUCT($O$5:$O8732)-1)*36000/_xlfn.DAYS(L8732, $C$2)</f>
        <v>15.946704700978861</v>
      </c>
      <c r="O8732" s="149">
        <f t="shared" ca="1" si="284"/>
        <v>1.000173611111111</v>
      </c>
    </row>
    <row r="8733" spans="12:15" x14ac:dyDescent="0.25">
      <c r="L8733" s="147">
        <f ca="1"/>
        <v>53972</v>
      </c>
      <c r="M8733" s="92">
        <f t="shared" ca="1" si="283"/>
        <v>6.25</v>
      </c>
      <c r="N8733" s="143">
        <f ca="1">(PRODUCT($O$5:$O8733)-1)*36000/_xlfn.DAYS(L8733, $C$2)</f>
        <v>15.948362048047391</v>
      </c>
      <c r="O8733" s="149">
        <f t="shared" ca="1" si="284"/>
        <v>1.000173611111111</v>
      </c>
    </row>
    <row r="8734" spans="12:15" x14ac:dyDescent="0.25">
      <c r="L8734" s="147">
        <f ca="1"/>
        <v>53973</v>
      </c>
      <c r="M8734" s="92">
        <f t="shared" ca="1" si="283"/>
        <v>6.25</v>
      </c>
      <c r="N8734" s="143">
        <f ca="1">(PRODUCT($O$5:$O8734)-1)*36000/_xlfn.DAYS(L8734, $C$2)</f>
        <v>15.95001962025451</v>
      </c>
      <c r="O8734" s="149">
        <f t="shared" ca="1" si="284"/>
        <v>1.000173611111111</v>
      </c>
    </row>
    <row r="8735" spans="12:15" x14ac:dyDescent="0.25">
      <c r="L8735" s="147">
        <f ca="1"/>
        <v>53974</v>
      </c>
      <c r="M8735" s="92">
        <f t="shared" ca="1" si="283"/>
        <v>6.25</v>
      </c>
      <c r="N8735" s="143">
        <f ca="1">(PRODUCT($O$5:$O8735)-1)*36000/_xlfn.DAYS(L8735, $C$2)</f>
        <v>15.951677417627856</v>
      </c>
      <c r="O8735" s="149">
        <f t="shared" ca="1" si="284"/>
        <v>1.000173611111111</v>
      </c>
    </row>
    <row r="8736" spans="12:15" x14ac:dyDescent="0.25">
      <c r="L8736" s="147">
        <f ca="1"/>
        <v>53975</v>
      </c>
      <c r="M8736" s="92">
        <f t="shared" ca="1" si="283"/>
        <v>6.25</v>
      </c>
      <c r="N8736" s="143">
        <f ca="1">(PRODUCT($O$5:$O8736)-1)*36000/_xlfn.DAYS(L8736, $C$2)</f>
        <v>15.953335440195069</v>
      </c>
      <c r="O8736" s="149">
        <f t="shared" ca="1" si="284"/>
        <v>1.000173611111111</v>
      </c>
    </row>
    <row r="8737" spans="12:15" x14ac:dyDescent="0.25">
      <c r="L8737" s="147">
        <f ca="1"/>
        <v>53976</v>
      </c>
      <c r="M8737" s="92">
        <f t="shared" ca="1" si="283"/>
        <v>6.25</v>
      </c>
      <c r="N8737" s="143">
        <f ca="1">(PRODUCT($O$5:$O8737)-1)*36000/_xlfn.DAYS(L8737, $C$2)</f>
        <v>15.954993687983787</v>
      </c>
      <c r="O8737" s="149">
        <f t="shared" ca="1" si="284"/>
        <v>1.000173611111111</v>
      </c>
    </row>
    <row r="8738" spans="12:15" x14ac:dyDescent="0.25">
      <c r="L8738" s="147">
        <f ca="1"/>
        <v>53977</v>
      </c>
      <c r="M8738" s="92">
        <f t="shared" ca="1" si="283"/>
        <v>6.25</v>
      </c>
      <c r="N8738" s="143">
        <f ca="1">(PRODUCT($O$5:$O8738)-1)*36000/_xlfn.DAYS(L8738, $C$2)</f>
        <v>15.956652161021678</v>
      </c>
      <c r="O8738" s="149">
        <f t="shared" ca="1" si="284"/>
        <v>1.000173611111111</v>
      </c>
    </row>
    <row r="8739" spans="12:15" x14ac:dyDescent="0.25">
      <c r="L8739" s="147">
        <f ca="1"/>
        <v>53978</v>
      </c>
      <c r="M8739" s="92">
        <f t="shared" ca="1" si="283"/>
        <v>6.25</v>
      </c>
      <c r="N8739" s="143">
        <f ca="1">(PRODUCT($O$5:$O8739)-1)*36000/_xlfn.DAYS(L8739, $C$2)</f>
        <v>15.958310859336382</v>
      </c>
      <c r="O8739" s="149">
        <f t="shared" ca="1" si="284"/>
        <v>1.000173611111111</v>
      </c>
    </row>
    <row r="8740" spans="12:15" x14ac:dyDescent="0.25">
      <c r="L8740" s="147">
        <f ca="1"/>
        <v>53979</v>
      </c>
      <c r="M8740" s="92">
        <f t="shared" ca="1" si="283"/>
        <v>6.25</v>
      </c>
      <c r="N8740" s="143">
        <f ca="1">(PRODUCT($O$5:$O8740)-1)*36000/_xlfn.DAYS(L8740, $C$2)</f>
        <v>15.95996978295557</v>
      </c>
      <c r="O8740" s="149">
        <f t="shared" ca="1" si="284"/>
        <v>1.000173611111111</v>
      </c>
    </row>
    <row r="8741" spans="12:15" x14ac:dyDescent="0.25">
      <c r="L8741" s="147">
        <f ca="1"/>
        <v>53980</v>
      </c>
      <c r="M8741" s="92">
        <f t="shared" ca="1" si="283"/>
        <v>6.25</v>
      </c>
      <c r="N8741" s="143">
        <f ca="1">(PRODUCT($O$5:$O8741)-1)*36000/_xlfn.DAYS(L8741, $C$2)</f>
        <v>15.961628931906908</v>
      </c>
      <c r="O8741" s="149">
        <f t="shared" ca="1" si="284"/>
        <v>1.000173611111111</v>
      </c>
    </row>
    <row r="8742" spans="12:15" x14ac:dyDescent="0.25">
      <c r="L8742" s="147">
        <f ca="1"/>
        <v>53981</v>
      </c>
      <c r="M8742" s="92">
        <f t="shared" ca="1" si="283"/>
        <v>6.25</v>
      </c>
      <c r="N8742" s="143">
        <f ca="1">(PRODUCT($O$5:$O8742)-1)*36000/_xlfn.DAYS(L8742, $C$2)</f>
        <v>15.96328830621807</v>
      </c>
      <c r="O8742" s="149">
        <f t="shared" ca="1" si="284"/>
        <v>1.000173611111111</v>
      </c>
    </row>
    <row r="8743" spans="12:15" x14ac:dyDescent="0.25">
      <c r="L8743" s="147">
        <f ca="1"/>
        <v>53982</v>
      </c>
      <c r="M8743" s="92">
        <f t="shared" ca="1" si="283"/>
        <v>6.25</v>
      </c>
      <c r="N8743" s="143">
        <f ca="1">(PRODUCT($O$5:$O8743)-1)*36000/_xlfn.DAYS(L8743, $C$2)</f>
        <v>15.964947905916736</v>
      </c>
      <c r="O8743" s="149">
        <f t="shared" ca="1" si="284"/>
        <v>1.000173611111111</v>
      </c>
    </row>
    <row r="8744" spans="12:15" x14ac:dyDescent="0.25">
      <c r="L8744" s="147">
        <f ca="1"/>
        <v>53983</v>
      </c>
      <c r="M8744" s="92">
        <f t="shared" ca="1" si="283"/>
        <v>6.25</v>
      </c>
      <c r="N8744" s="143">
        <f ca="1">(PRODUCT($O$5:$O8744)-1)*36000/_xlfn.DAYS(L8744, $C$2)</f>
        <v>15.966607731030589</v>
      </c>
      <c r="O8744" s="149">
        <f t="shared" ca="1" si="284"/>
        <v>1.000173611111111</v>
      </c>
    </row>
    <row r="8745" spans="12:15" x14ac:dyDescent="0.25">
      <c r="L8745" s="147">
        <f ca="1"/>
        <v>53984</v>
      </c>
      <c r="M8745" s="92">
        <f t="shared" ca="1" si="283"/>
        <v>6.25</v>
      </c>
      <c r="N8745" s="143">
        <f ca="1">(PRODUCT($O$5:$O8745)-1)*36000/_xlfn.DAYS(L8745, $C$2)</f>
        <v>15.96826778158732</v>
      </c>
      <c r="O8745" s="149">
        <f t="shared" ca="1" si="284"/>
        <v>1.000173611111111</v>
      </c>
    </row>
    <row r="8746" spans="12:15" x14ac:dyDescent="0.25">
      <c r="L8746" s="147">
        <f ca="1"/>
        <v>53985</v>
      </c>
      <c r="M8746" s="92">
        <f t="shared" ca="1" si="283"/>
        <v>6.25</v>
      </c>
      <c r="N8746" s="143">
        <f ca="1">(PRODUCT($O$5:$O8746)-1)*36000/_xlfn.DAYS(L8746, $C$2)</f>
        <v>15.969928057614625</v>
      </c>
      <c r="O8746" s="149">
        <f t="shared" ca="1" si="284"/>
        <v>1.000173611111111</v>
      </c>
    </row>
    <row r="8747" spans="12:15" x14ac:dyDescent="0.25">
      <c r="L8747" s="147">
        <f ca="1"/>
        <v>53986</v>
      </c>
      <c r="M8747" s="92">
        <f t="shared" ca="1" si="283"/>
        <v>6.25</v>
      </c>
      <c r="N8747" s="143">
        <f ca="1">(PRODUCT($O$5:$O8747)-1)*36000/_xlfn.DAYS(L8747, $C$2)</f>
        <v>15.971588559140208</v>
      </c>
      <c r="O8747" s="149">
        <f t="shared" ca="1" si="284"/>
        <v>1.000173611111111</v>
      </c>
    </row>
    <row r="8748" spans="12:15" x14ac:dyDescent="0.25">
      <c r="L8748" s="147">
        <f ca="1"/>
        <v>53987</v>
      </c>
      <c r="M8748" s="92">
        <f t="shared" ca="1" si="283"/>
        <v>6.25</v>
      </c>
      <c r="N8748" s="143">
        <f ca="1">(PRODUCT($O$5:$O8748)-1)*36000/_xlfn.DAYS(L8748, $C$2)</f>
        <v>15.973249286191768</v>
      </c>
      <c r="O8748" s="149">
        <f t="shared" ca="1" si="284"/>
        <v>1.000173611111111</v>
      </c>
    </row>
    <row r="8749" spans="12:15" x14ac:dyDescent="0.25">
      <c r="L8749" s="147">
        <f ca="1"/>
        <v>53988</v>
      </c>
      <c r="M8749" s="92">
        <f t="shared" ca="1" si="283"/>
        <v>6.25</v>
      </c>
      <c r="N8749" s="143">
        <f ca="1">(PRODUCT($O$5:$O8749)-1)*36000/_xlfn.DAYS(L8749, $C$2)</f>
        <v>15.974910238797028</v>
      </c>
      <c r="O8749" s="149">
        <f t="shared" ca="1" si="284"/>
        <v>1.000173611111111</v>
      </c>
    </row>
    <row r="8750" spans="12:15" x14ac:dyDescent="0.25">
      <c r="L8750" s="147">
        <f ca="1"/>
        <v>53989</v>
      </c>
      <c r="M8750" s="92">
        <f t="shared" ca="1" si="283"/>
        <v>6.25</v>
      </c>
      <c r="N8750" s="143">
        <f ca="1">(PRODUCT($O$5:$O8750)-1)*36000/_xlfn.DAYS(L8750, $C$2)</f>
        <v>15.976571416983697</v>
      </c>
      <c r="O8750" s="149">
        <f t="shared" ca="1" si="284"/>
        <v>1.000173611111111</v>
      </c>
    </row>
    <row r="8751" spans="12:15" x14ac:dyDescent="0.25">
      <c r="L8751" s="147">
        <f ca="1"/>
        <v>53990</v>
      </c>
      <c r="M8751" s="92">
        <f t="shared" ca="1" si="283"/>
        <v>6.25</v>
      </c>
      <c r="N8751" s="143">
        <f ca="1">(PRODUCT($O$5:$O8751)-1)*36000/_xlfn.DAYS(L8751, $C$2)</f>
        <v>15.978232820779501</v>
      </c>
      <c r="O8751" s="149">
        <f t="shared" ca="1" si="284"/>
        <v>1.000173611111111</v>
      </c>
    </row>
    <row r="8752" spans="12:15" x14ac:dyDescent="0.25">
      <c r="L8752" s="147">
        <f ca="1"/>
        <v>53991</v>
      </c>
      <c r="M8752" s="92">
        <f t="shared" ca="1" si="283"/>
        <v>6.25</v>
      </c>
      <c r="N8752" s="143">
        <f ca="1">(PRODUCT($O$5:$O8752)-1)*36000/_xlfn.DAYS(L8752, $C$2)</f>
        <v>15.979894450212173</v>
      </c>
      <c r="O8752" s="149">
        <f t="shared" ca="1" si="284"/>
        <v>1.000173611111111</v>
      </c>
    </row>
    <row r="8753" spans="12:15" x14ac:dyDescent="0.25">
      <c r="L8753" s="147">
        <f ca="1"/>
        <v>53992</v>
      </c>
      <c r="M8753" s="92">
        <f t="shared" ca="1" si="283"/>
        <v>6.25</v>
      </c>
      <c r="N8753" s="143">
        <f ca="1">(PRODUCT($O$5:$O8753)-1)*36000/_xlfn.DAYS(L8753, $C$2)</f>
        <v>15.981556305309448</v>
      </c>
      <c r="O8753" s="149">
        <f t="shared" ca="1" si="284"/>
        <v>1.000173611111111</v>
      </c>
    </row>
    <row r="8754" spans="12:15" x14ac:dyDescent="0.25">
      <c r="L8754" s="147">
        <f ca="1"/>
        <v>53993</v>
      </c>
      <c r="M8754" s="92">
        <f t="shared" ca="1" si="283"/>
        <v>6.25</v>
      </c>
      <c r="N8754" s="143">
        <f ca="1">(PRODUCT($O$5:$O8754)-1)*36000/_xlfn.DAYS(L8754, $C$2)</f>
        <v>15.983218386099061</v>
      </c>
      <c r="O8754" s="149">
        <f t="shared" ca="1" si="284"/>
        <v>1.000173611111111</v>
      </c>
    </row>
    <row r="8755" spans="12:15" x14ac:dyDescent="0.25">
      <c r="L8755" s="147">
        <f ca="1"/>
        <v>53994</v>
      </c>
      <c r="M8755" s="92">
        <f t="shared" ca="1" si="283"/>
        <v>6.25</v>
      </c>
      <c r="N8755" s="143">
        <f ca="1">(PRODUCT($O$5:$O8755)-1)*36000/_xlfn.DAYS(L8755, $C$2)</f>
        <v>15.984880692608762</v>
      </c>
      <c r="O8755" s="149">
        <f t="shared" ca="1" si="284"/>
        <v>1.000173611111111</v>
      </c>
    </row>
    <row r="8756" spans="12:15" x14ac:dyDescent="0.25">
      <c r="L8756" s="147">
        <f ca="1"/>
        <v>53995</v>
      </c>
      <c r="M8756" s="92">
        <f t="shared" ca="1" si="283"/>
        <v>6.25</v>
      </c>
      <c r="N8756" s="143">
        <f ca="1">(PRODUCT($O$5:$O8756)-1)*36000/_xlfn.DAYS(L8756, $C$2)</f>
        <v>15.986543224866299</v>
      </c>
      <c r="O8756" s="149">
        <f t="shared" ca="1" si="284"/>
        <v>1.000173611111111</v>
      </c>
    </row>
    <row r="8757" spans="12:15" x14ac:dyDescent="0.25">
      <c r="L8757" s="147">
        <f ca="1"/>
        <v>53996</v>
      </c>
      <c r="M8757" s="92">
        <f t="shared" ca="1" si="283"/>
        <v>6.25</v>
      </c>
      <c r="N8757" s="143">
        <f ca="1">(PRODUCT($O$5:$O8757)-1)*36000/_xlfn.DAYS(L8757, $C$2)</f>
        <v>15.988205982899428</v>
      </c>
      <c r="O8757" s="149">
        <f t="shared" ca="1" si="284"/>
        <v>1.000173611111111</v>
      </c>
    </row>
    <row r="8758" spans="12:15" x14ac:dyDescent="0.25">
      <c r="L8758" s="147">
        <f ca="1"/>
        <v>53997</v>
      </c>
      <c r="M8758" s="92">
        <f t="shared" ca="1" si="283"/>
        <v>6.25</v>
      </c>
      <c r="N8758" s="143">
        <f ca="1">(PRODUCT($O$5:$O8758)-1)*36000/_xlfn.DAYS(L8758, $C$2)</f>
        <v>15.989868966735921</v>
      </c>
      <c r="O8758" s="149">
        <f t="shared" ca="1" si="284"/>
        <v>1.000173611111111</v>
      </c>
    </row>
    <row r="8759" spans="12:15" x14ac:dyDescent="0.25">
      <c r="L8759" s="147">
        <f ca="1"/>
        <v>53998</v>
      </c>
      <c r="M8759" s="92">
        <f t="shared" ca="1" si="283"/>
        <v>6.25</v>
      </c>
      <c r="N8759" s="143">
        <f ca="1">(PRODUCT($O$5:$O8759)-1)*36000/_xlfn.DAYS(L8759, $C$2)</f>
        <v>15.99153217640354</v>
      </c>
      <c r="O8759" s="149">
        <f t="shared" ca="1" si="284"/>
        <v>1.000173611111111</v>
      </c>
    </row>
    <row r="8760" spans="12:15" x14ac:dyDescent="0.25">
      <c r="L8760" s="147">
        <f ca="1"/>
        <v>53999</v>
      </c>
      <c r="M8760" s="92">
        <f t="shared" ca="1" si="283"/>
        <v>6.25</v>
      </c>
      <c r="N8760" s="143">
        <f ca="1">(PRODUCT($O$5:$O8760)-1)*36000/_xlfn.DAYS(L8760, $C$2)</f>
        <v>15.993195611930057</v>
      </c>
      <c r="O8760" s="149">
        <f t="shared" ca="1" si="284"/>
        <v>1.000173611111111</v>
      </c>
    </row>
    <row r="8761" spans="12:15" x14ac:dyDescent="0.25">
      <c r="L8761" s="147">
        <f ca="1"/>
        <v>54000</v>
      </c>
      <c r="M8761" s="92">
        <f t="shared" ca="1" si="283"/>
        <v>6.25</v>
      </c>
      <c r="N8761" s="143">
        <f ca="1">(PRODUCT($O$5:$O8761)-1)*36000/_xlfn.DAYS(L8761, $C$2)</f>
        <v>15.994859273343256</v>
      </c>
      <c r="O8761" s="149">
        <f t="shared" ca="1" si="284"/>
        <v>1.000173611111111</v>
      </c>
    </row>
    <row r="8762" spans="12:15" x14ac:dyDescent="0.25">
      <c r="L8762" s="147">
        <f ca="1"/>
        <v>54001</v>
      </c>
      <c r="M8762" s="92">
        <f t="shared" ca="1" si="283"/>
        <v>6.25</v>
      </c>
      <c r="N8762" s="143">
        <f ca="1">(PRODUCT($O$5:$O8762)-1)*36000/_xlfn.DAYS(L8762, $C$2)</f>
        <v>15.996523160670913</v>
      </c>
      <c r="O8762" s="149">
        <f t="shared" ca="1" si="284"/>
        <v>1.000173611111111</v>
      </c>
    </row>
    <row r="8763" spans="12:15" x14ac:dyDescent="0.25">
      <c r="L8763" s="147">
        <f ca="1"/>
        <v>54002</v>
      </c>
      <c r="M8763" s="92">
        <f t="shared" ca="1" si="283"/>
        <v>6.25</v>
      </c>
      <c r="N8763" s="143">
        <f ca="1">(PRODUCT($O$5:$O8763)-1)*36000/_xlfn.DAYS(L8763, $C$2)</f>
        <v>15.998187273940827</v>
      </c>
      <c r="O8763" s="149">
        <f t="shared" ca="1" si="284"/>
        <v>1.000173611111111</v>
      </c>
    </row>
    <row r="8764" spans="12:15" x14ac:dyDescent="0.25">
      <c r="L8764" s="147">
        <f ca="1"/>
        <v>54003</v>
      </c>
      <c r="M8764" s="92">
        <f t="shared" ca="1" si="283"/>
        <v>6.25</v>
      </c>
      <c r="N8764" s="143">
        <f ca="1">(PRODUCT($O$5:$O8764)-1)*36000/_xlfn.DAYS(L8764, $C$2)</f>
        <v>15.999851613180791</v>
      </c>
      <c r="O8764" s="149">
        <f t="shared" ca="1" si="284"/>
        <v>1.000173611111111</v>
      </c>
    </row>
    <row r="8765" spans="12:15" x14ac:dyDescent="0.25">
      <c r="L8765" s="147">
        <f ca="1"/>
        <v>54004</v>
      </c>
      <c r="M8765" s="92">
        <f t="shared" ca="1" si="283"/>
        <v>6.25</v>
      </c>
      <c r="N8765" s="143">
        <f ca="1">(PRODUCT($O$5:$O8765)-1)*36000/_xlfn.DAYS(L8765, $C$2)</f>
        <v>16.001516178418612</v>
      </c>
      <c r="O8765" s="149">
        <f t="shared" ca="1" si="284"/>
        <v>1.000173611111111</v>
      </c>
    </row>
    <row r="8766" spans="12:15" x14ac:dyDescent="0.25">
      <c r="L8766" s="147">
        <f ca="1"/>
        <v>54005</v>
      </c>
      <c r="M8766" s="92">
        <f t="shared" ca="1" si="283"/>
        <v>6.25</v>
      </c>
      <c r="N8766" s="143">
        <f ca="1">(PRODUCT($O$5:$O8766)-1)*36000/_xlfn.DAYS(L8766, $C$2)</f>
        <v>16.003180969682088</v>
      </c>
      <c r="O8766" s="149">
        <f t="shared" ca="1" si="284"/>
        <v>1.000173611111111</v>
      </c>
    </row>
    <row r="8767" spans="12:15" x14ac:dyDescent="0.25">
      <c r="L8767" s="147">
        <f ca="1"/>
        <v>54006</v>
      </c>
      <c r="M8767" s="92">
        <f t="shared" ca="1" si="283"/>
        <v>6.25</v>
      </c>
      <c r="N8767" s="143">
        <f ca="1">(PRODUCT($O$5:$O8767)-1)*36000/_xlfn.DAYS(L8767, $C$2)</f>
        <v>16.004845986999033</v>
      </c>
      <c r="O8767" s="149">
        <f t="shared" ca="1" si="284"/>
        <v>1.000173611111111</v>
      </c>
    </row>
    <row r="8768" spans="12:15" x14ac:dyDescent="0.25">
      <c r="L8768" s="147">
        <f ca="1"/>
        <v>54007</v>
      </c>
      <c r="M8768" s="92">
        <f t="shared" ca="1" si="283"/>
        <v>6.25</v>
      </c>
      <c r="N8768" s="143">
        <f ca="1">(PRODUCT($O$5:$O8768)-1)*36000/_xlfn.DAYS(L8768, $C$2)</f>
        <v>16.006511230397273</v>
      </c>
      <c r="O8768" s="149">
        <f t="shared" ca="1" si="284"/>
        <v>1.000173611111111</v>
      </c>
    </row>
    <row r="8769" spans="12:15" x14ac:dyDescent="0.25">
      <c r="L8769" s="147">
        <f ca="1"/>
        <v>54008</v>
      </c>
      <c r="M8769" s="92">
        <f t="shared" ca="1" si="283"/>
        <v>6.25</v>
      </c>
      <c r="N8769" s="143">
        <f ca="1">(PRODUCT($O$5:$O8769)-1)*36000/_xlfn.DAYS(L8769, $C$2)</f>
        <v>16.008176699904627</v>
      </c>
      <c r="O8769" s="149">
        <f t="shared" ca="1" si="284"/>
        <v>1.000173611111111</v>
      </c>
    </row>
    <row r="8770" spans="12:15" x14ac:dyDescent="0.25">
      <c r="L8770" s="147">
        <f ca="1"/>
        <v>54009</v>
      </c>
      <c r="M8770" s="92">
        <f t="shared" ca="1" si="283"/>
        <v>6.25</v>
      </c>
      <c r="N8770" s="143">
        <f ca="1">(PRODUCT($O$5:$O8770)-1)*36000/_xlfn.DAYS(L8770, $C$2)</f>
        <v>16.009842395548922</v>
      </c>
      <c r="O8770" s="149">
        <f t="shared" ca="1" si="284"/>
        <v>1.000173611111111</v>
      </c>
    </row>
    <row r="8771" spans="12:15" x14ac:dyDescent="0.25">
      <c r="L8771" s="147">
        <f ca="1"/>
        <v>54010</v>
      </c>
      <c r="M8771" s="92">
        <f t="shared" ca="1" si="283"/>
        <v>6.25</v>
      </c>
      <c r="N8771" s="143">
        <f ca="1">(PRODUCT($O$5:$O8771)-1)*36000/_xlfn.DAYS(L8771, $C$2)</f>
        <v>16.011508317358</v>
      </c>
      <c r="O8771" s="149">
        <f t="shared" ca="1" si="284"/>
        <v>1.000173611111111</v>
      </c>
    </row>
    <row r="8772" spans="12:15" x14ac:dyDescent="0.25">
      <c r="L8772" s="147">
        <f ca="1"/>
        <v>54011</v>
      </c>
      <c r="M8772" s="92">
        <f t="shared" ca="1" si="283"/>
        <v>6.25</v>
      </c>
      <c r="N8772" s="143">
        <f ca="1">(PRODUCT($O$5:$O8772)-1)*36000/_xlfn.DAYS(L8772, $C$2)</f>
        <v>16.013174465359693</v>
      </c>
      <c r="O8772" s="149">
        <f t="shared" ca="1" si="284"/>
        <v>1.000173611111111</v>
      </c>
    </row>
    <row r="8773" spans="12:15" x14ac:dyDescent="0.25">
      <c r="L8773" s="147">
        <f ca="1"/>
        <v>54012</v>
      </c>
      <c r="M8773" s="92">
        <f t="shared" ref="M8773:M8836" ca="1" si="285">IFERROR(INDEX($E$27:$H$47, MATCH(L8773, $F$27:$F$47, 0), 4), IF(ISNUMBER(M8772), M8772, $C$5))</f>
        <v>6.25</v>
      </c>
      <c r="N8773" s="143">
        <f ca="1">(PRODUCT($O$5:$O8773)-1)*36000/_xlfn.DAYS(L8773, $C$2)</f>
        <v>16.014840839581851</v>
      </c>
      <c r="O8773" s="149">
        <f t="shared" ca="1" si="284"/>
        <v>1.000173611111111</v>
      </c>
    </row>
    <row r="8774" spans="12:15" x14ac:dyDescent="0.25">
      <c r="L8774" s="147">
        <f ca="1"/>
        <v>54013</v>
      </c>
      <c r="M8774" s="92">
        <f t="shared" ca="1" si="285"/>
        <v>6.25</v>
      </c>
      <c r="N8774" s="143">
        <f ca="1">(PRODUCT($O$5:$O8774)-1)*36000/_xlfn.DAYS(L8774, $C$2)</f>
        <v>16.01650744005233</v>
      </c>
      <c r="O8774" s="149">
        <f t="shared" ref="O8774:O8837" ca="1" si="286">1+M8774*IFERROR(_xlfn.DAYS(L8774, L8773), _xlfn.DAYS(L8774, $C$2))/36000</f>
        <v>1.000173611111111</v>
      </c>
    </row>
    <row r="8775" spans="12:15" x14ac:dyDescent="0.25">
      <c r="L8775" s="147">
        <f ca="1"/>
        <v>54014</v>
      </c>
      <c r="M8775" s="92">
        <f t="shared" ca="1" si="285"/>
        <v>6.25</v>
      </c>
      <c r="N8775" s="143">
        <f ca="1">(PRODUCT($O$5:$O8775)-1)*36000/_xlfn.DAYS(L8775, $C$2)</f>
        <v>16.018174266798979</v>
      </c>
      <c r="O8775" s="149">
        <f t="shared" ca="1" si="286"/>
        <v>1.000173611111111</v>
      </c>
    </row>
    <row r="8776" spans="12:15" x14ac:dyDescent="0.25">
      <c r="L8776" s="147">
        <f ca="1"/>
        <v>54015</v>
      </c>
      <c r="M8776" s="92">
        <f t="shared" ca="1" si="285"/>
        <v>6.25</v>
      </c>
      <c r="N8776" s="143">
        <f ca="1">(PRODUCT($O$5:$O8776)-1)*36000/_xlfn.DAYS(L8776, $C$2)</f>
        <v>16.019841319849668</v>
      </c>
      <c r="O8776" s="149">
        <f t="shared" ca="1" si="286"/>
        <v>1.000173611111111</v>
      </c>
    </row>
    <row r="8777" spans="12:15" x14ac:dyDescent="0.25">
      <c r="L8777" s="147">
        <f ca="1"/>
        <v>54016</v>
      </c>
      <c r="M8777" s="92">
        <f t="shared" ca="1" si="285"/>
        <v>6.25</v>
      </c>
      <c r="N8777" s="143">
        <f ca="1">(PRODUCT($O$5:$O8777)-1)*36000/_xlfn.DAYS(L8777, $C$2)</f>
        <v>16.021508599232263</v>
      </c>
      <c r="O8777" s="149">
        <f t="shared" ca="1" si="286"/>
        <v>1.000173611111111</v>
      </c>
    </row>
    <row r="8778" spans="12:15" x14ac:dyDescent="0.25">
      <c r="L8778" s="147">
        <f ca="1"/>
        <v>54017</v>
      </c>
      <c r="M8778" s="92">
        <f t="shared" ca="1" si="285"/>
        <v>6.25</v>
      </c>
      <c r="N8778" s="143">
        <f ca="1">(PRODUCT($O$5:$O8778)-1)*36000/_xlfn.DAYS(L8778, $C$2)</f>
        <v>16.023176104974635</v>
      </c>
      <c r="O8778" s="149">
        <f t="shared" ca="1" si="286"/>
        <v>1.000173611111111</v>
      </c>
    </row>
    <row r="8779" spans="12:15" x14ac:dyDescent="0.25">
      <c r="L8779" s="147">
        <f ca="1"/>
        <v>54018</v>
      </c>
      <c r="M8779" s="92">
        <f t="shared" ca="1" si="285"/>
        <v>6.25</v>
      </c>
      <c r="N8779" s="143">
        <f ca="1">(PRODUCT($O$5:$O8779)-1)*36000/_xlfn.DAYS(L8779, $C$2)</f>
        <v>16.024843837104665</v>
      </c>
      <c r="O8779" s="149">
        <f t="shared" ca="1" si="286"/>
        <v>1.000173611111111</v>
      </c>
    </row>
    <row r="8780" spans="12:15" x14ac:dyDescent="0.25">
      <c r="L8780" s="147">
        <f ca="1"/>
        <v>54019</v>
      </c>
      <c r="M8780" s="92">
        <f t="shared" ca="1" si="285"/>
        <v>6.25</v>
      </c>
      <c r="N8780" s="143">
        <f ca="1">(PRODUCT($O$5:$O8780)-1)*36000/_xlfn.DAYS(L8780, $C$2)</f>
        <v>16.02651179565024</v>
      </c>
      <c r="O8780" s="149">
        <f t="shared" ca="1" si="286"/>
        <v>1.000173611111111</v>
      </c>
    </row>
    <row r="8781" spans="12:15" x14ac:dyDescent="0.25">
      <c r="L8781" s="147">
        <f ca="1"/>
        <v>54020</v>
      </c>
      <c r="M8781" s="92">
        <f t="shared" ca="1" si="285"/>
        <v>6.25</v>
      </c>
      <c r="N8781" s="143">
        <f ca="1">(PRODUCT($O$5:$O8781)-1)*36000/_xlfn.DAYS(L8781, $C$2)</f>
        <v>16.028179980639255</v>
      </c>
      <c r="O8781" s="149">
        <f t="shared" ca="1" si="286"/>
        <v>1.000173611111111</v>
      </c>
    </row>
    <row r="8782" spans="12:15" x14ac:dyDescent="0.25">
      <c r="L8782" s="147">
        <f ca="1"/>
        <v>54021</v>
      </c>
      <c r="M8782" s="92">
        <f t="shared" ca="1" si="285"/>
        <v>6.25</v>
      </c>
      <c r="N8782" s="143">
        <f ca="1">(PRODUCT($O$5:$O8782)-1)*36000/_xlfn.DAYS(L8782, $C$2)</f>
        <v>16.029848392099591</v>
      </c>
      <c r="O8782" s="149">
        <f t="shared" ca="1" si="286"/>
        <v>1.000173611111111</v>
      </c>
    </row>
    <row r="8783" spans="12:15" x14ac:dyDescent="0.25">
      <c r="L8783" s="147">
        <f ca="1"/>
        <v>54022</v>
      </c>
      <c r="M8783" s="92">
        <f t="shared" ca="1" si="285"/>
        <v>6.25</v>
      </c>
      <c r="N8783" s="143">
        <f ca="1">(PRODUCT($O$5:$O8783)-1)*36000/_xlfn.DAYS(L8783, $C$2)</f>
        <v>16.031517030059167</v>
      </c>
      <c r="O8783" s="149">
        <f t="shared" ca="1" si="286"/>
        <v>1.000173611111111</v>
      </c>
    </row>
    <row r="8784" spans="12:15" x14ac:dyDescent="0.25">
      <c r="L8784" s="147">
        <f ca="1"/>
        <v>54023</v>
      </c>
      <c r="M8784" s="92">
        <f t="shared" ca="1" si="285"/>
        <v>6.25</v>
      </c>
      <c r="N8784" s="143">
        <f ca="1">(PRODUCT($O$5:$O8784)-1)*36000/_xlfn.DAYS(L8784, $C$2)</f>
        <v>16.033185894545881</v>
      </c>
      <c r="O8784" s="149">
        <f t="shared" ca="1" si="286"/>
        <v>1.000173611111111</v>
      </c>
    </row>
    <row r="8785" spans="12:15" x14ac:dyDescent="0.25">
      <c r="L8785" s="147">
        <f ca="1"/>
        <v>54024</v>
      </c>
      <c r="M8785" s="92">
        <f t="shared" ca="1" si="285"/>
        <v>6.25</v>
      </c>
      <c r="N8785" s="143">
        <f ca="1">(PRODUCT($O$5:$O8785)-1)*36000/_xlfn.DAYS(L8785, $C$2)</f>
        <v>16.034854985587643</v>
      </c>
      <c r="O8785" s="149">
        <f t="shared" ca="1" si="286"/>
        <v>1.000173611111111</v>
      </c>
    </row>
    <row r="8786" spans="12:15" x14ac:dyDescent="0.25">
      <c r="L8786" s="147">
        <f ca="1"/>
        <v>54025</v>
      </c>
      <c r="M8786" s="92">
        <f t="shared" ca="1" si="285"/>
        <v>6.25</v>
      </c>
      <c r="N8786" s="143">
        <f ca="1">(PRODUCT($O$5:$O8786)-1)*36000/_xlfn.DAYS(L8786, $C$2)</f>
        <v>16.036524303212381</v>
      </c>
      <c r="O8786" s="149">
        <f t="shared" ca="1" si="286"/>
        <v>1.000173611111111</v>
      </c>
    </row>
    <row r="8787" spans="12:15" x14ac:dyDescent="0.25">
      <c r="L8787" s="147">
        <f ca="1"/>
        <v>54026</v>
      </c>
      <c r="M8787" s="92">
        <f t="shared" ca="1" si="285"/>
        <v>6.25</v>
      </c>
      <c r="N8787" s="143">
        <f ca="1">(PRODUCT($O$5:$O8787)-1)*36000/_xlfn.DAYS(L8787, $C$2)</f>
        <v>16.038193847448017</v>
      </c>
      <c r="O8787" s="149">
        <f t="shared" ca="1" si="286"/>
        <v>1.000173611111111</v>
      </c>
    </row>
    <row r="8788" spans="12:15" x14ac:dyDescent="0.25">
      <c r="L8788" s="147">
        <f ca="1"/>
        <v>54027</v>
      </c>
      <c r="M8788" s="92">
        <f t="shared" ca="1" si="285"/>
        <v>6.25</v>
      </c>
      <c r="N8788" s="143">
        <f ca="1">(PRODUCT($O$5:$O8788)-1)*36000/_xlfn.DAYS(L8788, $C$2)</f>
        <v>16.039863618322475</v>
      </c>
      <c r="O8788" s="149">
        <f t="shared" ca="1" si="286"/>
        <v>1.000173611111111</v>
      </c>
    </row>
    <row r="8789" spans="12:15" x14ac:dyDescent="0.25">
      <c r="L8789" s="147">
        <f ca="1"/>
        <v>54028</v>
      </c>
      <c r="M8789" s="92">
        <f t="shared" ca="1" si="285"/>
        <v>6.25</v>
      </c>
      <c r="N8789" s="143">
        <f ca="1">(PRODUCT($O$5:$O8789)-1)*36000/_xlfn.DAYS(L8789, $C$2)</f>
        <v>16.041533615863692</v>
      </c>
      <c r="O8789" s="149">
        <f t="shared" ca="1" si="286"/>
        <v>1.000173611111111</v>
      </c>
    </row>
    <row r="8790" spans="12:15" x14ac:dyDescent="0.25">
      <c r="L8790" s="147">
        <f ca="1"/>
        <v>54029</v>
      </c>
      <c r="M8790" s="92">
        <f t="shared" ca="1" si="285"/>
        <v>6.25</v>
      </c>
      <c r="N8790" s="143">
        <f ca="1">(PRODUCT($O$5:$O8790)-1)*36000/_xlfn.DAYS(L8790, $C$2)</f>
        <v>16.043203840099615</v>
      </c>
      <c r="O8790" s="149">
        <f t="shared" ca="1" si="286"/>
        <v>1.000173611111111</v>
      </c>
    </row>
    <row r="8791" spans="12:15" x14ac:dyDescent="0.25">
      <c r="L8791" s="147">
        <f ca="1"/>
        <v>54030</v>
      </c>
      <c r="M8791" s="92">
        <f t="shared" ca="1" si="285"/>
        <v>6.25</v>
      </c>
      <c r="N8791" s="143">
        <f ca="1">(PRODUCT($O$5:$O8791)-1)*36000/_xlfn.DAYS(L8791, $C$2)</f>
        <v>16.044874291058179</v>
      </c>
      <c r="O8791" s="149">
        <f t="shared" ca="1" si="286"/>
        <v>1.000173611111111</v>
      </c>
    </row>
    <row r="8792" spans="12:15" x14ac:dyDescent="0.25">
      <c r="L8792" s="147">
        <f ca="1"/>
        <v>54031</v>
      </c>
      <c r="M8792" s="92">
        <f t="shared" ca="1" si="285"/>
        <v>6.25</v>
      </c>
      <c r="N8792" s="143">
        <f ca="1">(PRODUCT($O$5:$O8792)-1)*36000/_xlfn.DAYS(L8792, $C$2)</f>
        <v>16.046544968767343</v>
      </c>
      <c r="O8792" s="149">
        <f t="shared" ca="1" si="286"/>
        <v>1.000173611111111</v>
      </c>
    </row>
    <row r="8793" spans="12:15" x14ac:dyDescent="0.25">
      <c r="L8793" s="147">
        <f ca="1"/>
        <v>54032</v>
      </c>
      <c r="M8793" s="92">
        <f t="shared" ca="1" si="285"/>
        <v>6.25</v>
      </c>
      <c r="N8793" s="143">
        <f ca="1">(PRODUCT($O$5:$O8793)-1)*36000/_xlfn.DAYS(L8793, $C$2)</f>
        <v>16.048215873255064</v>
      </c>
      <c r="O8793" s="149">
        <f t="shared" ca="1" si="286"/>
        <v>1.000173611111111</v>
      </c>
    </row>
    <row r="8794" spans="12:15" x14ac:dyDescent="0.25">
      <c r="L8794" s="147">
        <f ca="1"/>
        <v>54033</v>
      </c>
      <c r="M8794" s="92">
        <f t="shared" ca="1" si="285"/>
        <v>6.25</v>
      </c>
      <c r="N8794" s="143">
        <f ca="1">(PRODUCT($O$5:$O8794)-1)*36000/_xlfn.DAYS(L8794, $C$2)</f>
        <v>16.049887004549309</v>
      </c>
      <c r="O8794" s="149">
        <f t="shared" ca="1" si="286"/>
        <v>1.000173611111111</v>
      </c>
    </row>
    <row r="8795" spans="12:15" x14ac:dyDescent="0.25">
      <c r="L8795" s="147">
        <f ca="1"/>
        <v>54034</v>
      </c>
      <c r="M8795" s="92">
        <f t="shared" ca="1" si="285"/>
        <v>6.25</v>
      </c>
      <c r="N8795" s="143">
        <f ca="1">(PRODUCT($O$5:$O8795)-1)*36000/_xlfn.DAYS(L8795, $C$2)</f>
        <v>16.051558362678037</v>
      </c>
      <c r="O8795" s="149">
        <f t="shared" ca="1" si="286"/>
        <v>1.000173611111111</v>
      </c>
    </row>
    <row r="8796" spans="12:15" x14ac:dyDescent="0.25">
      <c r="L8796" s="147">
        <f ca="1"/>
        <v>54035</v>
      </c>
      <c r="M8796" s="92">
        <f t="shared" ca="1" si="285"/>
        <v>6.25</v>
      </c>
      <c r="N8796" s="143">
        <f ca="1">(PRODUCT($O$5:$O8796)-1)*36000/_xlfn.DAYS(L8796, $C$2)</f>
        <v>16.053229947669234</v>
      </c>
      <c r="O8796" s="149">
        <f t="shared" ca="1" si="286"/>
        <v>1.000173611111111</v>
      </c>
    </row>
    <row r="8797" spans="12:15" x14ac:dyDescent="0.25">
      <c r="L8797" s="147">
        <f ca="1"/>
        <v>54036</v>
      </c>
      <c r="M8797" s="92">
        <f t="shared" ca="1" si="285"/>
        <v>6.25</v>
      </c>
      <c r="N8797" s="143">
        <f ca="1">(PRODUCT($O$5:$O8797)-1)*36000/_xlfn.DAYS(L8797, $C$2)</f>
        <v>16.054901759550866</v>
      </c>
      <c r="O8797" s="149">
        <f t="shared" ca="1" si="286"/>
        <v>1.000173611111111</v>
      </c>
    </row>
    <row r="8798" spans="12:15" x14ac:dyDescent="0.25">
      <c r="L8798" s="147">
        <f ca="1"/>
        <v>54037</v>
      </c>
      <c r="M8798" s="92">
        <f t="shared" ca="1" si="285"/>
        <v>6.25</v>
      </c>
      <c r="N8798" s="143">
        <f ca="1">(PRODUCT($O$5:$O8798)-1)*36000/_xlfn.DAYS(L8798, $C$2)</f>
        <v>16.056573798350932</v>
      </c>
      <c r="O8798" s="149">
        <f t="shared" ca="1" si="286"/>
        <v>1.000173611111111</v>
      </c>
    </row>
    <row r="8799" spans="12:15" x14ac:dyDescent="0.25">
      <c r="L8799" s="147">
        <f ca="1"/>
        <v>54038</v>
      </c>
      <c r="M8799" s="92">
        <f t="shared" ca="1" si="285"/>
        <v>6.25</v>
      </c>
      <c r="N8799" s="143">
        <f ca="1">(PRODUCT($O$5:$O8799)-1)*36000/_xlfn.DAYS(L8799, $C$2)</f>
        <v>16.058246064097411</v>
      </c>
      <c r="O8799" s="149">
        <f t="shared" ca="1" si="286"/>
        <v>1.000173611111111</v>
      </c>
    </row>
    <row r="8800" spans="12:15" x14ac:dyDescent="0.25">
      <c r="L8800" s="147">
        <f ca="1"/>
        <v>54039</v>
      </c>
      <c r="M8800" s="92">
        <f t="shared" ca="1" si="285"/>
        <v>6.25</v>
      </c>
      <c r="N8800" s="143">
        <f ca="1">(PRODUCT($O$5:$O8800)-1)*36000/_xlfn.DAYS(L8800, $C$2)</f>
        <v>16.059918556818307</v>
      </c>
      <c r="O8800" s="149">
        <f t="shared" ca="1" si="286"/>
        <v>1.000173611111111</v>
      </c>
    </row>
    <row r="8801" spans="12:15" x14ac:dyDescent="0.25">
      <c r="L8801" s="147">
        <f ca="1"/>
        <v>54040</v>
      </c>
      <c r="M8801" s="92">
        <f t="shared" ca="1" si="285"/>
        <v>6.25</v>
      </c>
      <c r="N8801" s="143">
        <f ca="1">(PRODUCT($O$5:$O8801)-1)*36000/_xlfn.DAYS(L8801, $C$2)</f>
        <v>16.06159127654162</v>
      </c>
      <c r="O8801" s="149">
        <f t="shared" ca="1" si="286"/>
        <v>1.000173611111111</v>
      </c>
    </row>
    <row r="8802" spans="12:15" x14ac:dyDescent="0.25">
      <c r="L8802" s="147">
        <f ca="1"/>
        <v>54041</v>
      </c>
      <c r="M8802" s="92">
        <f t="shared" ca="1" si="285"/>
        <v>6.25</v>
      </c>
      <c r="N8802" s="143">
        <f ca="1">(PRODUCT($O$5:$O8802)-1)*36000/_xlfn.DAYS(L8802, $C$2)</f>
        <v>16.063264223295356</v>
      </c>
      <c r="O8802" s="149">
        <f t="shared" ca="1" si="286"/>
        <v>1.000173611111111</v>
      </c>
    </row>
    <row r="8803" spans="12:15" x14ac:dyDescent="0.25">
      <c r="L8803" s="147">
        <f ca="1"/>
        <v>54042</v>
      </c>
      <c r="M8803" s="92">
        <f t="shared" ca="1" si="285"/>
        <v>6.25</v>
      </c>
      <c r="N8803" s="143">
        <f ca="1">(PRODUCT($O$5:$O8803)-1)*36000/_xlfn.DAYS(L8803, $C$2)</f>
        <v>16.064937397107528</v>
      </c>
      <c r="O8803" s="149">
        <f t="shared" ca="1" si="286"/>
        <v>1.000173611111111</v>
      </c>
    </row>
    <row r="8804" spans="12:15" x14ac:dyDescent="0.25">
      <c r="L8804" s="147">
        <f ca="1"/>
        <v>54043</v>
      </c>
      <c r="M8804" s="92">
        <f t="shared" ca="1" si="285"/>
        <v>6.25</v>
      </c>
      <c r="N8804" s="143">
        <f ca="1">(PRODUCT($O$5:$O8804)-1)*36000/_xlfn.DAYS(L8804, $C$2)</f>
        <v>16.06661079800616</v>
      </c>
      <c r="O8804" s="149">
        <f t="shared" ca="1" si="286"/>
        <v>1.000173611111111</v>
      </c>
    </row>
    <row r="8805" spans="12:15" x14ac:dyDescent="0.25">
      <c r="L8805" s="147">
        <f ca="1"/>
        <v>54044</v>
      </c>
      <c r="M8805" s="92">
        <f t="shared" ca="1" si="285"/>
        <v>6.25</v>
      </c>
      <c r="N8805" s="143">
        <f ca="1">(PRODUCT($O$5:$O8805)-1)*36000/_xlfn.DAYS(L8805, $C$2)</f>
        <v>16.068284426019268</v>
      </c>
      <c r="O8805" s="149">
        <f t="shared" ca="1" si="286"/>
        <v>1.000173611111111</v>
      </c>
    </row>
    <row r="8806" spans="12:15" x14ac:dyDescent="0.25">
      <c r="L8806" s="147">
        <f ca="1"/>
        <v>54045</v>
      </c>
      <c r="M8806" s="92">
        <f t="shared" ca="1" si="285"/>
        <v>6.25</v>
      </c>
      <c r="N8806" s="143">
        <f ca="1">(PRODUCT($O$5:$O8806)-1)*36000/_xlfn.DAYS(L8806, $C$2)</f>
        <v>16.069958281174888</v>
      </c>
      <c r="O8806" s="149">
        <f t="shared" ca="1" si="286"/>
        <v>1.000173611111111</v>
      </c>
    </row>
    <row r="8807" spans="12:15" x14ac:dyDescent="0.25">
      <c r="L8807" s="147">
        <f ca="1"/>
        <v>54046</v>
      </c>
      <c r="M8807" s="92">
        <f t="shared" ca="1" si="285"/>
        <v>6.25</v>
      </c>
      <c r="N8807" s="143">
        <f ca="1">(PRODUCT($O$5:$O8807)-1)*36000/_xlfn.DAYS(L8807, $C$2)</f>
        <v>16.071632363501053</v>
      </c>
      <c r="O8807" s="149">
        <f t="shared" ca="1" si="286"/>
        <v>1.000173611111111</v>
      </c>
    </row>
    <row r="8808" spans="12:15" x14ac:dyDescent="0.25">
      <c r="L8808" s="147">
        <f ca="1"/>
        <v>54047</v>
      </c>
      <c r="M8808" s="92">
        <f t="shared" ca="1" si="285"/>
        <v>6.25</v>
      </c>
      <c r="N8808" s="143">
        <f ca="1">(PRODUCT($O$5:$O8808)-1)*36000/_xlfn.DAYS(L8808, $C$2)</f>
        <v>16.073306673025805</v>
      </c>
      <c r="O8808" s="149">
        <f t="shared" ca="1" si="286"/>
        <v>1.000173611111111</v>
      </c>
    </row>
    <row r="8809" spans="12:15" x14ac:dyDescent="0.25">
      <c r="L8809" s="147">
        <f ca="1"/>
        <v>54048</v>
      </c>
      <c r="M8809" s="92">
        <f t="shared" ca="1" si="285"/>
        <v>6.25</v>
      </c>
      <c r="N8809" s="143">
        <f ca="1">(PRODUCT($O$5:$O8809)-1)*36000/_xlfn.DAYS(L8809, $C$2)</f>
        <v>16.074981209777189</v>
      </c>
      <c r="O8809" s="149">
        <f t="shared" ca="1" si="286"/>
        <v>1.000173611111111</v>
      </c>
    </row>
    <row r="8810" spans="12:15" x14ac:dyDescent="0.25">
      <c r="L8810" s="147">
        <f ca="1"/>
        <v>54049</v>
      </c>
      <c r="M8810" s="92">
        <f t="shared" ca="1" si="285"/>
        <v>6.25</v>
      </c>
      <c r="N8810" s="143">
        <f ca="1">(PRODUCT($O$5:$O8810)-1)*36000/_xlfn.DAYS(L8810, $C$2)</f>
        <v>16.076655973783254</v>
      </c>
      <c r="O8810" s="149">
        <f t="shared" ca="1" si="286"/>
        <v>1.000173611111111</v>
      </c>
    </row>
    <row r="8811" spans="12:15" x14ac:dyDescent="0.25">
      <c r="L8811" s="147">
        <f ca="1"/>
        <v>54050</v>
      </c>
      <c r="M8811" s="92">
        <f t="shared" ca="1" si="285"/>
        <v>6.25</v>
      </c>
      <c r="N8811" s="143">
        <f ca="1">(PRODUCT($O$5:$O8811)-1)*36000/_xlfn.DAYS(L8811, $C$2)</f>
        <v>16.078330965072066</v>
      </c>
      <c r="O8811" s="149">
        <f t="shared" ca="1" si="286"/>
        <v>1.000173611111111</v>
      </c>
    </row>
    <row r="8812" spans="12:15" x14ac:dyDescent="0.25">
      <c r="L8812" s="147">
        <f ca="1"/>
        <v>54051</v>
      </c>
      <c r="M8812" s="92">
        <f t="shared" ca="1" si="285"/>
        <v>6.25</v>
      </c>
      <c r="N8812" s="143">
        <f ca="1">(PRODUCT($O$5:$O8812)-1)*36000/_xlfn.DAYS(L8812, $C$2)</f>
        <v>16.080006183671685</v>
      </c>
      <c r="O8812" s="149">
        <f t="shared" ca="1" si="286"/>
        <v>1.000173611111111</v>
      </c>
    </row>
    <row r="8813" spans="12:15" x14ac:dyDescent="0.25">
      <c r="L8813" s="147">
        <f ca="1"/>
        <v>54052</v>
      </c>
      <c r="M8813" s="92">
        <f t="shared" ca="1" si="285"/>
        <v>6.25</v>
      </c>
      <c r="N8813" s="143">
        <f ca="1">(PRODUCT($O$5:$O8813)-1)*36000/_xlfn.DAYS(L8813, $C$2)</f>
        <v>16.081681629610177</v>
      </c>
      <c r="O8813" s="149">
        <f t="shared" ca="1" si="286"/>
        <v>1.000173611111111</v>
      </c>
    </row>
    <row r="8814" spans="12:15" x14ac:dyDescent="0.25">
      <c r="L8814" s="147">
        <f ca="1"/>
        <v>54053</v>
      </c>
      <c r="M8814" s="92">
        <f t="shared" ca="1" si="285"/>
        <v>6.25</v>
      </c>
      <c r="N8814" s="143">
        <f ca="1">(PRODUCT($O$5:$O8814)-1)*36000/_xlfn.DAYS(L8814, $C$2)</f>
        <v>16.083357302915619</v>
      </c>
      <c r="O8814" s="149">
        <f t="shared" ca="1" si="286"/>
        <v>1.000173611111111</v>
      </c>
    </row>
    <row r="8815" spans="12:15" x14ac:dyDescent="0.25">
      <c r="L8815" s="147">
        <f ca="1"/>
        <v>54054</v>
      </c>
      <c r="M8815" s="92">
        <f t="shared" ca="1" si="285"/>
        <v>6.25</v>
      </c>
      <c r="N8815" s="143">
        <f ca="1">(PRODUCT($O$5:$O8815)-1)*36000/_xlfn.DAYS(L8815, $C$2)</f>
        <v>16.085033203616089</v>
      </c>
      <c r="O8815" s="149">
        <f t="shared" ca="1" si="286"/>
        <v>1.000173611111111</v>
      </c>
    </row>
    <row r="8816" spans="12:15" x14ac:dyDescent="0.25">
      <c r="L8816" s="147">
        <f ca="1"/>
        <v>54055</v>
      </c>
      <c r="M8816" s="92">
        <f t="shared" ca="1" si="285"/>
        <v>6.25</v>
      </c>
      <c r="N8816" s="143">
        <f ca="1">(PRODUCT($O$5:$O8816)-1)*36000/_xlfn.DAYS(L8816, $C$2)</f>
        <v>16.086709331739677</v>
      </c>
      <c r="O8816" s="149">
        <f t="shared" ca="1" si="286"/>
        <v>1.000173611111111</v>
      </c>
    </row>
    <row r="8817" spans="12:15" x14ac:dyDescent="0.25">
      <c r="L8817" s="147">
        <f ca="1"/>
        <v>54056</v>
      </c>
      <c r="M8817" s="92">
        <f t="shared" ca="1" si="285"/>
        <v>6.25</v>
      </c>
      <c r="N8817" s="143">
        <f ca="1">(PRODUCT($O$5:$O8817)-1)*36000/_xlfn.DAYS(L8817, $C$2)</f>
        <v>16.088385687314464</v>
      </c>
      <c r="O8817" s="149">
        <f t="shared" ca="1" si="286"/>
        <v>1.000173611111111</v>
      </c>
    </row>
    <row r="8818" spans="12:15" x14ac:dyDescent="0.25">
      <c r="L8818" s="147">
        <f ca="1"/>
        <v>54057</v>
      </c>
      <c r="M8818" s="92">
        <f t="shared" ca="1" si="285"/>
        <v>6.25</v>
      </c>
      <c r="N8818" s="143">
        <f ca="1">(PRODUCT($O$5:$O8818)-1)*36000/_xlfn.DAYS(L8818, $C$2)</f>
        <v>16.090062270368559</v>
      </c>
      <c r="O8818" s="149">
        <f t="shared" ca="1" si="286"/>
        <v>1.000173611111111</v>
      </c>
    </row>
    <row r="8819" spans="12:15" x14ac:dyDescent="0.25">
      <c r="L8819" s="147">
        <f ca="1"/>
        <v>54058</v>
      </c>
      <c r="M8819" s="92">
        <f t="shared" ca="1" si="285"/>
        <v>6.25</v>
      </c>
      <c r="N8819" s="143">
        <f ca="1">(PRODUCT($O$5:$O8819)-1)*36000/_xlfn.DAYS(L8819, $C$2)</f>
        <v>16.091739080930054</v>
      </c>
      <c r="O8819" s="149">
        <f t="shared" ca="1" si="286"/>
        <v>1.000173611111111</v>
      </c>
    </row>
    <row r="8820" spans="12:15" x14ac:dyDescent="0.25">
      <c r="L8820" s="147">
        <f ca="1"/>
        <v>54059</v>
      </c>
      <c r="M8820" s="92">
        <f t="shared" ca="1" si="285"/>
        <v>6.25</v>
      </c>
      <c r="N8820" s="143">
        <f ca="1">(PRODUCT($O$5:$O8820)-1)*36000/_xlfn.DAYS(L8820, $C$2)</f>
        <v>16.093416119027061</v>
      </c>
      <c r="O8820" s="149">
        <f t="shared" ca="1" si="286"/>
        <v>1.000173611111111</v>
      </c>
    </row>
    <row r="8821" spans="12:15" x14ac:dyDescent="0.25">
      <c r="L8821" s="147">
        <f ca="1"/>
        <v>54060</v>
      </c>
      <c r="M8821" s="92">
        <f t="shared" ca="1" si="285"/>
        <v>6.25</v>
      </c>
      <c r="N8821" s="143">
        <f ca="1">(PRODUCT($O$5:$O8821)-1)*36000/_xlfn.DAYS(L8821, $C$2)</f>
        <v>16.095093384687694</v>
      </c>
      <c r="O8821" s="149">
        <f t="shared" ca="1" si="286"/>
        <v>1.000173611111111</v>
      </c>
    </row>
    <row r="8822" spans="12:15" x14ac:dyDescent="0.25">
      <c r="L8822" s="147">
        <f ca="1"/>
        <v>54061</v>
      </c>
      <c r="M8822" s="92">
        <f t="shared" ca="1" si="285"/>
        <v>6.25</v>
      </c>
      <c r="N8822" s="143">
        <f ca="1">(PRODUCT($O$5:$O8822)-1)*36000/_xlfn.DAYS(L8822, $C$2)</f>
        <v>16.09677087794007</v>
      </c>
      <c r="O8822" s="149">
        <f t="shared" ca="1" si="286"/>
        <v>1.000173611111111</v>
      </c>
    </row>
    <row r="8823" spans="12:15" x14ac:dyDescent="0.25">
      <c r="L8823" s="147">
        <f ca="1"/>
        <v>54062</v>
      </c>
      <c r="M8823" s="92">
        <f t="shared" ca="1" si="285"/>
        <v>6.25</v>
      </c>
      <c r="N8823" s="143">
        <f ca="1">(PRODUCT($O$5:$O8823)-1)*36000/_xlfn.DAYS(L8823, $C$2)</f>
        <v>16.098448598812318</v>
      </c>
      <c r="O8823" s="149">
        <f t="shared" ca="1" si="286"/>
        <v>1.000173611111111</v>
      </c>
    </row>
    <row r="8824" spans="12:15" x14ac:dyDescent="0.25">
      <c r="L8824" s="147">
        <f ca="1"/>
        <v>54063</v>
      </c>
      <c r="M8824" s="92">
        <f t="shared" ca="1" si="285"/>
        <v>6.25</v>
      </c>
      <c r="N8824" s="143">
        <f ca="1">(PRODUCT($O$5:$O8824)-1)*36000/_xlfn.DAYS(L8824, $C$2)</f>
        <v>16.100126547332561</v>
      </c>
      <c r="O8824" s="149">
        <f t="shared" ca="1" si="286"/>
        <v>1.000173611111111</v>
      </c>
    </row>
    <row r="8825" spans="12:15" x14ac:dyDescent="0.25">
      <c r="L8825" s="147">
        <f ca="1"/>
        <v>54064</v>
      </c>
      <c r="M8825" s="92">
        <f t="shared" ca="1" si="285"/>
        <v>6.25</v>
      </c>
      <c r="N8825" s="143">
        <f ca="1">(PRODUCT($O$5:$O8825)-1)*36000/_xlfn.DAYS(L8825, $C$2)</f>
        <v>16.101804723528939</v>
      </c>
      <c r="O8825" s="149">
        <f t="shared" ca="1" si="286"/>
        <v>1.000173611111111</v>
      </c>
    </row>
    <row r="8826" spans="12:15" x14ac:dyDescent="0.25">
      <c r="L8826" s="147">
        <f ca="1"/>
        <v>54065</v>
      </c>
      <c r="M8826" s="92">
        <f t="shared" ca="1" si="285"/>
        <v>6.25</v>
      </c>
      <c r="N8826" s="143">
        <f ca="1">(PRODUCT($O$5:$O8826)-1)*36000/_xlfn.DAYS(L8826, $C$2)</f>
        <v>16.103483127429595</v>
      </c>
      <c r="O8826" s="149">
        <f t="shared" ca="1" si="286"/>
        <v>1.000173611111111</v>
      </c>
    </row>
    <row r="8827" spans="12:15" x14ac:dyDescent="0.25">
      <c r="L8827" s="147">
        <f ca="1"/>
        <v>54066</v>
      </c>
      <c r="M8827" s="92">
        <f t="shared" ca="1" si="285"/>
        <v>6.25</v>
      </c>
      <c r="N8827" s="143">
        <f ca="1">(PRODUCT($O$5:$O8827)-1)*36000/_xlfn.DAYS(L8827, $C$2)</f>
        <v>16.105161759062675</v>
      </c>
      <c r="O8827" s="149">
        <f t="shared" ca="1" si="286"/>
        <v>1.000173611111111</v>
      </c>
    </row>
    <row r="8828" spans="12:15" x14ac:dyDescent="0.25">
      <c r="L8828" s="147">
        <f ca="1"/>
        <v>54067</v>
      </c>
      <c r="M8828" s="92">
        <f t="shared" ca="1" si="285"/>
        <v>6.25</v>
      </c>
      <c r="N8828" s="143">
        <f ca="1">(PRODUCT($O$5:$O8828)-1)*36000/_xlfn.DAYS(L8828, $C$2)</f>
        <v>16.106840618456324</v>
      </c>
      <c r="O8828" s="149">
        <f t="shared" ca="1" si="286"/>
        <v>1.000173611111111</v>
      </c>
    </row>
    <row r="8829" spans="12:15" x14ac:dyDescent="0.25">
      <c r="L8829" s="147">
        <f ca="1"/>
        <v>54068</v>
      </c>
      <c r="M8829" s="92">
        <f t="shared" ca="1" si="285"/>
        <v>6.25</v>
      </c>
      <c r="N8829" s="143">
        <f ca="1">(PRODUCT($O$5:$O8829)-1)*36000/_xlfn.DAYS(L8829, $C$2)</f>
        <v>16.108519705638706</v>
      </c>
      <c r="O8829" s="149">
        <f t="shared" ca="1" si="286"/>
        <v>1.000173611111111</v>
      </c>
    </row>
    <row r="8830" spans="12:15" x14ac:dyDescent="0.25">
      <c r="L8830" s="147">
        <f ca="1"/>
        <v>54069</v>
      </c>
      <c r="M8830" s="92">
        <f t="shared" ca="1" si="285"/>
        <v>6.25</v>
      </c>
      <c r="N8830" s="143">
        <f ca="1">(PRODUCT($O$5:$O8830)-1)*36000/_xlfn.DAYS(L8830, $C$2)</f>
        <v>16.110199020637985</v>
      </c>
      <c r="O8830" s="149">
        <f t="shared" ca="1" si="286"/>
        <v>1.000173611111111</v>
      </c>
    </row>
    <row r="8831" spans="12:15" x14ac:dyDescent="0.25">
      <c r="L8831" s="147">
        <f ca="1"/>
        <v>54070</v>
      </c>
      <c r="M8831" s="92">
        <f t="shared" ca="1" si="285"/>
        <v>6.25</v>
      </c>
      <c r="N8831" s="143">
        <f ca="1">(PRODUCT($O$5:$O8831)-1)*36000/_xlfn.DAYS(L8831, $C$2)</f>
        <v>16.111878563482328</v>
      </c>
      <c r="O8831" s="149">
        <f t="shared" ca="1" si="286"/>
        <v>1.000173611111111</v>
      </c>
    </row>
    <row r="8832" spans="12:15" x14ac:dyDescent="0.25">
      <c r="L8832" s="147">
        <f ca="1"/>
        <v>54071</v>
      </c>
      <c r="M8832" s="92">
        <f t="shared" ca="1" si="285"/>
        <v>6.25</v>
      </c>
      <c r="N8832" s="143">
        <f ca="1">(PRODUCT($O$5:$O8832)-1)*36000/_xlfn.DAYS(L8832, $C$2)</f>
        <v>16.113558334199912</v>
      </c>
      <c r="O8832" s="149">
        <f t="shared" ca="1" si="286"/>
        <v>1.000173611111111</v>
      </c>
    </row>
    <row r="8833" spans="12:15" x14ac:dyDescent="0.25">
      <c r="L8833" s="147">
        <f ca="1"/>
        <v>54072</v>
      </c>
      <c r="M8833" s="92">
        <f t="shared" ca="1" si="285"/>
        <v>6.25</v>
      </c>
      <c r="N8833" s="143">
        <f ca="1">(PRODUCT($O$5:$O8833)-1)*36000/_xlfn.DAYS(L8833, $C$2)</f>
        <v>16.115238332818912</v>
      </c>
      <c r="O8833" s="149">
        <f t="shared" ca="1" si="286"/>
        <v>1.000173611111111</v>
      </c>
    </row>
    <row r="8834" spans="12:15" x14ac:dyDescent="0.25">
      <c r="L8834" s="147">
        <f ca="1"/>
        <v>54073</v>
      </c>
      <c r="M8834" s="92">
        <f t="shared" ca="1" si="285"/>
        <v>6.25</v>
      </c>
      <c r="N8834" s="143">
        <f ca="1">(PRODUCT($O$5:$O8834)-1)*36000/_xlfn.DAYS(L8834, $C$2)</f>
        <v>16.116918559367516</v>
      </c>
      <c r="O8834" s="149">
        <f t="shared" ca="1" si="286"/>
        <v>1.000173611111111</v>
      </c>
    </row>
    <row r="8835" spans="12:15" x14ac:dyDescent="0.25">
      <c r="L8835" s="147">
        <f ca="1"/>
        <v>54074</v>
      </c>
      <c r="M8835" s="92">
        <f t="shared" ca="1" si="285"/>
        <v>6.25</v>
      </c>
      <c r="N8835" s="143">
        <f ca="1">(PRODUCT($O$5:$O8835)-1)*36000/_xlfn.DAYS(L8835, $C$2)</f>
        <v>16.118599013873922</v>
      </c>
      <c r="O8835" s="149">
        <f t="shared" ca="1" si="286"/>
        <v>1.000173611111111</v>
      </c>
    </row>
    <row r="8836" spans="12:15" x14ac:dyDescent="0.25">
      <c r="L8836" s="147">
        <f ca="1"/>
        <v>54075</v>
      </c>
      <c r="M8836" s="92">
        <f t="shared" ca="1" si="285"/>
        <v>6.25</v>
      </c>
      <c r="N8836" s="143">
        <f ca="1">(PRODUCT($O$5:$O8836)-1)*36000/_xlfn.DAYS(L8836, $C$2)</f>
        <v>16.120279696366314</v>
      </c>
      <c r="O8836" s="149">
        <f t="shared" ca="1" si="286"/>
        <v>1.000173611111111</v>
      </c>
    </row>
    <row r="8837" spans="12:15" x14ac:dyDescent="0.25">
      <c r="L8837" s="147">
        <f ca="1"/>
        <v>54076</v>
      </c>
      <c r="M8837" s="92">
        <f t="shared" ref="M8837:M8900" ca="1" si="287">IFERROR(INDEX($E$27:$H$47, MATCH(L8837, $F$27:$F$47, 0), 4), IF(ISNUMBER(M8836), M8836, $C$5))</f>
        <v>6.25</v>
      </c>
      <c r="N8837" s="143">
        <f ca="1">(PRODUCT($O$5:$O8837)-1)*36000/_xlfn.DAYS(L8837, $C$2)</f>
        <v>16.121960606872904</v>
      </c>
      <c r="O8837" s="149">
        <f t="shared" ca="1" si="286"/>
        <v>1.000173611111111</v>
      </c>
    </row>
    <row r="8838" spans="12:15" x14ac:dyDescent="0.25">
      <c r="L8838" s="147">
        <f ca="1"/>
        <v>54077</v>
      </c>
      <c r="M8838" s="92">
        <f t="shared" ca="1" si="287"/>
        <v>6.25</v>
      </c>
      <c r="N8838" s="143">
        <f ca="1">(PRODUCT($O$5:$O8838)-1)*36000/_xlfn.DAYS(L8838, $C$2)</f>
        <v>16.123641745421899</v>
      </c>
      <c r="O8838" s="149">
        <f t="shared" ref="O8838:O8901" ca="1" si="288">1+M8838*IFERROR(_xlfn.DAYS(L8838, L8837), _xlfn.DAYS(L8838, $C$2))/36000</f>
        <v>1.000173611111111</v>
      </c>
    </row>
    <row r="8839" spans="12:15" x14ac:dyDescent="0.25">
      <c r="L8839" s="147">
        <f ca="1"/>
        <v>54078</v>
      </c>
      <c r="M8839" s="92">
        <f t="shared" ca="1" si="287"/>
        <v>6.25</v>
      </c>
      <c r="N8839" s="143">
        <f ca="1">(PRODUCT($O$5:$O8839)-1)*36000/_xlfn.DAYS(L8839, $C$2)</f>
        <v>16.12532311204151</v>
      </c>
      <c r="O8839" s="149">
        <f t="shared" ca="1" si="288"/>
        <v>1.000173611111111</v>
      </c>
    </row>
    <row r="8840" spans="12:15" x14ac:dyDescent="0.25">
      <c r="L8840" s="147">
        <f ca="1"/>
        <v>54079</v>
      </c>
      <c r="M8840" s="92">
        <f t="shared" ca="1" si="287"/>
        <v>6.25</v>
      </c>
      <c r="N8840" s="143">
        <f ca="1">(PRODUCT($O$5:$O8840)-1)*36000/_xlfn.DAYS(L8840, $C$2)</f>
        <v>16.127004706759955</v>
      </c>
      <c r="O8840" s="149">
        <f t="shared" ca="1" si="288"/>
        <v>1.000173611111111</v>
      </c>
    </row>
    <row r="8841" spans="12:15" x14ac:dyDescent="0.25">
      <c r="L8841" s="147">
        <f ca="1"/>
        <v>54080</v>
      </c>
      <c r="M8841" s="92">
        <f t="shared" ca="1" si="287"/>
        <v>6.25</v>
      </c>
      <c r="N8841" s="143">
        <f ca="1">(PRODUCT($O$5:$O8841)-1)*36000/_xlfn.DAYS(L8841, $C$2)</f>
        <v>16.128686529605464</v>
      </c>
      <c r="O8841" s="149">
        <f t="shared" ca="1" si="288"/>
        <v>1.000173611111111</v>
      </c>
    </row>
    <row r="8842" spans="12:15" x14ac:dyDescent="0.25">
      <c r="L8842" s="147">
        <f ca="1"/>
        <v>54081</v>
      </c>
      <c r="M8842" s="92">
        <f t="shared" ca="1" si="287"/>
        <v>6.25</v>
      </c>
      <c r="N8842" s="143">
        <f ca="1">(PRODUCT($O$5:$O8842)-1)*36000/_xlfn.DAYS(L8842, $C$2)</f>
        <v>16.130368580606262</v>
      </c>
      <c r="O8842" s="149">
        <f t="shared" ca="1" si="288"/>
        <v>1.000173611111111</v>
      </c>
    </row>
    <row r="8843" spans="12:15" x14ac:dyDescent="0.25">
      <c r="L8843" s="147">
        <f ca="1"/>
        <v>54082</v>
      </c>
      <c r="M8843" s="92">
        <f t="shared" ca="1" si="287"/>
        <v>6.25</v>
      </c>
      <c r="N8843" s="143">
        <f ca="1">(PRODUCT($O$5:$O8843)-1)*36000/_xlfn.DAYS(L8843, $C$2)</f>
        <v>16.132050859790585</v>
      </c>
      <c r="O8843" s="149">
        <f t="shared" ca="1" si="288"/>
        <v>1.000173611111111</v>
      </c>
    </row>
    <row r="8844" spans="12:15" x14ac:dyDescent="0.25">
      <c r="L8844" s="147">
        <f ca="1"/>
        <v>54083</v>
      </c>
      <c r="M8844" s="92">
        <f t="shared" ca="1" si="287"/>
        <v>6.25</v>
      </c>
      <c r="N8844" s="143">
        <f ca="1">(PRODUCT($O$5:$O8844)-1)*36000/_xlfn.DAYS(L8844, $C$2)</f>
        <v>16.133733367186675</v>
      </c>
      <c r="O8844" s="149">
        <f t="shared" ca="1" si="288"/>
        <v>1.000173611111111</v>
      </c>
    </row>
    <row r="8845" spans="12:15" x14ac:dyDescent="0.25">
      <c r="L8845" s="147">
        <f ca="1"/>
        <v>54084</v>
      </c>
      <c r="M8845" s="92">
        <f t="shared" ca="1" si="287"/>
        <v>6.25</v>
      </c>
      <c r="N8845" s="143">
        <f ca="1">(PRODUCT($O$5:$O8845)-1)*36000/_xlfn.DAYS(L8845, $C$2)</f>
        <v>16.135416102822784</v>
      </c>
      <c r="O8845" s="149">
        <f t="shared" ca="1" si="288"/>
        <v>1.000173611111111</v>
      </c>
    </row>
    <row r="8846" spans="12:15" x14ac:dyDescent="0.25">
      <c r="L8846" s="147">
        <f ca="1"/>
        <v>54085</v>
      </c>
      <c r="M8846" s="92">
        <f t="shared" ca="1" si="287"/>
        <v>6.25</v>
      </c>
      <c r="N8846" s="143">
        <f ca="1">(PRODUCT($O$5:$O8846)-1)*36000/_xlfn.DAYS(L8846, $C$2)</f>
        <v>16.13709906672716</v>
      </c>
      <c r="O8846" s="149">
        <f t="shared" ca="1" si="288"/>
        <v>1.000173611111111</v>
      </c>
    </row>
    <row r="8847" spans="12:15" x14ac:dyDescent="0.25">
      <c r="L8847" s="147">
        <f ca="1"/>
        <v>54086</v>
      </c>
      <c r="M8847" s="92">
        <f t="shared" ca="1" si="287"/>
        <v>6.25</v>
      </c>
      <c r="N8847" s="143">
        <f ca="1">(PRODUCT($O$5:$O8847)-1)*36000/_xlfn.DAYS(L8847, $C$2)</f>
        <v>16.138782258928064</v>
      </c>
      <c r="O8847" s="149">
        <f t="shared" ca="1" si="288"/>
        <v>1.000173611111111</v>
      </c>
    </row>
    <row r="8848" spans="12:15" x14ac:dyDescent="0.25">
      <c r="L8848" s="147">
        <f ca="1"/>
        <v>54087</v>
      </c>
      <c r="M8848" s="92">
        <f t="shared" ca="1" si="287"/>
        <v>6.25</v>
      </c>
      <c r="N8848" s="143">
        <f ca="1">(PRODUCT($O$5:$O8848)-1)*36000/_xlfn.DAYS(L8848, $C$2)</f>
        <v>16.140465679453751</v>
      </c>
      <c r="O8848" s="149">
        <f t="shared" ca="1" si="288"/>
        <v>1.000173611111111</v>
      </c>
    </row>
    <row r="8849" spans="12:15" x14ac:dyDescent="0.25">
      <c r="L8849" s="147">
        <f ca="1"/>
        <v>54088</v>
      </c>
      <c r="M8849" s="92">
        <f t="shared" ca="1" si="287"/>
        <v>6.25</v>
      </c>
      <c r="N8849" s="143">
        <f ca="1">(PRODUCT($O$5:$O8849)-1)*36000/_xlfn.DAYS(L8849, $C$2)</f>
        <v>16.142149328332497</v>
      </c>
      <c r="O8849" s="149">
        <f t="shared" ca="1" si="288"/>
        <v>1.000173611111111</v>
      </c>
    </row>
    <row r="8850" spans="12:15" x14ac:dyDescent="0.25">
      <c r="L8850" s="147">
        <f ca="1"/>
        <v>54089</v>
      </c>
      <c r="M8850" s="92">
        <f t="shared" ca="1" si="287"/>
        <v>6.25</v>
      </c>
      <c r="N8850" s="143">
        <f ca="1">(PRODUCT($O$5:$O8850)-1)*36000/_xlfn.DAYS(L8850, $C$2)</f>
        <v>16.143833205592578</v>
      </c>
      <c r="O8850" s="149">
        <f t="shared" ca="1" si="288"/>
        <v>1.000173611111111</v>
      </c>
    </row>
    <row r="8851" spans="12:15" x14ac:dyDescent="0.25">
      <c r="L8851" s="147">
        <f ca="1"/>
        <v>54090</v>
      </c>
      <c r="M8851" s="92">
        <f t="shared" ca="1" si="287"/>
        <v>6.25</v>
      </c>
      <c r="N8851" s="143">
        <f ca="1">(PRODUCT($O$5:$O8851)-1)*36000/_xlfn.DAYS(L8851, $C$2)</f>
        <v>16.145517311262275</v>
      </c>
      <c r="O8851" s="149">
        <f t="shared" ca="1" si="288"/>
        <v>1.000173611111111</v>
      </c>
    </row>
    <row r="8852" spans="12:15" x14ac:dyDescent="0.25">
      <c r="L8852" s="147">
        <f ca="1"/>
        <v>54091</v>
      </c>
      <c r="M8852" s="92">
        <f t="shared" ca="1" si="287"/>
        <v>6.25</v>
      </c>
      <c r="N8852" s="143">
        <f ca="1">(PRODUCT($O$5:$O8852)-1)*36000/_xlfn.DAYS(L8852, $C$2)</f>
        <v>16.147201645369869</v>
      </c>
      <c r="O8852" s="149">
        <f t="shared" ca="1" si="288"/>
        <v>1.000173611111111</v>
      </c>
    </row>
    <row r="8853" spans="12:15" x14ac:dyDescent="0.25">
      <c r="L8853" s="147">
        <f ca="1"/>
        <v>54092</v>
      </c>
      <c r="M8853" s="92">
        <f t="shared" ca="1" si="287"/>
        <v>6.25</v>
      </c>
      <c r="N8853" s="143">
        <f ca="1">(PRODUCT($O$5:$O8853)-1)*36000/_xlfn.DAYS(L8853, $C$2)</f>
        <v>16.148886207943654</v>
      </c>
      <c r="O8853" s="149">
        <f t="shared" ca="1" si="288"/>
        <v>1.000173611111111</v>
      </c>
    </row>
    <row r="8854" spans="12:15" x14ac:dyDescent="0.25">
      <c r="L8854" s="147">
        <f ca="1"/>
        <v>54093</v>
      </c>
      <c r="M8854" s="92">
        <f t="shared" ca="1" si="287"/>
        <v>6.25</v>
      </c>
      <c r="N8854" s="143">
        <f ca="1">(PRODUCT($O$5:$O8854)-1)*36000/_xlfn.DAYS(L8854, $C$2)</f>
        <v>16.150570999011926</v>
      </c>
      <c r="O8854" s="149">
        <f t="shared" ca="1" si="288"/>
        <v>1.000173611111111</v>
      </c>
    </row>
    <row r="8855" spans="12:15" x14ac:dyDescent="0.25">
      <c r="L8855" s="147">
        <f ca="1"/>
        <v>54094</v>
      </c>
      <c r="M8855" s="92">
        <f t="shared" ca="1" si="287"/>
        <v>6.25</v>
      </c>
      <c r="N8855" s="143">
        <f ca="1">(PRODUCT($O$5:$O8855)-1)*36000/_xlfn.DAYS(L8855, $C$2)</f>
        <v>16.152256018602987</v>
      </c>
      <c r="O8855" s="149">
        <f t="shared" ca="1" si="288"/>
        <v>1.000173611111111</v>
      </c>
    </row>
    <row r="8856" spans="12:15" x14ac:dyDescent="0.25">
      <c r="L8856" s="147">
        <f ca="1"/>
        <v>54095</v>
      </c>
      <c r="M8856" s="92">
        <f t="shared" ca="1" si="287"/>
        <v>6.25</v>
      </c>
      <c r="N8856" s="143">
        <f ca="1">(PRODUCT($O$5:$O8856)-1)*36000/_xlfn.DAYS(L8856, $C$2)</f>
        <v>16.15394126674515</v>
      </c>
      <c r="O8856" s="149">
        <f t="shared" ca="1" si="288"/>
        <v>1.000173611111111</v>
      </c>
    </row>
    <row r="8857" spans="12:15" x14ac:dyDescent="0.25">
      <c r="L8857" s="147">
        <f ca="1"/>
        <v>54096</v>
      </c>
      <c r="M8857" s="92">
        <f t="shared" ca="1" si="287"/>
        <v>6.25</v>
      </c>
      <c r="N8857" s="143">
        <f ca="1">(PRODUCT($O$5:$O8857)-1)*36000/_xlfn.DAYS(L8857, $C$2)</f>
        <v>16.155626743466723</v>
      </c>
      <c r="O8857" s="149">
        <f t="shared" ca="1" si="288"/>
        <v>1.000173611111111</v>
      </c>
    </row>
    <row r="8858" spans="12:15" x14ac:dyDescent="0.25">
      <c r="L8858" s="147">
        <f ca="1"/>
        <v>54097</v>
      </c>
      <c r="M8858" s="92">
        <f t="shared" ca="1" si="287"/>
        <v>6.25</v>
      </c>
      <c r="N8858" s="143">
        <f ca="1">(PRODUCT($O$5:$O8858)-1)*36000/_xlfn.DAYS(L8858, $C$2)</f>
        <v>16.157312448796031</v>
      </c>
      <c r="O8858" s="149">
        <f t="shared" ca="1" si="288"/>
        <v>1.000173611111111</v>
      </c>
    </row>
    <row r="8859" spans="12:15" x14ac:dyDescent="0.25">
      <c r="L8859" s="147">
        <f ca="1"/>
        <v>54098</v>
      </c>
      <c r="M8859" s="92">
        <f t="shared" ca="1" si="287"/>
        <v>6.25</v>
      </c>
      <c r="N8859" s="143">
        <f ca="1">(PRODUCT($O$5:$O8859)-1)*36000/_xlfn.DAYS(L8859, $C$2)</f>
        <v>16.158998382761393</v>
      </c>
      <c r="O8859" s="149">
        <f t="shared" ca="1" si="288"/>
        <v>1.000173611111111</v>
      </c>
    </row>
    <row r="8860" spans="12:15" x14ac:dyDescent="0.25">
      <c r="L8860" s="147">
        <f ca="1"/>
        <v>54099</v>
      </c>
      <c r="M8860" s="92">
        <f t="shared" ca="1" si="287"/>
        <v>6.25</v>
      </c>
      <c r="N8860" s="143">
        <f ca="1">(PRODUCT($O$5:$O8860)-1)*36000/_xlfn.DAYS(L8860, $C$2)</f>
        <v>16.160684545391142</v>
      </c>
      <c r="O8860" s="149">
        <f t="shared" ca="1" si="288"/>
        <v>1.000173611111111</v>
      </c>
    </row>
    <row r="8861" spans="12:15" x14ac:dyDescent="0.25">
      <c r="L8861" s="147">
        <f ca="1"/>
        <v>54100</v>
      </c>
      <c r="M8861" s="92">
        <f t="shared" ca="1" si="287"/>
        <v>6.25</v>
      </c>
      <c r="N8861" s="143">
        <f ca="1">(PRODUCT($O$5:$O8861)-1)*36000/_xlfn.DAYS(L8861, $C$2)</f>
        <v>16.162370936713614</v>
      </c>
      <c r="O8861" s="149">
        <f t="shared" ca="1" si="288"/>
        <v>1.000173611111111</v>
      </c>
    </row>
    <row r="8862" spans="12:15" x14ac:dyDescent="0.25">
      <c r="L8862" s="147">
        <f ca="1"/>
        <v>54101</v>
      </c>
      <c r="M8862" s="92">
        <f t="shared" ca="1" si="287"/>
        <v>6.25</v>
      </c>
      <c r="N8862" s="143">
        <f ca="1">(PRODUCT($O$5:$O8862)-1)*36000/_xlfn.DAYS(L8862, $C$2)</f>
        <v>16.164057556757154</v>
      </c>
      <c r="O8862" s="149">
        <f t="shared" ca="1" si="288"/>
        <v>1.000173611111111</v>
      </c>
    </row>
    <row r="8863" spans="12:15" x14ac:dyDescent="0.25">
      <c r="L8863" s="147">
        <f ca="1"/>
        <v>54102</v>
      </c>
      <c r="M8863" s="92">
        <f t="shared" ca="1" si="287"/>
        <v>6.25</v>
      </c>
      <c r="N8863" s="143">
        <f ca="1">(PRODUCT($O$5:$O8863)-1)*36000/_xlfn.DAYS(L8863, $C$2)</f>
        <v>16.1657444055501</v>
      </c>
      <c r="O8863" s="149">
        <f t="shared" ca="1" si="288"/>
        <v>1.000173611111111</v>
      </c>
    </row>
    <row r="8864" spans="12:15" x14ac:dyDescent="0.25">
      <c r="L8864" s="147">
        <f ca="1"/>
        <v>54103</v>
      </c>
      <c r="M8864" s="92">
        <f t="shared" ca="1" si="287"/>
        <v>6.25</v>
      </c>
      <c r="N8864" s="143">
        <f ca="1">(PRODUCT($O$5:$O8864)-1)*36000/_xlfn.DAYS(L8864, $C$2)</f>
        <v>16.167431483120815</v>
      </c>
      <c r="O8864" s="149">
        <f t="shared" ca="1" si="288"/>
        <v>1.000173611111111</v>
      </c>
    </row>
    <row r="8865" spans="12:15" x14ac:dyDescent="0.25">
      <c r="L8865" s="147">
        <f ca="1"/>
        <v>54104</v>
      </c>
      <c r="M8865" s="92">
        <f t="shared" ca="1" si="287"/>
        <v>6.25</v>
      </c>
      <c r="N8865" s="143">
        <f ca="1">(PRODUCT($O$5:$O8865)-1)*36000/_xlfn.DAYS(L8865, $C$2)</f>
        <v>16.169118789497645</v>
      </c>
      <c r="O8865" s="149">
        <f t="shared" ca="1" si="288"/>
        <v>1.000173611111111</v>
      </c>
    </row>
    <row r="8866" spans="12:15" x14ac:dyDescent="0.25">
      <c r="L8866" s="147">
        <f ca="1"/>
        <v>54105</v>
      </c>
      <c r="M8866" s="92">
        <f t="shared" ca="1" si="287"/>
        <v>6.25</v>
      </c>
      <c r="N8866" s="143">
        <f ca="1">(PRODUCT($O$5:$O8866)-1)*36000/_xlfn.DAYS(L8866, $C$2)</f>
        <v>16.17080632470897</v>
      </c>
      <c r="O8866" s="149">
        <f t="shared" ca="1" si="288"/>
        <v>1.000173611111111</v>
      </c>
    </row>
    <row r="8867" spans="12:15" x14ac:dyDescent="0.25">
      <c r="L8867" s="147">
        <f ca="1"/>
        <v>54106</v>
      </c>
      <c r="M8867" s="92">
        <f t="shared" ca="1" si="287"/>
        <v>6.25</v>
      </c>
      <c r="N8867" s="143">
        <f ca="1">(PRODUCT($O$5:$O8867)-1)*36000/_xlfn.DAYS(L8867, $C$2)</f>
        <v>16.172494088783147</v>
      </c>
      <c r="O8867" s="149">
        <f t="shared" ca="1" si="288"/>
        <v>1.000173611111111</v>
      </c>
    </row>
    <row r="8868" spans="12:15" x14ac:dyDescent="0.25">
      <c r="L8868" s="147">
        <f ca="1"/>
        <v>54107</v>
      </c>
      <c r="M8868" s="92">
        <f t="shared" ca="1" si="287"/>
        <v>6.25</v>
      </c>
      <c r="N8868" s="143">
        <f ca="1">(PRODUCT($O$5:$O8868)-1)*36000/_xlfn.DAYS(L8868, $C$2)</f>
        <v>16.174182081748555</v>
      </c>
      <c r="O8868" s="149">
        <f t="shared" ca="1" si="288"/>
        <v>1.000173611111111</v>
      </c>
    </row>
    <row r="8869" spans="12:15" x14ac:dyDescent="0.25">
      <c r="L8869" s="147">
        <f ca="1"/>
        <v>54108</v>
      </c>
      <c r="M8869" s="92">
        <f t="shared" ca="1" si="287"/>
        <v>6.25</v>
      </c>
      <c r="N8869" s="143">
        <f ca="1">(PRODUCT($O$5:$O8869)-1)*36000/_xlfn.DAYS(L8869, $C$2)</f>
        <v>16.175870303633577</v>
      </c>
      <c r="O8869" s="149">
        <f t="shared" ca="1" si="288"/>
        <v>1.000173611111111</v>
      </c>
    </row>
    <row r="8870" spans="12:15" x14ac:dyDescent="0.25">
      <c r="L8870" s="147">
        <f ca="1"/>
        <v>54109</v>
      </c>
      <c r="M8870" s="92">
        <f t="shared" ca="1" si="287"/>
        <v>6.25</v>
      </c>
      <c r="N8870" s="143">
        <f ca="1">(PRODUCT($O$5:$O8870)-1)*36000/_xlfn.DAYS(L8870, $C$2)</f>
        <v>16.177558754466595</v>
      </c>
      <c r="O8870" s="149">
        <f t="shared" ca="1" si="288"/>
        <v>1.000173611111111</v>
      </c>
    </row>
    <row r="8871" spans="12:15" x14ac:dyDescent="0.25">
      <c r="L8871" s="147">
        <f ca="1"/>
        <v>54110</v>
      </c>
      <c r="M8871" s="92">
        <f t="shared" ca="1" si="287"/>
        <v>6.25</v>
      </c>
      <c r="N8871" s="143">
        <f ca="1">(PRODUCT($O$5:$O8871)-1)*36000/_xlfn.DAYS(L8871, $C$2)</f>
        <v>16.179247434276004</v>
      </c>
      <c r="O8871" s="149">
        <f t="shared" ca="1" si="288"/>
        <v>1.000173611111111</v>
      </c>
    </row>
    <row r="8872" spans="12:15" x14ac:dyDescent="0.25">
      <c r="L8872" s="147">
        <f ca="1"/>
        <v>54111</v>
      </c>
      <c r="M8872" s="92">
        <f t="shared" ca="1" si="287"/>
        <v>6.25</v>
      </c>
      <c r="N8872" s="143">
        <f ca="1">(PRODUCT($O$5:$O8872)-1)*36000/_xlfn.DAYS(L8872, $C$2)</f>
        <v>16.180936343090199</v>
      </c>
      <c r="O8872" s="149">
        <f t="shared" ca="1" si="288"/>
        <v>1.000173611111111</v>
      </c>
    </row>
    <row r="8873" spans="12:15" x14ac:dyDescent="0.25">
      <c r="L8873" s="147">
        <f ca="1"/>
        <v>54112</v>
      </c>
      <c r="M8873" s="92">
        <f t="shared" ca="1" si="287"/>
        <v>6.25</v>
      </c>
      <c r="N8873" s="143">
        <f ca="1">(PRODUCT($O$5:$O8873)-1)*36000/_xlfn.DAYS(L8873, $C$2)</f>
        <v>16.182625480937581</v>
      </c>
      <c r="O8873" s="149">
        <f t="shared" ca="1" si="288"/>
        <v>1.000173611111111</v>
      </c>
    </row>
    <row r="8874" spans="12:15" x14ac:dyDescent="0.25">
      <c r="L8874" s="147">
        <f ca="1"/>
        <v>54113</v>
      </c>
      <c r="M8874" s="92">
        <f t="shared" ca="1" si="287"/>
        <v>6.25</v>
      </c>
      <c r="N8874" s="143">
        <f ca="1">(PRODUCT($O$5:$O8874)-1)*36000/_xlfn.DAYS(L8874, $C$2)</f>
        <v>16.184314847846561</v>
      </c>
      <c r="O8874" s="149">
        <f t="shared" ca="1" si="288"/>
        <v>1.000173611111111</v>
      </c>
    </row>
    <row r="8875" spans="12:15" x14ac:dyDescent="0.25">
      <c r="L8875" s="147">
        <f ca="1"/>
        <v>54114</v>
      </c>
      <c r="M8875" s="92">
        <f t="shared" ca="1" si="287"/>
        <v>6.25</v>
      </c>
      <c r="N8875" s="143">
        <f ca="1">(PRODUCT($O$5:$O8875)-1)*36000/_xlfn.DAYS(L8875, $C$2)</f>
        <v>16.186004443845555</v>
      </c>
      <c r="O8875" s="149">
        <f t="shared" ca="1" si="288"/>
        <v>1.000173611111111</v>
      </c>
    </row>
    <row r="8876" spans="12:15" x14ac:dyDescent="0.25">
      <c r="L8876" s="147">
        <f ca="1"/>
        <v>54115</v>
      </c>
      <c r="M8876" s="92">
        <f t="shared" ca="1" si="287"/>
        <v>6.25</v>
      </c>
      <c r="N8876" s="143">
        <f ca="1">(PRODUCT($O$5:$O8876)-1)*36000/_xlfn.DAYS(L8876, $C$2)</f>
        <v>16.187694268962979</v>
      </c>
      <c r="O8876" s="149">
        <f t="shared" ca="1" si="288"/>
        <v>1.000173611111111</v>
      </c>
    </row>
    <row r="8877" spans="12:15" x14ac:dyDescent="0.25">
      <c r="L8877" s="147">
        <f ca="1"/>
        <v>54116</v>
      </c>
      <c r="M8877" s="92">
        <f t="shared" ca="1" si="287"/>
        <v>6.25</v>
      </c>
      <c r="N8877" s="143">
        <f ca="1">(PRODUCT($O$5:$O8877)-1)*36000/_xlfn.DAYS(L8877, $C$2)</f>
        <v>16.189384323227259</v>
      </c>
      <c r="O8877" s="149">
        <f t="shared" ca="1" si="288"/>
        <v>1.000173611111111</v>
      </c>
    </row>
    <row r="8878" spans="12:15" x14ac:dyDescent="0.25">
      <c r="L8878" s="147">
        <f ca="1"/>
        <v>54117</v>
      </c>
      <c r="M8878" s="92">
        <f t="shared" ca="1" si="287"/>
        <v>6.25</v>
      </c>
      <c r="N8878" s="143">
        <f ca="1">(PRODUCT($O$5:$O8878)-1)*36000/_xlfn.DAYS(L8878, $C$2)</f>
        <v>16.191074606666827</v>
      </c>
      <c r="O8878" s="149">
        <f t="shared" ca="1" si="288"/>
        <v>1.000173611111111</v>
      </c>
    </row>
    <row r="8879" spans="12:15" x14ac:dyDescent="0.25">
      <c r="L8879" s="147">
        <f ca="1"/>
        <v>54118</v>
      </c>
      <c r="M8879" s="92">
        <f t="shared" ca="1" si="287"/>
        <v>6.25</v>
      </c>
      <c r="N8879" s="143">
        <f ca="1">(PRODUCT($O$5:$O8879)-1)*36000/_xlfn.DAYS(L8879, $C$2)</f>
        <v>16.192765119310117</v>
      </c>
      <c r="O8879" s="149">
        <f t="shared" ca="1" si="288"/>
        <v>1.000173611111111</v>
      </c>
    </row>
    <row r="8880" spans="12:15" x14ac:dyDescent="0.25">
      <c r="L8880" s="147">
        <f ca="1"/>
        <v>54119</v>
      </c>
      <c r="M8880" s="92">
        <f t="shared" ca="1" si="287"/>
        <v>6.25</v>
      </c>
      <c r="N8880" s="143">
        <f ca="1">(PRODUCT($O$5:$O8880)-1)*36000/_xlfn.DAYS(L8880, $C$2)</f>
        <v>16.194455861185574</v>
      </c>
      <c r="O8880" s="149">
        <f t="shared" ca="1" si="288"/>
        <v>1.000173611111111</v>
      </c>
    </row>
    <row r="8881" spans="12:15" x14ac:dyDescent="0.25">
      <c r="L8881" s="147">
        <f ca="1"/>
        <v>54120</v>
      </c>
      <c r="M8881" s="92">
        <f t="shared" ca="1" si="287"/>
        <v>6.25</v>
      </c>
      <c r="N8881" s="143">
        <f ca="1">(PRODUCT($O$5:$O8881)-1)*36000/_xlfn.DAYS(L8881, $C$2)</f>
        <v>16.196146832321645</v>
      </c>
      <c r="O8881" s="149">
        <f t="shared" ca="1" si="288"/>
        <v>1.000173611111111</v>
      </c>
    </row>
    <row r="8882" spans="12:15" x14ac:dyDescent="0.25">
      <c r="L8882" s="147">
        <f ca="1"/>
        <v>54121</v>
      </c>
      <c r="M8882" s="92">
        <f t="shared" ca="1" si="287"/>
        <v>6.25</v>
      </c>
      <c r="N8882" s="143">
        <f ca="1">(PRODUCT($O$5:$O8882)-1)*36000/_xlfn.DAYS(L8882, $C$2)</f>
        <v>16.197838032746777</v>
      </c>
      <c r="O8882" s="149">
        <f t="shared" ca="1" si="288"/>
        <v>1.000173611111111</v>
      </c>
    </row>
    <row r="8883" spans="12:15" x14ac:dyDescent="0.25">
      <c r="L8883" s="147">
        <f ca="1"/>
        <v>54122</v>
      </c>
      <c r="M8883" s="92">
        <f t="shared" ca="1" si="287"/>
        <v>6.25</v>
      </c>
      <c r="N8883" s="143">
        <f ca="1">(PRODUCT($O$5:$O8883)-1)*36000/_xlfn.DAYS(L8883, $C$2)</f>
        <v>16.199529462489441</v>
      </c>
      <c r="O8883" s="149">
        <f t="shared" ca="1" si="288"/>
        <v>1.000173611111111</v>
      </c>
    </row>
    <row r="8884" spans="12:15" x14ac:dyDescent="0.25">
      <c r="L8884" s="147">
        <f ca="1"/>
        <v>54123</v>
      </c>
      <c r="M8884" s="92">
        <f t="shared" ca="1" si="287"/>
        <v>6.25</v>
      </c>
      <c r="N8884" s="143">
        <f ca="1">(PRODUCT($O$5:$O8884)-1)*36000/_xlfn.DAYS(L8884, $C$2)</f>
        <v>16.201221121578087</v>
      </c>
      <c r="O8884" s="149">
        <f t="shared" ca="1" si="288"/>
        <v>1.000173611111111</v>
      </c>
    </row>
    <row r="8885" spans="12:15" x14ac:dyDescent="0.25">
      <c r="L8885" s="147">
        <f ca="1"/>
        <v>54124</v>
      </c>
      <c r="M8885" s="92">
        <f t="shared" ca="1" si="287"/>
        <v>6.25</v>
      </c>
      <c r="N8885" s="143">
        <f ca="1">(PRODUCT($O$5:$O8885)-1)*36000/_xlfn.DAYS(L8885, $C$2)</f>
        <v>16.202913010041193</v>
      </c>
      <c r="O8885" s="149">
        <f t="shared" ca="1" si="288"/>
        <v>1.000173611111111</v>
      </c>
    </row>
    <row r="8886" spans="12:15" x14ac:dyDescent="0.25">
      <c r="L8886" s="147">
        <f ca="1"/>
        <v>54125</v>
      </c>
      <c r="M8886" s="92">
        <f t="shared" ca="1" si="287"/>
        <v>6.25</v>
      </c>
      <c r="N8886" s="143">
        <f ca="1">(PRODUCT($O$5:$O8886)-1)*36000/_xlfn.DAYS(L8886, $C$2)</f>
        <v>16.204605127907236</v>
      </c>
      <c r="O8886" s="149">
        <f t="shared" ca="1" si="288"/>
        <v>1.000173611111111</v>
      </c>
    </row>
    <row r="8887" spans="12:15" x14ac:dyDescent="0.25">
      <c r="L8887" s="147">
        <f ca="1"/>
        <v>54126</v>
      </c>
      <c r="M8887" s="92">
        <f t="shared" ca="1" si="287"/>
        <v>6.25</v>
      </c>
      <c r="N8887" s="143">
        <f ca="1">(PRODUCT($O$5:$O8887)-1)*36000/_xlfn.DAYS(L8887, $C$2)</f>
        <v>16.206297475204689</v>
      </c>
      <c r="O8887" s="149">
        <f t="shared" ca="1" si="288"/>
        <v>1.000173611111111</v>
      </c>
    </row>
    <row r="8888" spans="12:15" x14ac:dyDescent="0.25">
      <c r="L8888" s="147">
        <f ca="1"/>
        <v>54127</v>
      </c>
      <c r="M8888" s="92">
        <f t="shared" ca="1" si="287"/>
        <v>6.25</v>
      </c>
      <c r="N8888" s="143">
        <f ca="1">(PRODUCT($O$5:$O8888)-1)*36000/_xlfn.DAYS(L8888, $C$2)</f>
        <v>16.207990051962042</v>
      </c>
      <c r="O8888" s="149">
        <f t="shared" ca="1" si="288"/>
        <v>1.000173611111111</v>
      </c>
    </row>
    <row r="8889" spans="12:15" x14ac:dyDescent="0.25">
      <c r="L8889" s="147">
        <f ca="1"/>
        <v>54128</v>
      </c>
      <c r="M8889" s="92">
        <f t="shared" ca="1" si="287"/>
        <v>6.25</v>
      </c>
      <c r="N8889" s="143">
        <f ca="1">(PRODUCT($O$5:$O8889)-1)*36000/_xlfn.DAYS(L8889, $C$2)</f>
        <v>16.209682858207788</v>
      </c>
      <c r="O8889" s="149">
        <f t="shared" ca="1" si="288"/>
        <v>1.000173611111111</v>
      </c>
    </row>
    <row r="8890" spans="12:15" x14ac:dyDescent="0.25">
      <c r="L8890" s="147">
        <f ca="1"/>
        <v>54129</v>
      </c>
      <c r="M8890" s="92">
        <f t="shared" ca="1" si="287"/>
        <v>6.25</v>
      </c>
      <c r="N8890" s="143">
        <f ca="1">(PRODUCT($O$5:$O8890)-1)*36000/_xlfn.DAYS(L8890, $C$2)</f>
        <v>16.211375893970427</v>
      </c>
      <c r="O8890" s="149">
        <f t="shared" ca="1" si="288"/>
        <v>1.000173611111111</v>
      </c>
    </row>
    <row r="8891" spans="12:15" x14ac:dyDescent="0.25">
      <c r="L8891" s="147">
        <f ca="1"/>
        <v>54130</v>
      </c>
      <c r="M8891" s="92">
        <f t="shared" ca="1" si="287"/>
        <v>6.25</v>
      </c>
      <c r="N8891" s="143">
        <f ca="1">(PRODUCT($O$5:$O8891)-1)*36000/_xlfn.DAYS(L8891, $C$2)</f>
        <v>16.213069159278447</v>
      </c>
      <c r="O8891" s="149">
        <f t="shared" ca="1" si="288"/>
        <v>1.000173611111111</v>
      </c>
    </row>
    <row r="8892" spans="12:15" x14ac:dyDescent="0.25">
      <c r="L8892" s="147">
        <f ca="1"/>
        <v>54131</v>
      </c>
      <c r="M8892" s="92">
        <f t="shared" ca="1" si="287"/>
        <v>6.25</v>
      </c>
      <c r="N8892" s="143">
        <f ca="1">(PRODUCT($O$5:$O8892)-1)*36000/_xlfn.DAYS(L8892, $C$2)</f>
        <v>16.214762654160381</v>
      </c>
      <c r="O8892" s="149">
        <f t="shared" ca="1" si="288"/>
        <v>1.000173611111111</v>
      </c>
    </row>
    <row r="8893" spans="12:15" x14ac:dyDescent="0.25">
      <c r="L8893" s="147">
        <f ca="1"/>
        <v>54132</v>
      </c>
      <c r="M8893" s="92">
        <f t="shared" ca="1" si="287"/>
        <v>6.25</v>
      </c>
      <c r="N8893" s="143">
        <f ca="1">(PRODUCT($O$5:$O8893)-1)*36000/_xlfn.DAYS(L8893, $C$2)</f>
        <v>16.216456378644725</v>
      </c>
      <c r="O8893" s="149">
        <f t="shared" ca="1" si="288"/>
        <v>1.000173611111111</v>
      </c>
    </row>
    <row r="8894" spans="12:15" x14ac:dyDescent="0.25">
      <c r="L8894" s="147">
        <f ca="1"/>
        <v>54133</v>
      </c>
      <c r="M8894" s="92">
        <f t="shared" ca="1" si="287"/>
        <v>6.25</v>
      </c>
      <c r="N8894" s="143">
        <f ca="1">(PRODUCT($O$5:$O8894)-1)*36000/_xlfn.DAYS(L8894, $C$2)</f>
        <v>16.218150332760004</v>
      </c>
      <c r="O8894" s="149">
        <f t="shared" ca="1" si="288"/>
        <v>1.000173611111111</v>
      </c>
    </row>
    <row r="8895" spans="12:15" x14ac:dyDescent="0.25">
      <c r="L8895" s="147">
        <f ca="1"/>
        <v>54134</v>
      </c>
      <c r="M8895" s="92">
        <f t="shared" ca="1" si="287"/>
        <v>6.25</v>
      </c>
      <c r="N8895" s="143">
        <f ca="1">(PRODUCT($O$5:$O8895)-1)*36000/_xlfn.DAYS(L8895, $C$2)</f>
        <v>16.219844516534746</v>
      </c>
      <c r="O8895" s="149">
        <f t="shared" ca="1" si="288"/>
        <v>1.000173611111111</v>
      </c>
    </row>
    <row r="8896" spans="12:15" x14ac:dyDescent="0.25">
      <c r="L8896" s="147">
        <f ca="1"/>
        <v>54135</v>
      </c>
      <c r="M8896" s="92">
        <f t="shared" ca="1" si="287"/>
        <v>6.25</v>
      </c>
      <c r="N8896" s="143">
        <f ca="1">(PRODUCT($O$5:$O8896)-1)*36000/_xlfn.DAYS(L8896, $C$2)</f>
        <v>16.221538929997482</v>
      </c>
      <c r="O8896" s="149">
        <f t="shared" ca="1" si="288"/>
        <v>1.000173611111111</v>
      </c>
    </row>
    <row r="8897" spans="12:15" x14ac:dyDescent="0.25">
      <c r="L8897" s="147">
        <f ca="1"/>
        <v>54136</v>
      </c>
      <c r="M8897" s="92">
        <f t="shared" ca="1" si="287"/>
        <v>6.25</v>
      </c>
      <c r="N8897" s="143">
        <f ca="1">(PRODUCT($O$5:$O8897)-1)*36000/_xlfn.DAYS(L8897, $C$2)</f>
        <v>16.223233573176742</v>
      </c>
      <c r="O8897" s="149">
        <f t="shared" ca="1" si="288"/>
        <v>1.000173611111111</v>
      </c>
    </row>
    <row r="8898" spans="12:15" x14ac:dyDescent="0.25">
      <c r="L8898" s="147">
        <f ca="1"/>
        <v>54137</v>
      </c>
      <c r="M8898" s="92">
        <f t="shared" ca="1" si="287"/>
        <v>6.25</v>
      </c>
      <c r="N8898" s="143">
        <f ca="1">(PRODUCT($O$5:$O8898)-1)*36000/_xlfn.DAYS(L8898, $C$2)</f>
        <v>16.224928446101075</v>
      </c>
      <c r="O8898" s="149">
        <f t="shared" ca="1" si="288"/>
        <v>1.000173611111111</v>
      </c>
    </row>
    <row r="8899" spans="12:15" x14ac:dyDescent="0.25">
      <c r="L8899" s="147">
        <f ca="1"/>
        <v>54138</v>
      </c>
      <c r="M8899" s="92">
        <f t="shared" ca="1" si="287"/>
        <v>6.25</v>
      </c>
      <c r="N8899" s="143">
        <f ca="1">(PRODUCT($O$5:$O8899)-1)*36000/_xlfn.DAYS(L8899, $C$2)</f>
        <v>16.226623548799022</v>
      </c>
      <c r="O8899" s="149">
        <f t="shared" ca="1" si="288"/>
        <v>1.000173611111111</v>
      </c>
    </row>
    <row r="8900" spans="12:15" x14ac:dyDescent="0.25">
      <c r="L8900" s="147">
        <f ca="1"/>
        <v>54139</v>
      </c>
      <c r="M8900" s="92">
        <f t="shared" ca="1" si="287"/>
        <v>6.25</v>
      </c>
      <c r="N8900" s="143">
        <f ca="1">(PRODUCT($O$5:$O8900)-1)*36000/_xlfn.DAYS(L8900, $C$2)</f>
        <v>16.228318881299145</v>
      </c>
      <c r="O8900" s="149">
        <f t="shared" ca="1" si="288"/>
        <v>1.000173611111111</v>
      </c>
    </row>
    <row r="8901" spans="12:15" x14ac:dyDescent="0.25">
      <c r="L8901" s="147">
        <f ca="1"/>
        <v>54140</v>
      </c>
      <c r="M8901" s="92">
        <f t="shared" ref="M8901:M8964" ca="1" si="289">IFERROR(INDEX($E$27:$H$47, MATCH(L8901, $F$27:$F$47, 0), 4), IF(ISNUMBER(M8900), M8900, $C$5))</f>
        <v>6.25</v>
      </c>
      <c r="N8901" s="143">
        <f ca="1">(PRODUCT($O$5:$O8901)-1)*36000/_xlfn.DAYS(L8901, $C$2)</f>
        <v>16.230014443630001</v>
      </c>
      <c r="O8901" s="149">
        <f t="shared" ca="1" si="288"/>
        <v>1.000173611111111</v>
      </c>
    </row>
    <row r="8902" spans="12:15" x14ac:dyDescent="0.25">
      <c r="L8902" s="147">
        <f ca="1"/>
        <v>54141</v>
      </c>
      <c r="M8902" s="92">
        <f t="shared" ca="1" si="289"/>
        <v>6.25</v>
      </c>
      <c r="N8902" s="143">
        <f ca="1">(PRODUCT($O$5:$O8902)-1)*36000/_xlfn.DAYS(L8902, $C$2)</f>
        <v>16.231710235820145</v>
      </c>
      <c r="O8902" s="149">
        <f t="shared" ref="O8902:O8965" ca="1" si="290">1+M8902*IFERROR(_xlfn.DAYS(L8902, L8901), _xlfn.DAYS(L8902, $C$2))/36000</f>
        <v>1.000173611111111</v>
      </c>
    </row>
    <row r="8903" spans="12:15" x14ac:dyDescent="0.25">
      <c r="L8903" s="147">
        <f ca="1"/>
        <v>54142</v>
      </c>
      <c r="M8903" s="92">
        <f t="shared" ca="1" si="289"/>
        <v>6.25</v>
      </c>
      <c r="N8903" s="143">
        <f ca="1">(PRODUCT($O$5:$O8903)-1)*36000/_xlfn.DAYS(L8903, $C$2)</f>
        <v>16.233406257898157</v>
      </c>
      <c r="O8903" s="149">
        <f t="shared" ca="1" si="290"/>
        <v>1.000173611111111</v>
      </c>
    </row>
    <row r="8904" spans="12:15" x14ac:dyDescent="0.25">
      <c r="L8904" s="147">
        <f ca="1"/>
        <v>54143</v>
      </c>
      <c r="M8904" s="92">
        <f t="shared" ca="1" si="289"/>
        <v>6.25</v>
      </c>
      <c r="N8904" s="143">
        <f ca="1">(PRODUCT($O$5:$O8904)-1)*36000/_xlfn.DAYS(L8904, $C$2)</f>
        <v>16.235102509892602</v>
      </c>
      <c r="O8904" s="149">
        <f t="shared" ca="1" si="290"/>
        <v>1.000173611111111</v>
      </c>
    </row>
    <row r="8905" spans="12:15" x14ac:dyDescent="0.25">
      <c r="L8905" s="147">
        <f ca="1"/>
        <v>54144</v>
      </c>
      <c r="M8905" s="92">
        <f t="shared" ca="1" si="289"/>
        <v>6.25</v>
      </c>
      <c r="N8905" s="143">
        <f ca="1">(PRODUCT($O$5:$O8905)-1)*36000/_xlfn.DAYS(L8905, $C$2)</f>
        <v>16.236798991832075</v>
      </c>
      <c r="O8905" s="149">
        <f t="shared" ca="1" si="290"/>
        <v>1.000173611111111</v>
      </c>
    </row>
    <row r="8906" spans="12:15" x14ac:dyDescent="0.25">
      <c r="L8906" s="147">
        <f ca="1"/>
        <v>54145</v>
      </c>
      <c r="M8906" s="92">
        <f t="shared" ca="1" si="289"/>
        <v>6.25</v>
      </c>
      <c r="N8906" s="143">
        <f ca="1">(PRODUCT($O$5:$O8906)-1)*36000/_xlfn.DAYS(L8906, $C$2)</f>
        <v>16.238495703745151</v>
      </c>
      <c r="O8906" s="149">
        <f t="shared" ca="1" si="290"/>
        <v>1.000173611111111</v>
      </c>
    </row>
    <row r="8907" spans="12:15" x14ac:dyDescent="0.25">
      <c r="L8907" s="147">
        <f ca="1"/>
        <v>54146</v>
      </c>
      <c r="M8907" s="92">
        <f t="shared" ca="1" si="289"/>
        <v>6.25</v>
      </c>
      <c r="N8907" s="143">
        <f ca="1">(PRODUCT($O$5:$O8907)-1)*36000/_xlfn.DAYS(L8907, $C$2)</f>
        <v>16.240192645660429</v>
      </c>
      <c r="O8907" s="149">
        <f t="shared" ca="1" si="290"/>
        <v>1.000173611111111</v>
      </c>
    </row>
    <row r="8908" spans="12:15" x14ac:dyDescent="0.25">
      <c r="L8908" s="147">
        <f ca="1"/>
        <v>54147</v>
      </c>
      <c r="M8908" s="92">
        <f t="shared" ca="1" si="289"/>
        <v>6.25</v>
      </c>
      <c r="N8908" s="143">
        <f ca="1">(PRODUCT($O$5:$O8908)-1)*36000/_xlfn.DAYS(L8908, $C$2)</f>
        <v>16.241889817606502</v>
      </c>
      <c r="O8908" s="149">
        <f t="shared" ca="1" si="290"/>
        <v>1.000173611111111</v>
      </c>
    </row>
    <row r="8909" spans="12:15" x14ac:dyDescent="0.25">
      <c r="L8909" s="147">
        <f ca="1"/>
        <v>54148</v>
      </c>
      <c r="M8909" s="92">
        <f t="shared" ca="1" si="289"/>
        <v>6.25</v>
      </c>
      <c r="N8909" s="143">
        <f ca="1">(PRODUCT($O$5:$O8909)-1)*36000/_xlfn.DAYS(L8909, $C$2)</f>
        <v>16.243587219611975</v>
      </c>
      <c r="O8909" s="149">
        <f t="shared" ca="1" si="290"/>
        <v>1.000173611111111</v>
      </c>
    </row>
    <row r="8910" spans="12:15" x14ac:dyDescent="0.25">
      <c r="L8910" s="147">
        <f ca="1"/>
        <v>54149</v>
      </c>
      <c r="M8910" s="92">
        <f t="shared" ca="1" si="289"/>
        <v>6.25</v>
      </c>
      <c r="N8910" s="143">
        <f ca="1">(PRODUCT($O$5:$O8910)-1)*36000/_xlfn.DAYS(L8910, $C$2)</f>
        <v>16.245284851705463</v>
      </c>
      <c r="O8910" s="149">
        <f t="shared" ca="1" si="290"/>
        <v>1.000173611111111</v>
      </c>
    </row>
    <row r="8911" spans="12:15" x14ac:dyDescent="0.25">
      <c r="L8911" s="147">
        <f ca="1"/>
        <v>54150</v>
      </c>
      <c r="M8911" s="92">
        <f t="shared" ca="1" si="289"/>
        <v>6.25</v>
      </c>
      <c r="N8911" s="143">
        <f ca="1">(PRODUCT($O$5:$O8911)-1)*36000/_xlfn.DAYS(L8911, $C$2)</f>
        <v>16.246982713915571</v>
      </c>
      <c r="O8911" s="149">
        <f t="shared" ca="1" si="290"/>
        <v>1.000173611111111</v>
      </c>
    </row>
    <row r="8912" spans="12:15" x14ac:dyDescent="0.25">
      <c r="L8912" s="147">
        <f ca="1"/>
        <v>54151</v>
      </c>
      <c r="M8912" s="92">
        <f t="shared" ca="1" si="289"/>
        <v>6.25</v>
      </c>
      <c r="N8912" s="143">
        <f ca="1">(PRODUCT($O$5:$O8912)-1)*36000/_xlfn.DAYS(L8912, $C$2)</f>
        <v>16.248680806270926</v>
      </c>
      <c r="O8912" s="149">
        <f t="shared" ca="1" si="290"/>
        <v>1.000173611111111</v>
      </c>
    </row>
    <row r="8913" spans="12:15" x14ac:dyDescent="0.25">
      <c r="L8913" s="147">
        <f ca="1"/>
        <v>54152</v>
      </c>
      <c r="M8913" s="92">
        <f t="shared" ca="1" si="289"/>
        <v>6.25</v>
      </c>
      <c r="N8913" s="143">
        <f ca="1">(PRODUCT($O$5:$O8913)-1)*36000/_xlfn.DAYS(L8913, $C$2)</f>
        <v>16.250379128800152</v>
      </c>
      <c r="O8913" s="149">
        <f t="shared" ca="1" si="290"/>
        <v>1.000173611111111</v>
      </c>
    </row>
    <row r="8914" spans="12:15" x14ac:dyDescent="0.25">
      <c r="L8914" s="147">
        <f ca="1"/>
        <v>54153</v>
      </c>
      <c r="M8914" s="92">
        <f t="shared" ca="1" si="289"/>
        <v>6.25</v>
      </c>
      <c r="N8914" s="143">
        <f ca="1">(PRODUCT($O$5:$O8914)-1)*36000/_xlfn.DAYS(L8914, $C$2)</f>
        <v>16.252077681531876</v>
      </c>
      <c r="O8914" s="149">
        <f t="shared" ca="1" si="290"/>
        <v>1.000173611111111</v>
      </c>
    </row>
    <row r="8915" spans="12:15" x14ac:dyDescent="0.25">
      <c r="L8915" s="147">
        <f ca="1"/>
        <v>54154</v>
      </c>
      <c r="M8915" s="92">
        <f t="shared" ca="1" si="289"/>
        <v>6.25</v>
      </c>
      <c r="N8915" s="143">
        <f ca="1">(PRODUCT($O$5:$O8915)-1)*36000/_xlfn.DAYS(L8915, $C$2)</f>
        <v>16.253776464494734</v>
      </c>
      <c r="O8915" s="149">
        <f t="shared" ca="1" si="290"/>
        <v>1.000173611111111</v>
      </c>
    </row>
    <row r="8916" spans="12:15" x14ac:dyDescent="0.25">
      <c r="L8916" s="147">
        <f ca="1"/>
        <v>54155</v>
      </c>
      <c r="M8916" s="92">
        <f t="shared" ca="1" si="289"/>
        <v>6.25</v>
      </c>
      <c r="N8916" s="143">
        <f ca="1">(PRODUCT($O$5:$O8916)-1)*36000/_xlfn.DAYS(L8916, $C$2)</f>
        <v>16.255475477717379</v>
      </c>
      <c r="O8916" s="149">
        <f t="shared" ca="1" si="290"/>
        <v>1.000173611111111</v>
      </c>
    </row>
    <row r="8917" spans="12:15" x14ac:dyDescent="0.25">
      <c r="L8917" s="147">
        <f ca="1"/>
        <v>54156</v>
      </c>
      <c r="M8917" s="92">
        <f t="shared" ca="1" si="289"/>
        <v>6.25</v>
      </c>
      <c r="N8917" s="143">
        <f ca="1">(PRODUCT($O$5:$O8917)-1)*36000/_xlfn.DAYS(L8917, $C$2)</f>
        <v>16.257174721228449</v>
      </c>
      <c r="O8917" s="149">
        <f t="shared" ca="1" si="290"/>
        <v>1.000173611111111</v>
      </c>
    </row>
    <row r="8918" spans="12:15" x14ac:dyDescent="0.25">
      <c r="L8918" s="147">
        <f ca="1"/>
        <v>54157</v>
      </c>
      <c r="M8918" s="92">
        <f t="shared" ca="1" si="289"/>
        <v>6.25</v>
      </c>
      <c r="N8918" s="143">
        <f ca="1">(PRODUCT($O$5:$O8918)-1)*36000/_xlfn.DAYS(L8918, $C$2)</f>
        <v>16.258874195056606</v>
      </c>
      <c r="O8918" s="149">
        <f t="shared" ca="1" si="290"/>
        <v>1.000173611111111</v>
      </c>
    </row>
    <row r="8919" spans="12:15" x14ac:dyDescent="0.25">
      <c r="L8919" s="147">
        <f ca="1"/>
        <v>54158</v>
      </c>
      <c r="M8919" s="92">
        <f t="shared" ca="1" si="289"/>
        <v>6.25</v>
      </c>
      <c r="N8919" s="143">
        <f ca="1">(PRODUCT($O$5:$O8919)-1)*36000/_xlfn.DAYS(L8919, $C$2)</f>
        <v>16.260573899230497</v>
      </c>
      <c r="O8919" s="149">
        <f t="shared" ca="1" si="290"/>
        <v>1.000173611111111</v>
      </c>
    </row>
    <row r="8920" spans="12:15" x14ac:dyDescent="0.25">
      <c r="L8920" s="147">
        <f ca="1"/>
        <v>54159</v>
      </c>
      <c r="M8920" s="92">
        <f t="shared" ca="1" si="289"/>
        <v>6.25</v>
      </c>
      <c r="N8920" s="143">
        <f ca="1">(PRODUCT($O$5:$O8920)-1)*36000/_xlfn.DAYS(L8920, $C$2)</f>
        <v>16.262273833778799</v>
      </c>
      <c r="O8920" s="149">
        <f t="shared" ca="1" si="290"/>
        <v>1.000173611111111</v>
      </c>
    </row>
    <row r="8921" spans="12:15" x14ac:dyDescent="0.25">
      <c r="L8921" s="147">
        <f ca="1"/>
        <v>54160</v>
      </c>
      <c r="M8921" s="92">
        <f t="shared" ca="1" si="289"/>
        <v>6.25</v>
      </c>
      <c r="N8921" s="143">
        <f ca="1">(PRODUCT($O$5:$O8921)-1)*36000/_xlfn.DAYS(L8921, $C$2)</f>
        <v>16.263973998730172</v>
      </c>
      <c r="O8921" s="149">
        <f t="shared" ca="1" si="290"/>
        <v>1.000173611111111</v>
      </c>
    </row>
    <row r="8922" spans="12:15" x14ac:dyDescent="0.25">
      <c r="L8922" s="147">
        <f ca="1"/>
        <v>54161</v>
      </c>
      <c r="M8922" s="92">
        <f t="shared" ca="1" si="289"/>
        <v>6.25</v>
      </c>
      <c r="N8922" s="143">
        <f ca="1">(PRODUCT($O$5:$O8922)-1)*36000/_xlfn.DAYS(L8922, $C$2)</f>
        <v>16.265674394113297</v>
      </c>
      <c r="O8922" s="149">
        <f t="shared" ca="1" si="290"/>
        <v>1.000173611111111</v>
      </c>
    </row>
    <row r="8923" spans="12:15" x14ac:dyDescent="0.25">
      <c r="L8923" s="147">
        <f ca="1"/>
        <v>54162</v>
      </c>
      <c r="M8923" s="92">
        <f t="shared" ca="1" si="289"/>
        <v>6.25</v>
      </c>
      <c r="N8923" s="143">
        <f ca="1">(PRODUCT($O$5:$O8923)-1)*36000/_xlfn.DAYS(L8923, $C$2)</f>
        <v>16.267375019956855</v>
      </c>
      <c r="O8923" s="149">
        <f t="shared" ca="1" si="290"/>
        <v>1.000173611111111</v>
      </c>
    </row>
    <row r="8924" spans="12:15" x14ac:dyDescent="0.25">
      <c r="L8924" s="147">
        <f ca="1"/>
        <v>54163</v>
      </c>
      <c r="M8924" s="92">
        <f t="shared" ca="1" si="289"/>
        <v>6.25</v>
      </c>
      <c r="N8924" s="143">
        <f ca="1">(PRODUCT($O$5:$O8924)-1)*36000/_xlfn.DAYS(L8924, $C$2)</f>
        <v>16.269075876289538</v>
      </c>
      <c r="O8924" s="149">
        <f t="shared" ca="1" si="290"/>
        <v>1.000173611111111</v>
      </c>
    </row>
    <row r="8925" spans="12:15" x14ac:dyDescent="0.25">
      <c r="L8925" s="147">
        <f ca="1"/>
        <v>54164</v>
      </c>
      <c r="M8925" s="92">
        <f t="shared" ca="1" si="289"/>
        <v>6.25</v>
      </c>
      <c r="N8925" s="143">
        <f ca="1">(PRODUCT($O$5:$O8925)-1)*36000/_xlfn.DAYS(L8925, $C$2)</f>
        <v>16.270776963140026</v>
      </c>
      <c r="O8925" s="149">
        <f t="shared" ca="1" si="290"/>
        <v>1.000173611111111</v>
      </c>
    </row>
    <row r="8926" spans="12:15" x14ac:dyDescent="0.25">
      <c r="L8926" s="147">
        <f ca="1"/>
        <v>54165</v>
      </c>
      <c r="M8926" s="92">
        <f t="shared" ca="1" si="289"/>
        <v>6.25</v>
      </c>
      <c r="N8926" s="143">
        <f ca="1">(PRODUCT($O$5:$O8926)-1)*36000/_xlfn.DAYS(L8926, $C$2)</f>
        <v>16.27247828053703</v>
      </c>
      <c r="O8926" s="149">
        <f t="shared" ca="1" si="290"/>
        <v>1.000173611111111</v>
      </c>
    </row>
    <row r="8927" spans="12:15" x14ac:dyDescent="0.25">
      <c r="L8927" s="147">
        <f ca="1"/>
        <v>54166</v>
      </c>
      <c r="M8927" s="92">
        <f t="shared" ca="1" si="289"/>
        <v>6.25</v>
      </c>
      <c r="N8927" s="143">
        <f ca="1">(PRODUCT($O$5:$O8927)-1)*36000/_xlfn.DAYS(L8927, $C$2)</f>
        <v>16.274179828509244</v>
      </c>
      <c r="O8927" s="149">
        <f t="shared" ca="1" si="290"/>
        <v>1.000173611111111</v>
      </c>
    </row>
    <row r="8928" spans="12:15" x14ac:dyDescent="0.25">
      <c r="L8928" s="147">
        <f ca="1"/>
        <v>54167</v>
      </c>
      <c r="M8928" s="92">
        <f t="shared" ca="1" si="289"/>
        <v>6.25</v>
      </c>
      <c r="N8928" s="143">
        <f ca="1">(PRODUCT($O$5:$O8928)-1)*36000/_xlfn.DAYS(L8928, $C$2)</f>
        <v>16.275881607085385</v>
      </c>
      <c r="O8928" s="149">
        <f t="shared" ca="1" si="290"/>
        <v>1.000173611111111</v>
      </c>
    </row>
    <row r="8929" spans="12:15" x14ac:dyDescent="0.25">
      <c r="L8929" s="147">
        <f ca="1"/>
        <v>54168</v>
      </c>
      <c r="M8929" s="92">
        <f t="shared" ca="1" si="289"/>
        <v>6.25</v>
      </c>
      <c r="N8929" s="143">
        <f ca="1">(PRODUCT($O$5:$O8929)-1)*36000/_xlfn.DAYS(L8929, $C$2)</f>
        <v>16.277583616294159</v>
      </c>
      <c r="O8929" s="149">
        <f t="shared" ca="1" si="290"/>
        <v>1.000173611111111</v>
      </c>
    </row>
    <row r="8930" spans="12:15" x14ac:dyDescent="0.25">
      <c r="L8930" s="147">
        <f ca="1"/>
        <v>54169</v>
      </c>
      <c r="M8930" s="92">
        <f t="shared" ca="1" si="289"/>
        <v>6.25</v>
      </c>
      <c r="N8930" s="143">
        <f ca="1">(PRODUCT($O$5:$O8930)-1)*36000/_xlfn.DAYS(L8930, $C$2)</f>
        <v>16.279285856164293</v>
      </c>
      <c r="O8930" s="149">
        <f t="shared" ca="1" si="290"/>
        <v>1.000173611111111</v>
      </c>
    </row>
    <row r="8931" spans="12:15" x14ac:dyDescent="0.25">
      <c r="L8931" s="147">
        <f ca="1"/>
        <v>54170</v>
      </c>
      <c r="M8931" s="92">
        <f t="shared" ca="1" si="289"/>
        <v>6.25</v>
      </c>
      <c r="N8931" s="143">
        <f ca="1">(PRODUCT($O$5:$O8931)-1)*36000/_xlfn.DAYS(L8931, $C$2)</f>
        <v>16.280988326724511</v>
      </c>
      <c r="O8931" s="149">
        <f t="shared" ca="1" si="290"/>
        <v>1.000173611111111</v>
      </c>
    </row>
    <row r="8932" spans="12:15" x14ac:dyDescent="0.25">
      <c r="L8932" s="147">
        <f ca="1"/>
        <v>54171</v>
      </c>
      <c r="M8932" s="92">
        <f t="shared" ca="1" si="289"/>
        <v>6.25</v>
      </c>
      <c r="N8932" s="143">
        <f ca="1">(PRODUCT($O$5:$O8932)-1)*36000/_xlfn.DAYS(L8932, $C$2)</f>
        <v>16.282691028003544</v>
      </c>
      <c r="O8932" s="149">
        <f t="shared" ca="1" si="290"/>
        <v>1.000173611111111</v>
      </c>
    </row>
    <row r="8933" spans="12:15" x14ac:dyDescent="0.25">
      <c r="L8933" s="147">
        <f ca="1"/>
        <v>54172</v>
      </c>
      <c r="M8933" s="92">
        <f t="shared" ca="1" si="289"/>
        <v>6.25</v>
      </c>
      <c r="N8933" s="143">
        <f ca="1">(PRODUCT($O$5:$O8933)-1)*36000/_xlfn.DAYS(L8933, $C$2)</f>
        <v>16.28439396003013</v>
      </c>
      <c r="O8933" s="149">
        <f t="shared" ca="1" si="290"/>
        <v>1.000173611111111</v>
      </c>
    </row>
    <row r="8934" spans="12:15" x14ac:dyDescent="0.25">
      <c r="L8934" s="147">
        <f ca="1"/>
        <v>54173</v>
      </c>
      <c r="M8934" s="92">
        <f t="shared" ca="1" si="289"/>
        <v>6.25</v>
      </c>
      <c r="N8934" s="143">
        <f ca="1">(PRODUCT($O$5:$O8934)-1)*36000/_xlfn.DAYS(L8934, $C$2)</f>
        <v>16.286097122833016</v>
      </c>
      <c r="O8934" s="149">
        <f t="shared" ca="1" si="290"/>
        <v>1.000173611111111</v>
      </c>
    </row>
    <row r="8935" spans="12:15" x14ac:dyDescent="0.25">
      <c r="L8935" s="147">
        <f ca="1"/>
        <v>54174</v>
      </c>
      <c r="M8935" s="92">
        <f t="shared" ca="1" si="289"/>
        <v>6.25</v>
      </c>
      <c r="N8935" s="143">
        <f ca="1">(PRODUCT($O$5:$O8935)-1)*36000/_xlfn.DAYS(L8935, $C$2)</f>
        <v>16.287800516440939</v>
      </c>
      <c r="O8935" s="149">
        <f t="shared" ca="1" si="290"/>
        <v>1.000173611111111</v>
      </c>
    </row>
    <row r="8936" spans="12:15" x14ac:dyDescent="0.25">
      <c r="L8936" s="147">
        <f ca="1"/>
        <v>54175</v>
      </c>
      <c r="M8936" s="92">
        <f t="shared" ca="1" si="289"/>
        <v>6.25</v>
      </c>
      <c r="N8936" s="143">
        <f ca="1">(PRODUCT($O$5:$O8936)-1)*36000/_xlfn.DAYS(L8936, $C$2)</f>
        <v>16.289504140882663</v>
      </c>
      <c r="O8936" s="149">
        <f t="shared" ca="1" si="290"/>
        <v>1.000173611111111</v>
      </c>
    </row>
    <row r="8937" spans="12:15" x14ac:dyDescent="0.25">
      <c r="L8937" s="147">
        <f ca="1"/>
        <v>54176</v>
      </c>
      <c r="M8937" s="92">
        <f t="shared" ca="1" si="289"/>
        <v>6.25</v>
      </c>
      <c r="N8937" s="143">
        <f ca="1">(PRODUCT($O$5:$O8937)-1)*36000/_xlfn.DAYS(L8937, $C$2)</f>
        <v>16.291207996186941</v>
      </c>
      <c r="O8937" s="149">
        <f t="shared" ca="1" si="290"/>
        <v>1.000173611111111</v>
      </c>
    </row>
    <row r="8938" spans="12:15" x14ac:dyDescent="0.25">
      <c r="L8938" s="147">
        <f ca="1"/>
        <v>54177</v>
      </c>
      <c r="M8938" s="92">
        <f t="shared" ca="1" si="289"/>
        <v>6.25</v>
      </c>
      <c r="N8938" s="143">
        <f ca="1">(PRODUCT($O$5:$O8938)-1)*36000/_xlfn.DAYS(L8938, $C$2)</f>
        <v>16.292912082382539</v>
      </c>
      <c r="O8938" s="149">
        <f t="shared" ca="1" si="290"/>
        <v>1.000173611111111</v>
      </c>
    </row>
    <row r="8939" spans="12:15" x14ac:dyDescent="0.25">
      <c r="L8939" s="147">
        <f ca="1"/>
        <v>54178</v>
      </c>
      <c r="M8939" s="92">
        <f t="shared" ca="1" si="289"/>
        <v>6.25</v>
      </c>
      <c r="N8939" s="143">
        <f ca="1">(PRODUCT($O$5:$O8939)-1)*36000/_xlfn.DAYS(L8939, $C$2)</f>
        <v>16.294616399498238</v>
      </c>
      <c r="O8939" s="149">
        <f t="shared" ca="1" si="290"/>
        <v>1.000173611111111</v>
      </c>
    </row>
    <row r="8940" spans="12:15" x14ac:dyDescent="0.25">
      <c r="L8940" s="147">
        <f ca="1"/>
        <v>54179</v>
      </c>
      <c r="M8940" s="92">
        <f t="shared" ca="1" si="289"/>
        <v>6.25</v>
      </c>
      <c r="N8940" s="143">
        <f ca="1">(PRODUCT($O$5:$O8940)-1)*36000/_xlfn.DAYS(L8940, $C$2)</f>
        <v>16.296320947562798</v>
      </c>
      <c r="O8940" s="149">
        <f t="shared" ca="1" si="290"/>
        <v>1.000173611111111</v>
      </c>
    </row>
    <row r="8941" spans="12:15" x14ac:dyDescent="0.25">
      <c r="L8941" s="147">
        <f ca="1"/>
        <v>54180</v>
      </c>
      <c r="M8941" s="92">
        <f t="shared" ca="1" si="289"/>
        <v>6.25</v>
      </c>
      <c r="N8941" s="143">
        <f ca="1">(PRODUCT($O$5:$O8941)-1)*36000/_xlfn.DAYS(L8941, $C$2)</f>
        <v>16.298025726605008</v>
      </c>
      <c r="O8941" s="149">
        <f t="shared" ca="1" si="290"/>
        <v>1.000173611111111</v>
      </c>
    </row>
    <row r="8942" spans="12:15" x14ac:dyDescent="0.25">
      <c r="L8942" s="147">
        <f ca="1"/>
        <v>54181</v>
      </c>
      <c r="M8942" s="92">
        <f t="shared" ca="1" si="289"/>
        <v>6.25</v>
      </c>
      <c r="N8942" s="143">
        <f ca="1">(PRODUCT($O$5:$O8942)-1)*36000/_xlfn.DAYS(L8942, $C$2)</f>
        <v>16.299730736653654</v>
      </c>
      <c r="O8942" s="149">
        <f t="shared" ca="1" si="290"/>
        <v>1.000173611111111</v>
      </c>
    </row>
    <row r="8943" spans="12:15" x14ac:dyDescent="0.25">
      <c r="L8943" s="147">
        <f ca="1"/>
        <v>54182</v>
      </c>
      <c r="M8943" s="92">
        <f t="shared" ca="1" si="289"/>
        <v>6.25</v>
      </c>
      <c r="N8943" s="143">
        <f ca="1">(PRODUCT($O$5:$O8943)-1)*36000/_xlfn.DAYS(L8943, $C$2)</f>
        <v>16.30143597773753</v>
      </c>
      <c r="O8943" s="149">
        <f t="shared" ca="1" si="290"/>
        <v>1.000173611111111</v>
      </c>
    </row>
    <row r="8944" spans="12:15" x14ac:dyDescent="0.25">
      <c r="L8944" s="147">
        <f ca="1"/>
        <v>54183</v>
      </c>
      <c r="M8944" s="92">
        <f t="shared" ca="1" si="289"/>
        <v>6.25</v>
      </c>
      <c r="N8944" s="143">
        <f ca="1">(PRODUCT($O$5:$O8944)-1)*36000/_xlfn.DAYS(L8944, $C$2)</f>
        <v>16.303141449885437</v>
      </c>
      <c r="O8944" s="149">
        <f t="shared" ca="1" si="290"/>
        <v>1.000173611111111</v>
      </c>
    </row>
    <row r="8945" spans="12:15" x14ac:dyDescent="0.25">
      <c r="L8945" s="147">
        <f ca="1"/>
        <v>54184</v>
      </c>
      <c r="M8945" s="92">
        <f t="shared" ca="1" si="289"/>
        <v>6.25</v>
      </c>
      <c r="N8945" s="143">
        <f ca="1">(PRODUCT($O$5:$O8945)-1)*36000/_xlfn.DAYS(L8945, $C$2)</f>
        <v>16.304847153126179</v>
      </c>
      <c r="O8945" s="149">
        <f t="shared" ca="1" si="290"/>
        <v>1.000173611111111</v>
      </c>
    </row>
    <row r="8946" spans="12:15" x14ac:dyDescent="0.25">
      <c r="L8946" s="147">
        <f ca="1"/>
        <v>54185</v>
      </c>
      <c r="M8946" s="92">
        <f t="shared" ca="1" si="289"/>
        <v>6.25</v>
      </c>
      <c r="N8946" s="143">
        <f ca="1">(PRODUCT($O$5:$O8946)-1)*36000/_xlfn.DAYS(L8946, $C$2)</f>
        <v>16.306553087488556</v>
      </c>
      <c r="O8946" s="149">
        <f t="shared" ca="1" si="290"/>
        <v>1.000173611111111</v>
      </c>
    </row>
    <row r="8947" spans="12:15" x14ac:dyDescent="0.25">
      <c r="L8947" s="147">
        <f ca="1"/>
        <v>54186</v>
      </c>
      <c r="M8947" s="92">
        <f t="shared" ca="1" si="289"/>
        <v>6.25</v>
      </c>
      <c r="N8947" s="143">
        <f ca="1">(PRODUCT($O$5:$O8947)-1)*36000/_xlfn.DAYS(L8947, $C$2)</f>
        <v>16.308259253001392</v>
      </c>
      <c r="O8947" s="149">
        <f t="shared" ca="1" si="290"/>
        <v>1.000173611111111</v>
      </c>
    </row>
    <row r="8948" spans="12:15" x14ac:dyDescent="0.25">
      <c r="L8948" s="147">
        <f ca="1"/>
        <v>54187</v>
      </c>
      <c r="M8948" s="92">
        <f t="shared" ca="1" si="289"/>
        <v>6.25</v>
      </c>
      <c r="N8948" s="143">
        <f ca="1">(PRODUCT($O$5:$O8948)-1)*36000/_xlfn.DAYS(L8948, $C$2)</f>
        <v>16.309965649693506</v>
      </c>
      <c r="O8948" s="149">
        <f t="shared" ca="1" si="290"/>
        <v>1.000173611111111</v>
      </c>
    </row>
    <row r="8949" spans="12:15" x14ac:dyDescent="0.25">
      <c r="L8949" s="147">
        <f ca="1"/>
        <v>54188</v>
      </c>
      <c r="M8949" s="92">
        <f t="shared" ca="1" si="289"/>
        <v>6.25</v>
      </c>
      <c r="N8949" s="143">
        <f ca="1">(PRODUCT($O$5:$O8949)-1)*36000/_xlfn.DAYS(L8949, $C$2)</f>
        <v>16.311672277593729</v>
      </c>
      <c r="O8949" s="149">
        <f t="shared" ca="1" si="290"/>
        <v>1.000173611111111</v>
      </c>
    </row>
    <row r="8950" spans="12:15" x14ac:dyDescent="0.25">
      <c r="L8950" s="147">
        <f ca="1"/>
        <v>54189</v>
      </c>
      <c r="M8950" s="92">
        <f t="shared" ca="1" si="289"/>
        <v>6.25</v>
      </c>
      <c r="N8950" s="143">
        <f ca="1">(PRODUCT($O$5:$O8950)-1)*36000/_xlfn.DAYS(L8950, $C$2)</f>
        <v>16.31337913673088</v>
      </c>
      <c r="O8950" s="149">
        <f t="shared" ca="1" si="290"/>
        <v>1.000173611111111</v>
      </c>
    </row>
    <row r="8951" spans="12:15" x14ac:dyDescent="0.25">
      <c r="L8951" s="147">
        <f ca="1"/>
        <v>54190</v>
      </c>
      <c r="M8951" s="92">
        <f t="shared" ca="1" si="289"/>
        <v>6.25</v>
      </c>
      <c r="N8951" s="143">
        <f ca="1">(PRODUCT($O$5:$O8951)-1)*36000/_xlfn.DAYS(L8951, $C$2)</f>
        <v>16.315086227133804</v>
      </c>
      <c r="O8951" s="149">
        <f t="shared" ca="1" si="290"/>
        <v>1.000173611111111</v>
      </c>
    </row>
    <row r="8952" spans="12:15" x14ac:dyDescent="0.25">
      <c r="L8952" s="147">
        <f ca="1"/>
        <v>54191</v>
      </c>
      <c r="M8952" s="92">
        <f t="shared" ca="1" si="289"/>
        <v>6.25</v>
      </c>
      <c r="N8952" s="143">
        <f ca="1">(PRODUCT($O$5:$O8952)-1)*36000/_xlfn.DAYS(L8952, $C$2)</f>
        <v>16.316793548831349</v>
      </c>
      <c r="O8952" s="149">
        <f t="shared" ca="1" si="290"/>
        <v>1.000173611111111</v>
      </c>
    </row>
    <row r="8953" spans="12:15" x14ac:dyDescent="0.25">
      <c r="L8953" s="147">
        <f ca="1"/>
        <v>54192</v>
      </c>
      <c r="M8953" s="92">
        <f t="shared" ca="1" si="289"/>
        <v>6.25</v>
      </c>
      <c r="N8953" s="143">
        <f ca="1">(PRODUCT($O$5:$O8953)-1)*36000/_xlfn.DAYS(L8953, $C$2)</f>
        <v>16.318501101852355</v>
      </c>
      <c r="O8953" s="149">
        <f t="shared" ca="1" si="290"/>
        <v>1.000173611111111</v>
      </c>
    </row>
    <row r="8954" spans="12:15" x14ac:dyDescent="0.25">
      <c r="L8954" s="147">
        <f ca="1"/>
        <v>54193</v>
      </c>
      <c r="M8954" s="92">
        <f t="shared" ca="1" si="289"/>
        <v>6.25</v>
      </c>
      <c r="N8954" s="143">
        <f ca="1">(PRODUCT($O$5:$O8954)-1)*36000/_xlfn.DAYS(L8954, $C$2)</f>
        <v>16.320208886225682</v>
      </c>
      <c r="O8954" s="149">
        <f t="shared" ca="1" si="290"/>
        <v>1.000173611111111</v>
      </c>
    </row>
    <row r="8955" spans="12:15" x14ac:dyDescent="0.25">
      <c r="L8955" s="147">
        <f ca="1"/>
        <v>54194</v>
      </c>
      <c r="M8955" s="92">
        <f t="shared" ca="1" si="289"/>
        <v>6.25</v>
      </c>
      <c r="N8955" s="143">
        <f ca="1">(PRODUCT($O$5:$O8955)-1)*36000/_xlfn.DAYS(L8955, $C$2)</f>
        <v>16.321916901980188</v>
      </c>
      <c r="O8955" s="149">
        <f t="shared" ca="1" si="290"/>
        <v>1.000173611111111</v>
      </c>
    </row>
    <row r="8956" spans="12:15" x14ac:dyDescent="0.25">
      <c r="L8956" s="147">
        <f ca="1"/>
        <v>54195</v>
      </c>
      <c r="M8956" s="92">
        <f t="shared" ca="1" si="289"/>
        <v>6.25</v>
      </c>
      <c r="N8956" s="143">
        <f ca="1">(PRODUCT($O$5:$O8956)-1)*36000/_xlfn.DAYS(L8956, $C$2)</f>
        <v>16.323625149144736</v>
      </c>
      <c r="O8956" s="149">
        <f t="shared" ca="1" si="290"/>
        <v>1.000173611111111</v>
      </c>
    </row>
    <row r="8957" spans="12:15" x14ac:dyDescent="0.25">
      <c r="L8957" s="147">
        <f ca="1"/>
        <v>54196</v>
      </c>
      <c r="M8957" s="92">
        <f t="shared" ca="1" si="289"/>
        <v>6.25</v>
      </c>
      <c r="N8957" s="143">
        <f ca="1">(PRODUCT($O$5:$O8957)-1)*36000/_xlfn.DAYS(L8957, $C$2)</f>
        <v>16.325333627748201</v>
      </c>
      <c r="O8957" s="149">
        <f t="shared" ca="1" si="290"/>
        <v>1.000173611111111</v>
      </c>
    </row>
    <row r="8958" spans="12:15" x14ac:dyDescent="0.25">
      <c r="L8958" s="147">
        <f ca="1"/>
        <v>54197</v>
      </c>
      <c r="M8958" s="92">
        <f t="shared" ca="1" si="289"/>
        <v>6.25</v>
      </c>
      <c r="N8958" s="143">
        <f ca="1">(PRODUCT($O$5:$O8958)-1)*36000/_xlfn.DAYS(L8958, $C$2)</f>
        <v>16.327042337819453</v>
      </c>
      <c r="O8958" s="149">
        <f t="shared" ca="1" si="290"/>
        <v>1.000173611111111</v>
      </c>
    </row>
    <row r="8959" spans="12:15" x14ac:dyDescent="0.25">
      <c r="L8959" s="147">
        <f ca="1"/>
        <v>54198</v>
      </c>
      <c r="M8959" s="92">
        <f t="shared" ca="1" si="289"/>
        <v>6.25</v>
      </c>
      <c r="N8959" s="143">
        <f ca="1">(PRODUCT($O$5:$O8959)-1)*36000/_xlfn.DAYS(L8959, $C$2)</f>
        <v>16.328751279387383</v>
      </c>
      <c r="O8959" s="149">
        <f t="shared" ca="1" si="290"/>
        <v>1.000173611111111</v>
      </c>
    </row>
    <row r="8960" spans="12:15" x14ac:dyDescent="0.25">
      <c r="L8960" s="147">
        <f ca="1"/>
        <v>54199</v>
      </c>
      <c r="M8960" s="92">
        <f t="shared" ca="1" si="289"/>
        <v>6.25</v>
      </c>
      <c r="N8960" s="143">
        <f ca="1">(PRODUCT($O$5:$O8960)-1)*36000/_xlfn.DAYS(L8960, $C$2)</f>
        <v>16.330460452480867</v>
      </c>
      <c r="O8960" s="149">
        <f t="shared" ca="1" si="290"/>
        <v>1.000173611111111</v>
      </c>
    </row>
    <row r="8961" spans="12:15" x14ac:dyDescent="0.25">
      <c r="L8961" s="147">
        <f ca="1"/>
        <v>54200</v>
      </c>
      <c r="M8961" s="92">
        <f t="shared" ca="1" si="289"/>
        <v>6.25</v>
      </c>
      <c r="N8961" s="143">
        <f ca="1">(PRODUCT($O$5:$O8961)-1)*36000/_xlfn.DAYS(L8961, $C$2)</f>
        <v>16.332169857128807</v>
      </c>
      <c r="O8961" s="149">
        <f t="shared" ca="1" si="290"/>
        <v>1.000173611111111</v>
      </c>
    </row>
    <row r="8962" spans="12:15" x14ac:dyDescent="0.25">
      <c r="L8962" s="147">
        <f ca="1"/>
        <v>54201</v>
      </c>
      <c r="M8962" s="92">
        <f t="shared" ca="1" si="289"/>
        <v>6.25</v>
      </c>
      <c r="N8962" s="143">
        <f ca="1">(PRODUCT($O$5:$O8962)-1)*36000/_xlfn.DAYS(L8962, $C$2)</f>
        <v>16.333879493360101</v>
      </c>
      <c r="O8962" s="149">
        <f t="shared" ca="1" si="290"/>
        <v>1.000173611111111</v>
      </c>
    </row>
    <row r="8963" spans="12:15" x14ac:dyDescent="0.25">
      <c r="L8963" s="147">
        <f ca="1"/>
        <v>54202</v>
      </c>
      <c r="M8963" s="92">
        <f t="shared" ca="1" si="289"/>
        <v>6.25</v>
      </c>
      <c r="N8963" s="143">
        <f ca="1">(PRODUCT($O$5:$O8963)-1)*36000/_xlfn.DAYS(L8963, $C$2)</f>
        <v>16.335589361203649</v>
      </c>
      <c r="O8963" s="149">
        <f t="shared" ca="1" si="290"/>
        <v>1.000173611111111</v>
      </c>
    </row>
    <row r="8964" spans="12:15" x14ac:dyDescent="0.25">
      <c r="L8964" s="147">
        <f ca="1"/>
        <v>54203</v>
      </c>
      <c r="M8964" s="92">
        <f t="shared" ca="1" si="289"/>
        <v>6.25</v>
      </c>
      <c r="N8964" s="143">
        <f ca="1">(PRODUCT($O$5:$O8964)-1)*36000/_xlfn.DAYS(L8964, $C$2)</f>
        <v>16.337299460688367</v>
      </c>
      <c r="O8964" s="149">
        <f t="shared" ca="1" si="290"/>
        <v>1.000173611111111</v>
      </c>
    </row>
    <row r="8965" spans="12:15" x14ac:dyDescent="0.25">
      <c r="L8965" s="147">
        <f ca="1"/>
        <v>54204</v>
      </c>
      <c r="M8965" s="92">
        <f t="shared" ref="M8965:M9028" ca="1" si="291">IFERROR(INDEX($E$27:$H$47, MATCH(L8965, $F$27:$F$47, 0), 4), IF(ISNUMBER(M8964), M8964, $C$5))</f>
        <v>6.25</v>
      </c>
      <c r="N8965" s="143">
        <f ca="1">(PRODUCT($O$5:$O8965)-1)*36000/_xlfn.DAYS(L8965, $C$2)</f>
        <v>16.339009791843164</v>
      </c>
      <c r="O8965" s="149">
        <f t="shared" ca="1" si="290"/>
        <v>1.000173611111111</v>
      </c>
    </row>
    <row r="8966" spans="12:15" x14ac:dyDescent="0.25">
      <c r="L8966" s="147">
        <f ca="1"/>
        <v>54205</v>
      </c>
      <c r="M8966" s="92">
        <f t="shared" ca="1" si="291"/>
        <v>6.25</v>
      </c>
      <c r="N8966" s="143">
        <f ca="1">(PRODUCT($O$5:$O8966)-1)*36000/_xlfn.DAYS(L8966, $C$2)</f>
        <v>16.340720354696966</v>
      </c>
      <c r="O8966" s="149">
        <f t="shared" ref="O8966:O9029" ca="1" si="292">1+M8966*IFERROR(_xlfn.DAYS(L8966, L8965), _xlfn.DAYS(L8966, $C$2))/36000</f>
        <v>1.000173611111111</v>
      </c>
    </row>
    <row r="8967" spans="12:15" x14ac:dyDescent="0.25">
      <c r="L8967" s="147">
        <f ca="1"/>
        <v>54206</v>
      </c>
      <c r="M8967" s="92">
        <f t="shared" ca="1" si="291"/>
        <v>6.25</v>
      </c>
      <c r="N8967" s="143">
        <f ca="1">(PRODUCT($O$5:$O8967)-1)*36000/_xlfn.DAYS(L8967, $C$2)</f>
        <v>16.342431149278696</v>
      </c>
      <c r="O8967" s="149">
        <f t="shared" ca="1" si="292"/>
        <v>1.000173611111111</v>
      </c>
    </row>
    <row r="8968" spans="12:15" x14ac:dyDescent="0.25">
      <c r="L8968" s="147">
        <f ca="1"/>
        <v>54207</v>
      </c>
      <c r="M8968" s="92">
        <f t="shared" ca="1" si="291"/>
        <v>6.25</v>
      </c>
      <c r="N8968" s="143">
        <f ca="1">(PRODUCT($O$5:$O8968)-1)*36000/_xlfn.DAYS(L8968, $C$2)</f>
        <v>16.344142175617289</v>
      </c>
      <c r="O8968" s="149">
        <f t="shared" ca="1" si="292"/>
        <v>1.000173611111111</v>
      </c>
    </row>
    <row r="8969" spans="12:15" x14ac:dyDescent="0.25">
      <c r="L8969" s="147">
        <f ca="1"/>
        <v>54208</v>
      </c>
      <c r="M8969" s="92">
        <f t="shared" ca="1" si="291"/>
        <v>6.25</v>
      </c>
      <c r="N8969" s="143">
        <f ca="1">(PRODUCT($O$5:$O8969)-1)*36000/_xlfn.DAYS(L8969, $C$2)</f>
        <v>16.345853433741681</v>
      </c>
      <c r="O8969" s="149">
        <f t="shared" ca="1" si="292"/>
        <v>1.000173611111111</v>
      </c>
    </row>
    <row r="8970" spans="12:15" x14ac:dyDescent="0.25">
      <c r="L8970" s="147">
        <f ca="1"/>
        <v>54209</v>
      </c>
      <c r="M8970" s="92">
        <f t="shared" ca="1" si="291"/>
        <v>6.25</v>
      </c>
      <c r="N8970" s="143">
        <f ca="1">(PRODUCT($O$5:$O8970)-1)*36000/_xlfn.DAYS(L8970, $C$2)</f>
        <v>16.347564923680814</v>
      </c>
      <c r="O8970" s="149">
        <f t="shared" ca="1" si="292"/>
        <v>1.000173611111111</v>
      </c>
    </row>
    <row r="8971" spans="12:15" x14ac:dyDescent="0.25">
      <c r="L8971" s="147">
        <f ca="1"/>
        <v>54210</v>
      </c>
      <c r="M8971" s="92">
        <f t="shared" ca="1" si="291"/>
        <v>6.25</v>
      </c>
      <c r="N8971" s="143">
        <f ca="1">(PRODUCT($O$5:$O8971)-1)*36000/_xlfn.DAYS(L8971, $C$2)</f>
        <v>16.349276645463643</v>
      </c>
      <c r="O8971" s="149">
        <f t="shared" ca="1" si="292"/>
        <v>1.000173611111111</v>
      </c>
    </row>
    <row r="8972" spans="12:15" x14ac:dyDescent="0.25">
      <c r="L8972" s="147">
        <f ca="1"/>
        <v>54211</v>
      </c>
      <c r="M8972" s="92">
        <f t="shared" ca="1" si="291"/>
        <v>6.25</v>
      </c>
      <c r="N8972" s="143">
        <f ca="1">(PRODUCT($O$5:$O8972)-1)*36000/_xlfn.DAYS(L8972, $C$2)</f>
        <v>16.350988599119113</v>
      </c>
      <c r="O8972" s="149">
        <f t="shared" ca="1" si="292"/>
        <v>1.000173611111111</v>
      </c>
    </row>
    <row r="8973" spans="12:15" x14ac:dyDescent="0.25">
      <c r="L8973" s="147">
        <f ca="1"/>
        <v>54212</v>
      </c>
      <c r="M8973" s="92">
        <f t="shared" ca="1" si="291"/>
        <v>6.25</v>
      </c>
      <c r="N8973" s="143">
        <f ca="1">(PRODUCT($O$5:$O8973)-1)*36000/_xlfn.DAYS(L8973, $C$2)</f>
        <v>16.352700784676191</v>
      </c>
      <c r="O8973" s="149">
        <f t="shared" ca="1" si="292"/>
        <v>1.000173611111111</v>
      </c>
    </row>
    <row r="8974" spans="12:15" x14ac:dyDescent="0.25">
      <c r="L8974" s="147">
        <f ca="1"/>
        <v>54213</v>
      </c>
      <c r="M8974" s="92">
        <f t="shared" ca="1" si="291"/>
        <v>6.25</v>
      </c>
      <c r="N8974" s="143">
        <f ca="1">(PRODUCT($O$5:$O8974)-1)*36000/_xlfn.DAYS(L8974, $C$2)</f>
        <v>16.354413202163844</v>
      </c>
      <c r="O8974" s="149">
        <f t="shared" ca="1" si="292"/>
        <v>1.000173611111111</v>
      </c>
    </row>
    <row r="8975" spans="12:15" x14ac:dyDescent="0.25">
      <c r="L8975" s="147">
        <f ca="1"/>
        <v>54214</v>
      </c>
      <c r="M8975" s="92">
        <f t="shared" ca="1" si="291"/>
        <v>6.25</v>
      </c>
      <c r="N8975" s="143">
        <f ca="1">(PRODUCT($O$5:$O8975)-1)*36000/_xlfn.DAYS(L8975, $C$2)</f>
        <v>16.356125851611036</v>
      </c>
      <c r="O8975" s="149">
        <f t="shared" ca="1" si="292"/>
        <v>1.000173611111111</v>
      </c>
    </row>
    <row r="8976" spans="12:15" x14ac:dyDescent="0.25">
      <c r="L8976" s="147">
        <f ca="1"/>
        <v>54215</v>
      </c>
      <c r="M8976" s="92">
        <f t="shared" ca="1" si="291"/>
        <v>6.25</v>
      </c>
      <c r="N8976" s="143">
        <f ca="1">(PRODUCT($O$5:$O8976)-1)*36000/_xlfn.DAYS(L8976, $C$2)</f>
        <v>16.357838733046751</v>
      </c>
      <c r="O8976" s="149">
        <f t="shared" ca="1" si="292"/>
        <v>1.000173611111111</v>
      </c>
    </row>
    <row r="8977" spans="12:15" x14ac:dyDescent="0.25">
      <c r="L8977" s="147">
        <f ca="1"/>
        <v>54216</v>
      </c>
      <c r="M8977" s="92">
        <f t="shared" ca="1" si="291"/>
        <v>6.25</v>
      </c>
      <c r="N8977" s="143">
        <f ca="1">(PRODUCT($O$5:$O8977)-1)*36000/_xlfn.DAYS(L8977, $C$2)</f>
        <v>16.359551846499965</v>
      </c>
      <c r="O8977" s="149">
        <f t="shared" ca="1" si="292"/>
        <v>1.000173611111111</v>
      </c>
    </row>
    <row r="8978" spans="12:15" x14ac:dyDescent="0.25">
      <c r="L8978" s="147">
        <f ca="1"/>
        <v>54217</v>
      </c>
      <c r="M8978" s="92">
        <f t="shared" ca="1" si="291"/>
        <v>6.25</v>
      </c>
      <c r="N8978" s="143">
        <f ca="1">(PRODUCT($O$5:$O8978)-1)*36000/_xlfn.DAYS(L8978, $C$2)</f>
        <v>16.361265191999671</v>
      </c>
      <c r="O8978" s="149">
        <f t="shared" ca="1" si="292"/>
        <v>1.000173611111111</v>
      </c>
    </row>
    <row r="8979" spans="12:15" x14ac:dyDescent="0.25">
      <c r="L8979" s="147">
        <f ca="1"/>
        <v>54218</v>
      </c>
      <c r="M8979" s="92">
        <f t="shared" ca="1" si="291"/>
        <v>6.25</v>
      </c>
      <c r="N8979" s="143">
        <f ca="1">(PRODUCT($O$5:$O8979)-1)*36000/_xlfn.DAYS(L8979, $C$2)</f>
        <v>16.362978769574863</v>
      </c>
      <c r="O8979" s="149">
        <f t="shared" ca="1" si="292"/>
        <v>1.000173611111111</v>
      </c>
    </row>
    <row r="8980" spans="12:15" x14ac:dyDescent="0.25">
      <c r="L8980" s="147">
        <f ca="1"/>
        <v>54219</v>
      </c>
      <c r="M8980" s="92">
        <f t="shared" ca="1" si="291"/>
        <v>6.25</v>
      </c>
      <c r="N8980" s="143">
        <f ca="1">(PRODUCT($O$5:$O8980)-1)*36000/_xlfn.DAYS(L8980, $C$2)</f>
        <v>16.364692579254534</v>
      </c>
      <c r="O8980" s="149">
        <f t="shared" ca="1" si="292"/>
        <v>1.000173611111111</v>
      </c>
    </row>
    <row r="8981" spans="12:15" x14ac:dyDescent="0.25">
      <c r="L8981" s="147">
        <f ca="1"/>
        <v>54220</v>
      </c>
      <c r="M8981" s="92">
        <f t="shared" ca="1" si="291"/>
        <v>6.25</v>
      </c>
      <c r="N8981" s="143">
        <f ca="1">(PRODUCT($O$5:$O8981)-1)*36000/_xlfn.DAYS(L8981, $C$2)</f>
        <v>16.366406621067693</v>
      </c>
      <c r="O8981" s="149">
        <f t="shared" ca="1" si="292"/>
        <v>1.000173611111111</v>
      </c>
    </row>
    <row r="8982" spans="12:15" x14ac:dyDescent="0.25">
      <c r="L8982" s="147">
        <f ca="1"/>
        <v>54221</v>
      </c>
      <c r="M8982" s="92">
        <f t="shared" ca="1" si="291"/>
        <v>6.25</v>
      </c>
      <c r="N8982" s="143">
        <f ca="1">(PRODUCT($O$5:$O8982)-1)*36000/_xlfn.DAYS(L8982, $C$2)</f>
        <v>16.368120895043351</v>
      </c>
      <c r="O8982" s="149">
        <f t="shared" ca="1" si="292"/>
        <v>1.000173611111111</v>
      </c>
    </row>
    <row r="8983" spans="12:15" x14ac:dyDescent="0.25">
      <c r="L8983" s="147">
        <f ca="1"/>
        <v>54222</v>
      </c>
      <c r="M8983" s="92">
        <f t="shared" ca="1" si="291"/>
        <v>6.25</v>
      </c>
      <c r="N8983" s="143">
        <f ca="1">(PRODUCT($O$5:$O8983)-1)*36000/_xlfn.DAYS(L8983, $C$2)</f>
        <v>16.369835401210519</v>
      </c>
      <c r="O8983" s="149">
        <f t="shared" ca="1" si="292"/>
        <v>1.000173611111111</v>
      </c>
    </row>
    <row r="8984" spans="12:15" x14ac:dyDescent="0.25">
      <c r="L8984" s="147">
        <f ca="1"/>
        <v>54223</v>
      </c>
      <c r="M8984" s="92">
        <f t="shared" ca="1" si="291"/>
        <v>6.25</v>
      </c>
      <c r="N8984" s="143">
        <f ca="1">(PRODUCT($O$5:$O8984)-1)*36000/_xlfn.DAYS(L8984, $C$2)</f>
        <v>16.371550139598227</v>
      </c>
      <c r="O8984" s="149">
        <f t="shared" ca="1" si="292"/>
        <v>1.000173611111111</v>
      </c>
    </row>
    <row r="8985" spans="12:15" x14ac:dyDescent="0.25">
      <c r="L8985" s="147">
        <f ca="1"/>
        <v>54224</v>
      </c>
      <c r="M8985" s="92">
        <f t="shared" ca="1" si="291"/>
        <v>6.25</v>
      </c>
      <c r="N8985" s="143">
        <f ca="1">(PRODUCT($O$5:$O8985)-1)*36000/_xlfn.DAYS(L8985, $C$2)</f>
        <v>16.373265110235494</v>
      </c>
      <c r="O8985" s="149">
        <f t="shared" ca="1" si="292"/>
        <v>1.000173611111111</v>
      </c>
    </row>
    <row r="8986" spans="12:15" x14ac:dyDescent="0.25">
      <c r="L8986" s="147">
        <f ca="1"/>
        <v>54225</v>
      </c>
      <c r="M8986" s="92">
        <f t="shared" ca="1" si="291"/>
        <v>6.25</v>
      </c>
      <c r="N8986" s="143">
        <f ca="1">(PRODUCT($O$5:$O8986)-1)*36000/_xlfn.DAYS(L8986, $C$2)</f>
        <v>16.374980313151354</v>
      </c>
      <c r="O8986" s="149">
        <f t="shared" ca="1" si="292"/>
        <v>1.000173611111111</v>
      </c>
    </row>
    <row r="8987" spans="12:15" x14ac:dyDescent="0.25">
      <c r="L8987" s="147">
        <f ca="1"/>
        <v>54226</v>
      </c>
      <c r="M8987" s="92">
        <f t="shared" ca="1" si="291"/>
        <v>6.25</v>
      </c>
      <c r="N8987" s="143">
        <f ca="1">(PRODUCT($O$5:$O8987)-1)*36000/_xlfn.DAYS(L8987, $C$2)</f>
        <v>16.37669574837485</v>
      </c>
      <c r="O8987" s="149">
        <f t="shared" ca="1" si="292"/>
        <v>1.000173611111111</v>
      </c>
    </row>
    <row r="8988" spans="12:15" x14ac:dyDescent="0.25">
      <c r="L8988" s="147">
        <f ca="1"/>
        <v>54227</v>
      </c>
      <c r="M8988" s="92">
        <f t="shared" ca="1" si="291"/>
        <v>6.25</v>
      </c>
      <c r="N8988" s="143">
        <f ca="1">(PRODUCT($O$5:$O8988)-1)*36000/_xlfn.DAYS(L8988, $C$2)</f>
        <v>16.378411415935023</v>
      </c>
      <c r="O8988" s="149">
        <f t="shared" ca="1" si="292"/>
        <v>1.000173611111111</v>
      </c>
    </row>
    <row r="8989" spans="12:15" x14ac:dyDescent="0.25">
      <c r="L8989" s="147">
        <f ca="1"/>
        <v>54228</v>
      </c>
      <c r="M8989" s="92">
        <f t="shared" ca="1" si="291"/>
        <v>6.25</v>
      </c>
      <c r="N8989" s="143">
        <f ca="1">(PRODUCT($O$5:$O8989)-1)*36000/_xlfn.DAYS(L8989, $C$2)</f>
        <v>16.380127315860921</v>
      </c>
      <c r="O8989" s="149">
        <f t="shared" ca="1" si="292"/>
        <v>1.000173611111111</v>
      </c>
    </row>
    <row r="8990" spans="12:15" x14ac:dyDescent="0.25">
      <c r="L8990" s="147">
        <f ca="1"/>
        <v>54229</v>
      </c>
      <c r="M8990" s="92">
        <f t="shared" ca="1" si="291"/>
        <v>6.25</v>
      </c>
      <c r="N8990" s="143">
        <f ca="1">(PRODUCT($O$5:$O8990)-1)*36000/_xlfn.DAYS(L8990, $C$2)</f>
        <v>16.381843448181595</v>
      </c>
      <c r="O8990" s="149">
        <f t="shared" ca="1" si="292"/>
        <v>1.000173611111111</v>
      </c>
    </row>
    <row r="8991" spans="12:15" x14ac:dyDescent="0.25">
      <c r="L8991" s="147">
        <f ca="1"/>
        <v>54230</v>
      </c>
      <c r="M8991" s="92">
        <f t="shared" ca="1" si="291"/>
        <v>6.25</v>
      </c>
      <c r="N8991" s="143">
        <f ca="1">(PRODUCT($O$5:$O8991)-1)*36000/_xlfn.DAYS(L8991, $C$2)</f>
        <v>16.383559812926112</v>
      </c>
      <c r="O8991" s="149">
        <f t="shared" ca="1" si="292"/>
        <v>1.000173611111111</v>
      </c>
    </row>
    <row r="8992" spans="12:15" x14ac:dyDescent="0.25">
      <c r="L8992" s="147">
        <f ca="1"/>
        <v>54231</v>
      </c>
      <c r="M8992" s="92">
        <f t="shared" ca="1" si="291"/>
        <v>6.25</v>
      </c>
      <c r="N8992" s="143">
        <f ca="1">(PRODUCT($O$5:$O8992)-1)*36000/_xlfn.DAYS(L8992, $C$2)</f>
        <v>16.385276410123534</v>
      </c>
      <c r="O8992" s="149">
        <f t="shared" ca="1" si="292"/>
        <v>1.000173611111111</v>
      </c>
    </row>
    <row r="8993" spans="12:15" x14ac:dyDescent="0.25">
      <c r="L8993" s="147">
        <f ca="1"/>
        <v>54232</v>
      </c>
      <c r="M8993" s="92">
        <f t="shared" ca="1" si="291"/>
        <v>6.25</v>
      </c>
      <c r="N8993" s="143">
        <f ca="1">(PRODUCT($O$5:$O8993)-1)*36000/_xlfn.DAYS(L8993, $C$2)</f>
        <v>16.386993239802941</v>
      </c>
      <c r="O8993" s="149">
        <f t="shared" ca="1" si="292"/>
        <v>1.000173611111111</v>
      </c>
    </row>
    <row r="8994" spans="12:15" x14ac:dyDescent="0.25">
      <c r="L8994" s="147">
        <f ca="1"/>
        <v>54233</v>
      </c>
      <c r="M8994" s="92">
        <f t="shared" ca="1" si="291"/>
        <v>6.25</v>
      </c>
      <c r="N8994" s="143">
        <f ca="1">(PRODUCT($O$5:$O8994)-1)*36000/_xlfn.DAYS(L8994, $C$2)</f>
        <v>16.388710301993399</v>
      </c>
      <c r="O8994" s="149">
        <f t="shared" ca="1" si="292"/>
        <v>1.000173611111111</v>
      </c>
    </row>
    <row r="8995" spans="12:15" x14ac:dyDescent="0.25">
      <c r="L8995" s="147">
        <f ca="1"/>
        <v>54234</v>
      </c>
      <c r="M8995" s="92">
        <f t="shared" ca="1" si="291"/>
        <v>6.25</v>
      </c>
      <c r="N8995" s="143">
        <f ca="1">(PRODUCT($O$5:$O8995)-1)*36000/_xlfn.DAYS(L8995, $C$2)</f>
        <v>16.390427596723995</v>
      </c>
      <c r="O8995" s="149">
        <f t="shared" ca="1" si="292"/>
        <v>1.000173611111111</v>
      </c>
    </row>
    <row r="8996" spans="12:15" x14ac:dyDescent="0.25">
      <c r="L8996" s="147">
        <f ca="1"/>
        <v>54235</v>
      </c>
      <c r="M8996" s="92">
        <f t="shared" ca="1" si="291"/>
        <v>6.25</v>
      </c>
      <c r="N8996" s="143">
        <f ca="1">(PRODUCT($O$5:$O8996)-1)*36000/_xlfn.DAYS(L8996, $C$2)</f>
        <v>16.392145124023823</v>
      </c>
      <c r="O8996" s="149">
        <f t="shared" ca="1" si="292"/>
        <v>1.000173611111111</v>
      </c>
    </row>
    <row r="8997" spans="12:15" x14ac:dyDescent="0.25">
      <c r="L8997" s="147">
        <f ca="1"/>
        <v>54236</v>
      </c>
      <c r="M8997" s="92">
        <f t="shared" ca="1" si="291"/>
        <v>6.25</v>
      </c>
      <c r="N8997" s="143">
        <f ca="1">(PRODUCT($O$5:$O8997)-1)*36000/_xlfn.DAYS(L8997, $C$2)</f>
        <v>16.393862883921965</v>
      </c>
      <c r="O8997" s="149">
        <f t="shared" ca="1" si="292"/>
        <v>1.000173611111111</v>
      </c>
    </row>
    <row r="8998" spans="12:15" x14ac:dyDescent="0.25">
      <c r="L8998" s="147">
        <f ca="1"/>
        <v>54237</v>
      </c>
      <c r="M8998" s="92">
        <f t="shared" ca="1" si="291"/>
        <v>6.25</v>
      </c>
      <c r="N8998" s="143">
        <f ca="1">(PRODUCT($O$5:$O8998)-1)*36000/_xlfn.DAYS(L8998, $C$2)</f>
        <v>16.395580876447532</v>
      </c>
      <c r="O8998" s="149">
        <f t="shared" ca="1" si="292"/>
        <v>1.000173611111111</v>
      </c>
    </row>
    <row r="8999" spans="12:15" x14ac:dyDescent="0.25">
      <c r="L8999" s="147">
        <f ca="1"/>
        <v>54238</v>
      </c>
      <c r="M8999" s="92">
        <f t="shared" ca="1" si="291"/>
        <v>6.25</v>
      </c>
      <c r="N8999" s="143">
        <f ca="1">(PRODUCT($O$5:$O8999)-1)*36000/_xlfn.DAYS(L8999, $C$2)</f>
        <v>16.397299101629621</v>
      </c>
      <c r="O8999" s="149">
        <f t="shared" ca="1" si="292"/>
        <v>1.000173611111111</v>
      </c>
    </row>
    <row r="9000" spans="12:15" x14ac:dyDescent="0.25">
      <c r="L9000" s="147">
        <f ca="1"/>
        <v>54239</v>
      </c>
      <c r="M9000" s="92">
        <f t="shared" ca="1" si="291"/>
        <v>6.25</v>
      </c>
      <c r="N9000" s="143">
        <f ca="1">(PRODUCT($O$5:$O9000)-1)*36000/_xlfn.DAYS(L9000, $C$2)</f>
        <v>16.399017559497349</v>
      </c>
      <c r="O9000" s="149">
        <f t="shared" ca="1" si="292"/>
        <v>1.000173611111111</v>
      </c>
    </row>
    <row r="9001" spans="12:15" x14ac:dyDescent="0.25">
      <c r="L9001" s="147">
        <f ca="1"/>
        <v>54240</v>
      </c>
      <c r="M9001" s="92">
        <f t="shared" ca="1" si="291"/>
        <v>6.25</v>
      </c>
      <c r="N9001" s="143">
        <f ca="1">(PRODUCT($O$5:$O9001)-1)*36000/_xlfn.DAYS(L9001, $C$2)</f>
        <v>16.400736250079827</v>
      </c>
      <c r="O9001" s="149">
        <f t="shared" ca="1" si="292"/>
        <v>1.000173611111111</v>
      </c>
    </row>
    <row r="9002" spans="12:15" x14ac:dyDescent="0.25">
      <c r="L9002" s="147">
        <f ca="1"/>
        <v>54241</v>
      </c>
      <c r="M9002" s="92">
        <f t="shared" ca="1" si="291"/>
        <v>6.25</v>
      </c>
      <c r="N9002" s="143">
        <f ca="1">(PRODUCT($O$5:$O9002)-1)*36000/_xlfn.DAYS(L9002, $C$2)</f>
        <v>16.402455173406178</v>
      </c>
      <c r="O9002" s="149">
        <f t="shared" ca="1" si="292"/>
        <v>1.000173611111111</v>
      </c>
    </row>
    <row r="9003" spans="12:15" x14ac:dyDescent="0.25">
      <c r="L9003" s="147">
        <f ca="1"/>
        <v>54242</v>
      </c>
      <c r="M9003" s="92">
        <f t="shared" ca="1" si="291"/>
        <v>6.25</v>
      </c>
      <c r="N9003" s="143">
        <f ca="1">(PRODUCT($O$5:$O9003)-1)*36000/_xlfn.DAYS(L9003, $C$2)</f>
        <v>16.404174329505533</v>
      </c>
      <c r="O9003" s="149">
        <f t="shared" ca="1" si="292"/>
        <v>1.000173611111111</v>
      </c>
    </row>
    <row r="9004" spans="12:15" x14ac:dyDescent="0.25">
      <c r="L9004" s="147">
        <f ca="1"/>
        <v>54243</v>
      </c>
      <c r="M9004" s="92">
        <f t="shared" ca="1" si="291"/>
        <v>6.25</v>
      </c>
      <c r="N9004" s="143">
        <f ca="1">(PRODUCT($O$5:$O9004)-1)*36000/_xlfn.DAYS(L9004, $C$2)</f>
        <v>16.405893718407022</v>
      </c>
      <c r="O9004" s="149">
        <f t="shared" ca="1" si="292"/>
        <v>1.000173611111111</v>
      </c>
    </row>
    <row r="9005" spans="12:15" x14ac:dyDescent="0.25">
      <c r="L9005" s="147">
        <f ca="1"/>
        <v>54244</v>
      </c>
      <c r="M9005" s="92">
        <f t="shared" ca="1" si="291"/>
        <v>6.25</v>
      </c>
      <c r="N9005" s="143">
        <f ca="1">(PRODUCT($O$5:$O9005)-1)*36000/_xlfn.DAYS(L9005, $C$2)</f>
        <v>16.407613340139783</v>
      </c>
      <c r="O9005" s="149">
        <f t="shared" ca="1" si="292"/>
        <v>1.000173611111111</v>
      </c>
    </row>
    <row r="9006" spans="12:15" x14ac:dyDescent="0.25">
      <c r="L9006" s="147">
        <f ca="1"/>
        <v>54245</v>
      </c>
      <c r="M9006" s="92">
        <f t="shared" ca="1" si="291"/>
        <v>6.25</v>
      </c>
      <c r="N9006" s="143">
        <f ca="1">(PRODUCT($O$5:$O9006)-1)*36000/_xlfn.DAYS(L9006, $C$2)</f>
        <v>16.409333194732962</v>
      </c>
      <c r="O9006" s="149">
        <f t="shared" ca="1" si="292"/>
        <v>1.000173611111111</v>
      </c>
    </row>
    <row r="9007" spans="12:15" x14ac:dyDescent="0.25">
      <c r="L9007" s="147">
        <f ca="1"/>
        <v>54246</v>
      </c>
      <c r="M9007" s="92">
        <f t="shared" ca="1" si="291"/>
        <v>6.25</v>
      </c>
      <c r="N9007" s="143">
        <f ca="1">(PRODUCT($O$5:$O9007)-1)*36000/_xlfn.DAYS(L9007, $C$2)</f>
        <v>16.411053282215708</v>
      </c>
      <c r="O9007" s="149">
        <f t="shared" ca="1" si="292"/>
        <v>1.000173611111111</v>
      </c>
    </row>
    <row r="9008" spans="12:15" x14ac:dyDescent="0.25">
      <c r="L9008" s="147">
        <f ca="1"/>
        <v>54247</v>
      </c>
      <c r="M9008" s="92">
        <f t="shared" ca="1" si="291"/>
        <v>6.25</v>
      </c>
      <c r="N9008" s="143">
        <f ca="1">(PRODUCT($O$5:$O9008)-1)*36000/_xlfn.DAYS(L9008, $C$2)</f>
        <v>16.412773602617175</v>
      </c>
      <c r="O9008" s="149">
        <f t="shared" ca="1" si="292"/>
        <v>1.000173611111111</v>
      </c>
    </row>
    <row r="9009" spans="12:15" x14ac:dyDescent="0.25">
      <c r="L9009" s="147">
        <f ca="1"/>
        <v>54248</v>
      </c>
      <c r="M9009" s="92">
        <f t="shared" ca="1" si="291"/>
        <v>6.25</v>
      </c>
      <c r="N9009" s="143">
        <f ca="1">(PRODUCT($O$5:$O9009)-1)*36000/_xlfn.DAYS(L9009, $C$2)</f>
        <v>16.414494155966526</v>
      </c>
      <c r="O9009" s="149">
        <f t="shared" ca="1" si="292"/>
        <v>1.000173611111111</v>
      </c>
    </row>
    <row r="9010" spans="12:15" x14ac:dyDescent="0.25">
      <c r="L9010" s="147">
        <f ca="1"/>
        <v>54249</v>
      </c>
      <c r="M9010" s="92">
        <f t="shared" ca="1" si="291"/>
        <v>6.25</v>
      </c>
      <c r="N9010" s="143">
        <f ca="1">(PRODUCT($O$5:$O9010)-1)*36000/_xlfn.DAYS(L9010, $C$2)</f>
        <v>16.416214942292928</v>
      </c>
      <c r="O9010" s="149">
        <f t="shared" ca="1" si="292"/>
        <v>1.000173611111111</v>
      </c>
    </row>
    <row r="9011" spans="12:15" x14ac:dyDescent="0.25">
      <c r="L9011" s="147">
        <f ca="1"/>
        <v>54250</v>
      </c>
      <c r="M9011" s="92">
        <f t="shared" ca="1" si="291"/>
        <v>6.25</v>
      </c>
      <c r="N9011" s="143">
        <f ca="1">(PRODUCT($O$5:$O9011)-1)*36000/_xlfn.DAYS(L9011, $C$2)</f>
        <v>16.417935961625549</v>
      </c>
      <c r="O9011" s="149">
        <f t="shared" ca="1" si="292"/>
        <v>1.000173611111111</v>
      </c>
    </row>
    <row r="9012" spans="12:15" x14ac:dyDescent="0.25">
      <c r="L9012" s="147">
        <f ca="1"/>
        <v>54251</v>
      </c>
      <c r="M9012" s="92">
        <f t="shared" ca="1" si="291"/>
        <v>6.25</v>
      </c>
      <c r="N9012" s="143">
        <f ca="1">(PRODUCT($O$5:$O9012)-1)*36000/_xlfn.DAYS(L9012, $C$2)</f>
        <v>16.41965721399357</v>
      </c>
      <c r="O9012" s="149">
        <f t="shared" ca="1" si="292"/>
        <v>1.000173611111111</v>
      </c>
    </row>
    <row r="9013" spans="12:15" x14ac:dyDescent="0.25">
      <c r="L9013" s="147">
        <f ca="1"/>
        <v>54252</v>
      </c>
      <c r="M9013" s="92">
        <f t="shared" ca="1" si="291"/>
        <v>6.25</v>
      </c>
      <c r="N9013" s="143">
        <f ca="1">(PRODUCT($O$5:$O9013)-1)*36000/_xlfn.DAYS(L9013, $C$2)</f>
        <v>16.421378699426171</v>
      </c>
      <c r="O9013" s="149">
        <f t="shared" ca="1" si="292"/>
        <v>1.000173611111111</v>
      </c>
    </row>
    <row r="9014" spans="12:15" x14ac:dyDescent="0.25">
      <c r="L9014" s="147">
        <f ca="1"/>
        <v>54253</v>
      </c>
      <c r="M9014" s="92">
        <f t="shared" ca="1" si="291"/>
        <v>6.25</v>
      </c>
      <c r="N9014" s="143">
        <f ca="1">(PRODUCT($O$5:$O9014)-1)*36000/_xlfn.DAYS(L9014, $C$2)</f>
        <v>16.423100417952547</v>
      </c>
      <c r="O9014" s="149">
        <f t="shared" ca="1" si="292"/>
        <v>1.000173611111111</v>
      </c>
    </row>
    <row r="9015" spans="12:15" x14ac:dyDescent="0.25">
      <c r="L9015" s="147">
        <f ca="1"/>
        <v>54254</v>
      </c>
      <c r="M9015" s="92">
        <f t="shared" ca="1" si="291"/>
        <v>6.25</v>
      </c>
      <c r="N9015" s="143">
        <f ca="1">(PRODUCT($O$5:$O9015)-1)*36000/_xlfn.DAYS(L9015, $C$2)</f>
        <v>16.424822369601884</v>
      </c>
      <c r="O9015" s="149">
        <f t="shared" ca="1" si="292"/>
        <v>1.000173611111111</v>
      </c>
    </row>
    <row r="9016" spans="12:15" x14ac:dyDescent="0.25">
      <c r="L9016" s="147">
        <f ca="1"/>
        <v>54255</v>
      </c>
      <c r="M9016" s="92">
        <f t="shared" ca="1" si="291"/>
        <v>6.25</v>
      </c>
      <c r="N9016" s="143">
        <f ca="1">(PRODUCT($O$5:$O9016)-1)*36000/_xlfn.DAYS(L9016, $C$2)</f>
        <v>16.426544554403389</v>
      </c>
      <c r="O9016" s="149">
        <f t="shared" ca="1" si="292"/>
        <v>1.000173611111111</v>
      </c>
    </row>
    <row r="9017" spans="12:15" x14ac:dyDescent="0.25">
      <c r="L9017" s="147">
        <f ca="1"/>
        <v>54256</v>
      </c>
      <c r="M9017" s="92">
        <f t="shared" ca="1" si="291"/>
        <v>6.25</v>
      </c>
      <c r="N9017" s="143">
        <f ca="1">(PRODUCT($O$5:$O9017)-1)*36000/_xlfn.DAYS(L9017, $C$2)</f>
        <v>16.428266972386261</v>
      </c>
      <c r="O9017" s="149">
        <f t="shared" ca="1" si="292"/>
        <v>1.000173611111111</v>
      </c>
    </row>
    <row r="9018" spans="12:15" x14ac:dyDescent="0.25">
      <c r="L9018" s="147">
        <f ca="1"/>
        <v>54257</v>
      </c>
      <c r="M9018" s="92">
        <f t="shared" ca="1" si="291"/>
        <v>6.25</v>
      </c>
      <c r="N9018" s="143">
        <f ca="1">(PRODUCT($O$5:$O9018)-1)*36000/_xlfn.DAYS(L9018, $C$2)</f>
        <v>16.429989623579722</v>
      </c>
      <c r="O9018" s="149">
        <f t="shared" ca="1" si="292"/>
        <v>1.000173611111111</v>
      </c>
    </row>
    <row r="9019" spans="12:15" x14ac:dyDescent="0.25">
      <c r="L9019" s="147">
        <f ca="1"/>
        <v>54258</v>
      </c>
      <c r="M9019" s="92">
        <f t="shared" ca="1" si="291"/>
        <v>6.25</v>
      </c>
      <c r="N9019" s="143">
        <f ca="1">(PRODUCT($O$5:$O9019)-1)*36000/_xlfn.DAYS(L9019, $C$2)</f>
        <v>16.431712508012978</v>
      </c>
      <c r="O9019" s="149">
        <f t="shared" ca="1" si="292"/>
        <v>1.000173611111111</v>
      </c>
    </row>
    <row r="9020" spans="12:15" x14ac:dyDescent="0.25">
      <c r="L9020" s="147">
        <f ca="1"/>
        <v>54259</v>
      </c>
      <c r="M9020" s="92">
        <f t="shared" ca="1" si="291"/>
        <v>6.25</v>
      </c>
      <c r="N9020" s="143">
        <f ca="1">(PRODUCT($O$5:$O9020)-1)*36000/_xlfn.DAYS(L9020, $C$2)</f>
        <v>16.433435625715255</v>
      </c>
      <c r="O9020" s="149">
        <f t="shared" ca="1" si="292"/>
        <v>1.000173611111111</v>
      </c>
    </row>
    <row r="9021" spans="12:15" x14ac:dyDescent="0.25">
      <c r="L9021" s="147">
        <f ca="1"/>
        <v>54260</v>
      </c>
      <c r="M9021" s="92">
        <f t="shared" ca="1" si="291"/>
        <v>6.25</v>
      </c>
      <c r="N9021" s="143">
        <f ca="1">(PRODUCT($O$5:$O9021)-1)*36000/_xlfn.DAYS(L9021, $C$2)</f>
        <v>16.43515897671578</v>
      </c>
      <c r="O9021" s="149">
        <f t="shared" ca="1" si="292"/>
        <v>1.000173611111111</v>
      </c>
    </row>
    <row r="9022" spans="12:15" x14ac:dyDescent="0.25">
      <c r="L9022" s="147">
        <f ca="1"/>
        <v>54261</v>
      </c>
      <c r="M9022" s="92">
        <f t="shared" ca="1" si="291"/>
        <v>6.25</v>
      </c>
      <c r="N9022" s="143">
        <f ca="1">(PRODUCT($O$5:$O9022)-1)*36000/_xlfn.DAYS(L9022, $C$2)</f>
        <v>16.436882561043792</v>
      </c>
      <c r="O9022" s="149">
        <f t="shared" ca="1" si="292"/>
        <v>1.000173611111111</v>
      </c>
    </row>
    <row r="9023" spans="12:15" x14ac:dyDescent="0.25">
      <c r="L9023" s="147">
        <f ca="1"/>
        <v>54262</v>
      </c>
      <c r="M9023" s="92">
        <f t="shared" ca="1" si="291"/>
        <v>6.25</v>
      </c>
      <c r="N9023" s="143">
        <f ca="1">(PRODUCT($O$5:$O9023)-1)*36000/_xlfn.DAYS(L9023, $C$2)</f>
        <v>16.438606378728519</v>
      </c>
      <c r="O9023" s="149">
        <f t="shared" ca="1" si="292"/>
        <v>1.000173611111111</v>
      </c>
    </row>
    <row r="9024" spans="12:15" x14ac:dyDescent="0.25">
      <c r="L9024" s="147">
        <f ca="1"/>
        <v>54263</v>
      </c>
      <c r="M9024" s="92">
        <f t="shared" ca="1" si="291"/>
        <v>6.25</v>
      </c>
      <c r="N9024" s="143">
        <f ca="1">(PRODUCT($O$5:$O9024)-1)*36000/_xlfn.DAYS(L9024, $C$2)</f>
        <v>16.440330429799214</v>
      </c>
      <c r="O9024" s="149">
        <f t="shared" ca="1" si="292"/>
        <v>1.000173611111111</v>
      </c>
    </row>
    <row r="9025" spans="12:15" x14ac:dyDescent="0.25">
      <c r="L9025" s="147">
        <f ca="1"/>
        <v>54264</v>
      </c>
      <c r="M9025" s="92">
        <f t="shared" ca="1" si="291"/>
        <v>6.25</v>
      </c>
      <c r="N9025" s="143">
        <f ca="1">(PRODUCT($O$5:$O9025)-1)*36000/_xlfn.DAYS(L9025, $C$2)</f>
        <v>16.442054714285128</v>
      </c>
      <c r="O9025" s="149">
        <f t="shared" ca="1" si="292"/>
        <v>1.000173611111111</v>
      </c>
    </row>
    <row r="9026" spans="12:15" x14ac:dyDescent="0.25">
      <c r="L9026" s="147">
        <f ca="1"/>
        <v>54265</v>
      </c>
      <c r="M9026" s="92">
        <f t="shared" ca="1" si="291"/>
        <v>6.25</v>
      </c>
      <c r="N9026" s="143">
        <f ca="1">(PRODUCT($O$5:$O9026)-1)*36000/_xlfn.DAYS(L9026, $C$2)</f>
        <v>16.443779232215508</v>
      </c>
      <c r="O9026" s="149">
        <f t="shared" ca="1" si="292"/>
        <v>1.000173611111111</v>
      </c>
    </row>
    <row r="9027" spans="12:15" x14ac:dyDescent="0.25">
      <c r="L9027" s="147">
        <f ca="1"/>
        <v>54266</v>
      </c>
      <c r="M9027" s="92">
        <f t="shared" ca="1" si="291"/>
        <v>6.25</v>
      </c>
      <c r="N9027" s="143">
        <f ca="1">(PRODUCT($O$5:$O9027)-1)*36000/_xlfn.DAYS(L9027, $C$2)</f>
        <v>16.445503983619624</v>
      </c>
      <c r="O9027" s="149">
        <f t="shared" ca="1" si="292"/>
        <v>1.000173611111111</v>
      </c>
    </row>
    <row r="9028" spans="12:15" x14ac:dyDescent="0.25">
      <c r="L9028" s="147">
        <f ca="1"/>
        <v>54267</v>
      </c>
      <c r="M9028" s="92">
        <f t="shared" ca="1" si="291"/>
        <v>6.25</v>
      </c>
      <c r="N9028" s="143">
        <f ca="1">(PRODUCT($O$5:$O9028)-1)*36000/_xlfn.DAYS(L9028, $C$2)</f>
        <v>16.447228968526744</v>
      </c>
      <c r="O9028" s="149">
        <f t="shared" ca="1" si="292"/>
        <v>1.000173611111111</v>
      </c>
    </row>
    <row r="9029" spans="12:15" x14ac:dyDescent="0.25">
      <c r="L9029" s="147">
        <f ca="1"/>
        <v>54268</v>
      </c>
      <c r="M9029" s="92">
        <f t="shared" ref="M9029:M9092" ca="1" si="293">IFERROR(INDEX($E$27:$H$47, MATCH(L9029, $F$27:$F$47, 0), 4), IF(ISNUMBER(M9028), M9028, $C$5))</f>
        <v>6.25</v>
      </c>
      <c r="N9029" s="143">
        <f ca="1">(PRODUCT($O$5:$O9029)-1)*36000/_xlfn.DAYS(L9029, $C$2)</f>
        <v>16.448954186966134</v>
      </c>
      <c r="O9029" s="149">
        <f t="shared" ca="1" si="292"/>
        <v>1.000173611111111</v>
      </c>
    </row>
    <row r="9030" spans="12:15" x14ac:dyDescent="0.25">
      <c r="L9030" s="147">
        <f ca="1"/>
        <v>54269</v>
      </c>
      <c r="M9030" s="92">
        <f t="shared" ca="1" si="293"/>
        <v>6.25</v>
      </c>
      <c r="N9030" s="143">
        <f ca="1">(PRODUCT($O$5:$O9030)-1)*36000/_xlfn.DAYS(L9030, $C$2)</f>
        <v>16.450679638967074</v>
      </c>
      <c r="O9030" s="149">
        <f t="shared" ref="O9030:O9093" ca="1" si="294">1+M9030*IFERROR(_xlfn.DAYS(L9030, L9029), _xlfn.DAYS(L9030, $C$2))/36000</f>
        <v>1.000173611111111</v>
      </c>
    </row>
    <row r="9031" spans="12:15" x14ac:dyDescent="0.25">
      <c r="L9031" s="147">
        <f ca="1"/>
        <v>54270</v>
      </c>
      <c r="M9031" s="92">
        <f t="shared" ca="1" si="293"/>
        <v>6.25</v>
      </c>
      <c r="N9031" s="143">
        <f ca="1">(PRODUCT($O$5:$O9031)-1)*36000/_xlfn.DAYS(L9031, $C$2)</f>
        <v>16.45240532455885</v>
      </c>
      <c r="O9031" s="149">
        <f t="shared" ca="1" si="294"/>
        <v>1.000173611111111</v>
      </c>
    </row>
    <row r="9032" spans="12:15" x14ac:dyDescent="0.25">
      <c r="L9032" s="147">
        <f ca="1"/>
        <v>54271</v>
      </c>
      <c r="M9032" s="92">
        <f t="shared" ca="1" si="293"/>
        <v>6.25</v>
      </c>
      <c r="N9032" s="143">
        <f ca="1">(PRODUCT($O$5:$O9032)-1)*36000/_xlfn.DAYS(L9032, $C$2)</f>
        <v>16.454131243770746</v>
      </c>
      <c r="O9032" s="149">
        <f t="shared" ca="1" si="294"/>
        <v>1.000173611111111</v>
      </c>
    </row>
    <row r="9033" spans="12:15" x14ac:dyDescent="0.25">
      <c r="L9033" s="147">
        <f ca="1"/>
        <v>54272</v>
      </c>
      <c r="M9033" s="92">
        <f t="shared" ca="1" si="293"/>
        <v>6.25</v>
      </c>
      <c r="N9033" s="143">
        <f ca="1">(PRODUCT($O$5:$O9033)-1)*36000/_xlfn.DAYS(L9033, $C$2)</f>
        <v>16.455857396632062</v>
      </c>
      <c r="O9033" s="149">
        <f t="shared" ca="1" si="294"/>
        <v>1.000173611111111</v>
      </c>
    </row>
    <row r="9034" spans="12:15" x14ac:dyDescent="0.25">
      <c r="L9034" s="147">
        <f ca="1"/>
        <v>54273</v>
      </c>
      <c r="M9034" s="92">
        <f t="shared" ca="1" si="293"/>
        <v>6.25</v>
      </c>
      <c r="N9034" s="143">
        <f ca="1">(PRODUCT($O$5:$O9034)-1)*36000/_xlfn.DAYS(L9034, $C$2)</f>
        <v>16.457583783172097</v>
      </c>
      <c r="O9034" s="149">
        <f t="shared" ca="1" si="294"/>
        <v>1.000173611111111</v>
      </c>
    </row>
    <row r="9035" spans="12:15" x14ac:dyDescent="0.25">
      <c r="L9035" s="147">
        <f ca="1"/>
        <v>54274</v>
      </c>
      <c r="M9035" s="92">
        <f t="shared" ca="1" si="293"/>
        <v>6.25</v>
      </c>
      <c r="N9035" s="143">
        <f ca="1">(PRODUCT($O$5:$O9035)-1)*36000/_xlfn.DAYS(L9035, $C$2)</f>
        <v>16.459310403420155</v>
      </c>
      <c r="O9035" s="149">
        <f t="shared" ca="1" si="294"/>
        <v>1.000173611111111</v>
      </c>
    </row>
    <row r="9036" spans="12:15" x14ac:dyDescent="0.25">
      <c r="L9036" s="147">
        <f ca="1"/>
        <v>54275</v>
      </c>
      <c r="M9036" s="92">
        <f t="shared" ca="1" si="293"/>
        <v>6.25</v>
      </c>
      <c r="N9036" s="143">
        <f ca="1">(PRODUCT($O$5:$O9036)-1)*36000/_xlfn.DAYS(L9036, $C$2)</f>
        <v>16.461037257405554</v>
      </c>
      <c r="O9036" s="149">
        <f t="shared" ca="1" si="294"/>
        <v>1.000173611111111</v>
      </c>
    </row>
    <row r="9037" spans="12:15" x14ac:dyDescent="0.25">
      <c r="L9037" s="147">
        <f ca="1"/>
        <v>54276</v>
      </c>
      <c r="M9037" s="92">
        <f t="shared" ca="1" si="293"/>
        <v>6.25</v>
      </c>
      <c r="N9037" s="143">
        <f ca="1">(PRODUCT($O$5:$O9037)-1)*36000/_xlfn.DAYS(L9037, $C$2)</f>
        <v>16.462764345157602</v>
      </c>
      <c r="O9037" s="149">
        <f t="shared" ca="1" si="294"/>
        <v>1.000173611111111</v>
      </c>
    </row>
    <row r="9038" spans="12:15" x14ac:dyDescent="0.25">
      <c r="L9038" s="147">
        <f ca="1"/>
        <v>54277</v>
      </c>
      <c r="M9038" s="92">
        <f t="shared" ca="1" si="293"/>
        <v>6.25</v>
      </c>
      <c r="N9038" s="143">
        <f ca="1">(PRODUCT($O$5:$O9038)-1)*36000/_xlfn.DAYS(L9038, $C$2)</f>
        <v>16.464491666705626</v>
      </c>
      <c r="O9038" s="149">
        <f t="shared" ca="1" si="294"/>
        <v>1.000173611111111</v>
      </c>
    </row>
    <row r="9039" spans="12:15" x14ac:dyDescent="0.25">
      <c r="L9039" s="147">
        <f ca="1"/>
        <v>54278</v>
      </c>
      <c r="M9039" s="92">
        <f t="shared" ca="1" si="293"/>
        <v>6.25</v>
      </c>
      <c r="N9039" s="143">
        <f ca="1">(PRODUCT($O$5:$O9039)-1)*36000/_xlfn.DAYS(L9039, $C$2)</f>
        <v>16.466219222078958</v>
      </c>
      <c r="O9039" s="149">
        <f t="shared" ca="1" si="294"/>
        <v>1.000173611111111</v>
      </c>
    </row>
    <row r="9040" spans="12:15" x14ac:dyDescent="0.25">
      <c r="L9040" s="147">
        <f ca="1"/>
        <v>54279</v>
      </c>
      <c r="M9040" s="92">
        <f t="shared" ca="1" si="293"/>
        <v>6.25</v>
      </c>
      <c r="N9040" s="143">
        <f ca="1">(PRODUCT($O$5:$O9040)-1)*36000/_xlfn.DAYS(L9040, $C$2)</f>
        <v>16.467947011306926</v>
      </c>
      <c r="O9040" s="149">
        <f t="shared" ca="1" si="294"/>
        <v>1.000173611111111</v>
      </c>
    </row>
    <row r="9041" spans="12:15" x14ac:dyDescent="0.25">
      <c r="L9041" s="147">
        <f ca="1"/>
        <v>54280</v>
      </c>
      <c r="M9041" s="92">
        <f t="shared" ca="1" si="293"/>
        <v>6.25</v>
      </c>
      <c r="N9041" s="143">
        <f ca="1">(PRODUCT($O$5:$O9041)-1)*36000/_xlfn.DAYS(L9041, $C$2)</f>
        <v>16.46967503441887</v>
      </c>
      <c r="O9041" s="149">
        <f t="shared" ca="1" si="294"/>
        <v>1.000173611111111</v>
      </c>
    </row>
    <row r="9042" spans="12:15" x14ac:dyDescent="0.25">
      <c r="L9042" s="147">
        <f ca="1"/>
        <v>54281</v>
      </c>
      <c r="M9042" s="92">
        <f t="shared" ca="1" si="293"/>
        <v>6.25</v>
      </c>
      <c r="N9042" s="143">
        <f ca="1">(PRODUCT($O$5:$O9042)-1)*36000/_xlfn.DAYS(L9042, $C$2)</f>
        <v>16.471403291444144</v>
      </c>
      <c r="O9042" s="149">
        <f t="shared" ca="1" si="294"/>
        <v>1.000173611111111</v>
      </c>
    </row>
    <row r="9043" spans="12:15" x14ac:dyDescent="0.25">
      <c r="L9043" s="147">
        <f ca="1"/>
        <v>54282</v>
      </c>
      <c r="M9043" s="92">
        <f t="shared" ca="1" si="293"/>
        <v>6.25</v>
      </c>
      <c r="N9043" s="143">
        <f ca="1">(PRODUCT($O$5:$O9043)-1)*36000/_xlfn.DAYS(L9043, $C$2)</f>
        <v>16.473131782412089</v>
      </c>
      <c r="O9043" s="149">
        <f t="shared" ca="1" si="294"/>
        <v>1.000173611111111</v>
      </c>
    </row>
    <row r="9044" spans="12:15" x14ac:dyDescent="0.25">
      <c r="L9044" s="147">
        <f ca="1"/>
        <v>54283</v>
      </c>
      <c r="M9044" s="92">
        <f t="shared" ca="1" si="293"/>
        <v>6.25</v>
      </c>
      <c r="N9044" s="143">
        <f ca="1">(PRODUCT($O$5:$O9044)-1)*36000/_xlfn.DAYS(L9044, $C$2)</f>
        <v>16.474860507352066</v>
      </c>
      <c r="O9044" s="149">
        <f t="shared" ca="1" si="294"/>
        <v>1.000173611111111</v>
      </c>
    </row>
    <row r="9045" spans="12:15" x14ac:dyDescent="0.25">
      <c r="L9045" s="147">
        <f ca="1"/>
        <v>54284</v>
      </c>
      <c r="M9045" s="92">
        <f t="shared" ca="1" si="293"/>
        <v>6.25</v>
      </c>
      <c r="N9045" s="143">
        <f ca="1">(PRODUCT($O$5:$O9045)-1)*36000/_xlfn.DAYS(L9045, $C$2)</f>
        <v>16.476589466293429</v>
      </c>
      <c r="O9045" s="149">
        <f t="shared" ca="1" si="294"/>
        <v>1.000173611111111</v>
      </c>
    </row>
    <row r="9046" spans="12:15" x14ac:dyDescent="0.25">
      <c r="L9046" s="147">
        <f ca="1"/>
        <v>54285</v>
      </c>
      <c r="M9046" s="92">
        <f t="shared" ca="1" si="293"/>
        <v>6.25</v>
      </c>
      <c r="N9046" s="143">
        <f ca="1">(PRODUCT($O$5:$O9046)-1)*36000/_xlfn.DAYS(L9046, $C$2)</f>
        <v>16.478318659265557</v>
      </c>
      <c r="O9046" s="149">
        <f t="shared" ca="1" si="294"/>
        <v>1.000173611111111</v>
      </c>
    </row>
    <row r="9047" spans="12:15" x14ac:dyDescent="0.25">
      <c r="L9047" s="147">
        <f ca="1"/>
        <v>54286</v>
      </c>
      <c r="M9047" s="92">
        <f t="shared" ca="1" si="293"/>
        <v>6.25</v>
      </c>
      <c r="N9047" s="143">
        <f ca="1">(PRODUCT($O$5:$O9047)-1)*36000/_xlfn.DAYS(L9047, $C$2)</f>
        <v>16.480048086297817</v>
      </c>
      <c r="O9047" s="149">
        <f t="shared" ca="1" si="294"/>
        <v>1.000173611111111</v>
      </c>
    </row>
    <row r="9048" spans="12:15" x14ac:dyDescent="0.25">
      <c r="L9048" s="147">
        <f ca="1"/>
        <v>54287</v>
      </c>
      <c r="M9048" s="92">
        <f t="shared" ca="1" si="293"/>
        <v>6.25</v>
      </c>
      <c r="N9048" s="143">
        <f ca="1">(PRODUCT($O$5:$O9048)-1)*36000/_xlfn.DAYS(L9048, $C$2)</f>
        <v>16.481777747419585</v>
      </c>
      <c r="O9048" s="149">
        <f t="shared" ca="1" si="294"/>
        <v>1.000173611111111</v>
      </c>
    </row>
    <row r="9049" spans="12:15" x14ac:dyDescent="0.25">
      <c r="L9049" s="147">
        <f ca="1"/>
        <v>54288</v>
      </c>
      <c r="M9049" s="92">
        <f t="shared" ca="1" si="293"/>
        <v>6.25</v>
      </c>
      <c r="N9049" s="143">
        <f ca="1">(PRODUCT($O$5:$O9049)-1)*36000/_xlfn.DAYS(L9049, $C$2)</f>
        <v>16.483507642660246</v>
      </c>
      <c r="O9049" s="149">
        <f t="shared" ca="1" si="294"/>
        <v>1.000173611111111</v>
      </c>
    </row>
    <row r="9050" spans="12:15" x14ac:dyDescent="0.25">
      <c r="L9050" s="147">
        <f ca="1"/>
        <v>54289</v>
      </c>
      <c r="M9050" s="92">
        <f t="shared" ca="1" si="293"/>
        <v>6.25</v>
      </c>
      <c r="N9050" s="143">
        <f ca="1">(PRODUCT($O$5:$O9050)-1)*36000/_xlfn.DAYS(L9050, $C$2)</f>
        <v>16.485237772049196</v>
      </c>
      <c r="O9050" s="149">
        <f t="shared" ca="1" si="294"/>
        <v>1.000173611111111</v>
      </c>
    </row>
    <row r="9051" spans="12:15" x14ac:dyDescent="0.25">
      <c r="L9051" s="147">
        <f ca="1"/>
        <v>54290</v>
      </c>
      <c r="M9051" s="92">
        <f t="shared" ca="1" si="293"/>
        <v>6.25</v>
      </c>
      <c r="N9051" s="143">
        <f ca="1">(PRODUCT($O$5:$O9051)-1)*36000/_xlfn.DAYS(L9051, $C$2)</f>
        <v>16.486968135615825</v>
      </c>
      <c r="O9051" s="149">
        <f t="shared" ca="1" si="294"/>
        <v>1.000173611111111</v>
      </c>
    </row>
    <row r="9052" spans="12:15" x14ac:dyDescent="0.25">
      <c r="L9052" s="147">
        <f ca="1"/>
        <v>54291</v>
      </c>
      <c r="M9052" s="92">
        <f t="shared" ca="1" si="293"/>
        <v>6.25</v>
      </c>
      <c r="N9052" s="143">
        <f ca="1">(PRODUCT($O$5:$O9052)-1)*36000/_xlfn.DAYS(L9052, $C$2)</f>
        <v>16.488698733389537</v>
      </c>
      <c r="O9052" s="149">
        <f t="shared" ca="1" si="294"/>
        <v>1.000173611111111</v>
      </c>
    </row>
    <row r="9053" spans="12:15" x14ac:dyDescent="0.25">
      <c r="L9053" s="147">
        <f ca="1"/>
        <v>54292</v>
      </c>
      <c r="M9053" s="92">
        <f t="shared" ca="1" si="293"/>
        <v>6.25</v>
      </c>
      <c r="N9053" s="143">
        <f ca="1">(PRODUCT($O$5:$O9053)-1)*36000/_xlfn.DAYS(L9053, $C$2)</f>
        <v>16.490429565399737</v>
      </c>
      <c r="O9053" s="149">
        <f t="shared" ca="1" si="294"/>
        <v>1.000173611111111</v>
      </c>
    </row>
    <row r="9054" spans="12:15" x14ac:dyDescent="0.25">
      <c r="L9054" s="147">
        <f ca="1"/>
        <v>54293</v>
      </c>
      <c r="M9054" s="92">
        <f t="shared" ca="1" si="293"/>
        <v>6.25</v>
      </c>
      <c r="N9054" s="143">
        <f ca="1">(PRODUCT($O$5:$O9054)-1)*36000/_xlfn.DAYS(L9054, $C$2)</f>
        <v>16.492160631675834</v>
      </c>
      <c r="O9054" s="149">
        <f t="shared" ca="1" si="294"/>
        <v>1.000173611111111</v>
      </c>
    </row>
    <row r="9055" spans="12:15" x14ac:dyDescent="0.25">
      <c r="L9055" s="147">
        <f ca="1"/>
        <v>54294</v>
      </c>
      <c r="M9055" s="92">
        <f t="shared" ca="1" si="293"/>
        <v>6.25</v>
      </c>
      <c r="N9055" s="143">
        <f ca="1">(PRODUCT($O$5:$O9055)-1)*36000/_xlfn.DAYS(L9055, $C$2)</f>
        <v>16.493891932247251</v>
      </c>
      <c r="O9055" s="149">
        <f t="shared" ca="1" si="294"/>
        <v>1.000173611111111</v>
      </c>
    </row>
    <row r="9056" spans="12:15" x14ac:dyDescent="0.25">
      <c r="L9056" s="147">
        <f ca="1"/>
        <v>54295</v>
      </c>
      <c r="M9056" s="92">
        <f t="shared" ca="1" si="293"/>
        <v>6.25</v>
      </c>
      <c r="N9056" s="143">
        <f ca="1">(PRODUCT($O$5:$O9056)-1)*36000/_xlfn.DAYS(L9056, $C$2)</f>
        <v>16.49562346714341</v>
      </c>
      <c r="O9056" s="149">
        <f t="shared" ca="1" si="294"/>
        <v>1.000173611111111</v>
      </c>
    </row>
    <row r="9057" spans="12:15" x14ac:dyDescent="0.25">
      <c r="L9057" s="147">
        <f ca="1"/>
        <v>54296</v>
      </c>
      <c r="M9057" s="92">
        <f t="shared" ca="1" si="293"/>
        <v>6.25</v>
      </c>
      <c r="N9057" s="143">
        <f ca="1">(PRODUCT($O$5:$O9057)-1)*36000/_xlfn.DAYS(L9057, $C$2)</f>
        <v>16.497355236393737</v>
      </c>
      <c r="O9057" s="149">
        <f t="shared" ca="1" si="294"/>
        <v>1.000173611111111</v>
      </c>
    </row>
    <row r="9058" spans="12:15" x14ac:dyDescent="0.25">
      <c r="L9058" s="147">
        <f ca="1"/>
        <v>54297</v>
      </c>
      <c r="M9058" s="92">
        <f t="shared" ca="1" si="293"/>
        <v>6.25</v>
      </c>
      <c r="N9058" s="143">
        <f ca="1">(PRODUCT($O$5:$O9058)-1)*36000/_xlfn.DAYS(L9058, $C$2)</f>
        <v>16.49908724002767</v>
      </c>
      <c r="O9058" s="149">
        <f t="shared" ca="1" si="294"/>
        <v>1.000173611111111</v>
      </c>
    </row>
    <row r="9059" spans="12:15" x14ac:dyDescent="0.25">
      <c r="L9059" s="147">
        <f ca="1"/>
        <v>54298</v>
      </c>
      <c r="M9059" s="92">
        <f t="shared" ca="1" si="293"/>
        <v>6.25</v>
      </c>
      <c r="N9059" s="143">
        <f ca="1">(PRODUCT($O$5:$O9059)-1)*36000/_xlfn.DAYS(L9059, $C$2)</f>
        <v>16.500819478074643</v>
      </c>
      <c r="O9059" s="149">
        <f t="shared" ca="1" si="294"/>
        <v>1.000173611111111</v>
      </c>
    </row>
    <row r="9060" spans="12:15" x14ac:dyDescent="0.25">
      <c r="L9060" s="147">
        <f ca="1"/>
        <v>54299</v>
      </c>
      <c r="M9060" s="92">
        <f t="shared" ca="1" si="293"/>
        <v>6.25</v>
      </c>
      <c r="N9060" s="143">
        <f ca="1">(PRODUCT($O$5:$O9060)-1)*36000/_xlfn.DAYS(L9060, $C$2)</f>
        <v>16.502551950564111</v>
      </c>
      <c r="O9060" s="149">
        <f t="shared" ca="1" si="294"/>
        <v>1.000173611111111</v>
      </c>
    </row>
    <row r="9061" spans="12:15" x14ac:dyDescent="0.25">
      <c r="L9061" s="147">
        <f ca="1"/>
        <v>54300</v>
      </c>
      <c r="M9061" s="92">
        <f t="shared" ca="1" si="293"/>
        <v>6.25</v>
      </c>
      <c r="N9061" s="143">
        <f ca="1">(PRODUCT($O$5:$O9061)-1)*36000/_xlfn.DAYS(L9061, $C$2)</f>
        <v>16.50428465752552</v>
      </c>
      <c r="O9061" s="149">
        <f t="shared" ca="1" si="294"/>
        <v>1.000173611111111</v>
      </c>
    </row>
    <row r="9062" spans="12:15" x14ac:dyDescent="0.25">
      <c r="L9062" s="147">
        <f ca="1"/>
        <v>54301</v>
      </c>
      <c r="M9062" s="92">
        <f t="shared" ca="1" si="293"/>
        <v>6.25</v>
      </c>
      <c r="N9062" s="143">
        <f ca="1">(PRODUCT($O$5:$O9062)-1)*36000/_xlfn.DAYS(L9062, $C$2)</f>
        <v>16.506017598988326</v>
      </c>
      <c r="O9062" s="149">
        <f t="shared" ca="1" si="294"/>
        <v>1.000173611111111</v>
      </c>
    </row>
    <row r="9063" spans="12:15" x14ac:dyDescent="0.25">
      <c r="L9063" s="147">
        <f ca="1"/>
        <v>54302</v>
      </c>
      <c r="M9063" s="92">
        <f t="shared" ca="1" si="293"/>
        <v>6.25</v>
      </c>
      <c r="N9063" s="143">
        <f ca="1">(PRODUCT($O$5:$O9063)-1)*36000/_xlfn.DAYS(L9063, $C$2)</f>
        <v>16.507750774981996</v>
      </c>
      <c r="O9063" s="149">
        <f t="shared" ca="1" si="294"/>
        <v>1.000173611111111</v>
      </c>
    </row>
    <row r="9064" spans="12:15" x14ac:dyDescent="0.25">
      <c r="L9064" s="147">
        <f ca="1"/>
        <v>54303</v>
      </c>
      <c r="M9064" s="92">
        <f t="shared" ca="1" si="293"/>
        <v>6.25</v>
      </c>
      <c r="N9064" s="143">
        <f ca="1">(PRODUCT($O$5:$O9064)-1)*36000/_xlfn.DAYS(L9064, $C$2)</f>
        <v>16.509484185535996</v>
      </c>
      <c r="O9064" s="149">
        <f t="shared" ca="1" si="294"/>
        <v>1.000173611111111</v>
      </c>
    </row>
    <row r="9065" spans="12:15" x14ac:dyDescent="0.25">
      <c r="L9065" s="147">
        <f ca="1"/>
        <v>54304</v>
      </c>
      <c r="M9065" s="92">
        <f t="shared" ca="1" si="293"/>
        <v>6.25</v>
      </c>
      <c r="N9065" s="143">
        <f ca="1">(PRODUCT($O$5:$O9065)-1)*36000/_xlfn.DAYS(L9065, $C$2)</f>
        <v>16.51121783067979</v>
      </c>
      <c r="O9065" s="149">
        <f t="shared" ca="1" si="294"/>
        <v>1.000173611111111</v>
      </c>
    </row>
    <row r="9066" spans="12:15" x14ac:dyDescent="0.25">
      <c r="L9066" s="147">
        <f ca="1"/>
        <v>54305</v>
      </c>
      <c r="M9066" s="92">
        <f t="shared" ca="1" si="293"/>
        <v>6.25</v>
      </c>
      <c r="N9066" s="143">
        <f ca="1">(PRODUCT($O$5:$O9066)-1)*36000/_xlfn.DAYS(L9066, $C$2)</f>
        <v>16.512951710442866</v>
      </c>
      <c r="O9066" s="149">
        <f t="shared" ca="1" si="294"/>
        <v>1.000173611111111</v>
      </c>
    </row>
    <row r="9067" spans="12:15" x14ac:dyDescent="0.25">
      <c r="L9067" s="147">
        <f ca="1"/>
        <v>54306</v>
      </c>
      <c r="M9067" s="92">
        <f t="shared" ca="1" si="293"/>
        <v>6.25</v>
      </c>
      <c r="N9067" s="143">
        <f ca="1">(PRODUCT($O$5:$O9067)-1)*36000/_xlfn.DAYS(L9067, $C$2)</f>
        <v>16.514685824854713</v>
      </c>
      <c r="O9067" s="149">
        <f t="shared" ca="1" si="294"/>
        <v>1.000173611111111</v>
      </c>
    </row>
    <row r="9068" spans="12:15" x14ac:dyDescent="0.25">
      <c r="L9068" s="147">
        <f ca="1"/>
        <v>54307</v>
      </c>
      <c r="M9068" s="92">
        <f t="shared" ca="1" si="293"/>
        <v>6.25</v>
      </c>
      <c r="N9068" s="143">
        <f ca="1">(PRODUCT($O$5:$O9068)-1)*36000/_xlfn.DAYS(L9068, $C$2)</f>
        <v>16.516420173944812</v>
      </c>
      <c r="O9068" s="149">
        <f t="shared" ca="1" si="294"/>
        <v>1.000173611111111</v>
      </c>
    </row>
    <row r="9069" spans="12:15" x14ac:dyDescent="0.25">
      <c r="L9069" s="147">
        <f ca="1"/>
        <v>54308</v>
      </c>
      <c r="M9069" s="92">
        <f t="shared" ca="1" si="293"/>
        <v>6.25</v>
      </c>
      <c r="N9069" s="143">
        <f ca="1">(PRODUCT($O$5:$O9069)-1)*36000/_xlfn.DAYS(L9069, $C$2)</f>
        <v>16.518154757742664</v>
      </c>
      <c r="O9069" s="149">
        <f t="shared" ca="1" si="294"/>
        <v>1.000173611111111</v>
      </c>
    </row>
    <row r="9070" spans="12:15" x14ac:dyDescent="0.25">
      <c r="L9070" s="147">
        <f ca="1"/>
        <v>54309</v>
      </c>
      <c r="M9070" s="92">
        <f t="shared" ca="1" si="293"/>
        <v>6.25</v>
      </c>
      <c r="N9070" s="143">
        <f ca="1">(PRODUCT($O$5:$O9070)-1)*36000/_xlfn.DAYS(L9070, $C$2)</f>
        <v>16.519889576277773</v>
      </c>
      <c r="O9070" s="149">
        <f t="shared" ca="1" si="294"/>
        <v>1.000173611111111</v>
      </c>
    </row>
    <row r="9071" spans="12:15" x14ac:dyDescent="0.25">
      <c r="L9071" s="147">
        <f ca="1"/>
        <v>54310</v>
      </c>
      <c r="M9071" s="92">
        <f t="shared" ca="1" si="293"/>
        <v>6.25</v>
      </c>
      <c r="N9071" s="143">
        <f ca="1">(PRODUCT($O$5:$O9071)-1)*36000/_xlfn.DAYS(L9071, $C$2)</f>
        <v>16.521624629579641</v>
      </c>
      <c r="O9071" s="149">
        <f t="shared" ca="1" si="294"/>
        <v>1.000173611111111</v>
      </c>
    </row>
    <row r="9072" spans="12:15" x14ac:dyDescent="0.25">
      <c r="L9072" s="147">
        <f ca="1"/>
        <v>54311</v>
      </c>
      <c r="M9072" s="92">
        <f t="shared" ca="1" si="293"/>
        <v>6.25</v>
      </c>
      <c r="N9072" s="143">
        <f ca="1">(PRODUCT($O$5:$O9072)-1)*36000/_xlfn.DAYS(L9072, $C$2)</f>
        <v>16.523359917677784</v>
      </c>
      <c r="O9072" s="149">
        <f t="shared" ca="1" si="294"/>
        <v>1.000173611111111</v>
      </c>
    </row>
    <row r="9073" spans="12:15" x14ac:dyDescent="0.25">
      <c r="L9073" s="147">
        <f ca="1"/>
        <v>54312</v>
      </c>
      <c r="M9073" s="92">
        <f t="shared" ca="1" si="293"/>
        <v>6.25</v>
      </c>
      <c r="N9073" s="143">
        <f ca="1">(PRODUCT($O$5:$O9073)-1)*36000/_xlfn.DAYS(L9073, $C$2)</f>
        <v>16.525095440601721</v>
      </c>
      <c r="O9073" s="149">
        <f t="shared" ca="1" si="294"/>
        <v>1.000173611111111</v>
      </c>
    </row>
    <row r="9074" spans="12:15" x14ac:dyDescent="0.25">
      <c r="L9074" s="147">
        <f ca="1"/>
        <v>54313</v>
      </c>
      <c r="M9074" s="92">
        <f t="shared" ca="1" si="293"/>
        <v>6.25</v>
      </c>
      <c r="N9074" s="143">
        <f ca="1">(PRODUCT($O$5:$O9074)-1)*36000/_xlfn.DAYS(L9074, $C$2)</f>
        <v>16.526831198380965</v>
      </c>
      <c r="O9074" s="149">
        <f t="shared" ca="1" si="294"/>
        <v>1.000173611111111</v>
      </c>
    </row>
    <row r="9075" spans="12:15" x14ac:dyDescent="0.25">
      <c r="L9075" s="147">
        <f ca="1"/>
        <v>54314</v>
      </c>
      <c r="M9075" s="92">
        <f t="shared" ca="1" si="293"/>
        <v>6.25</v>
      </c>
      <c r="N9075" s="143">
        <f ca="1">(PRODUCT($O$5:$O9075)-1)*36000/_xlfn.DAYS(L9075, $C$2)</f>
        <v>16.52856719104506</v>
      </c>
      <c r="O9075" s="149">
        <f t="shared" ca="1" si="294"/>
        <v>1.000173611111111</v>
      </c>
    </row>
    <row r="9076" spans="12:15" x14ac:dyDescent="0.25">
      <c r="L9076" s="147">
        <f ca="1"/>
        <v>54315</v>
      </c>
      <c r="M9076" s="92">
        <f t="shared" ca="1" si="293"/>
        <v>6.25</v>
      </c>
      <c r="N9076" s="143">
        <f ca="1">(PRODUCT($O$5:$O9076)-1)*36000/_xlfn.DAYS(L9076, $C$2)</f>
        <v>16.530303418623536</v>
      </c>
      <c r="O9076" s="149">
        <f t="shared" ca="1" si="294"/>
        <v>1.000173611111111</v>
      </c>
    </row>
    <row r="9077" spans="12:15" x14ac:dyDescent="0.25">
      <c r="L9077" s="147">
        <f ca="1"/>
        <v>54316</v>
      </c>
      <c r="M9077" s="92">
        <f t="shared" ca="1" si="293"/>
        <v>6.25</v>
      </c>
      <c r="N9077" s="143">
        <f ca="1">(PRODUCT($O$5:$O9077)-1)*36000/_xlfn.DAYS(L9077, $C$2)</f>
        <v>16.532039881145927</v>
      </c>
      <c r="O9077" s="149">
        <f t="shared" ca="1" si="294"/>
        <v>1.000173611111111</v>
      </c>
    </row>
    <row r="9078" spans="12:15" x14ac:dyDescent="0.25">
      <c r="L9078" s="147">
        <f ca="1"/>
        <v>54317</v>
      </c>
      <c r="M9078" s="92">
        <f t="shared" ca="1" si="293"/>
        <v>6.25</v>
      </c>
      <c r="N9078" s="143">
        <f ca="1">(PRODUCT($O$5:$O9078)-1)*36000/_xlfn.DAYS(L9078, $C$2)</f>
        <v>16.533776578641788</v>
      </c>
      <c r="O9078" s="149">
        <f t="shared" ca="1" si="294"/>
        <v>1.000173611111111</v>
      </c>
    </row>
    <row r="9079" spans="12:15" x14ac:dyDescent="0.25">
      <c r="L9079" s="147">
        <f ca="1"/>
        <v>54318</v>
      </c>
      <c r="M9079" s="92">
        <f t="shared" ca="1" si="293"/>
        <v>6.25</v>
      </c>
      <c r="N9079" s="143">
        <f ca="1">(PRODUCT($O$5:$O9079)-1)*36000/_xlfn.DAYS(L9079, $C$2)</f>
        <v>16.535513511140675</v>
      </c>
      <c r="O9079" s="149">
        <f t="shared" ca="1" si="294"/>
        <v>1.000173611111111</v>
      </c>
    </row>
    <row r="9080" spans="12:15" x14ac:dyDescent="0.25">
      <c r="L9080" s="147">
        <f ca="1"/>
        <v>54319</v>
      </c>
      <c r="M9080" s="92">
        <f t="shared" ca="1" si="293"/>
        <v>6.25</v>
      </c>
      <c r="N9080" s="143">
        <f ca="1">(PRODUCT($O$5:$O9080)-1)*36000/_xlfn.DAYS(L9080, $C$2)</f>
        <v>16.53725067867213</v>
      </c>
      <c r="O9080" s="149">
        <f t="shared" ca="1" si="294"/>
        <v>1.000173611111111</v>
      </c>
    </row>
    <row r="9081" spans="12:15" x14ac:dyDescent="0.25">
      <c r="L9081" s="147">
        <f ca="1"/>
        <v>54320</v>
      </c>
      <c r="M9081" s="92">
        <f t="shared" ca="1" si="293"/>
        <v>6.25</v>
      </c>
      <c r="N9081" s="143">
        <f ca="1">(PRODUCT($O$5:$O9081)-1)*36000/_xlfn.DAYS(L9081, $C$2)</f>
        <v>16.538988081265728</v>
      </c>
      <c r="O9081" s="149">
        <f t="shared" ca="1" si="294"/>
        <v>1.000173611111111</v>
      </c>
    </row>
    <row r="9082" spans="12:15" x14ac:dyDescent="0.25">
      <c r="L9082" s="147">
        <f ca="1"/>
        <v>54321</v>
      </c>
      <c r="M9082" s="92">
        <f t="shared" ca="1" si="293"/>
        <v>6.25</v>
      </c>
      <c r="N9082" s="143">
        <f ca="1">(PRODUCT($O$5:$O9082)-1)*36000/_xlfn.DAYS(L9082, $C$2)</f>
        <v>16.540725718951034</v>
      </c>
      <c r="O9082" s="149">
        <f t="shared" ca="1" si="294"/>
        <v>1.000173611111111</v>
      </c>
    </row>
    <row r="9083" spans="12:15" x14ac:dyDescent="0.25">
      <c r="L9083" s="147">
        <f ca="1"/>
        <v>54322</v>
      </c>
      <c r="M9083" s="92">
        <f t="shared" ca="1" si="293"/>
        <v>6.25</v>
      </c>
      <c r="N9083" s="143">
        <f ca="1">(PRODUCT($O$5:$O9083)-1)*36000/_xlfn.DAYS(L9083, $C$2)</f>
        <v>16.54246359175762</v>
      </c>
      <c r="O9083" s="149">
        <f t="shared" ca="1" si="294"/>
        <v>1.000173611111111</v>
      </c>
    </row>
    <row r="9084" spans="12:15" x14ac:dyDescent="0.25">
      <c r="L9084" s="147">
        <f ca="1"/>
        <v>54323</v>
      </c>
      <c r="M9084" s="92">
        <f t="shared" ca="1" si="293"/>
        <v>6.25</v>
      </c>
      <c r="N9084" s="143">
        <f ca="1">(PRODUCT($O$5:$O9084)-1)*36000/_xlfn.DAYS(L9084, $C$2)</f>
        <v>16.544201699715071</v>
      </c>
      <c r="O9084" s="149">
        <f t="shared" ca="1" si="294"/>
        <v>1.000173611111111</v>
      </c>
    </row>
    <row r="9085" spans="12:15" x14ac:dyDescent="0.25">
      <c r="L9085" s="147">
        <f ca="1"/>
        <v>54324</v>
      </c>
      <c r="M9085" s="92">
        <f t="shared" ca="1" si="293"/>
        <v>6.25</v>
      </c>
      <c r="N9085" s="143">
        <f ca="1">(PRODUCT($O$5:$O9085)-1)*36000/_xlfn.DAYS(L9085, $C$2)</f>
        <v>16.545940042852965</v>
      </c>
      <c r="O9085" s="149">
        <f t="shared" ca="1" si="294"/>
        <v>1.000173611111111</v>
      </c>
    </row>
    <row r="9086" spans="12:15" x14ac:dyDescent="0.25">
      <c r="L9086" s="147">
        <f ca="1"/>
        <v>54325</v>
      </c>
      <c r="M9086" s="92">
        <f t="shared" ca="1" si="293"/>
        <v>6.25</v>
      </c>
      <c r="N9086" s="143">
        <f ca="1">(PRODUCT($O$5:$O9086)-1)*36000/_xlfn.DAYS(L9086, $C$2)</f>
        <v>16.547678621200902</v>
      </c>
      <c r="O9086" s="149">
        <f t="shared" ca="1" si="294"/>
        <v>1.000173611111111</v>
      </c>
    </row>
    <row r="9087" spans="12:15" x14ac:dyDescent="0.25">
      <c r="L9087" s="147">
        <f ca="1"/>
        <v>54326</v>
      </c>
      <c r="M9087" s="92">
        <f t="shared" ca="1" si="293"/>
        <v>6.25</v>
      </c>
      <c r="N9087" s="143">
        <f ca="1">(PRODUCT($O$5:$O9087)-1)*36000/_xlfn.DAYS(L9087, $C$2)</f>
        <v>16.54941743478847</v>
      </c>
      <c r="O9087" s="149">
        <f t="shared" ca="1" si="294"/>
        <v>1.000173611111111</v>
      </c>
    </row>
    <row r="9088" spans="12:15" x14ac:dyDescent="0.25">
      <c r="L9088" s="147">
        <f ca="1"/>
        <v>54327</v>
      </c>
      <c r="M9088" s="92">
        <f t="shared" ca="1" si="293"/>
        <v>6.25</v>
      </c>
      <c r="N9088" s="143">
        <f ca="1">(PRODUCT($O$5:$O9088)-1)*36000/_xlfn.DAYS(L9088, $C$2)</f>
        <v>16.551156483645276</v>
      </c>
      <c r="O9088" s="149">
        <f t="shared" ca="1" si="294"/>
        <v>1.000173611111111</v>
      </c>
    </row>
    <row r="9089" spans="12:15" x14ac:dyDescent="0.25">
      <c r="L9089" s="147">
        <f ca="1"/>
        <v>54328</v>
      </c>
      <c r="M9089" s="92">
        <f t="shared" ca="1" si="293"/>
        <v>6.25</v>
      </c>
      <c r="N9089" s="143">
        <f ca="1">(PRODUCT($O$5:$O9089)-1)*36000/_xlfn.DAYS(L9089, $C$2)</f>
        <v>16.552895767800926</v>
      </c>
      <c r="O9089" s="149">
        <f t="shared" ca="1" si="294"/>
        <v>1.000173611111111</v>
      </c>
    </row>
    <row r="9090" spans="12:15" x14ac:dyDescent="0.25">
      <c r="L9090" s="147">
        <f ca="1"/>
        <v>54329</v>
      </c>
      <c r="M9090" s="92">
        <f t="shared" ca="1" si="293"/>
        <v>6.25</v>
      </c>
      <c r="N9090" s="143">
        <f ca="1">(PRODUCT($O$5:$O9090)-1)*36000/_xlfn.DAYS(L9090, $C$2)</f>
        <v>16.554635287285038</v>
      </c>
      <c r="O9090" s="149">
        <f t="shared" ca="1" si="294"/>
        <v>1.000173611111111</v>
      </c>
    </row>
    <row r="9091" spans="12:15" x14ac:dyDescent="0.25">
      <c r="L9091" s="147">
        <f ca="1"/>
        <v>54330</v>
      </c>
      <c r="M9091" s="92">
        <f t="shared" ca="1" si="293"/>
        <v>6.25</v>
      </c>
      <c r="N9091" s="143">
        <f ca="1">(PRODUCT($O$5:$O9091)-1)*36000/_xlfn.DAYS(L9091, $C$2)</f>
        <v>16.556375042127222</v>
      </c>
      <c r="O9091" s="149">
        <f t="shared" ca="1" si="294"/>
        <v>1.000173611111111</v>
      </c>
    </row>
    <row r="9092" spans="12:15" x14ac:dyDescent="0.25">
      <c r="L9092" s="147">
        <f ca="1"/>
        <v>54331</v>
      </c>
      <c r="M9092" s="92">
        <f t="shared" ca="1" si="293"/>
        <v>6.25</v>
      </c>
      <c r="N9092" s="143">
        <f ca="1">(PRODUCT($O$5:$O9092)-1)*36000/_xlfn.DAYS(L9092, $C$2)</f>
        <v>16.558115032357108</v>
      </c>
      <c r="O9092" s="149">
        <f t="shared" ca="1" si="294"/>
        <v>1.000173611111111</v>
      </c>
    </row>
    <row r="9093" spans="12:15" x14ac:dyDescent="0.25">
      <c r="L9093" s="147">
        <f ca="1"/>
        <v>54332</v>
      </c>
      <c r="M9093" s="92">
        <f t="shared" ref="M9093:M9156" ca="1" si="295">IFERROR(INDEX($E$27:$H$47, MATCH(L9093, $F$27:$F$47, 0), 4), IF(ISNUMBER(M9092), M9092, $C$5))</f>
        <v>6.25</v>
      </c>
      <c r="N9093" s="143">
        <f ca="1">(PRODUCT($O$5:$O9093)-1)*36000/_xlfn.DAYS(L9093, $C$2)</f>
        <v>16.559855258004326</v>
      </c>
      <c r="O9093" s="149">
        <f t="shared" ca="1" si="294"/>
        <v>1.000173611111111</v>
      </c>
    </row>
    <row r="9094" spans="12:15" x14ac:dyDescent="0.25">
      <c r="L9094" s="147">
        <f ca="1"/>
        <v>54333</v>
      </c>
      <c r="M9094" s="92">
        <f t="shared" ca="1" si="295"/>
        <v>6.25</v>
      </c>
      <c r="N9094" s="143">
        <f ca="1">(PRODUCT($O$5:$O9094)-1)*36000/_xlfn.DAYS(L9094, $C$2)</f>
        <v>16.561595719098509</v>
      </c>
      <c r="O9094" s="149">
        <f t="shared" ref="O9094:O9157" ca="1" si="296">1+M9094*IFERROR(_xlfn.DAYS(L9094, L9093), _xlfn.DAYS(L9094, $C$2))/36000</f>
        <v>1.000173611111111</v>
      </c>
    </row>
    <row r="9095" spans="12:15" x14ac:dyDescent="0.25">
      <c r="L9095" s="147">
        <f ca="1"/>
        <v>54334</v>
      </c>
      <c r="M9095" s="92">
        <f t="shared" ca="1" si="295"/>
        <v>6.25</v>
      </c>
      <c r="N9095" s="143">
        <f ca="1">(PRODUCT($O$5:$O9095)-1)*36000/_xlfn.DAYS(L9095, $C$2)</f>
        <v>16.563336415669305</v>
      </c>
      <c r="O9095" s="149">
        <f t="shared" ca="1" si="296"/>
        <v>1.000173611111111</v>
      </c>
    </row>
    <row r="9096" spans="12:15" x14ac:dyDescent="0.25">
      <c r="L9096" s="147">
        <f ca="1"/>
        <v>54335</v>
      </c>
      <c r="M9096" s="92">
        <f t="shared" ca="1" si="295"/>
        <v>6.25</v>
      </c>
      <c r="N9096" s="143">
        <f ca="1">(PRODUCT($O$5:$O9096)-1)*36000/_xlfn.DAYS(L9096, $C$2)</f>
        <v>16.565077347746357</v>
      </c>
      <c r="O9096" s="149">
        <f t="shared" ca="1" si="296"/>
        <v>1.000173611111111</v>
      </c>
    </row>
    <row r="9097" spans="12:15" x14ac:dyDescent="0.25">
      <c r="L9097" s="147">
        <f ca="1"/>
        <v>54336</v>
      </c>
      <c r="M9097" s="92">
        <f t="shared" ca="1" si="295"/>
        <v>6.25</v>
      </c>
      <c r="N9097" s="143">
        <f ca="1">(PRODUCT($O$5:$O9097)-1)*36000/_xlfn.DAYS(L9097, $C$2)</f>
        <v>16.566818515359309</v>
      </c>
      <c r="O9097" s="149">
        <f t="shared" ca="1" si="296"/>
        <v>1.000173611111111</v>
      </c>
    </row>
    <row r="9098" spans="12:15" x14ac:dyDescent="0.25">
      <c r="L9098" s="147">
        <f ca="1"/>
        <v>54337</v>
      </c>
      <c r="M9098" s="92">
        <f t="shared" ca="1" si="295"/>
        <v>6.25</v>
      </c>
      <c r="N9098" s="143">
        <f ca="1">(PRODUCT($O$5:$O9098)-1)*36000/_xlfn.DAYS(L9098, $C$2)</f>
        <v>16.568559918537833</v>
      </c>
      <c r="O9098" s="149">
        <f t="shared" ca="1" si="296"/>
        <v>1.000173611111111</v>
      </c>
    </row>
    <row r="9099" spans="12:15" x14ac:dyDescent="0.25">
      <c r="L9099" s="147">
        <f ca="1"/>
        <v>54338</v>
      </c>
      <c r="M9099" s="92">
        <f t="shared" ca="1" si="295"/>
        <v>6.25</v>
      </c>
      <c r="N9099" s="143">
        <f ca="1">(PRODUCT($O$5:$O9099)-1)*36000/_xlfn.DAYS(L9099, $C$2)</f>
        <v>16.570301557311588</v>
      </c>
      <c r="O9099" s="149">
        <f t="shared" ca="1" si="296"/>
        <v>1.000173611111111</v>
      </c>
    </row>
    <row r="9100" spans="12:15" x14ac:dyDescent="0.25">
      <c r="L9100" s="147">
        <f ca="1"/>
        <v>54339</v>
      </c>
      <c r="M9100" s="92">
        <f t="shared" ca="1" si="295"/>
        <v>6.25</v>
      </c>
      <c r="N9100" s="143">
        <f ca="1">(PRODUCT($O$5:$O9100)-1)*36000/_xlfn.DAYS(L9100, $C$2)</f>
        <v>16.572043431710235</v>
      </c>
      <c r="O9100" s="149">
        <f t="shared" ca="1" si="296"/>
        <v>1.000173611111111</v>
      </c>
    </row>
    <row r="9101" spans="12:15" x14ac:dyDescent="0.25">
      <c r="L9101" s="147">
        <f ca="1"/>
        <v>54340</v>
      </c>
      <c r="M9101" s="92">
        <f t="shared" ca="1" si="295"/>
        <v>6.25</v>
      </c>
      <c r="N9101" s="143">
        <f ca="1">(PRODUCT($O$5:$O9101)-1)*36000/_xlfn.DAYS(L9101, $C$2)</f>
        <v>16.57378554176346</v>
      </c>
      <c r="O9101" s="149">
        <f t="shared" ca="1" si="296"/>
        <v>1.000173611111111</v>
      </c>
    </row>
    <row r="9102" spans="12:15" x14ac:dyDescent="0.25">
      <c r="L9102" s="147">
        <f ca="1"/>
        <v>54341</v>
      </c>
      <c r="M9102" s="92">
        <f t="shared" ca="1" si="295"/>
        <v>6.25</v>
      </c>
      <c r="N9102" s="143">
        <f ca="1">(PRODUCT($O$5:$O9102)-1)*36000/_xlfn.DAYS(L9102, $C$2)</f>
        <v>16.575527887500936</v>
      </c>
      <c r="O9102" s="149">
        <f t="shared" ca="1" si="296"/>
        <v>1.000173611111111</v>
      </c>
    </row>
    <row r="9103" spans="12:15" x14ac:dyDescent="0.25">
      <c r="L9103" s="147">
        <f ca="1"/>
        <v>54342</v>
      </c>
      <c r="M9103" s="92">
        <f t="shared" ca="1" si="295"/>
        <v>6.25</v>
      </c>
      <c r="N9103" s="143">
        <f ca="1">(PRODUCT($O$5:$O9103)-1)*36000/_xlfn.DAYS(L9103, $C$2)</f>
        <v>16.577270468952356</v>
      </c>
      <c r="O9103" s="149">
        <f t="shared" ca="1" si="296"/>
        <v>1.000173611111111</v>
      </c>
    </row>
    <row r="9104" spans="12:15" x14ac:dyDescent="0.25">
      <c r="L9104" s="147">
        <f ca="1"/>
        <v>54343</v>
      </c>
      <c r="M9104" s="92">
        <f t="shared" ca="1" si="295"/>
        <v>6.25</v>
      </c>
      <c r="N9104" s="143">
        <f ca="1">(PRODUCT($O$5:$O9104)-1)*36000/_xlfn.DAYS(L9104, $C$2)</f>
        <v>16.579013286147404</v>
      </c>
      <c r="O9104" s="149">
        <f t="shared" ca="1" si="296"/>
        <v>1.000173611111111</v>
      </c>
    </row>
    <row r="9105" spans="12:15" x14ac:dyDescent="0.25">
      <c r="L9105" s="147">
        <f ca="1"/>
        <v>54344</v>
      </c>
      <c r="M9105" s="92">
        <f t="shared" ca="1" si="295"/>
        <v>6.25</v>
      </c>
      <c r="N9105" s="143">
        <f ca="1">(PRODUCT($O$5:$O9105)-1)*36000/_xlfn.DAYS(L9105, $C$2)</f>
        <v>16.580756339115784</v>
      </c>
      <c r="O9105" s="149">
        <f t="shared" ca="1" si="296"/>
        <v>1.000173611111111</v>
      </c>
    </row>
    <row r="9106" spans="12:15" x14ac:dyDescent="0.25">
      <c r="L9106" s="147">
        <f ca="1"/>
        <v>54345</v>
      </c>
      <c r="M9106" s="92">
        <f t="shared" ca="1" si="295"/>
        <v>6.25</v>
      </c>
      <c r="N9106" s="143">
        <f ca="1">(PRODUCT($O$5:$O9106)-1)*36000/_xlfn.DAYS(L9106, $C$2)</f>
        <v>16.582499627887195</v>
      </c>
      <c r="O9106" s="149">
        <f t="shared" ca="1" si="296"/>
        <v>1.000173611111111</v>
      </c>
    </row>
    <row r="9107" spans="12:15" x14ac:dyDescent="0.25">
      <c r="L9107" s="147">
        <f ca="1"/>
        <v>54346</v>
      </c>
      <c r="M9107" s="92">
        <f t="shared" ca="1" si="295"/>
        <v>6.25</v>
      </c>
      <c r="N9107" s="143">
        <f ca="1">(PRODUCT($O$5:$O9107)-1)*36000/_xlfn.DAYS(L9107, $C$2)</f>
        <v>16.584243152491347</v>
      </c>
      <c r="O9107" s="149">
        <f t="shared" ca="1" si="296"/>
        <v>1.000173611111111</v>
      </c>
    </row>
    <row r="9108" spans="12:15" x14ac:dyDescent="0.25">
      <c r="L9108" s="147">
        <f ca="1"/>
        <v>54347</v>
      </c>
      <c r="M9108" s="92">
        <f t="shared" ca="1" si="295"/>
        <v>6.25</v>
      </c>
      <c r="N9108" s="143">
        <f ca="1">(PRODUCT($O$5:$O9108)-1)*36000/_xlfn.DAYS(L9108, $C$2)</f>
        <v>16.585986912957953</v>
      </c>
      <c r="O9108" s="149">
        <f t="shared" ca="1" si="296"/>
        <v>1.000173611111111</v>
      </c>
    </row>
    <row r="9109" spans="12:15" x14ac:dyDescent="0.25">
      <c r="L9109" s="147">
        <f ca="1"/>
        <v>54348</v>
      </c>
      <c r="M9109" s="92">
        <f t="shared" ca="1" si="295"/>
        <v>6.25</v>
      </c>
      <c r="N9109" s="143">
        <f ca="1">(PRODUCT($O$5:$O9109)-1)*36000/_xlfn.DAYS(L9109, $C$2)</f>
        <v>16.587730909316729</v>
      </c>
      <c r="O9109" s="149">
        <f t="shared" ca="1" si="296"/>
        <v>1.000173611111111</v>
      </c>
    </row>
    <row r="9110" spans="12:15" x14ac:dyDescent="0.25">
      <c r="L9110" s="147">
        <f ca="1"/>
        <v>54349</v>
      </c>
      <c r="M9110" s="92">
        <f t="shared" ca="1" si="295"/>
        <v>6.25</v>
      </c>
      <c r="N9110" s="143">
        <f ca="1">(PRODUCT($O$5:$O9110)-1)*36000/_xlfn.DAYS(L9110, $C$2)</f>
        <v>16.589475141597404</v>
      </c>
      <c r="O9110" s="149">
        <f t="shared" ca="1" si="296"/>
        <v>1.000173611111111</v>
      </c>
    </row>
    <row r="9111" spans="12:15" x14ac:dyDescent="0.25">
      <c r="L9111" s="147">
        <f ca="1"/>
        <v>54350</v>
      </c>
      <c r="M9111" s="92">
        <f t="shared" ca="1" si="295"/>
        <v>6.25</v>
      </c>
      <c r="N9111" s="143">
        <f ca="1">(PRODUCT($O$5:$O9111)-1)*36000/_xlfn.DAYS(L9111, $C$2)</f>
        <v>16.591219609829707</v>
      </c>
      <c r="O9111" s="149">
        <f t="shared" ca="1" si="296"/>
        <v>1.000173611111111</v>
      </c>
    </row>
    <row r="9112" spans="12:15" x14ac:dyDescent="0.25">
      <c r="L9112" s="147">
        <f ca="1"/>
        <v>54351</v>
      </c>
      <c r="M9112" s="92">
        <f t="shared" ca="1" si="295"/>
        <v>6.25</v>
      </c>
      <c r="N9112" s="143">
        <f ca="1">(PRODUCT($O$5:$O9112)-1)*36000/_xlfn.DAYS(L9112, $C$2)</f>
        <v>16.592964314043382</v>
      </c>
      <c r="O9112" s="149">
        <f t="shared" ca="1" si="296"/>
        <v>1.000173611111111</v>
      </c>
    </row>
    <row r="9113" spans="12:15" x14ac:dyDescent="0.25">
      <c r="L9113" s="147">
        <f ca="1"/>
        <v>54352</v>
      </c>
      <c r="M9113" s="92">
        <f t="shared" ca="1" si="295"/>
        <v>6.25</v>
      </c>
      <c r="N9113" s="143">
        <f ca="1">(PRODUCT($O$5:$O9113)-1)*36000/_xlfn.DAYS(L9113, $C$2)</f>
        <v>16.594709254268164</v>
      </c>
      <c r="O9113" s="149">
        <f t="shared" ca="1" si="296"/>
        <v>1.000173611111111</v>
      </c>
    </row>
    <row r="9114" spans="12:15" x14ac:dyDescent="0.25">
      <c r="L9114" s="147">
        <f ca="1"/>
        <v>54353</v>
      </c>
      <c r="M9114" s="92">
        <f t="shared" ca="1" si="295"/>
        <v>6.25</v>
      </c>
      <c r="N9114" s="143">
        <f ca="1">(PRODUCT($O$5:$O9114)-1)*36000/_xlfn.DAYS(L9114, $C$2)</f>
        <v>16.5964544305338</v>
      </c>
      <c r="O9114" s="149">
        <f t="shared" ca="1" si="296"/>
        <v>1.000173611111111</v>
      </c>
    </row>
    <row r="9115" spans="12:15" x14ac:dyDescent="0.25">
      <c r="L9115" s="147">
        <f ca="1"/>
        <v>54354</v>
      </c>
      <c r="M9115" s="92">
        <f t="shared" ca="1" si="295"/>
        <v>6.25</v>
      </c>
      <c r="N9115" s="143">
        <f ca="1">(PRODUCT($O$5:$O9115)-1)*36000/_xlfn.DAYS(L9115, $C$2)</f>
        <v>16.598199842870045</v>
      </c>
      <c r="O9115" s="149">
        <f t="shared" ca="1" si="296"/>
        <v>1.000173611111111</v>
      </c>
    </row>
    <row r="9116" spans="12:15" x14ac:dyDescent="0.25">
      <c r="L9116" s="147">
        <f ca="1"/>
        <v>54355</v>
      </c>
      <c r="M9116" s="92">
        <f t="shared" ca="1" si="295"/>
        <v>6.25</v>
      </c>
      <c r="N9116" s="143">
        <f ca="1">(PRODUCT($O$5:$O9116)-1)*36000/_xlfn.DAYS(L9116, $C$2)</f>
        <v>16.599945491306656</v>
      </c>
      <c r="O9116" s="149">
        <f t="shared" ca="1" si="296"/>
        <v>1.000173611111111</v>
      </c>
    </row>
    <row r="9117" spans="12:15" x14ac:dyDescent="0.25">
      <c r="L9117" s="147">
        <f ca="1"/>
        <v>54356</v>
      </c>
      <c r="M9117" s="92">
        <f t="shared" ca="1" si="295"/>
        <v>6.25</v>
      </c>
      <c r="N9117" s="143">
        <f ca="1">(PRODUCT($O$5:$O9117)-1)*36000/_xlfn.DAYS(L9117, $C$2)</f>
        <v>16.601691375873401</v>
      </c>
      <c r="O9117" s="149">
        <f t="shared" ca="1" si="296"/>
        <v>1.000173611111111</v>
      </c>
    </row>
    <row r="9118" spans="12:15" x14ac:dyDescent="0.25">
      <c r="L9118" s="147">
        <f ca="1"/>
        <v>54357</v>
      </c>
      <c r="M9118" s="92">
        <f t="shared" ca="1" si="295"/>
        <v>6.25</v>
      </c>
      <c r="N9118" s="143">
        <f ca="1">(PRODUCT($O$5:$O9118)-1)*36000/_xlfn.DAYS(L9118, $C$2)</f>
        <v>16.603437496600044</v>
      </c>
      <c r="O9118" s="149">
        <f t="shared" ca="1" si="296"/>
        <v>1.000173611111111</v>
      </c>
    </row>
    <row r="9119" spans="12:15" x14ac:dyDescent="0.25">
      <c r="L9119" s="147">
        <f ca="1"/>
        <v>54358</v>
      </c>
      <c r="M9119" s="92">
        <f t="shared" ca="1" si="295"/>
        <v>6.25</v>
      </c>
      <c r="N9119" s="143">
        <f ca="1">(PRODUCT($O$5:$O9119)-1)*36000/_xlfn.DAYS(L9119, $C$2)</f>
        <v>16.605183853516365</v>
      </c>
      <c r="O9119" s="149">
        <f t="shared" ca="1" si="296"/>
        <v>1.000173611111111</v>
      </c>
    </row>
    <row r="9120" spans="12:15" x14ac:dyDescent="0.25">
      <c r="L9120" s="147">
        <f ca="1"/>
        <v>54359</v>
      </c>
      <c r="M9120" s="92">
        <f t="shared" ca="1" si="295"/>
        <v>6.25</v>
      </c>
      <c r="N9120" s="143">
        <f ca="1">(PRODUCT($O$5:$O9120)-1)*36000/_xlfn.DAYS(L9120, $C$2)</f>
        <v>16.606930446652147</v>
      </c>
      <c r="O9120" s="149">
        <f t="shared" ca="1" si="296"/>
        <v>1.000173611111111</v>
      </c>
    </row>
    <row r="9121" spans="12:15" x14ac:dyDescent="0.25">
      <c r="L9121" s="147">
        <f ca="1"/>
        <v>54360</v>
      </c>
      <c r="M9121" s="92">
        <f t="shared" ca="1" si="295"/>
        <v>6.25</v>
      </c>
      <c r="N9121" s="143">
        <f ca="1">(PRODUCT($O$5:$O9121)-1)*36000/_xlfn.DAYS(L9121, $C$2)</f>
        <v>16.608677276037174</v>
      </c>
      <c r="O9121" s="149">
        <f t="shared" ca="1" si="296"/>
        <v>1.000173611111111</v>
      </c>
    </row>
    <row r="9122" spans="12:15" x14ac:dyDescent="0.25">
      <c r="L9122" s="147">
        <f ca="1"/>
        <v>54361</v>
      </c>
      <c r="M9122" s="92">
        <f t="shared" ca="1" si="295"/>
        <v>6.25</v>
      </c>
      <c r="N9122" s="143">
        <f ca="1">(PRODUCT($O$5:$O9122)-1)*36000/_xlfn.DAYS(L9122, $C$2)</f>
        <v>16.610424341701233</v>
      </c>
      <c r="O9122" s="149">
        <f t="shared" ca="1" si="296"/>
        <v>1.000173611111111</v>
      </c>
    </row>
    <row r="9123" spans="12:15" x14ac:dyDescent="0.25">
      <c r="L9123" s="147">
        <f ca="1"/>
        <v>54362</v>
      </c>
      <c r="M9123" s="92">
        <f t="shared" ca="1" si="295"/>
        <v>6.25</v>
      </c>
      <c r="N9123" s="143">
        <f ca="1">(PRODUCT($O$5:$O9123)-1)*36000/_xlfn.DAYS(L9123, $C$2)</f>
        <v>16.612171643674131</v>
      </c>
      <c r="O9123" s="149">
        <f t="shared" ca="1" si="296"/>
        <v>1.000173611111111</v>
      </c>
    </row>
    <row r="9124" spans="12:15" x14ac:dyDescent="0.25">
      <c r="L9124" s="147">
        <f ca="1"/>
        <v>54363</v>
      </c>
      <c r="M9124" s="92">
        <f t="shared" ca="1" si="295"/>
        <v>6.25</v>
      </c>
      <c r="N9124" s="143">
        <f ca="1">(PRODUCT($O$5:$O9124)-1)*36000/_xlfn.DAYS(L9124, $C$2)</f>
        <v>16.613919181985668</v>
      </c>
      <c r="O9124" s="149">
        <f t="shared" ca="1" si="296"/>
        <v>1.000173611111111</v>
      </c>
    </row>
    <row r="9125" spans="12:15" x14ac:dyDescent="0.25">
      <c r="L9125" s="147">
        <f ca="1"/>
        <v>54364</v>
      </c>
      <c r="M9125" s="92">
        <f t="shared" ca="1" si="295"/>
        <v>6.25</v>
      </c>
      <c r="N9125" s="143">
        <f ca="1">(PRODUCT($O$5:$O9125)-1)*36000/_xlfn.DAYS(L9125, $C$2)</f>
        <v>16.615666956665656</v>
      </c>
      <c r="O9125" s="149">
        <f t="shared" ca="1" si="296"/>
        <v>1.000173611111111</v>
      </c>
    </row>
    <row r="9126" spans="12:15" x14ac:dyDescent="0.25">
      <c r="L9126" s="147">
        <f ca="1"/>
        <v>54365</v>
      </c>
      <c r="M9126" s="92">
        <f t="shared" ca="1" si="295"/>
        <v>6.25</v>
      </c>
      <c r="N9126" s="143">
        <f ca="1">(PRODUCT($O$5:$O9126)-1)*36000/_xlfn.DAYS(L9126, $C$2)</f>
        <v>16.617414967743905</v>
      </c>
      <c r="O9126" s="149">
        <f t="shared" ca="1" si="296"/>
        <v>1.000173611111111</v>
      </c>
    </row>
    <row r="9127" spans="12:15" x14ac:dyDescent="0.25">
      <c r="L9127" s="147">
        <f ca="1"/>
        <v>54366</v>
      </c>
      <c r="M9127" s="92">
        <f t="shared" ca="1" si="295"/>
        <v>6.25</v>
      </c>
      <c r="N9127" s="143">
        <f ca="1">(PRODUCT($O$5:$O9127)-1)*36000/_xlfn.DAYS(L9127, $C$2)</f>
        <v>16.619163215250232</v>
      </c>
      <c r="O9127" s="149">
        <f t="shared" ca="1" si="296"/>
        <v>1.000173611111111</v>
      </c>
    </row>
    <row r="9128" spans="12:15" x14ac:dyDescent="0.25">
      <c r="L9128" s="147">
        <f ca="1"/>
        <v>54367</v>
      </c>
      <c r="M9128" s="92">
        <f t="shared" ca="1" si="295"/>
        <v>6.25</v>
      </c>
      <c r="N9128" s="143">
        <f ca="1">(PRODUCT($O$5:$O9128)-1)*36000/_xlfn.DAYS(L9128, $C$2)</f>
        <v>16.620911699214471</v>
      </c>
      <c r="O9128" s="149">
        <f t="shared" ca="1" si="296"/>
        <v>1.000173611111111</v>
      </c>
    </row>
    <row r="9129" spans="12:15" x14ac:dyDescent="0.25">
      <c r="L9129" s="147">
        <f ca="1"/>
        <v>54368</v>
      </c>
      <c r="M9129" s="92">
        <f t="shared" ca="1" si="295"/>
        <v>6.25</v>
      </c>
      <c r="N9129" s="143">
        <f ca="1">(PRODUCT($O$5:$O9129)-1)*36000/_xlfn.DAYS(L9129, $C$2)</f>
        <v>16.622660419666452</v>
      </c>
      <c r="O9129" s="149">
        <f t="shared" ca="1" si="296"/>
        <v>1.000173611111111</v>
      </c>
    </row>
    <row r="9130" spans="12:15" x14ac:dyDescent="0.25">
      <c r="L9130" s="147">
        <f ca="1"/>
        <v>54369</v>
      </c>
      <c r="M9130" s="92">
        <f t="shared" ca="1" si="295"/>
        <v>6.25</v>
      </c>
      <c r="N9130" s="143">
        <f ca="1">(PRODUCT($O$5:$O9130)-1)*36000/_xlfn.DAYS(L9130, $C$2)</f>
        <v>16.624409376636009</v>
      </c>
      <c r="O9130" s="149">
        <f t="shared" ca="1" si="296"/>
        <v>1.000173611111111</v>
      </c>
    </row>
    <row r="9131" spans="12:15" x14ac:dyDescent="0.25">
      <c r="L9131" s="147">
        <f ca="1"/>
        <v>54370</v>
      </c>
      <c r="M9131" s="92">
        <f t="shared" ca="1" si="295"/>
        <v>6.25</v>
      </c>
      <c r="N9131" s="143">
        <f ca="1">(PRODUCT($O$5:$O9131)-1)*36000/_xlfn.DAYS(L9131, $C$2)</f>
        <v>16.626158570152988</v>
      </c>
      <c r="O9131" s="149">
        <f t="shared" ca="1" si="296"/>
        <v>1.000173611111111</v>
      </c>
    </row>
    <row r="9132" spans="12:15" x14ac:dyDescent="0.25">
      <c r="L9132" s="147">
        <f ca="1"/>
        <v>54371</v>
      </c>
      <c r="M9132" s="92">
        <f t="shared" ca="1" si="295"/>
        <v>6.25</v>
      </c>
      <c r="N9132" s="143">
        <f ca="1">(PRODUCT($O$5:$O9132)-1)*36000/_xlfn.DAYS(L9132, $C$2)</f>
        <v>16.627908000247238</v>
      </c>
      <c r="O9132" s="149">
        <f t="shared" ca="1" si="296"/>
        <v>1.000173611111111</v>
      </c>
    </row>
    <row r="9133" spans="12:15" x14ac:dyDescent="0.25">
      <c r="L9133" s="147">
        <f ca="1"/>
        <v>54372</v>
      </c>
      <c r="M9133" s="92">
        <f t="shared" ca="1" si="295"/>
        <v>6.25</v>
      </c>
      <c r="N9133" s="143">
        <f ca="1">(PRODUCT($O$5:$O9133)-1)*36000/_xlfn.DAYS(L9133, $C$2)</f>
        <v>16.629657666948603</v>
      </c>
      <c r="O9133" s="149">
        <f t="shared" ca="1" si="296"/>
        <v>1.000173611111111</v>
      </c>
    </row>
    <row r="9134" spans="12:15" x14ac:dyDescent="0.25">
      <c r="L9134" s="147">
        <f ca="1"/>
        <v>54373</v>
      </c>
      <c r="M9134" s="92">
        <f t="shared" ca="1" si="295"/>
        <v>6.25</v>
      </c>
      <c r="N9134" s="143">
        <f ca="1">(PRODUCT($O$5:$O9134)-1)*36000/_xlfn.DAYS(L9134, $C$2)</f>
        <v>16.63140757028696</v>
      </c>
      <c r="O9134" s="149">
        <f t="shared" ca="1" si="296"/>
        <v>1.000173611111111</v>
      </c>
    </row>
    <row r="9135" spans="12:15" x14ac:dyDescent="0.25">
      <c r="L9135" s="147">
        <f ca="1"/>
        <v>54374</v>
      </c>
      <c r="M9135" s="92">
        <f t="shared" ca="1" si="295"/>
        <v>6.25</v>
      </c>
      <c r="N9135" s="143">
        <f ca="1">(PRODUCT($O$5:$O9135)-1)*36000/_xlfn.DAYS(L9135, $C$2)</f>
        <v>16.633157710292156</v>
      </c>
      <c r="O9135" s="149">
        <f t="shared" ca="1" si="296"/>
        <v>1.000173611111111</v>
      </c>
    </row>
    <row r="9136" spans="12:15" x14ac:dyDescent="0.25">
      <c r="L9136" s="147">
        <f ca="1"/>
        <v>54375</v>
      </c>
      <c r="M9136" s="92">
        <f t="shared" ca="1" si="295"/>
        <v>6.25</v>
      </c>
      <c r="N9136" s="143">
        <f ca="1">(PRODUCT($O$5:$O9136)-1)*36000/_xlfn.DAYS(L9136, $C$2)</f>
        <v>16.634908086994074</v>
      </c>
      <c r="O9136" s="149">
        <f t="shared" ca="1" si="296"/>
        <v>1.000173611111111</v>
      </c>
    </row>
    <row r="9137" spans="12:15" x14ac:dyDescent="0.25">
      <c r="L9137" s="147">
        <f ca="1"/>
        <v>54376</v>
      </c>
      <c r="M9137" s="92">
        <f t="shared" ca="1" si="295"/>
        <v>6.25</v>
      </c>
      <c r="N9137" s="143">
        <f ca="1">(PRODUCT($O$5:$O9137)-1)*36000/_xlfn.DAYS(L9137, $C$2)</f>
        <v>16.636658700422583</v>
      </c>
      <c r="O9137" s="149">
        <f t="shared" ca="1" si="296"/>
        <v>1.000173611111111</v>
      </c>
    </row>
    <row r="9138" spans="12:15" x14ac:dyDescent="0.25">
      <c r="L9138" s="147">
        <f ca="1"/>
        <v>54377</v>
      </c>
      <c r="M9138" s="92">
        <f t="shared" ca="1" si="295"/>
        <v>6.25</v>
      </c>
      <c r="N9138" s="143">
        <f ca="1">(PRODUCT($O$5:$O9138)-1)*36000/_xlfn.DAYS(L9138, $C$2)</f>
        <v>16.63840955060757</v>
      </c>
      <c r="O9138" s="149">
        <f t="shared" ca="1" si="296"/>
        <v>1.000173611111111</v>
      </c>
    </row>
    <row r="9139" spans="12:15" x14ac:dyDescent="0.25">
      <c r="L9139" s="147">
        <f ca="1"/>
        <v>54378</v>
      </c>
      <c r="M9139" s="92">
        <f t="shared" ca="1" si="295"/>
        <v>6.25</v>
      </c>
      <c r="N9139" s="143">
        <f ca="1">(PRODUCT($O$5:$O9139)-1)*36000/_xlfn.DAYS(L9139, $C$2)</f>
        <v>16.640160637578916</v>
      </c>
      <c r="O9139" s="149">
        <f t="shared" ca="1" si="296"/>
        <v>1.000173611111111</v>
      </c>
    </row>
    <row r="9140" spans="12:15" x14ac:dyDescent="0.25">
      <c r="L9140" s="147">
        <f ca="1"/>
        <v>54379</v>
      </c>
      <c r="M9140" s="92">
        <f t="shared" ca="1" si="295"/>
        <v>6.25</v>
      </c>
      <c r="N9140" s="143">
        <f ca="1">(PRODUCT($O$5:$O9140)-1)*36000/_xlfn.DAYS(L9140, $C$2)</f>
        <v>16.641911961366521</v>
      </c>
      <c r="O9140" s="149">
        <f t="shared" ca="1" si="296"/>
        <v>1.000173611111111</v>
      </c>
    </row>
    <row r="9141" spans="12:15" x14ac:dyDescent="0.25">
      <c r="L9141" s="147">
        <f ca="1"/>
        <v>54380</v>
      </c>
      <c r="M9141" s="92">
        <f t="shared" ca="1" si="295"/>
        <v>6.25</v>
      </c>
      <c r="N9141" s="143">
        <f ca="1">(PRODUCT($O$5:$O9141)-1)*36000/_xlfn.DAYS(L9141, $C$2)</f>
        <v>16.643663522000281</v>
      </c>
      <c r="O9141" s="149">
        <f t="shared" ca="1" si="296"/>
        <v>1.000173611111111</v>
      </c>
    </row>
    <row r="9142" spans="12:15" x14ac:dyDescent="0.25">
      <c r="L9142" s="147">
        <f ca="1"/>
        <v>54381</v>
      </c>
      <c r="M9142" s="92">
        <f t="shared" ca="1" si="295"/>
        <v>6.25</v>
      </c>
      <c r="N9142" s="143">
        <f ca="1">(PRODUCT($O$5:$O9142)-1)*36000/_xlfn.DAYS(L9142, $C$2)</f>
        <v>16.6454153195101</v>
      </c>
      <c r="O9142" s="149">
        <f t="shared" ca="1" si="296"/>
        <v>1.000173611111111</v>
      </c>
    </row>
    <row r="9143" spans="12:15" x14ac:dyDescent="0.25">
      <c r="L9143" s="147">
        <f ca="1"/>
        <v>54382</v>
      </c>
      <c r="M9143" s="92">
        <f t="shared" ca="1" si="295"/>
        <v>6.25</v>
      </c>
      <c r="N9143" s="143">
        <f ca="1">(PRODUCT($O$5:$O9143)-1)*36000/_xlfn.DAYS(L9143, $C$2)</f>
        <v>16.647167353925891</v>
      </c>
      <c r="O9143" s="149">
        <f t="shared" ca="1" si="296"/>
        <v>1.000173611111111</v>
      </c>
    </row>
    <row r="9144" spans="12:15" x14ac:dyDescent="0.25">
      <c r="L9144" s="147">
        <f ca="1"/>
        <v>54383</v>
      </c>
      <c r="M9144" s="92">
        <f t="shared" ca="1" si="295"/>
        <v>6.25</v>
      </c>
      <c r="N9144" s="143">
        <f ca="1">(PRODUCT($O$5:$O9144)-1)*36000/_xlfn.DAYS(L9144, $C$2)</f>
        <v>16.648919625277568</v>
      </c>
      <c r="O9144" s="149">
        <f t="shared" ca="1" si="296"/>
        <v>1.000173611111111</v>
      </c>
    </row>
    <row r="9145" spans="12:15" x14ac:dyDescent="0.25">
      <c r="L9145" s="147">
        <f ca="1"/>
        <v>54384</v>
      </c>
      <c r="M9145" s="92">
        <f t="shared" ca="1" si="295"/>
        <v>6.25</v>
      </c>
      <c r="N9145" s="143">
        <f ca="1">(PRODUCT($O$5:$O9145)-1)*36000/_xlfn.DAYS(L9145, $C$2)</f>
        <v>16.650672133595048</v>
      </c>
      <c r="O9145" s="149">
        <f t="shared" ca="1" si="296"/>
        <v>1.000173611111111</v>
      </c>
    </row>
    <row r="9146" spans="12:15" x14ac:dyDescent="0.25">
      <c r="L9146" s="147">
        <f ca="1"/>
        <v>54385</v>
      </c>
      <c r="M9146" s="92">
        <f t="shared" ca="1" si="295"/>
        <v>6.25</v>
      </c>
      <c r="N9146" s="143">
        <f ca="1">(PRODUCT($O$5:$O9146)-1)*36000/_xlfn.DAYS(L9146, $C$2)</f>
        <v>16.652424878908263</v>
      </c>
      <c r="O9146" s="149">
        <f t="shared" ca="1" si="296"/>
        <v>1.000173611111111</v>
      </c>
    </row>
    <row r="9147" spans="12:15" x14ac:dyDescent="0.25">
      <c r="L9147" s="147">
        <f ca="1"/>
        <v>54386</v>
      </c>
      <c r="M9147" s="92">
        <f t="shared" ca="1" si="295"/>
        <v>6.25</v>
      </c>
      <c r="N9147" s="143">
        <f ca="1">(PRODUCT($O$5:$O9147)-1)*36000/_xlfn.DAYS(L9147, $C$2)</f>
        <v>16.654177861247145</v>
      </c>
      <c r="O9147" s="149">
        <f t="shared" ca="1" si="296"/>
        <v>1.000173611111111</v>
      </c>
    </row>
    <row r="9148" spans="12:15" x14ac:dyDescent="0.25">
      <c r="L9148" s="147">
        <f ca="1"/>
        <v>54387</v>
      </c>
      <c r="M9148" s="92">
        <f t="shared" ca="1" si="295"/>
        <v>6.25</v>
      </c>
      <c r="N9148" s="143">
        <f ca="1">(PRODUCT($O$5:$O9148)-1)*36000/_xlfn.DAYS(L9148, $C$2)</f>
        <v>16.655931080641629</v>
      </c>
      <c r="O9148" s="149">
        <f t="shared" ca="1" si="296"/>
        <v>1.000173611111111</v>
      </c>
    </row>
    <row r="9149" spans="12:15" x14ac:dyDescent="0.25">
      <c r="L9149" s="147">
        <f ca="1"/>
        <v>54388</v>
      </c>
      <c r="M9149" s="92">
        <f t="shared" ca="1" si="295"/>
        <v>6.25</v>
      </c>
      <c r="N9149" s="143">
        <f ca="1">(PRODUCT($O$5:$O9149)-1)*36000/_xlfn.DAYS(L9149, $C$2)</f>
        <v>16.657684537121657</v>
      </c>
      <c r="O9149" s="149">
        <f t="shared" ca="1" si="296"/>
        <v>1.000173611111111</v>
      </c>
    </row>
    <row r="9150" spans="12:15" x14ac:dyDescent="0.25">
      <c r="L9150" s="147">
        <f ca="1"/>
        <v>54389</v>
      </c>
      <c r="M9150" s="92">
        <f t="shared" ca="1" si="295"/>
        <v>6.25</v>
      </c>
      <c r="N9150" s="143">
        <f ca="1">(PRODUCT($O$5:$O9150)-1)*36000/_xlfn.DAYS(L9150, $C$2)</f>
        <v>16.659438230717186</v>
      </c>
      <c r="O9150" s="149">
        <f t="shared" ca="1" si="296"/>
        <v>1.000173611111111</v>
      </c>
    </row>
    <row r="9151" spans="12:15" x14ac:dyDescent="0.25">
      <c r="L9151" s="147">
        <f ca="1"/>
        <v>54390</v>
      </c>
      <c r="M9151" s="92">
        <f t="shared" ca="1" si="295"/>
        <v>6.25</v>
      </c>
      <c r="N9151" s="143">
        <f ca="1">(PRODUCT($O$5:$O9151)-1)*36000/_xlfn.DAYS(L9151, $C$2)</f>
        <v>16.66119216145816</v>
      </c>
      <c r="O9151" s="149">
        <f t="shared" ca="1" si="296"/>
        <v>1.000173611111111</v>
      </c>
    </row>
    <row r="9152" spans="12:15" x14ac:dyDescent="0.25">
      <c r="L9152" s="147">
        <f ca="1"/>
        <v>54391</v>
      </c>
      <c r="M9152" s="92">
        <f t="shared" ca="1" si="295"/>
        <v>6.25</v>
      </c>
      <c r="N9152" s="143">
        <f ca="1">(PRODUCT($O$5:$O9152)-1)*36000/_xlfn.DAYS(L9152, $C$2)</f>
        <v>16.662946329374542</v>
      </c>
      <c r="O9152" s="149">
        <f t="shared" ca="1" si="296"/>
        <v>1.000173611111111</v>
      </c>
    </row>
    <row r="9153" spans="12:15" x14ac:dyDescent="0.25">
      <c r="L9153" s="147">
        <f ca="1"/>
        <v>54392</v>
      </c>
      <c r="M9153" s="92">
        <f t="shared" ca="1" si="295"/>
        <v>6.25</v>
      </c>
      <c r="N9153" s="143">
        <f ca="1">(PRODUCT($O$5:$O9153)-1)*36000/_xlfn.DAYS(L9153, $C$2)</f>
        <v>16.664700734496307</v>
      </c>
      <c r="O9153" s="149">
        <f t="shared" ca="1" si="296"/>
        <v>1.000173611111111</v>
      </c>
    </row>
    <row r="9154" spans="12:15" x14ac:dyDescent="0.25">
      <c r="L9154" s="147">
        <f ca="1"/>
        <v>54393</v>
      </c>
      <c r="M9154" s="92">
        <f t="shared" ca="1" si="295"/>
        <v>6.25</v>
      </c>
      <c r="N9154" s="143">
        <f ca="1">(PRODUCT($O$5:$O9154)-1)*36000/_xlfn.DAYS(L9154, $C$2)</f>
        <v>16.666455376853413</v>
      </c>
      <c r="O9154" s="149">
        <f t="shared" ca="1" si="296"/>
        <v>1.000173611111111</v>
      </c>
    </row>
    <row r="9155" spans="12:15" x14ac:dyDescent="0.25">
      <c r="L9155" s="147">
        <f ca="1"/>
        <v>54394</v>
      </c>
      <c r="M9155" s="92">
        <f t="shared" ca="1" si="295"/>
        <v>6.25</v>
      </c>
      <c r="N9155" s="143">
        <f ca="1">(PRODUCT($O$5:$O9155)-1)*36000/_xlfn.DAYS(L9155, $C$2)</f>
        <v>16.668210256475849</v>
      </c>
      <c r="O9155" s="149">
        <f t="shared" ca="1" si="296"/>
        <v>1.000173611111111</v>
      </c>
    </row>
    <row r="9156" spans="12:15" x14ac:dyDescent="0.25">
      <c r="L9156" s="147">
        <f ca="1"/>
        <v>54395</v>
      </c>
      <c r="M9156" s="92">
        <f t="shared" ca="1" si="295"/>
        <v>6.25</v>
      </c>
      <c r="N9156" s="143">
        <f ca="1">(PRODUCT($O$5:$O9156)-1)*36000/_xlfn.DAYS(L9156, $C$2)</f>
        <v>16.669965373393591</v>
      </c>
      <c r="O9156" s="149">
        <f t="shared" ca="1" si="296"/>
        <v>1.000173611111111</v>
      </c>
    </row>
    <row r="9157" spans="12:15" x14ac:dyDescent="0.25">
      <c r="L9157" s="147">
        <f ca="1"/>
        <v>54396</v>
      </c>
      <c r="M9157" s="92">
        <f t="shared" ref="M9157:M9220" ca="1" si="297">IFERROR(INDEX($E$27:$H$47, MATCH(L9157, $F$27:$F$47, 0), 4), IF(ISNUMBER(M9156), M9156, $C$5))</f>
        <v>6.25</v>
      </c>
      <c r="N9157" s="143">
        <f ca="1">(PRODUCT($O$5:$O9157)-1)*36000/_xlfn.DAYS(L9157, $C$2)</f>
        <v>16.671720727636632</v>
      </c>
      <c r="O9157" s="149">
        <f t="shared" ca="1" si="296"/>
        <v>1.000173611111111</v>
      </c>
    </row>
    <row r="9158" spans="12:15" x14ac:dyDescent="0.25">
      <c r="L9158" s="147">
        <f ca="1"/>
        <v>54397</v>
      </c>
      <c r="M9158" s="92">
        <f t="shared" ca="1" si="297"/>
        <v>6.25</v>
      </c>
      <c r="N9158" s="143">
        <f ca="1">(PRODUCT($O$5:$O9158)-1)*36000/_xlfn.DAYS(L9158, $C$2)</f>
        <v>16.673476319234961</v>
      </c>
      <c r="O9158" s="149">
        <f t="shared" ref="O9158:O9221" ca="1" si="298">1+M9158*IFERROR(_xlfn.DAYS(L9158, L9157), _xlfn.DAYS(L9158, $C$2))/36000</f>
        <v>1.000173611111111</v>
      </c>
    </row>
    <row r="9159" spans="12:15" x14ac:dyDescent="0.25">
      <c r="L9159" s="147">
        <f ca="1"/>
        <v>54398</v>
      </c>
      <c r="M9159" s="92">
        <f t="shared" ca="1" si="297"/>
        <v>6.25</v>
      </c>
      <c r="N9159" s="143">
        <f ca="1">(PRODUCT($O$5:$O9159)-1)*36000/_xlfn.DAYS(L9159, $C$2)</f>
        <v>16.675232148218583</v>
      </c>
      <c r="O9159" s="149">
        <f t="shared" ca="1" si="298"/>
        <v>1.000173611111111</v>
      </c>
    </row>
    <row r="9160" spans="12:15" x14ac:dyDescent="0.25">
      <c r="L9160" s="147">
        <f ca="1"/>
        <v>54399</v>
      </c>
      <c r="M9160" s="92">
        <f t="shared" ca="1" si="297"/>
        <v>6.25</v>
      </c>
      <c r="N9160" s="143">
        <f ca="1">(PRODUCT($O$5:$O9160)-1)*36000/_xlfn.DAYS(L9160, $C$2)</f>
        <v>16.676988214617495</v>
      </c>
      <c r="O9160" s="149">
        <f t="shared" ca="1" si="298"/>
        <v>1.000173611111111</v>
      </c>
    </row>
    <row r="9161" spans="12:15" x14ac:dyDescent="0.25">
      <c r="L9161" s="147">
        <f ca="1"/>
        <v>54400</v>
      </c>
      <c r="M9161" s="92">
        <f t="shared" ca="1" si="297"/>
        <v>6.25</v>
      </c>
      <c r="N9161" s="143">
        <f ca="1">(PRODUCT($O$5:$O9161)-1)*36000/_xlfn.DAYS(L9161, $C$2)</f>
        <v>16.678744518461713</v>
      </c>
      <c r="O9161" s="149">
        <f t="shared" ca="1" si="298"/>
        <v>1.000173611111111</v>
      </c>
    </row>
    <row r="9162" spans="12:15" x14ac:dyDescent="0.25">
      <c r="L9162" s="147">
        <f ca="1"/>
        <v>54401</v>
      </c>
      <c r="M9162" s="92">
        <f t="shared" ca="1" si="297"/>
        <v>6.25</v>
      </c>
      <c r="N9162" s="143">
        <f ca="1">(PRODUCT($O$5:$O9162)-1)*36000/_xlfn.DAYS(L9162, $C$2)</f>
        <v>16.680501059781257</v>
      </c>
      <c r="O9162" s="149">
        <f t="shared" ca="1" si="298"/>
        <v>1.000173611111111</v>
      </c>
    </row>
    <row r="9163" spans="12:15" x14ac:dyDescent="0.25">
      <c r="L9163" s="147">
        <f ca="1"/>
        <v>54402</v>
      </c>
      <c r="M9163" s="92">
        <f t="shared" ca="1" si="297"/>
        <v>6.25</v>
      </c>
      <c r="N9163" s="143">
        <f ca="1">(PRODUCT($O$5:$O9163)-1)*36000/_xlfn.DAYS(L9163, $C$2)</f>
        <v>16.682257838606144</v>
      </c>
      <c r="O9163" s="149">
        <f t="shared" ca="1" si="298"/>
        <v>1.000173611111111</v>
      </c>
    </row>
    <row r="9164" spans="12:15" x14ac:dyDescent="0.25">
      <c r="L9164" s="147">
        <f ca="1"/>
        <v>54403</v>
      </c>
      <c r="M9164" s="92">
        <f t="shared" ca="1" si="297"/>
        <v>6.25</v>
      </c>
      <c r="N9164" s="143">
        <f ca="1">(PRODUCT($O$5:$O9164)-1)*36000/_xlfn.DAYS(L9164, $C$2)</f>
        <v>16.684014854966396</v>
      </c>
      <c r="O9164" s="149">
        <f t="shared" ca="1" si="298"/>
        <v>1.000173611111111</v>
      </c>
    </row>
    <row r="9165" spans="12:15" x14ac:dyDescent="0.25">
      <c r="L9165" s="147">
        <f ca="1"/>
        <v>54404</v>
      </c>
      <c r="M9165" s="92">
        <f t="shared" ca="1" si="297"/>
        <v>6.25</v>
      </c>
      <c r="N9165" s="143">
        <f ca="1">(PRODUCT($O$5:$O9165)-1)*36000/_xlfn.DAYS(L9165, $C$2)</f>
        <v>16.685772108892056</v>
      </c>
      <c r="O9165" s="149">
        <f t="shared" ca="1" si="298"/>
        <v>1.000173611111111</v>
      </c>
    </row>
    <row r="9166" spans="12:15" x14ac:dyDescent="0.25">
      <c r="L9166" s="147">
        <f ca="1"/>
        <v>54405</v>
      </c>
      <c r="M9166" s="92">
        <f t="shared" ca="1" si="297"/>
        <v>6.25</v>
      </c>
      <c r="N9166" s="143">
        <f ca="1">(PRODUCT($O$5:$O9166)-1)*36000/_xlfn.DAYS(L9166, $C$2)</f>
        <v>16.687529600413161</v>
      </c>
      <c r="O9166" s="149">
        <f t="shared" ca="1" si="298"/>
        <v>1.000173611111111</v>
      </c>
    </row>
    <row r="9167" spans="12:15" x14ac:dyDescent="0.25">
      <c r="L9167" s="147">
        <f ca="1"/>
        <v>54406</v>
      </c>
      <c r="M9167" s="92">
        <f t="shared" ca="1" si="297"/>
        <v>6.25</v>
      </c>
      <c r="N9167" s="143">
        <f ca="1">(PRODUCT($O$5:$O9167)-1)*36000/_xlfn.DAYS(L9167, $C$2)</f>
        <v>16.689287329559754</v>
      </c>
      <c r="O9167" s="149">
        <f t="shared" ca="1" si="298"/>
        <v>1.000173611111111</v>
      </c>
    </row>
    <row r="9168" spans="12:15" x14ac:dyDescent="0.25">
      <c r="L9168" s="147">
        <f ca="1"/>
        <v>54407</v>
      </c>
      <c r="M9168" s="92">
        <f t="shared" ca="1" si="297"/>
        <v>6.25</v>
      </c>
      <c r="N9168" s="143">
        <f ca="1">(PRODUCT($O$5:$O9168)-1)*36000/_xlfn.DAYS(L9168, $C$2)</f>
        <v>16.691045296361889</v>
      </c>
      <c r="O9168" s="149">
        <f t="shared" ca="1" si="298"/>
        <v>1.000173611111111</v>
      </c>
    </row>
    <row r="9169" spans="12:15" x14ac:dyDescent="0.25">
      <c r="L9169" s="147">
        <f ca="1"/>
        <v>54408</v>
      </c>
      <c r="M9169" s="92">
        <f t="shared" ca="1" si="297"/>
        <v>6.25</v>
      </c>
      <c r="N9169" s="143">
        <f ca="1">(PRODUCT($O$5:$O9169)-1)*36000/_xlfn.DAYS(L9169, $C$2)</f>
        <v>16.692803500849607</v>
      </c>
      <c r="O9169" s="149">
        <f t="shared" ca="1" si="298"/>
        <v>1.000173611111111</v>
      </c>
    </row>
    <row r="9170" spans="12:15" x14ac:dyDescent="0.25">
      <c r="L9170" s="147">
        <f ca="1"/>
        <v>54409</v>
      </c>
      <c r="M9170" s="92">
        <f t="shared" ca="1" si="297"/>
        <v>6.25</v>
      </c>
      <c r="N9170" s="143">
        <f ca="1">(PRODUCT($O$5:$O9170)-1)*36000/_xlfn.DAYS(L9170, $C$2)</f>
        <v>16.694561943052985</v>
      </c>
      <c r="O9170" s="149">
        <f t="shared" ca="1" si="298"/>
        <v>1.000173611111111</v>
      </c>
    </row>
    <row r="9171" spans="12:15" x14ac:dyDescent="0.25">
      <c r="L9171" s="147">
        <f ca="1"/>
        <v>54410</v>
      </c>
      <c r="M9171" s="92">
        <f t="shared" ca="1" si="297"/>
        <v>6.25</v>
      </c>
      <c r="N9171" s="143">
        <f ca="1">(PRODUCT($O$5:$O9171)-1)*36000/_xlfn.DAYS(L9171, $C$2)</f>
        <v>16.696320623002087</v>
      </c>
      <c r="O9171" s="149">
        <f t="shared" ca="1" si="298"/>
        <v>1.000173611111111</v>
      </c>
    </row>
    <row r="9172" spans="12:15" x14ac:dyDescent="0.25">
      <c r="L9172" s="147">
        <f ca="1"/>
        <v>54411</v>
      </c>
      <c r="M9172" s="92">
        <f t="shared" ca="1" si="297"/>
        <v>6.25</v>
      </c>
      <c r="N9172" s="143">
        <f ca="1">(PRODUCT($O$5:$O9172)-1)*36000/_xlfn.DAYS(L9172, $C$2)</f>
        <v>16.698079540726983</v>
      </c>
      <c r="O9172" s="149">
        <f t="shared" ca="1" si="298"/>
        <v>1.000173611111111</v>
      </c>
    </row>
    <row r="9173" spans="12:15" x14ac:dyDescent="0.25">
      <c r="L9173" s="147">
        <f ca="1"/>
        <v>54412</v>
      </c>
      <c r="M9173" s="92">
        <f t="shared" ca="1" si="297"/>
        <v>6.25</v>
      </c>
      <c r="N9173" s="143">
        <f ca="1">(PRODUCT($O$5:$O9173)-1)*36000/_xlfn.DAYS(L9173, $C$2)</f>
        <v>16.699838696257746</v>
      </c>
      <c r="O9173" s="149">
        <f t="shared" ca="1" si="298"/>
        <v>1.000173611111111</v>
      </c>
    </row>
    <row r="9174" spans="12:15" x14ac:dyDescent="0.25">
      <c r="L9174" s="147">
        <f ca="1"/>
        <v>54413</v>
      </c>
      <c r="M9174" s="92">
        <f t="shared" ca="1" si="297"/>
        <v>6.25</v>
      </c>
      <c r="N9174" s="143">
        <f ca="1">(PRODUCT($O$5:$O9174)-1)*36000/_xlfn.DAYS(L9174, $C$2)</f>
        <v>16.701598089624465</v>
      </c>
      <c r="O9174" s="149">
        <f t="shared" ca="1" si="298"/>
        <v>1.000173611111111</v>
      </c>
    </row>
    <row r="9175" spans="12:15" x14ac:dyDescent="0.25">
      <c r="L9175" s="147">
        <f ca="1"/>
        <v>54414</v>
      </c>
      <c r="M9175" s="92">
        <f t="shared" ca="1" si="297"/>
        <v>6.25</v>
      </c>
      <c r="N9175" s="143">
        <f ca="1">(PRODUCT($O$5:$O9175)-1)*36000/_xlfn.DAYS(L9175, $C$2)</f>
        <v>16.70335772085723</v>
      </c>
      <c r="O9175" s="149">
        <f t="shared" ca="1" si="298"/>
        <v>1.000173611111111</v>
      </c>
    </row>
    <row r="9176" spans="12:15" x14ac:dyDescent="0.25">
      <c r="L9176" s="147">
        <f ca="1"/>
        <v>54415</v>
      </c>
      <c r="M9176" s="92">
        <f t="shared" ca="1" si="297"/>
        <v>6.25</v>
      </c>
      <c r="N9176" s="143">
        <f ca="1">(PRODUCT($O$5:$O9176)-1)*36000/_xlfn.DAYS(L9176, $C$2)</f>
        <v>16.705117589986134</v>
      </c>
      <c r="O9176" s="149">
        <f t="shared" ca="1" si="298"/>
        <v>1.000173611111111</v>
      </c>
    </row>
    <row r="9177" spans="12:15" x14ac:dyDescent="0.25">
      <c r="L9177" s="147">
        <f ca="1"/>
        <v>54416</v>
      </c>
      <c r="M9177" s="92">
        <f t="shared" ca="1" si="297"/>
        <v>6.25</v>
      </c>
      <c r="N9177" s="143">
        <f ca="1">(PRODUCT($O$5:$O9177)-1)*36000/_xlfn.DAYS(L9177, $C$2)</f>
        <v>16.706877697041278</v>
      </c>
      <c r="O9177" s="149">
        <f t="shared" ca="1" si="298"/>
        <v>1.000173611111111</v>
      </c>
    </row>
    <row r="9178" spans="12:15" x14ac:dyDescent="0.25">
      <c r="L9178" s="147">
        <f ca="1"/>
        <v>54417</v>
      </c>
      <c r="M9178" s="92">
        <f t="shared" ca="1" si="297"/>
        <v>6.25</v>
      </c>
      <c r="N9178" s="143">
        <f ca="1">(PRODUCT($O$5:$O9178)-1)*36000/_xlfn.DAYS(L9178, $C$2)</f>
        <v>16.708638042052765</v>
      </c>
      <c r="O9178" s="149">
        <f t="shared" ca="1" si="298"/>
        <v>1.000173611111111</v>
      </c>
    </row>
    <row r="9179" spans="12:15" x14ac:dyDescent="0.25">
      <c r="L9179" s="147">
        <f ca="1"/>
        <v>54418</v>
      </c>
      <c r="M9179" s="92">
        <f t="shared" ca="1" si="297"/>
        <v>6.25</v>
      </c>
      <c r="N9179" s="143">
        <f ca="1">(PRODUCT($O$5:$O9179)-1)*36000/_xlfn.DAYS(L9179, $C$2)</f>
        <v>16.710398625050715</v>
      </c>
      <c r="O9179" s="149">
        <f t="shared" ca="1" si="298"/>
        <v>1.000173611111111</v>
      </c>
    </row>
    <row r="9180" spans="12:15" x14ac:dyDescent="0.25">
      <c r="L9180" s="147">
        <f ca="1"/>
        <v>54419</v>
      </c>
      <c r="M9180" s="92">
        <f t="shared" ca="1" si="297"/>
        <v>6.25</v>
      </c>
      <c r="N9180" s="143">
        <f ca="1">(PRODUCT($O$5:$O9180)-1)*36000/_xlfn.DAYS(L9180, $C$2)</f>
        <v>16.712159446065233</v>
      </c>
      <c r="O9180" s="149">
        <f t="shared" ca="1" si="298"/>
        <v>1.000173611111111</v>
      </c>
    </row>
    <row r="9181" spans="12:15" x14ac:dyDescent="0.25">
      <c r="L9181" s="147">
        <f ca="1"/>
        <v>54420</v>
      </c>
      <c r="M9181" s="92">
        <f t="shared" ca="1" si="297"/>
        <v>6.25</v>
      </c>
      <c r="N9181" s="143">
        <f ca="1">(PRODUCT($O$5:$O9181)-1)*36000/_xlfn.DAYS(L9181, $C$2)</f>
        <v>16.713920505126453</v>
      </c>
      <c r="O9181" s="149">
        <f t="shared" ca="1" si="298"/>
        <v>1.000173611111111</v>
      </c>
    </row>
    <row r="9182" spans="12:15" x14ac:dyDescent="0.25">
      <c r="L9182" s="147">
        <f ca="1"/>
        <v>54421</v>
      </c>
      <c r="M9182" s="92">
        <f t="shared" ca="1" si="297"/>
        <v>6.25</v>
      </c>
      <c r="N9182" s="143">
        <f ca="1">(PRODUCT($O$5:$O9182)-1)*36000/_xlfn.DAYS(L9182, $C$2)</f>
        <v>16.715681802264498</v>
      </c>
      <c r="O9182" s="149">
        <f t="shared" ca="1" si="298"/>
        <v>1.000173611111111</v>
      </c>
    </row>
    <row r="9183" spans="12:15" x14ac:dyDescent="0.25">
      <c r="L9183" s="147">
        <f ca="1"/>
        <v>54422</v>
      </c>
      <c r="M9183" s="92">
        <f t="shared" ca="1" si="297"/>
        <v>6.25</v>
      </c>
      <c r="N9183" s="143">
        <f ca="1">(PRODUCT($O$5:$O9183)-1)*36000/_xlfn.DAYS(L9183, $C$2)</f>
        <v>16.717443337509501</v>
      </c>
      <c r="O9183" s="149">
        <f t="shared" ca="1" si="298"/>
        <v>1.000173611111111</v>
      </c>
    </row>
    <row r="9184" spans="12:15" x14ac:dyDescent="0.25">
      <c r="L9184" s="147">
        <f ca="1"/>
        <v>54423</v>
      </c>
      <c r="M9184" s="92">
        <f t="shared" ca="1" si="297"/>
        <v>6.25</v>
      </c>
      <c r="N9184" s="143">
        <f ca="1">(PRODUCT($O$5:$O9184)-1)*36000/_xlfn.DAYS(L9184, $C$2)</f>
        <v>16.719205110891604</v>
      </c>
      <c r="O9184" s="149">
        <f t="shared" ca="1" si="298"/>
        <v>1.000173611111111</v>
      </c>
    </row>
    <row r="9185" spans="12:15" x14ac:dyDescent="0.25">
      <c r="L9185" s="147">
        <f ca="1"/>
        <v>54424</v>
      </c>
      <c r="M9185" s="92">
        <f t="shared" ca="1" si="297"/>
        <v>6.25</v>
      </c>
      <c r="N9185" s="143">
        <f ca="1">(PRODUCT($O$5:$O9185)-1)*36000/_xlfn.DAYS(L9185, $C$2)</f>
        <v>16.720967122440953</v>
      </c>
      <c r="O9185" s="149">
        <f t="shared" ca="1" si="298"/>
        <v>1.000173611111111</v>
      </c>
    </row>
    <row r="9186" spans="12:15" x14ac:dyDescent="0.25">
      <c r="L9186" s="147">
        <f ca="1"/>
        <v>54425</v>
      </c>
      <c r="M9186" s="92">
        <f t="shared" ca="1" si="297"/>
        <v>6.25</v>
      </c>
      <c r="N9186" s="143">
        <f ca="1">(PRODUCT($O$5:$O9186)-1)*36000/_xlfn.DAYS(L9186, $C$2)</f>
        <v>16.7227293721877</v>
      </c>
      <c r="O9186" s="149">
        <f t="shared" ca="1" si="298"/>
        <v>1.000173611111111</v>
      </c>
    </row>
    <row r="9187" spans="12:15" x14ac:dyDescent="0.25">
      <c r="L9187" s="147">
        <f ca="1"/>
        <v>54426</v>
      </c>
      <c r="M9187" s="92">
        <f t="shared" ca="1" si="297"/>
        <v>6.25</v>
      </c>
      <c r="N9187" s="143">
        <f ca="1">(PRODUCT($O$5:$O9187)-1)*36000/_xlfn.DAYS(L9187, $C$2)</f>
        <v>16.724491860161997</v>
      </c>
      <c r="O9187" s="149">
        <f t="shared" ca="1" si="298"/>
        <v>1.000173611111111</v>
      </c>
    </row>
    <row r="9188" spans="12:15" x14ac:dyDescent="0.25">
      <c r="L9188" s="147">
        <f ca="1"/>
        <v>54427</v>
      </c>
      <c r="M9188" s="92">
        <f t="shared" ca="1" si="297"/>
        <v>6.25</v>
      </c>
      <c r="N9188" s="143">
        <f ca="1">(PRODUCT($O$5:$O9188)-1)*36000/_xlfn.DAYS(L9188, $C$2)</f>
        <v>16.72625458639401</v>
      </c>
      <c r="O9188" s="149">
        <f t="shared" ca="1" si="298"/>
        <v>1.000173611111111</v>
      </c>
    </row>
    <row r="9189" spans="12:15" x14ac:dyDescent="0.25">
      <c r="L9189" s="147">
        <f ca="1"/>
        <v>54428</v>
      </c>
      <c r="M9189" s="92">
        <f t="shared" ca="1" si="297"/>
        <v>6.25</v>
      </c>
      <c r="N9189" s="143">
        <f ca="1">(PRODUCT($O$5:$O9189)-1)*36000/_xlfn.DAYS(L9189, $C$2)</f>
        <v>16.728017550913904</v>
      </c>
      <c r="O9189" s="149">
        <f t="shared" ca="1" si="298"/>
        <v>1.000173611111111</v>
      </c>
    </row>
    <row r="9190" spans="12:15" x14ac:dyDescent="0.25">
      <c r="L9190" s="147">
        <f ca="1"/>
        <v>54429</v>
      </c>
      <c r="M9190" s="92">
        <f t="shared" ca="1" si="297"/>
        <v>6.25</v>
      </c>
      <c r="N9190" s="143">
        <f ca="1">(PRODUCT($O$5:$O9190)-1)*36000/_xlfn.DAYS(L9190, $C$2)</f>
        <v>16.729780753751854</v>
      </c>
      <c r="O9190" s="149">
        <f t="shared" ca="1" si="298"/>
        <v>1.000173611111111</v>
      </c>
    </row>
    <row r="9191" spans="12:15" x14ac:dyDescent="0.25">
      <c r="L9191" s="147">
        <f ca="1"/>
        <v>54430</v>
      </c>
      <c r="M9191" s="92">
        <f t="shared" ca="1" si="297"/>
        <v>6.25</v>
      </c>
      <c r="N9191" s="143">
        <f ca="1">(PRODUCT($O$5:$O9191)-1)*36000/_xlfn.DAYS(L9191, $C$2)</f>
        <v>16.731544194938039</v>
      </c>
      <c r="O9191" s="149">
        <f t="shared" ca="1" si="298"/>
        <v>1.000173611111111</v>
      </c>
    </row>
    <row r="9192" spans="12:15" x14ac:dyDescent="0.25">
      <c r="L9192" s="147">
        <f ca="1"/>
        <v>54431</v>
      </c>
      <c r="M9192" s="92">
        <f t="shared" ca="1" si="297"/>
        <v>6.25</v>
      </c>
      <c r="N9192" s="143">
        <f ca="1">(PRODUCT($O$5:$O9192)-1)*36000/_xlfn.DAYS(L9192, $C$2)</f>
        <v>16.733307874502643</v>
      </c>
      <c r="O9192" s="149">
        <f t="shared" ca="1" si="298"/>
        <v>1.000173611111111</v>
      </c>
    </row>
    <row r="9193" spans="12:15" x14ac:dyDescent="0.25">
      <c r="L9193" s="147">
        <f ca="1"/>
        <v>54432</v>
      </c>
      <c r="M9193" s="92">
        <f t="shared" ca="1" si="297"/>
        <v>6.25</v>
      </c>
      <c r="N9193" s="143">
        <f ca="1">(PRODUCT($O$5:$O9193)-1)*36000/_xlfn.DAYS(L9193, $C$2)</f>
        <v>16.735071792475853</v>
      </c>
      <c r="O9193" s="149">
        <f t="shared" ca="1" si="298"/>
        <v>1.000173611111111</v>
      </c>
    </row>
    <row r="9194" spans="12:15" x14ac:dyDescent="0.25">
      <c r="L9194" s="147">
        <f ca="1"/>
        <v>54433</v>
      </c>
      <c r="M9194" s="92">
        <f t="shared" ca="1" si="297"/>
        <v>6.25</v>
      </c>
      <c r="N9194" s="143">
        <f ca="1">(PRODUCT($O$5:$O9194)-1)*36000/_xlfn.DAYS(L9194, $C$2)</f>
        <v>16.736835948887872</v>
      </c>
      <c r="O9194" s="149">
        <f t="shared" ca="1" si="298"/>
        <v>1.000173611111111</v>
      </c>
    </row>
    <row r="9195" spans="12:15" x14ac:dyDescent="0.25">
      <c r="L9195" s="147">
        <f ca="1"/>
        <v>54434</v>
      </c>
      <c r="M9195" s="92">
        <f t="shared" ca="1" si="297"/>
        <v>6.25</v>
      </c>
      <c r="N9195" s="143">
        <f ca="1">(PRODUCT($O$5:$O9195)-1)*36000/_xlfn.DAYS(L9195, $C$2)</f>
        <v>16.738600343768898</v>
      </c>
      <c r="O9195" s="149">
        <f t="shared" ca="1" si="298"/>
        <v>1.000173611111111</v>
      </c>
    </row>
    <row r="9196" spans="12:15" x14ac:dyDescent="0.25">
      <c r="L9196" s="147">
        <f ca="1"/>
        <v>54435</v>
      </c>
      <c r="M9196" s="92">
        <f t="shared" ca="1" si="297"/>
        <v>6.25</v>
      </c>
      <c r="N9196" s="143">
        <f ca="1">(PRODUCT($O$5:$O9196)-1)*36000/_xlfn.DAYS(L9196, $C$2)</f>
        <v>16.740364977149135</v>
      </c>
      <c r="O9196" s="149">
        <f t="shared" ca="1" si="298"/>
        <v>1.000173611111111</v>
      </c>
    </row>
    <row r="9197" spans="12:15" x14ac:dyDescent="0.25">
      <c r="L9197" s="147">
        <f ca="1"/>
        <v>54436</v>
      </c>
      <c r="M9197" s="92">
        <f t="shared" ca="1" si="297"/>
        <v>6.25</v>
      </c>
      <c r="N9197" s="143">
        <f ca="1">(PRODUCT($O$5:$O9197)-1)*36000/_xlfn.DAYS(L9197, $C$2)</f>
        <v>16.742129849058802</v>
      </c>
      <c r="O9197" s="149">
        <f t="shared" ca="1" si="298"/>
        <v>1.000173611111111</v>
      </c>
    </row>
    <row r="9198" spans="12:15" x14ac:dyDescent="0.25">
      <c r="L9198" s="147">
        <f ca="1"/>
        <v>54437</v>
      </c>
      <c r="M9198" s="92">
        <f t="shared" ca="1" si="297"/>
        <v>6.25</v>
      </c>
      <c r="N9198" s="143">
        <f ca="1">(PRODUCT($O$5:$O9198)-1)*36000/_xlfn.DAYS(L9198, $C$2)</f>
        <v>16.743894959528109</v>
      </c>
      <c r="O9198" s="149">
        <f t="shared" ca="1" si="298"/>
        <v>1.000173611111111</v>
      </c>
    </row>
    <row r="9199" spans="12:15" x14ac:dyDescent="0.25">
      <c r="L9199" s="147">
        <f ca="1"/>
        <v>54438</v>
      </c>
      <c r="M9199" s="92">
        <f t="shared" ca="1" si="297"/>
        <v>6.25</v>
      </c>
      <c r="N9199" s="143">
        <f ca="1">(PRODUCT($O$5:$O9199)-1)*36000/_xlfn.DAYS(L9199, $C$2)</f>
        <v>16.745660308587286</v>
      </c>
      <c r="O9199" s="149">
        <f t="shared" ca="1" si="298"/>
        <v>1.000173611111111</v>
      </c>
    </row>
    <row r="9200" spans="12:15" x14ac:dyDescent="0.25">
      <c r="L9200" s="147">
        <f ca="1"/>
        <v>54439</v>
      </c>
      <c r="M9200" s="92">
        <f t="shared" ca="1" si="297"/>
        <v>6.25</v>
      </c>
      <c r="N9200" s="143">
        <f ca="1">(PRODUCT($O$5:$O9200)-1)*36000/_xlfn.DAYS(L9200, $C$2)</f>
        <v>16.747425896266559</v>
      </c>
      <c r="O9200" s="149">
        <f t="shared" ca="1" si="298"/>
        <v>1.000173611111111</v>
      </c>
    </row>
    <row r="9201" spans="12:15" x14ac:dyDescent="0.25">
      <c r="L9201" s="147">
        <f ca="1"/>
        <v>54440</v>
      </c>
      <c r="M9201" s="92">
        <f t="shared" ca="1" si="297"/>
        <v>6.25</v>
      </c>
      <c r="N9201" s="143">
        <f ca="1">(PRODUCT($O$5:$O9201)-1)*36000/_xlfn.DAYS(L9201, $C$2)</f>
        <v>16.749191722596166</v>
      </c>
      <c r="O9201" s="149">
        <f t="shared" ca="1" si="298"/>
        <v>1.000173611111111</v>
      </c>
    </row>
    <row r="9202" spans="12:15" x14ac:dyDescent="0.25">
      <c r="L9202" s="147">
        <f ca="1"/>
        <v>54441</v>
      </c>
      <c r="M9202" s="92">
        <f t="shared" ca="1" si="297"/>
        <v>6.25</v>
      </c>
      <c r="N9202" s="143">
        <f ca="1">(PRODUCT($O$5:$O9202)-1)*36000/_xlfn.DAYS(L9202, $C$2)</f>
        <v>16.750957787606346</v>
      </c>
      <c r="O9202" s="149">
        <f t="shared" ca="1" si="298"/>
        <v>1.000173611111111</v>
      </c>
    </row>
    <row r="9203" spans="12:15" x14ac:dyDescent="0.25">
      <c r="L9203" s="147">
        <f ca="1"/>
        <v>54442</v>
      </c>
      <c r="M9203" s="92">
        <f t="shared" ca="1" si="297"/>
        <v>6.25</v>
      </c>
      <c r="N9203" s="143">
        <f ca="1">(PRODUCT($O$5:$O9203)-1)*36000/_xlfn.DAYS(L9203, $C$2)</f>
        <v>16.752724091327341</v>
      </c>
      <c r="O9203" s="149">
        <f t="shared" ca="1" si="298"/>
        <v>1.000173611111111</v>
      </c>
    </row>
    <row r="9204" spans="12:15" x14ac:dyDescent="0.25">
      <c r="L9204" s="147">
        <f ca="1"/>
        <v>54443</v>
      </c>
      <c r="M9204" s="92">
        <f t="shared" ca="1" si="297"/>
        <v>6.25</v>
      </c>
      <c r="N9204" s="143">
        <f ca="1">(PRODUCT($O$5:$O9204)-1)*36000/_xlfn.DAYS(L9204, $C$2)</f>
        <v>16.754490633789409</v>
      </c>
      <c r="O9204" s="149">
        <f t="shared" ca="1" si="298"/>
        <v>1.000173611111111</v>
      </c>
    </row>
    <row r="9205" spans="12:15" x14ac:dyDescent="0.25">
      <c r="L9205" s="147">
        <f ca="1"/>
        <v>54444</v>
      </c>
      <c r="M9205" s="92">
        <f t="shared" ca="1" si="297"/>
        <v>6.25</v>
      </c>
      <c r="N9205" s="143">
        <f ca="1">(PRODUCT($O$5:$O9205)-1)*36000/_xlfn.DAYS(L9205, $C$2)</f>
        <v>16.756257415022812</v>
      </c>
      <c r="O9205" s="149">
        <f t="shared" ca="1" si="298"/>
        <v>1.000173611111111</v>
      </c>
    </row>
    <row r="9206" spans="12:15" x14ac:dyDescent="0.25">
      <c r="L9206" s="147">
        <f ca="1"/>
        <v>54445</v>
      </c>
      <c r="M9206" s="92">
        <f t="shared" ca="1" si="297"/>
        <v>6.25</v>
      </c>
      <c r="N9206" s="143">
        <f ca="1">(PRODUCT($O$5:$O9206)-1)*36000/_xlfn.DAYS(L9206, $C$2)</f>
        <v>16.758024435057802</v>
      </c>
      <c r="O9206" s="149">
        <f t="shared" ca="1" si="298"/>
        <v>1.000173611111111</v>
      </c>
    </row>
    <row r="9207" spans="12:15" x14ac:dyDescent="0.25">
      <c r="L9207" s="147">
        <f ca="1"/>
        <v>54446</v>
      </c>
      <c r="M9207" s="92">
        <f t="shared" ca="1" si="297"/>
        <v>6.25</v>
      </c>
      <c r="N9207" s="143">
        <f ca="1">(PRODUCT($O$5:$O9207)-1)*36000/_xlfn.DAYS(L9207, $C$2)</f>
        <v>16.759791693924651</v>
      </c>
      <c r="O9207" s="149">
        <f t="shared" ca="1" si="298"/>
        <v>1.000173611111111</v>
      </c>
    </row>
    <row r="9208" spans="12:15" x14ac:dyDescent="0.25">
      <c r="L9208" s="147">
        <f ca="1"/>
        <v>54447</v>
      </c>
      <c r="M9208" s="92">
        <f t="shared" ca="1" si="297"/>
        <v>6.25</v>
      </c>
      <c r="N9208" s="143">
        <f ca="1">(PRODUCT($O$5:$O9208)-1)*36000/_xlfn.DAYS(L9208, $C$2)</f>
        <v>16.761559191653635</v>
      </c>
      <c r="O9208" s="149">
        <f t="shared" ca="1" si="298"/>
        <v>1.000173611111111</v>
      </c>
    </row>
    <row r="9209" spans="12:15" x14ac:dyDescent="0.25">
      <c r="L9209" s="147">
        <f ca="1"/>
        <v>54448</v>
      </c>
      <c r="M9209" s="92">
        <f t="shared" ca="1" si="297"/>
        <v>6.25</v>
      </c>
      <c r="N9209" s="143">
        <f ca="1">(PRODUCT($O$5:$O9209)-1)*36000/_xlfn.DAYS(L9209, $C$2)</f>
        <v>16.763326928275038</v>
      </c>
      <c r="O9209" s="149">
        <f t="shared" ca="1" si="298"/>
        <v>1.000173611111111</v>
      </c>
    </row>
    <row r="9210" spans="12:15" x14ac:dyDescent="0.25">
      <c r="L9210" s="147">
        <f ca="1"/>
        <v>54449</v>
      </c>
      <c r="M9210" s="92">
        <f t="shared" ca="1" si="297"/>
        <v>6.25</v>
      </c>
      <c r="N9210" s="143">
        <f ca="1">(PRODUCT($O$5:$O9210)-1)*36000/_xlfn.DAYS(L9210, $C$2)</f>
        <v>16.76509490381914</v>
      </c>
      <c r="O9210" s="149">
        <f t="shared" ca="1" si="298"/>
        <v>1.000173611111111</v>
      </c>
    </row>
    <row r="9211" spans="12:15" x14ac:dyDescent="0.25">
      <c r="L9211" s="147">
        <f ca="1"/>
        <v>54450</v>
      </c>
      <c r="M9211" s="92">
        <f t="shared" ca="1" si="297"/>
        <v>6.25</v>
      </c>
      <c r="N9211" s="143">
        <f ca="1">(PRODUCT($O$5:$O9211)-1)*36000/_xlfn.DAYS(L9211, $C$2)</f>
        <v>16.76686311831623</v>
      </c>
      <c r="O9211" s="149">
        <f t="shared" ca="1" si="298"/>
        <v>1.000173611111111</v>
      </c>
    </row>
    <row r="9212" spans="12:15" x14ac:dyDescent="0.25">
      <c r="L9212" s="147">
        <f ca="1"/>
        <v>54451</v>
      </c>
      <c r="M9212" s="92">
        <f t="shared" ca="1" si="297"/>
        <v>6.25</v>
      </c>
      <c r="N9212" s="143">
        <f ca="1">(PRODUCT($O$5:$O9212)-1)*36000/_xlfn.DAYS(L9212, $C$2)</f>
        <v>16.768631571796615</v>
      </c>
      <c r="O9212" s="149">
        <f t="shared" ca="1" si="298"/>
        <v>1.000173611111111</v>
      </c>
    </row>
    <row r="9213" spans="12:15" x14ac:dyDescent="0.25">
      <c r="L9213" s="147">
        <f ca="1"/>
        <v>54452</v>
      </c>
      <c r="M9213" s="92">
        <f t="shared" ca="1" si="297"/>
        <v>6.25</v>
      </c>
      <c r="N9213" s="143">
        <f ca="1">(PRODUCT($O$5:$O9213)-1)*36000/_xlfn.DAYS(L9213, $C$2)</f>
        <v>16.770400264290586</v>
      </c>
      <c r="O9213" s="149">
        <f t="shared" ca="1" si="298"/>
        <v>1.000173611111111</v>
      </c>
    </row>
    <row r="9214" spans="12:15" x14ac:dyDescent="0.25">
      <c r="L9214" s="147">
        <f ca="1"/>
        <v>54453</v>
      </c>
      <c r="M9214" s="92">
        <f t="shared" ca="1" si="297"/>
        <v>6.25</v>
      </c>
      <c r="N9214" s="143">
        <f ca="1">(PRODUCT($O$5:$O9214)-1)*36000/_xlfn.DAYS(L9214, $C$2)</f>
        <v>16.772169195828454</v>
      </c>
      <c r="O9214" s="149">
        <f t="shared" ca="1" si="298"/>
        <v>1.000173611111111</v>
      </c>
    </row>
    <row r="9215" spans="12:15" x14ac:dyDescent="0.25">
      <c r="L9215" s="147">
        <f ca="1"/>
        <v>54454</v>
      </c>
      <c r="M9215" s="92">
        <f t="shared" ca="1" si="297"/>
        <v>6.25</v>
      </c>
      <c r="N9215" s="143">
        <f ca="1">(PRODUCT($O$5:$O9215)-1)*36000/_xlfn.DAYS(L9215, $C$2)</f>
        <v>16.773938366440539</v>
      </c>
      <c r="O9215" s="149">
        <f t="shared" ca="1" si="298"/>
        <v>1.000173611111111</v>
      </c>
    </row>
    <row r="9216" spans="12:15" x14ac:dyDescent="0.25">
      <c r="L9216" s="147">
        <f ca="1"/>
        <v>54455</v>
      </c>
      <c r="M9216" s="92">
        <f t="shared" ca="1" si="297"/>
        <v>6.25</v>
      </c>
      <c r="N9216" s="143">
        <f ca="1">(PRODUCT($O$5:$O9216)-1)*36000/_xlfn.DAYS(L9216, $C$2)</f>
        <v>16.775707776157155</v>
      </c>
      <c r="O9216" s="149">
        <f t="shared" ca="1" si="298"/>
        <v>1.000173611111111</v>
      </c>
    </row>
    <row r="9217" spans="12:15" x14ac:dyDescent="0.25">
      <c r="L9217" s="147">
        <f ca="1"/>
        <v>54456</v>
      </c>
      <c r="M9217" s="92">
        <f t="shared" ca="1" si="297"/>
        <v>6.25</v>
      </c>
      <c r="N9217" s="143">
        <f ca="1">(PRODUCT($O$5:$O9217)-1)*36000/_xlfn.DAYS(L9217, $C$2)</f>
        <v>16.777477425008627</v>
      </c>
      <c r="O9217" s="149">
        <f t="shared" ca="1" si="298"/>
        <v>1.000173611111111</v>
      </c>
    </row>
    <row r="9218" spans="12:15" x14ac:dyDescent="0.25">
      <c r="L9218" s="147">
        <f ca="1"/>
        <v>54457</v>
      </c>
      <c r="M9218" s="92">
        <f t="shared" ca="1" si="297"/>
        <v>6.25</v>
      </c>
      <c r="N9218" s="143">
        <f ca="1">(PRODUCT($O$5:$O9218)-1)*36000/_xlfn.DAYS(L9218, $C$2)</f>
        <v>16.779247313025287</v>
      </c>
      <c r="O9218" s="149">
        <f t="shared" ca="1" si="298"/>
        <v>1.000173611111111</v>
      </c>
    </row>
    <row r="9219" spans="12:15" x14ac:dyDescent="0.25">
      <c r="L9219" s="147">
        <f ca="1"/>
        <v>54458</v>
      </c>
      <c r="M9219" s="92">
        <f t="shared" ca="1" si="297"/>
        <v>6.25</v>
      </c>
      <c r="N9219" s="143">
        <f ca="1">(PRODUCT($O$5:$O9219)-1)*36000/_xlfn.DAYS(L9219, $C$2)</f>
        <v>16.78101744023747</v>
      </c>
      <c r="O9219" s="149">
        <f t="shared" ca="1" si="298"/>
        <v>1.000173611111111</v>
      </c>
    </row>
    <row r="9220" spans="12:15" x14ac:dyDescent="0.25">
      <c r="L9220" s="147">
        <f ca="1"/>
        <v>54459</v>
      </c>
      <c r="M9220" s="92">
        <f t="shared" ca="1" si="297"/>
        <v>6.25</v>
      </c>
      <c r="N9220" s="143">
        <f ca="1">(PRODUCT($O$5:$O9220)-1)*36000/_xlfn.DAYS(L9220, $C$2)</f>
        <v>16.782787806675518</v>
      </c>
      <c r="O9220" s="149">
        <f t="shared" ca="1" si="298"/>
        <v>1.000173611111111</v>
      </c>
    </row>
    <row r="9221" spans="12:15" x14ac:dyDescent="0.25">
      <c r="L9221" s="147">
        <f ca="1"/>
        <v>54460</v>
      </c>
      <c r="M9221" s="92">
        <f t="shared" ref="M9221:M9284" ca="1" si="299">IFERROR(INDEX($E$27:$H$47, MATCH(L9221, $F$27:$F$47, 0), 4), IF(ISNUMBER(M9220), M9220, $C$5))</f>
        <v>6.25</v>
      </c>
      <c r="N9221" s="143">
        <f ca="1">(PRODUCT($O$5:$O9221)-1)*36000/_xlfn.DAYS(L9221, $C$2)</f>
        <v>16.784558412369776</v>
      </c>
      <c r="O9221" s="149">
        <f t="shared" ca="1" si="298"/>
        <v>1.000173611111111</v>
      </c>
    </row>
    <row r="9222" spans="12:15" x14ac:dyDescent="0.25">
      <c r="L9222" s="147">
        <f ca="1"/>
        <v>54461</v>
      </c>
      <c r="M9222" s="92">
        <f t="shared" ca="1" si="299"/>
        <v>6.25</v>
      </c>
      <c r="N9222" s="143">
        <f ca="1">(PRODUCT($O$5:$O9222)-1)*36000/_xlfn.DAYS(L9222, $C$2)</f>
        <v>16.786329257350602</v>
      </c>
      <c r="O9222" s="149">
        <f t="shared" ref="O9222:O9285" ca="1" si="300">1+M9222*IFERROR(_xlfn.DAYS(L9222, L9221), _xlfn.DAYS(L9222, $C$2))/36000</f>
        <v>1.000173611111111</v>
      </c>
    </row>
    <row r="9223" spans="12:15" x14ac:dyDescent="0.25">
      <c r="L9223" s="147">
        <f ca="1"/>
        <v>54462</v>
      </c>
      <c r="M9223" s="92">
        <f t="shared" ca="1" si="299"/>
        <v>6.25</v>
      </c>
      <c r="N9223" s="143">
        <f ca="1">(PRODUCT($O$5:$O9223)-1)*36000/_xlfn.DAYS(L9223, $C$2)</f>
        <v>16.788100341648349</v>
      </c>
      <c r="O9223" s="149">
        <f t="shared" ca="1" si="300"/>
        <v>1.000173611111111</v>
      </c>
    </row>
    <row r="9224" spans="12:15" x14ac:dyDescent="0.25">
      <c r="L9224" s="147">
        <f ca="1"/>
        <v>54463</v>
      </c>
      <c r="M9224" s="92">
        <f t="shared" ca="1" si="299"/>
        <v>6.25</v>
      </c>
      <c r="N9224" s="143">
        <f ca="1">(PRODUCT($O$5:$O9224)-1)*36000/_xlfn.DAYS(L9224, $C$2)</f>
        <v>16.789871665293383</v>
      </c>
      <c r="O9224" s="149">
        <f t="shared" ca="1" si="300"/>
        <v>1.000173611111111</v>
      </c>
    </row>
    <row r="9225" spans="12:15" x14ac:dyDescent="0.25">
      <c r="L9225" s="147">
        <f ca="1"/>
        <v>54464</v>
      </c>
      <c r="M9225" s="92">
        <f t="shared" ca="1" si="299"/>
        <v>6.25</v>
      </c>
      <c r="N9225" s="143">
        <f ca="1">(PRODUCT($O$5:$O9225)-1)*36000/_xlfn.DAYS(L9225, $C$2)</f>
        <v>16.791643228316076</v>
      </c>
      <c r="O9225" s="149">
        <f t="shared" ca="1" si="300"/>
        <v>1.000173611111111</v>
      </c>
    </row>
    <row r="9226" spans="12:15" x14ac:dyDescent="0.25">
      <c r="L9226" s="147">
        <f ca="1"/>
        <v>54465</v>
      </c>
      <c r="M9226" s="92">
        <f t="shared" ca="1" si="299"/>
        <v>6.25</v>
      </c>
      <c r="N9226" s="143">
        <f ca="1">(PRODUCT($O$5:$O9226)-1)*36000/_xlfn.DAYS(L9226, $C$2)</f>
        <v>16.7934150307468</v>
      </c>
      <c r="O9226" s="149">
        <f t="shared" ca="1" si="300"/>
        <v>1.000173611111111</v>
      </c>
    </row>
    <row r="9227" spans="12:15" x14ac:dyDescent="0.25">
      <c r="L9227" s="147">
        <f ca="1"/>
        <v>54466</v>
      </c>
      <c r="M9227" s="92">
        <f t="shared" ca="1" si="299"/>
        <v>6.25</v>
      </c>
      <c r="N9227" s="143">
        <f ca="1">(PRODUCT($O$5:$O9227)-1)*36000/_xlfn.DAYS(L9227, $C$2)</f>
        <v>16.795187072615942</v>
      </c>
      <c r="O9227" s="149">
        <f t="shared" ca="1" si="300"/>
        <v>1.000173611111111</v>
      </c>
    </row>
    <row r="9228" spans="12:15" x14ac:dyDescent="0.25">
      <c r="L9228" s="147">
        <f ca="1"/>
        <v>54467</v>
      </c>
      <c r="M9228" s="92">
        <f t="shared" ca="1" si="299"/>
        <v>6.25</v>
      </c>
      <c r="N9228" s="143">
        <f ca="1">(PRODUCT($O$5:$O9228)-1)*36000/_xlfn.DAYS(L9228, $C$2)</f>
        <v>16.796959353953884</v>
      </c>
      <c r="O9228" s="149">
        <f t="shared" ca="1" si="300"/>
        <v>1.000173611111111</v>
      </c>
    </row>
    <row r="9229" spans="12:15" x14ac:dyDescent="0.25">
      <c r="L9229" s="147">
        <f ca="1"/>
        <v>54468</v>
      </c>
      <c r="M9229" s="92">
        <f t="shared" ca="1" si="299"/>
        <v>6.25</v>
      </c>
      <c r="N9229" s="143">
        <f ca="1">(PRODUCT($O$5:$O9229)-1)*36000/_xlfn.DAYS(L9229, $C$2)</f>
        <v>16.79873187479102</v>
      </c>
      <c r="O9229" s="149">
        <f t="shared" ca="1" si="300"/>
        <v>1.000173611111111</v>
      </c>
    </row>
    <row r="9230" spans="12:15" x14ac:dyDescent="0.25">
      <c r="L9230" s="147">
        <f ca="1"/>
        <v>54469</v>
      </c>
      <c r="M9230" s="92">
        <f t="shared" ca="1" si="299"/>
        <v>6.25</v>
      </c>
      <c r="N9230" s="143">
        <f ca="1">(PRODUCT($O$5:$O9230)-1)*36000/_xlfn.DAYS(L9230, $C$2)</f>
        <v>16.800504635157747</v>
      </c>
      <c r="O9230" s="149">
        <f t="shared" ca="1" si="300"/>
        <v>1.000173611111111</v>
      </c>
    </row>
    <row r="9231" spans="12:15" x14ac:dyDescent="0.25">
      <c r="L9231" s="147">
        <f ca="1"/>
        <v>54470</v>
      </c>
      <c r="M9231" s="92">
        <f t="shared" ca="1" si="299"/>
        <v>6.25</v>
      </c>
      <c r="N9231" s="143">
        <f ca="1">(PRODUCT($O$5:$O9231)-1)*36000/_xlfn.DAYS(L9231, $C$2)</f>
        <v>16.802277635084469</v>
      </c>
      <c r="O9231" s="149">
        <f t="shared" ca="1" si="300"/>
        <v>1.000173611111111</v>
      </c>
    </row>
    <row r="9232" spans="12:15" x14ac:dyDescent="0.25">
      <c r="L9232" s="147">
        <f ca="1"/>
        <v>54471</v>
      </c>
      <c r="M9232" s="92">
        <f t="shared" ca="1" si="299"/>
        <v>6.25</v>
      </c>
      <c r="N9232" s="143">
        <f ca="1">(PRODUCT($O$5:$O9232)-1)*36000/_xlfn.DAYS(L9232, $C$2)</f>
        <v>16.80405087460159</v>
      </c>
      <c r="O9232" s="149">
        <f t="shared" ca="1" si="300"/>
        <v>1.000173611111111</v>
      </c>
    </row>
    <row r="9233" spans="12:15" x14ac:dyDescent="0.25">
      <c r="L9233" s="147">
        <f ca="1"/>
        <v>54472</v>
      </c>
      <c r="M9233" s="92">
        <f t="shared" ca="1" si="299"/>
        <v>6.25</v>
      </c>
      <c r="N9233" s="143">
        <f ca="1">(PRODUCT($O$5:$O9233)-1)*36000/_xlfn.DAYS(L9233, $C$2)</f>
        <v>16.805824353739531</v>
      </c>
      <c r="O9233" s="149">
        <f t="shared" ca="1" si="300"/>
        <v>1.000173611111111</v>
      </c>
    </row>
    <row r="9234" spans="12:15" x14ac:dyDescent="0.25">
      <c r="L9234" s="147">
        <f ca="1"/>
        <v>54473</v>
      </c>
      <c r="M9234" s="92">
        <f t="shared" ca="1" si="299"/>
        <v>6.25</v>
      </c>
      <c r="N9234" s="143">
        <f ca="1">(PRODUCT($O$5:$O9234)-1)*36000/_xlfn.DAYS(L9234, $C$2)</f>
        <v>16.807598072528712</v>
      </c>
      <c r="O9234" s="149">
        <f t="shared" ca="1" si="300"/>
        <v>1.000173611111111</v>
      </c>
    </row>
    <row r="9235" spans="12:15" x14ac:dyDescent="0.25">
      <c r="L9235" s="147">
        <f ca="1"/>
        <v>54474</v>
      </c>
      <c r="M9235" s="92">
        <f t="shared" ca="1" si="299"/>
        <v>6.25</v>
      </c>
      <c r="N9235" s="143">
        <f ca="1">(PRODUCT($O$5:$O9235)-1)*36000/_xlfn.DAYS(L9235, $C$2)</f>
        <v>16.809372030999555</v>
      </c>
      <c r="O9235" s="149">
        <f t="shared" ca="1" si="300"/>
        <v>1.000173611111111</v>
      </c>
    </row>
    <row r="9236" spans="12:15" x14ac:dyDescent="0.25">
      <c r="L9236" s="147">
        <f ca="1"/>
        <v>54475</v>
      </c>
      <c r="M9236" s="92">
        <f t="shared" ca="1" si="299"/>
        <v>6.25</v>
      </c>
      <c r="N9236" s="143">
        <f ca="1">(PRODUCT($O$5:$O9236)-1)*36000/_xlfn.DAYS(L9236, $C$2)</f>
        <v>16.811146229182498</v>
      </c>
      <c r="O9236" s="149">
        <f t="shared" ca="1" si="300"/>
        <v>1.000173611111111</v>
      </c>
    </row>
    <row r="9237" spans="12:15" x14ac:dyDescent="0.25">
      <c r="L9237" s="147">
        <f ca="1"/>
        <v>54476</v>
      </c>
      <c r="M9237" s="92">
        <f t="shared" ca="1" si="299"/>
        <v>6.25</v>
      </c>
      <c r="N9237" s="143">
        <f ca="1">(PRODUCT($O$5:$O9237)-1)*36000/_xlfn.DAYS(L9237, $C$2)</f>
        <v>16.812920667107971</v>
      </c>
      <c r="O9237" s="149">
        <f t="shared" ca="1" si="300"/>
        <v>1.000173611111111</v>
      </c>
    </row>
    <row r="9238" spans="12:15" x14ac:dyDescent="0.25">
      <c r="L9238" s="147">
        <f ca="1"/>
        <v>54477</v>
      </c>
      <c r="M9238" s="92">
        <f t="shared" ca="1" si="299"/>
        <v>6.25</v>
      </c>
      <c r="N9238" s="143">
        <f ca="1">(PRODUCT($O$5:$O9238)-1)*36000/_xlfn.DAYS(L9238, $C$2)</f>
        <v>16.81469534480642</v>
      </c>
      <c r="O9238" s="149">
        <f t="shared" ca="1" si="300"/>
        <v>1.000173611111111</v>
      </c>
    </row>
    <row r="9239" spans="12:15" x14ac:dyDescent="0.25">
      <c r="L9239" s="147">
        <f ca="1"/>
        <v>54478</v>
      </c>
      <c r="M9239" s="92">
        <f t="shared" ca="1" si="299"/>
        <v>6.25</v>
      </c>
      <c r="N9239" s="143">
        <f ca="1">(PRODUCT($O$5:$O9239)-1)*36000/_xlfn.DAYS(L9239, $C$2)</f>
        <v>16.816470262308297</v>
      </c>
      <c r="O9239" s="149">
        <f t="shared" ca="1" si="300"/>
        <v>1.000173611111111</v>
      </c>
    </row>
    <row r="9240" spans="12:15" x14ac:dyDescent="0.25">
      <c r="L9240" s="147">
        <f ca="1"/>
        <v>54479</v>
      </c>
      <c r="M9240" s="92">
        <f t="shared" ca="1" si="299"/>
        <v>6.25</v>
      </c>
      <c r="N9240" s="143">
        <f ca="1">(PRODUCT($O$5:$O9240)-1)*36000/_xlfn.DAYS(L9240, $C$2)</f>
        <v>16.81824541964405</v>
      </c>
      <c r="O9240" s="149">
        <f t="shared" ca="1" si="300"/>
        <v>1.000173611111111</v>
      </c>
    </row>
    <row r="9241" spans="12:15" x14ac:dyDescent="0.25">
      <c r="L9241" s="147">
        <f ca="1"/>
        <v>54480</v>
      </c>
      <c r="M9241" s="92">
        <f t="shared" ca="1" si="299"/>
        <v>6.25</v>
      </c>
      <c r="N9241" s="143">
        <f ca="1">(PRODUCT($O$5:$O9241)-1)*36000/_xlfn.DAYS(L9241, $C$2)</f>
        <v>16.820020816844142</v>
      </c>
      <c r="O9241" s="149">
        <f t="shared" ca="1" si="300"/>
        <v>1.000173611111111</v>
      </c>
    </row>
    <row r="9242" spans="12:15" x14ac:dyDescent="0.25">
      <c r="L9242" s="147">
        <f ca="1"/>
        <v>54481</v>
      </c>
      <c r="M9242" s="92">
        <f t="shared" ca="1" si="299"/>
        <v>6.25</v>
      </c>
      <c r="N9242" s="143">
        <f ca="1">(PRODUCT($O$5:$O9242)-1)*36000/_xlfn.DAYS(L9242, $C$2)</f>
        <v>16.821796453939037</v>
      </c>
      <c r="O9242" s="149">
        <f t="shared" ca="1" si="300"/>
        <v>1.000173611111111</v>
      </c>
    </row>
    <row r="9243" spans="12:15" x14ac:dyDescent="0.25">
      <c r="L9243" s="147">
        <f ca="1"/>
        <v>54482</v>
      </c>
      <c r="M9243" s="92">
        <f t="shared" ca="1" si="299"/>
        <v>6.25</v>
      </c>
      <c r="N9243" s="143">
        <f ca="1">(PRODUCT($O$5:$O9243)-1)*36000/_xlfn.DAYS(L9243, $C$2)</f>
        <v>16.823572330959209</v>
      </c>
      <c r="O9243" s="149">
        <f t="shared" ca="1" si="300"/>
        <v>1.000173611111111</v>
      </c>
    </row>
    <row r="9244" spans="12:15" x14ac:dyDescent="0.25">
      <c r="L9244" s="147">
        <f ca="1"/>
        <v>54483</v>
      </c>
      <c r="M9244" s="92">
        <f t="shared" ca="1" si="299"/>
        <v>6.25</v>
      </c>
      <c r="N9244" s="143">
        <f ca="1">(PRODUCT($O$5:$O9244)-1)*36000/_xlfn.DAYS(L9244, $C$2)</f>
        <v>16.825348447935134</v>
      </c>
      <c r="O9244" s="149">
        <f t="shared" ca="1" si="300"/>
        <v>1.000173611111111</v>
      </c>
    </row>
    <row r="9245" spans="12:15" x14ac:dyDescent="0.25">
      <c r="L9245" s="147">
        <f ca="1"/>
        <v>54484</v>
      </c>
      <c r="M9245" s="92">
        <f t="shared" ca="1" si="299"/>
        <v>6.25</v>
      </c>
      <c r="N9245" s="143">
        <f ca="1">(PRODUCT($O$5:$O9245)-1)*36000/_xlfn.DAYS(L9245, $C$2)</f>
        <v>16.827124804897288</v>
      </c>
      <c r="O9245" s="149">
        <f t="shared" ca="1" si="300"/>
        <v>1.000173611111111</v>
      </c>
    </row>
    <row r="9246" spans="12:15" x14ac:dyDescent="0.25">
      <c r="L9246" s="147">
        <f ca="1"/>
        <v>54485</v>
      </c>
      <c r="M9246" s="92">
        <f t="shared" ca="1" si="299"/>
        <v>6.25</v>
      </c>
      <c r="N9246" s="143">
        <f ca="1">(PRODUCT($O$5:$O9246)-1)*36000/_xlfn.DAYS(L9246, $C$2)</f>
        <v>16.828901401876166</v>
      </c>
      <c r="O9246" s="149">
        <f t="shared" ca="1" si="300"/>
        <v>1.000173611111111</v>
      </c>
    </row>
    <row r="9247" spans="12:15" x14ac:dyDescent="0.25">
      <c r="L9247" s="147">
        <f ca="1"/>
        <v>54486</v>
      </c>
      <c r="M9247" s="92">
        <f t="shared" ca="1" si="299"/>
        <v>6.25</v>
      </c>
      <c r="N9247" s="143">
        <f ca="1">(PRODUCT($O$5:$O9247)-1)*36000/_xlfn.DAYS(L9247, $C$2)</f>
        <v>16.830678238902259</v>
      </c>
      <c r="O9247" s="149">
        <f t="shared" ca="1" si="300"/>
        <v>1.000173611111111</v>
      </c>
    </row>
    <row r="9248" spans="12:15" x14ac:dyDescent="0.25">
      <c r="L9248" s="147">
        <f ca="1"/>
        <v>54487</v>
      </c>
      <c r="M9248" s="92">
        <f t="shared" ca="1" si="299"/>
        <v>6.25</v>
      </c>
      <c r="N9248" s="143">
        <f ca="1">(PRODUCT($O$5:$O9248)-1)*36000/_xlfn.DAYS(L9248, $C$2)</f>
        <v>16.832455316006062</v>
      </c>
      <c r="O9248" s="149">
        <f t="shared" ca="1" si="300"/>
        <v>1.000173611111111</v>
      </c>
    </row>
    <row r="9249" spans="12:15" x14ac:dyDescent="0.25">
      <c r="L9249" s="147">
        <f ca="1"/>
        <v>54488</v>
      </c>
      <c r="M9249" s="92">
        <f t="shared" ca="1" si="299"/>
        <v>6.25</v>
      </c>
      <c r="N9249" s="143">
        <f ca="1">(PRODUCT($O$5:$O9249)-1)*36000/_xlfn.DAYS(L9249, $C$2)</f>
        <v>16.834232633218086</v>
      </c>
      <c r="O9249" s="149">
        <f t="shared" ca="1" si="300"/>
        <v>1.000173611111111</v>
      </c>
    </row>
    <row r="9250" spans="12:15" x14ac:dyDescent="0.25">
      <c r="L9250" s="147">
        <f ca="1"/>
        <v>54489</v>
      </c>
      <c r="M9250" s="92">
        <f t="shared" ca="1" si="299"/>
        <v>6.25</v>
      </c>
      <c r="N9250" s="143">
        <f ca="1">(PRODUCT($O$5:$O9250)-1)*36000/_xlfn.DAYS(L9250, $C$2)</f>
        <v>16.836010190568839</v>
      </c>
      <c r="O9250" s="149">
        <f t="shared" ca="1" si="300"/>
        <v>1.000173611111111</v>
      </c>
    </row>
    <row r="9251" spans="12:15" x14ac:dyDescent="0.25">
      <c r="L9251" s="147">
        <f ca="1"/>
        <v>54490</v>
      </c>
      <c r="M9251" s="92">
        <f t="shared" ca="1" si="299"/>
        <v>6.25</v>
      </c>
      <c r="N9251" s="143">
        <f ca="1">(PRODUCT($O$5:$O9251)-1)*36000/_xlfn.DAYS(L9251, $C$2)</f>
        <v>16.837787988088831</v>
      </c>
      <c r="O9251" s="149">
        <f t="shared" ca="1" si="300"/>
        <v>1.000173611111111</v>
      </c>
    </row>
    <row r="9252" spans="12:15" x14ac:dyDescent="0.25">
      <c r="L9252" s="147">
        <f ca="1"/>
        <v>54491</v>
      </c>
      <c r="M9252" s="92">
        <f t="shared" ca="1" si="299"/>
        <v>6.25</v>
      </c>
      <c r="N9252" s="143">
        <f ca="1">(PRODUCT($O$5:$O9252)-1)*36000/_xlfn.DAYS(L9252, $C$2)</f>
        <v>16.839566025808594</v>
      </c>
      <c r="O9252" s="149">
        <f t="shared" ca="1" si="300"/>
        <v>1.000173611111111</v>
      </c>
    </row>
    <row r="9253" spans="12:15" x14ac:dyDescent="0.25">
      <c r="L9253" s="147">
        <f ca="1"/>
        <v>54492</v>
      </c>
      <c r="M9253" s="92">
        <f t="shared" ca="1" si="299"/>
        <v>6.25</v>
      </c>
      <c r="N9253" s="143">
        <f ca="1">(PRODUCT($O$5:$O9253)-1)*36000/_xlfn.DAYS(L9253, $C$2)</f>
        <v>16.84134430375865</v>
      </c>
      <c r="O9253" s="149">
        <f t="shared" ca="1" si="300"/>
        <v>1.000173611111111</v>
      </c>
    </row>
    <row r="9254" spans="12:15" x14ac:dyDescent="0.25">
      <c r="L9254" s="147">
        <f ca="1"/>
        <v>54493</v>
      </c>
      <c r="M9254" s="92">
        <f t="shared" ca="1" si="299"/>
        <v>6.25</v>
      </c>
      <c r="N9254" s="143">
        <f ca="1">(PRODUCT($O$5:$O9254)-1)*36000/_xlfn.DAYS(L9254, $C$2)</f>
        <v>16.843122821969526</v>
      </c>
      <c r="O9254" s="149">
        <f t="shared" ca="1" si="300"/>
        <v>1.000173611111111</v>
      </c>
    </row>
    <row r="9255" spans="12:15" x14ac:dyDescent="0.25">
      <c r="L9255" s="147">
        <f ca="1"/>
        <v>54494</v>
      </c>
      <c r="M9255" s="92">
        <f t="shared" ca="1" si="299"/>
        <v>6.25</v>
      </c>
      <c r="N9255" s="143">
        <f ca="1">(PRODUCT($O$5:$O9255)-1)*36000/_xlfn.DAYS(L9255, $C$2)</f>
        <v>16.844901580471777</v>
      </c>
      <c r="O9255" s="149">
        <f t="shared" ca="1" si="300"/>
        <v>1.000173611111111</v>
      </c>
    </row>
    <row r="9256" spans="12:15" x14ac:dyDescent="0.25">
      <c r="L9256" s="147">
        <f ca="1"/>
        <v>54495</v>
      </c>
      <c r="M9256" s="92">
        <f t="shared" ca="1" si="299"/>
        <v>6.25</v>
      </c>
      <c r="N9256" s="143">
        <f ca="1">(PRODUCT($O$5:$O9256)-1)*36000/_xlfn.DAYS(L9256, $C$2)</f>
        <v>16.846680579295928</v>
      </c>
      <c r="O9256" s="149">
        <f t="shared" ca="1" si="300"/>
        <v>1.000173611111111</v>
      </c>
    </row>
    <row r="9257" spans="12:15" x14ac:dyDescent="0.25">
      <c r="L9257" s="147">
        <f ca="1"/>
        <v>54496</v>
      </c>
      <c r="M9257" s="92">
        <f t="shared" ca="1" si="299"/>
        <v>6.25</v>
      </c>
      <c r="N9257" s="143">
        <f ca="1">(PRODUCT($O$5:$O9257)-1)*36000/_xlfn.DAYS(L9257, $C$2)</f>
        <v>16.848459818472541</v>
      </c>
      <c r="O9257" s="149">
        <f t="shared" ca="1" si="300"/>
        <v>1.000173611111111</v>
      </c>
    </row>
    <row r="9258" spans="12:15" x14ac:dyDescent="0.25">
      <c r="L9258" s="147">
        <f ca="1"/>
        <v>54497</v>
      </c>
      <c r="M9258" s="92">
        <f t="shared" ca="1" si="299"/>
        <v>6.25</v>
      </c>
      <c r="N9258" s="143">
        <f ca="1">(PRODUCT($O$5:$O9258)-1)*36000/_xlfn.DAYS(L9258, $C$2)</f>
        <v>16.850239298032164</v>
      </c>
      <c r="O9258" s="149">
        <f t="shared" ca="1" si="300"/>
        <v>1.000173611111111</v>
      </c>
    </row>
    <row r="9259" spans="12:15" x14ac:dyDescent="0.25">
      <c r="L9259" s="147">
        <f ca="1"/>
        <v>54498</v>
      </c>
      <c r="M9259" s="92">
        <f t="shared" ca="1" si="299"/>
        <v>6.25</v>
      </c>
      <c r="N9259" s="143">
        <f ca="1">(PRODUCT($O$5:$O9259)-1)*36000/_xlfn.DAYS(L9259, $C$2)</f>
        <v>16.852019018005361</v>
      </c>
      <c r="O9259" s="149">
        <f t="shared" ca="1" si="300"/>
        <v>1.000173611111111</v>
      </c>
    </row>
    <row r="9260" spans="12:15" x14ac:dyDescent="0.25">
      <c r="L9260" s="147">
        <f ca="1"/>
        <v>54499</v>
      </c>
      <c r="M9260" s="92">
        <f t="shared" ca="1" si="299"/>
        <v>6.25</v>
      </c>
      <c r="N9260" s="143">
        <f ca="1">(PRODUCT($O$5:$O9260)-1)*36000/_xlfn.DAYS(L9260, $C$2)</f>
        <v>16.853798978422702</v>
      </c>
      <c r="O9260" s="149">
        <f t="shared" ca="1" si="300"/>
        <v>1.000173611111111</v>
      </c>
    </row>
    <row r="9261" spans="12:15" x14ac:dyDescent="0.25">
      <c r="L9261" s="147">
        <f ca="1"/>
        <v>54500</v>
      </c>
      <c r="M9261" s="92">
        <f t="shared" ca="1" si="299"/>
        <v>6.25</v>
      </c>
      <c r="N9261" s="143">
        <f ca="1">(PRODUCT($O$5:$O9261)-1)*36000/_xlfn.DAYS(L9261, $C$2)</f>
        <v>16.855579179314752</v>
      </c>
      <c r="O9261" s="149">
        <f t="shared" ca="1" si="300"/>
        <v>1.000173611111111</v>
      </c>
    </row>
    <row r="9262" spans="12:15" x14ac:dyDescent="0.25">
      <c r="L9262" s="147">
        <f ca="1"/>
        <v>54501</v>
      </c>
      <c r="M9262" s="92">
        <f t="shared" ca="1" si="299"/>
        <v>6.25</v>
      </c>
      <c r="N9262" s="143">
        <f ca="1">(PRODUCT($O$5:$O9262)-1)*36000/_xlfn.DAYS(L9262, $C$2)</f>
        <v>16.857359620712096</v>
      </c>
      <c r="O9262" s="149">
        <f t="shared" ca="1" si="300"/>
        <v>1.000173611111111</v>
      </c>
    </row>
    <row r="9263" spans="12:15" x14ac:dyDescent="0.25">
      <c r="L9263" s="147">
        <f ca="1"/>
        <v>54502</v>
      </c>
      <c r="M9263" s="92">
        <f t="shared" ca="1" si="299"/>
        <v>6.25</v>
      </c>
      <c r="N9263" s="143">
        <f ca="1">(PRODUCT($O$5:$O9263)-1)*36000/_xlfn.DAYS(L9263, $C$2)</f>
        <v>16.859140302645311</v>
      </c>
      <c r="O9263" s="149">
        <f t="shared" ca="1" si="300"/>
        <v>1.000173611111111</v>
      </c>
    </row>
    <row r="9264" spans="12:15" x14ac:dyDescent="0.25">
      <c r="L9264" s="147">
        <f ca="1"/>
        <v>54503</v>
      </c>
      <c r="M9264" s="92">
        <f t="shared" ca="1" si="299"/>
        <v>6.25</v>
      </c>
      <c r="N9264" s="143">
        <f ca="1">(PRODUCT($O$5:$O9264)-1)*36000/_xlfn.DAYS(L9264, $C$2)</f>
        <v>16.860921225144988</v>
      </c>
      <c r="O9264" s="149">
        <f t="shared" ca="1" si="300"/>
        <v>1.000173611111111</v>
      </c>
    </row>
    <row r="9265" spans="12:15" x14ac:dyDescent="0.25">
      <c r="L9265" s="147">
        <f ca="1"/>
        <v>54504</v>
      </c>
      <c r="M9265" s="92">
        <f t="shared" ca="1" si="299"/>
        <v>6.25</v>
      </c>
      <c r="N9265" s="143">
        <f ca="1">(PRODUCT($O$5:$O9265)-1)*36000/_xlfn.DAYS(L9265, $C$2)</f>
        <v>16.862702388241729</v>
      </c>
      <c r="O9265" s="149">
        <f t="shared" ca="1" si="300"/>
        <v>1.000173611111111</v>
      </c>
    </row>
    <row r="9266" spans="12:15" x14ac:dyDescent="0.25">
      <c r="L9266" s="147">
        <f ca="1"/>
        <v>54505</v>
      </c>
      <c r="M9266" s="92">
        <f t="shared" ca="1" si="299"/>
        <v>6.25</v>
      </c>
      <c r="N9266" s="143">
        <f ca="1">(PRODUCT($O$5:$O9266)-1)*36000/_xlfn.DAYS(L9266, $C$2)</f>
        <v>16.864483791966119</v>
      </c>
      <c r="O9266" s="149">
        <f t="shared" ca="1" si="300"/>
        <v>1.000173611111111</v>
      </c>
    </row>
    <row r="9267" spans="12:15" x14ac:dyDescent="0.25">
      <c r="L9267" s="147">
        <f ca="1"/>
        <v>54506</v>
      </c>
      <c r="M9267" s="92">
        <f t="shared" ca="1" si="299"/>
        <v>6.25</v>
      </c>
      <c r="N9267" s="143">
        <f ca="1">(PRODUCT($O$5:$O9267)-1)*36000/_xlfn.DAYS(L9267, $C$2)</f>
        <v>16.866265436348776</v>
      </c>
      <c r="O9267" s="149">
        <f t="shared" ca="1" si="300"/>
        <v>1.000173611111111</v>
      </c>
    </row>
    <row r="9268" spans="12:15" x14ac:dyDescent="0.25">
      <c r="L9268" s="147">
        <f ca="1"/>
        <v>54507</v>
      </c>
      <c r="M9268" s="92">
        <f t="shared" ca="1" si="299"/>
        <v>6.25</v>
      </c>
      <c r="N9268" s="143">
        <f ca="1">(PRODUCT($O$5:$O9268)-1)*36000/_xlfn.DAYS(L9268, $C$2)</f>
        <v>16.868047321420313</v>
      </c>
      <c r="O9268" s="149">
        <f t="shared" ca="1" si="300"/>
        <v>1.000173611111111</v>
      </c>
    </row>
    <row r="9269" spans="12:15" x14ac:dyDescent="0.25">
      <c r="L9269" s="147">
        <f ca="1"/>
        <v>54508</v>
      </c>
      <c r="M9269" s="92">
        <f t="shared" ca="1" si="299"/>
        <v>6.25</v>
      </c>
      <c r="N9269" s="143">
        <f ca="1">(PRODUCT($O$5:$O9269)-1)*36000/_xlfn.DAYS(L9269, $C$2)</f>
        <v>16.869829447211334</v>
      </c>
      <c r="O9269" s="149">
        <f t="shared" ca="1" si="300"/>
        <v>1.000173611111111</v>
      </c>
    </row>
    <row r="9270" spans="12:15" x14ac:dyDescent="0.25">
      <c r="L9270" s="147">
        <f ca="1"/>
        <v>54509</v>
      </c>
      <c r="M9270" s="92">
        <f t="shared" ca="1" si="299"/>
        <v>6.25</v>
      </c>
      <c r="N9270" s="143">
        <f ca="1">(PRODUCT($O$5:$O9270)-1)*36000/_xlfn.DAYS(L9270, $C$2)</f>
        <v>16.871611813752477</v>
      </c>
      <c r="O9270" s="149">
        <f t="shared" ca="1" si="300"/>
        <v>1.000173611111111</v>
      </c>
    </row>
    <row r="9271" spans="12:15" x14ac:dyDescent="0.25">
      <c r="L9271" s="147">
        <f ca="1"/>
        <v>54510</v>
      </c>
      <c r="M9271" s="92">
        <f t="shared" ca="1" si="299"/>
        <v>6.25</v>
      </c>
      <c r="N9271" s="143">
        <f ca="1">(PRODUCT($O$5:$O9271)-1)*36000/_xlfn.DAYS(L9271, $C$2)</f>
        <v>16.873394421074359</v>
      </c>
      <c r="O9271" s="149">
        <f t="shared" ca="1" si="300"/>
        <v>1.000173611111111</v>
      </c>
    </row>
    <row r="9272" spans="12:15" x14ac:dyDescent="0.25">
      <c r="L9272" s="147">
        <f ca="1"/>
        <v>54511</v>
      </c>
      <c r="M9272" s="92">
        <f t="shared" ca="1" si="299"/>
        <v>6.25</v>
      </c>
      <c r="N9272" s="143">
        <f ca="1">(PRODUCT($O$5:$O9272)-1)*36000/_xlfn.DAYS(L9272, $C$2)</f>
        <v>16.875177269207622</v>
      </c>
      <c r="O9272" s="149">
        <f t="shared" ca="1" si="300"/>
        <v>1.000173611111111</v>
      </c>
    </row>
    <row r="9273" spans="12:15" x14ac:dyDescent="0.25">
      <c r="L9273" s="147">
        <f ca="1"/>
        <v>54512</v>
      </c>
      <c r="M9273" s="92">
        <f t="shared" ca="1" si="299"/>
        <v>6.25</v>
      </c>
      <c r="N9273" s="143">
        <f ca="1">(PRODUCT($O$5:$O9273)-1)*36000/_xlfn.DAYS(L9273, $C$2)</f>
        <v>16.876960358182902</v>
      </c>
      <c r="O9273" s="149">
        <f t="shared" ca="1" si="300"/>
        <v>1.000173611111111</v>
      </c>
    </row>
    <row r="9274" spans="12:15" x14ac:dyDescent="0.25">
      <c r="L9274" s="147">
        <f ca="1"/>
        <v>54513</v>
      </c>
      <c r="M9274" s="92">
        <f t="shared" ca="1" si="299"/>
        <v>6.25</v>
      </c>
      <c r="N9274" s="143">
        <f ca="1">(PRODUCT($O$5:$O9274)-1)*36000/_xlfn.DAYS(L9274, $C$2)</f>
        <v>16.878743688030845</v>
      </c>
      <c r="O9274" s="149">
        <f t="shared" ca="1" si="300"/>
        <v>1.000173611111111</v>
      </c>
    </row>
    <row r="9275" spans="12:15" x14ac:dyDescent="0.25">
      <c r="L9275" s="147">
        <f ca="1"/>
        <v>54514</v>
      </c>
      <c r="M9275" s="92">
        <f t="shared" ca="1" si="299"/>
        <v>6.25</v>
      </c>
      <c r="N9275" s="143">
        <f ca="1">(PRODUCT($O$5:$O9275)-1)*36000/_xlfn.DAYS(L9275, $C$2)</f>
        <v>16.880527258782099</v>
      </c>
      <c r="O9275" s="149">
        <f t="shared" ca="1" si="300"/>
        <v>1.000173611111111</v>
      </c>
    </row>
    <row r="9276" spans="12:15" x14ac:dyDescent="0.25">
      <c r="L9276" s="147">
        <f ca="1"/>
        <v>54515</v>
      </c>
      <c r="M9276" s="92">
        <f t="shared" ca="1" si="299"/>
        <v>6.25</v>
      </c>
      <c r="N9276" s="143">
        <f ca="1">(PRODUCT($O$5:$O9276)-1)*36000/_xlfn.DAYS(L9276, $C$2)</f>
        <v>16.882311070467324</v>
      </c>
      <c r="O9276" s="149">
        <f t="shared" ca="1" si="300"/>
        <v>1.000173611111111</v>
      </c>
    </row>
    <row r="9277" spans="12:15" x14ac:dyDescent="0.25">
      <c r="L9277" s="147">
        <f ca="1"/>
        <v>54516</v>
      </c>
      <c r="M9277" s="92">
        <f t="shared" ca="1" si="299"/>
        <v>6.25</v>
      </c>
      <c r="N9277" s="143">
        <f ca="1">(PRODUCT($O$5:$O9277)-1)*36000/_xlfn.DAYS(L9277, $C$2)</f>
        <v>16.884095123117181</v>
      </c>
      <c r="O9277" s="149">
        <f t="shared" ca="1" si="300"/>
        <v>1.000173611111111</v>
      </c>
    </row>
    <row r="9278" spans="12:15" x14ac:dyDescent="0.25">
      <c r="L9278" s="147">
        <f ca="1"/>
        <v>54517</v>
      </c>
      <c r="M9278" s="92">
        <f t="shared" ca="1" si="299"/>
        <v>6.25</v>
      </c>
      <c r="N9278" s="143">
        <f ca="1">(PRODUCT($O$5:$O9278)-1)*36000/_xlfn.DAYS(L9278, $C$2)</f>
        <v>16.885879416762336</v>
      </c>
      <c r="O9278" s="149">
        <f t="shared" ca="1" si="300"/>
        <v>1.000173611111111</v>
      </c>
    </row>
    <row r="9279" spans="12:15" x14ac:dyDescent="0.25">
      <c r="L9279" s="147">
        <f ca="1"/>
        <v>54518</v>
      </c>
      <c r="M9279" s="92">
        <f t="shared" ca="1" si="299"/>
        <v>6.25</v>
      </c>
      <c r="N9279" s="143">
        <f ca="1">(PRODUCT($O$5:$O9279)-1)*36000/_xlfn.DAYS(L9279, $C$2)</f>
        <v>16.887663951433463</v>
      </c>
      <c r="O9279" s="149">
        <f t="shared" ca="1" si="300"/>
        <v>1.000173611111111</v>
      </c>
    </row>
    <row r="9280" spans="12:15" x14ac:dyDescent="0.25">
      <c r="L9280" s="147">
        <f ca="1"/>
        <v>54519</v>
      </c>
      <c r="M9280" s="92">
        <f t="shared" ca="1" si="299"/>
        <v>6.25</v>
      </c>
      <c r="N9280" s="143">
        <f ca="1">(PRODUCT($O$5:$O9280)-1)*36000/_xlfn.DAYS(L9280, $C$2)</f>
        <v>16.889448727161248</v>
      </c>
      <c r="O9280" s="149">
        <f t="shared" ca="1" si="300"/>
        <v>1.000173611111111</v>
      </c>
    </row>
    <row r="9281" spans="12:15" x14ac:dyDescent="0.25">
      <c r="L9281" s="147">
        <f ca="1"/>
        <v>54520</v>
      </c>
      <c r="M9281" s="92">
        <f t="shared" ca="1" si="299"/>
        <v>6.25</v>
      </c>
      <c r="N9281" s="143">
        <f ca="1">(PRODUCT($O$5:$O9281)-1)*36000/_xlfn.DAYS(L9281, $C$2)</f>
        <v>16.891233743976368</v>
      </c>
      <c r="O9281" s="149">
        <f t="shared" ca="1" si="300"/>
        <v>1.000173611111111</v>
      </c>
    </row>
    <row r="9282" spans="12:15" x14ac:dyDescent="0.25">
      <c r="L9282" s="147">
        <f ca="1"/>
        <v>54521</v>
      </c>
      <c r="M9282" s="92">
        <f t="shared" ca="1" si="299"/>
        <v>6.25</v>
      </c>
      <c r="N9282" s="143">
        <f ca="1">(PRODUCT($O$5:$O9282)-1)*36000/_xlfn.DAYS(L9282, $C$2)</f>
        <v>16.893019001909515</v>
      </c>
      <c r="O9282" s="149">
        <f t="shared" ca="1" si="300"/>
        <v>1.000173611111111</v>
      </c>
    </row>
    <row r="9283" spans="12:15" x14ac:dyDescent="0.25">
      <c r="L9283" s="147">
        <f ca="1"/>
        <v>54522</v>
      </c>
      <c r="M9283" s="92">
        <f t="shared" ca="1" si="299"/>
        <v>6.25</v>
      </c>
      <c r="N9283" s="143">
        <f ca="1">(PRODUCT($O$5:$O9283)-1)*36000/_xlfn.DAYS(L9283, $C$2)</f>
        <v>16.894804500991384</v>
      </c>
      <c r="O9283" s="149">
        <f t="shared" ca="1" si="300"/>
        <v>1.000173611111111</v>
      </c>
    </row>
    <row r="9284" spans="12:15" x14ac:dyDescent="0.25">
      <c r="L9284" s="147">
        <f ca="1"/>
        <v>54523</v>
      </c>
      <c r="M9284" s="92">
        <f t="shared" ca="1" si="299"/>
        <v>6.25</v>
      </c>
      <c r="N9284" s="143">
        <f ca="1">(PRODUCT($O$5:$O9284)-1)*36000/_xlfn.DAYS(L9284, $C$2)</f>
        <v>16.896590241252678</v>
      </c>
      <c r="O9284" s="149">
        <f t="shared" ca="1" si="300"/>
        <v>1.000173611111111</v>
      </c>
    </row>
    <row r="9285" spans="12:15" x14ac:dyDescent="0.25">
      <c r="L9285" s="147">
        <f ca="1"/>
        <v>54524</v>
      </c>
      <c r="M9285" s="92">
        <f t="shared" ref="M9285:M9348" ca="1" si="301">IFERROR(INDEX($E$27:$H$47, MATCH(L9285, $F$27:$F$47, 0), 4), IF(ISNUMBER(M9284), M9284, $C$5))</f>
        <v>6.25</v>
      </c>
      <c r="N9285" s="143">
        <f ca="1">(PRODUCT($O$5:$O9285)-1)*36000/_xlfn.DAYS(L9285, $C$2)</f>
        <v>16.898376222724107</v>
      </c>
      <c r="O9285" s="149">
        <f t="shared" ca="1" si="300"/>
        <v>1.000173611111111</v>
      </c>
    </row>
    <row r="9286" spans="12:15" x14ac:dyDescent="0.25">
      <c r="L9286" s="147">
        <f ca="1"/>
        <v>54525</v>
      </c>
      <c r="M9286" s="92">
        <f t="shared" ca="1" si="301"/>
        <v>6.25</v>
      </c>
      <c r="N9286" s="143">
        <f ca="1">(PRODUCT($O$5:$O9286)-1)*36000/_xlfn.DAYS(L9286, $C$2)</f>
        <v>16.900162445436376</v>
      </c>
      <c r="O9286" s="149">
        <f t="shared" ref="O9286:O9349" ca="1" si="302">1+M9286*IFERROR(_xlfn.DAYS(L9286, L9285), _xlfn.DAYS(L9286, $C$2))/36000</f>
        <v>1.000173611111111</v>
      </c>
    </row>
    <row r="9287" spans="12:15" x14ac:dyDescent="0.25">
      <c r="L9287" s="147">
        <f ca="1"/>
        <v>54526</v>
      </c>
      <c r="M9287" s="92">
        <f t="shared" ca="1" si="301"/>
        <v>6.25</v>
      </c>
      <c r="N9287" s="143">
        <f ca="1">(PRODUCT($O$5:$O9287)-1)*36000/_xlfn.DAYS(L9287, $C$2)</f>
        <v>16.901948909420209</v>
      </c>
      <c r="O9287" s="149">
        <f t="shared" ca="1" si="302"/>
        <v>1.000173611111111</v>
      </c>
    </row>
    <row r="9288" spans="12:15" x14ac:dyDescent="0.25">
      <c r="L9288" s="147">
        <f ca="1"/>
        <v>54527</v>
      </c>
      <c r="M9288" s="92">
        <f t="shared" ca="1" si="301"/>
        <v>6.25</v>
      </c>
      <c r="N9288" s="143">
        <f ca="1">(PRODUCT($O$5:$O9288)-1)*36000/_xlfn.DAYS(L9288, $C$2)</f>
        <v>16.903735614706335</v>
      </c>
      <c r="O9288" s="149">
        <f t="shared" ca="1" si="302"/>
        <v>1.000173611111111</v>
      </c>
    </row>
    <row r="9289" spans="12:15" x14ac:dyDescent="0.25">
      <c r="L9289" s="147">
        <f ca="1"/>
        <v>54528</v>
      </c>
      <c r="M9289" s="92">
        <f t="shared" ca="1" si="301"/>
        <v>6.25</v>
      </c>
      <c r="N9289" s="143">
        <f ca="1">(PRODUCT($O$5:$O9289)-1)*36000/_xlfn.DAYS(L9289, $C$2)</f>
        <v>16.905522561325473</v>
      </c>
      <c r="O9289" s="149">
        <f t="shared" ca="1" si="302"/>
        <v>1.000173611111111</v>
      </c>
    </row>
    <row r="9290" spans="12:15" x14ac:dyDescent="0.25">
      <c r="L9290" s="147">
        <f ca="1"/>
        <v>54529</v>
      </c>
      <c r="M9290" s="92">
        <f t="shared" ca="1" si="301"/>
        <v>6.25</v>
      </c>
      <c r="N9290" s="143">
        <f ca="1">(PRODUCT($O$5:$O9290)-1)*36000/_xlfn.DAYS(L9290, $C$2)</f>
        <v>16.907309749308364</v>
      </c>
      <c r="O9290" s="149">
        <f t="shared" ca="1" si="302"/>
        <v>1.000173611111111</v>
      </c>
    </row>
    <row r="9291" spans="12:15" x14ac:dyDescent="0.25">
      <c r="L9291" s="147">
        <f ca="1"/>
        <v>54530</v>
      </c>
      <c r="M9291" s="92">
        <f t="shared" ca="1" si="301"/>
        <v>6.25</v>
      </c>
      <c r="N9291" s="143">
        <f ca="1">(PRODUCT($O$5:$O9291)-1)*36000/_xlfn.DAYS(L9291, $C$2)</f>
        <v>16.909097178685748</v>
      </c>
      <c r="O9291" s="149">
        <f t="shared" ca="1" si="302"/>
        <v>1.000173611111111</v>
      </c>
    </row>
    <row r="9292" spans="12:15" x14ac:dyDescent="0.25">
      <c r="L9292" s="147">
        <f ca="1"/>
        <v>54531</v>
      </c>
      <c r="M9292" s="92">
        <f t="shared" ca="1" si="301"/>
        <v>6.25</v>
      </c>
      <c r="N9292" s="143">
        <f ca="1">(PRODUCT($O$5:$O9292)-1)*36000/_xlfn.DAYS(L9292, $C$2)</f>
        <v>16.910884849488376</v>
      </c>
      <c r="O9292" s="149">
        <f t="shared" ca="1" si="302"/>
        <v>1.000173611111111</v>
      </c>
    </row>
    <row r="9293" spans="12:15" x14ac:dyDescent="0.25">
      <c r="L9293" s="147">
        <f ca="1"/>
        <v>54532</v>
      </c>
      <c r="M9293" s="92">
        <f t="shared" ca="1" si="301"/>
        <v>6.25</v>
      </c>
      <c r="N9293" s="143">
        <f ca="1">(PRODUCT($O$5:$O9293)-1)*36000/_xlfn.DAYS(L9293, $C$2)</f>
        <v>16.91267276174699</v>
      </c>
      <c r="O9293" s="149">
        <f t="shared" ca="1" si="302"/>
        <v>1.000173611111111</v>
      </c>
    </row>
    <row r="9294" spans="12:15" x14ac:dyDescent="0.25">
      <c r="L9294" s="147">
        <f ca="1"/>
        <v>54533</v>
      </c>
      <c r="M9294" s="92">
        <f t="shared" ca="1" si="301"/>
        <v>6.25</v>
      </c>
      <c r="N9294" s="143">
        <f ca="1">(PRODUCT($O$5:$O9294)-1)*36000/_xlfn.DAYS(L9294, $C$2)</f>
        <v>16.914460915492359</v>
      </c>
      <c r="O9294" s="149">
        <f t="shared" ca="1" si="302"/>
        <v>1.000173611111111</v>
      </c>
    </row>
    <row r="9295" spans="12:15" x14ac:dyDescent="0.25">
      <c r="L9295" s="147">
        <f ca="1"/>
        <v>54534</v>
      </c>
      <c r="M9295" s="92">
        <f t="shared" ca="1" si="301"/>
        <v>6.25</v>
      </c>
      <c r="N9295" s="143">
        <f ca="1">(PRODUCT($O$5:$O9295)-1)*36000/_xlfn.DAYS(L9295, $C$2)</f>
        <v>16.916249310755241</v>
      </c>
      <c r="O9295" s="149">
        <f t="shared" ca="1" si="302"/>
        <v>1.000173611111111</v>
      </c>
    </row>
    <row r="9296" spans="12:15" x14ac:dyDescent="0.25">
      <c r="L9296" s="147">
        <f ca="1"/>
        <v>54535</v>
      </c>
      <c r="M9296" s="92">
        <f t="shared" ca="1" si="301"/>
        <v>6.25</v>
      </c>
      <c r="N9296" s="143">
        <f ca="1">(PRODUCT($O$5:$O9296)-1)*36000/_xlfn.DAYS(L9296, $C$2)</f>
        <v>16.918037947566404</v>
      </c>
      <c r="O9296" s="149">
        <f t="shared" ca="1" si="302"/>
        <v>1.000173611111111</v>
      </c>
    </row>
    <row r="9297" spans="12:15" x14ac:dyDescent="0.25">
      <c r="L9297" s="147">
        <f ca="1"/>
        <v>54536</v>
      </c>
      <c r="M9297" s="92">
        <f t="shared" ca="1" si="301"/>
        <v>6.25</v>
      </c>
      <c r="N9297" s="143">
        <f ca="1">(PRODUCT($O$5:$O9297)-1)*36000/_xlfn.DAYS(L9297, $C$2)</f>
        <v>16.919826825956623</v>
      </c>
      <c r="O9297" s="149">
        <f t="shared" ca="1" si="302"/>
        <v>1.000173611111111</v>
      </c>
    </row>
    <row r="9298" spans="12:15" x14ac:dyDescent="0.25">
      <c r="L9298" s="147">
        <f ca="1"/>
        <v>54537</v>
      </c>
      <c r="M9298" s="92">
        <f t="shared" ca="1" si="301"/>
        <v>6.25</v>
      </c>
      <c r="N9298" s="143">
        <f ca="1">(PRODUCT($O$5:$O9298)-1)*36000/_xlfn.DAYS(L9298, $C$2)</f>
        <v>16.921615945956685</v>
      </c>
      <c r="O9298" s="149">
        <f t="shared" ca="1" si="302"/>
        <v>1.000173611111111</v>
      </c>
    </row>
    <row r="9299" spans="12:15" x14ac:dyDescent="0.25">
      <c r="L9299" s="147">
        <f ca="1"/>
        <v>54538</v>
      </c>
      <c r="M9299" s="92">
        <f t="shared" ca="1" si="301"/>
        <v>6.25</v>
      </c>
      <c r="N9299" s="143">
        <f ca="1">(PRODUCT($O$5:$O9299)-1)*36000/_xlfn.DAYS(L9299, $C$2)</f>
        <v>16.923405307597367</v>
      </c>
      <c r="O9299" s="149">
        <f t="shared" ca="1" si="302"/>
        <v>1.000173611111111</v>
      </c>
    </row>
    <row r="9300" spans="12:15" x14ac:dyDescent="0.25">
      <c r="L9300" s="147">
        <f ca="1"/>
        <v>54539</v>
      </c>
      <c r="M9300" s="92">
        <f t="shared" ca="1" si="301"/>
        <v>6.25</v>
      </c>
      <c r="N9300" s="143">
        <f ca="1">(PRODUCT($O$5:$O9300)-1)*36000/_xlfn.DAYS(L9300, $C$2)</f>
        <v>16.925194910909468</v>
      </c>
      <c r="O9300" s="149">
        <f t="shared" ca="1" si="302"/>
        <v>1.000173611111111</v>
      </c>
    </row>
    <row r="9301" spans="12:15" x14ac:dyDescent="0.25">
      <c r="L9301" s="147">
        <f ca="1"/>
        <v>54540</v>
      </c>
      <c r="M9301" s="92">
        <f t="shared" ca="1" si="301"/>
        <v>6.25</v>
      </c>
      <c r="N9301" s="143">
        <f ca="1">(PRODUCT($O$5:$O9301)-1)*36000/_xlfn.DAYS(L9301, $C$2)</f>
        <v>16.926984755923783</v>
      </c>
      <c r="O9301" s="149">
        <f t="shared" ca="1" si="302"/>
        <v>1.000173611111111</v>
      </c>
    </row>
    <row r="9302" spans="12:15" x14ac:dyDescent="0.25">
      <c r="L9302" s="147">
        <f ca="1"/>
        <v>54541</v>
      </c>
      <c r="M9302" s="92">
        <f t="shared" ca="1" si="301"/>
        <v>6.25</v>
      </c>
      <c r="N9302" s="143">
        <f ca="1">(PRODUCT($O$5:$O9302)-1)*36000/_xlfn.DAYS(L9302, $C$2)</f>
        <v>16.92877484267111</v>
      </c>
      <c r="O9302" s="149">
        <f t="shared" ca="1" si="302"/>
        <v>1.000173611111111</v>
      </c>
    </row>
    <row r="9303" spans="12:15" x14ac:dyDescent="0.25">
      <c r="L9303" s="147">
        <f ca="1"/>
        <v>54542</v>
      </c>
      <c r="M9303" s="92">
        <f t="shared" ca="1" si="301"/>
        <v>6.25</v>
      </c>
      <c r="N9303" s="143">
        <f ca="1">(PRODUCT($O$5:$O9303)-1)*36000/_xlfn.DAYS(L9303, $C$2)</f>
        <v>16.930565171182263</v>
      </c>
      <c r="O9303" s="149">
        <f t="shared" ca="1" si="302"/>
        <v>1.000173611111111</v>
      </c>
    </row>
    <row r="9304" spans="12:15" x14ac:dyDescent="0.25">
      <c r="L9304" s="147">
        <f ca="1"/>
        <v>54543</v>
      </c>
      <c r="M9304" s="92">
        <f t="shared" ca="1" si="301"/>
        <v>6.25</v>
      </c>
      <c r="N9304" s="143">
        <f ca="1">(PRODUCT($O$5:$O9304)-1)*36000/_xlfn.DAYS(L9304, $C$2)</f>
        <v>16.932355741488056</v>
      </c>
      <c r="O9304" s="149">
        <f t="shared" ca="1" si="302"/>
        <v>1.000173611111111</v>
      </c>
    </row>
    <row r="9305" spans="12:15" x14ac:dyDescent="0.25">
      <c r="L9305" s="147">
        <f ca="1"/>
        <v>54544</v>
      </c>
      <c r="M9305" s="92">
        <f t="shared" ca="1" si="301"/>
        <v>6.25</v>
      </c>
      <c r="N9305" s="143">
        <f ca="1">(PRODUCT($O$5:$O9305)-1)*36000/_xlfn.DAYS(L9305, $C$2)</f>
        <v>16.934146553619307</v>
      </c>
      <c r="O9305" s="149">
        <f t="shared" ca="1" si="302"/>
        <v>1.000173611111111</v>
      </c>
    </row>
    <row r="9306" spans="12:15" x14ac:dyDescent="0.25">
      <c r="L9306" s="147">
        <f ca="1"/>
        <v>54545</v>
      </c>
      <c r="M9306" s="92">
        <f t="shared" ca="1" si="301"/>
        <v>6.25</v>
      </c>
      <c r="N9306" s="143">
        <f ca="1">(PRODUCT($O$5:$O9306)-1)*36000/_xlfn.DAYS(L9306, $C$2)</f>
        <v>16.935937607606842</v>
      </c>
      <c r="O9306" s="149">
        <f t="shared" ca="1" si="302"/>
        <v>1.000173611111111</v>
      </c>
    </row>
    <row r="9307" spans="12:15" x14ac:dyDescent="0.25">
      <c r="L9307" s="147">
        <f ca="1"/>
        <v>54546</v>
      </c>
      <c r="M9307" s="92">
        <f t="shared" ca="1" si="301"/>
        <v>6.25</v>
      </c>
      <c r="N9307" s="143">
        <f ca="1">(PRODUCT($O$5:$O9307)-1)*36000/_xlfn.DAYS(L9307, $C$2)</f>
        <v>16.937728903481496</v>
      </c>
      <c r="O9307" s="149">
        <f t="shared" ca="1" si="302"/>
        <v>1.000173611111111</v>
      </c>
    </row>
    <row r="9308" spans="12:15" x14ac:dyDescent="0.25">
      <c r="L9308" s="147">
        <f ca="1"/>
        <v>54547</v>
      </c>
      <c r="M9308" s="92">
        <f t="shared" ca="1" si="301"/>
        <v>6.25</v>
      </c>
      <c r="N9308" s="143">
        <f ca="1">(PRODUCT($O$5:$O9308)-1)*36000/_xlfn.DAYS(L9308, $C$2)</f>
        <v>16.939520441274102</v>
      </c>
      <c r="O9308" s="149">
        <f t="shared" ca="1" si="302"/>
        <v>1.000173611111111</v>
      </c>
    </row>
    <row r="9309" spans="12:15" x14ac:dyDescent="0.25">
      <c r="L9309" s="147">
        <f ca="1"/>
        <v>54548</v>
      </c>
      <c r="M9309" s="92">
        <f t="shared" ca="1" si="301"/>
        <v>6.25</v>
      </c>
      <c r="N9309" s="143">
        <f ca="1">(PRODUCT($O$5:$O9309)-1)*36000/_xlfn.DAYS(L9309, $C$2)</f>
        <v>16.941312221015497</v>
      </c>
      <c r="O9309" s="149">
        <f t="shared" ca="1" si="302"/>
        <v>1.000173611111111</v>
      </c>
    </row>
    <row r="9310" spans="12:15" x14ac:dyDescent="0.25">
      <c r="L9310" s="147">
        <f ca="1"/>
        <v>54549</v>
      </c>
      <c r="M9310" s="92">
        <f t="shared" ca="1" si="301"/>
        <v>6.25</v>
      </c>
      <c r="N9310" s="143">
        <f ca="1">(PRODUCT($O$5:$O9310)-1)*36000/_xlfn.DAYS(L9310, $C$2)</f>
        <v>16.943104242736538</v>
      </c>
      <c r="O9310" s="149">
        <f t="shared" ca="1" si="302"/>
        <v>1.000173611111111</v>
      </c>
    </row>
    <row r="9311" spans="12:15" x14ac:dyDescent="0.25">
      <c r="L9311" s="147">
        <f ca="1"/>
        <v>54550</v>
      </c>
      <c r="M9311" s="92">
        <f t="shared" ca="1" si="301"/>
        <v>6.25</v>
      </c>
      <c r="N9311" s="143">
        <f ca="1">(PRODUCT($O$5:$O9311)-1)*36000/_xlfn.DAYS(L9311, $C$2)</f>
        <v>16.944896506468076</v>
      </c>
      <c r="O9311" s="149">
        <f t="shared" ca="1" si="302"/>
        <v>1.000173611111111</v>
      </c>
    </row>
    <row r="9312" spans="12:15" x14ac:dyDescent="0.25">
      <c r="L9312" s="147">
        <f ca="1"/>
        <v>54551</v>
      </c>
      <c r="M9312" s="92">
        <f t="shared" ca="1" si="301"/>
        <v>6.25</v>
      </c>
      <c r="N9312" s="143">
        <f ca="1">(PRODUCT($O$5:$O9312)-1)*36000/_xlfn.DAYS(L9312, $C$2)</f>
        <v>16.94668901224097</v>
      </c>
      <c r="O9312" s="149">
        <f t="shared" ca="1" si="302"/>
        <v>1.000173611111111</v>
      </c>
    </row>
    <row r="9313" spans="12:15" x14ac:dyDescent="0.25">
      <c r="L9313" s="147">
        <f ca="1"/>
        <v>54552</v>
      </c>
      <c r="M9313" s="92">
        <f t="shared" ca="1" si="301"/>
        <v>6.25</v>
      </c>
      <c r="N9313" s="143">
        <f ca="1">(PRODUCT($O$5:$O9313)-1)*36000/_xlfn.DAYS(L9313, $C$2)</f>
        <v>16.948481760086082</v>
      </c>
      <c r="O9313" s="149">
        <f t="shared" ca="1" si="302"/>
        <v>1.000173611111111</v>
      </c>
    </row>
    <row r="9314" spans="12:15" x14ac:dyDescent="0.25">
      <c r="L9314" s="147">
        <f ca="1"/>
        <v>54553</v>
      </c>
      <c r="M9314" s="92">
        <f t="shared" ca="1" si="301"/>
        <v>6.25</v>
      </c>
      <c r="N9314" s="143">
        <f ca="1">(PRODUCT($O$5:$O9314)-1)*36000/_xlfn.DAYS(L9314, $C$2)</f>
        <v>16.950274750034286</v>
      </c>
      <c r="O9314" s="149">
        <f t="shared" ca="1" si="302"/>
        <v>1.000173611111111</v>
      </c>
    </row>
    <row r="9315" spans="12:15" x14ac:dyDescent="0.25">
      <c r="L9315" s="147">
        <f ca="1"/>
        <v>54554</v>
      </c>
      <c r="M9315" s="92">
        <f t="shared" ca="1" si="301"/>
        <v>6.25</v>
      </c>
      <c r="N9315" s="143">
        <f ca="1">(PRODUCT($O$5:$O9315)-1)*36000/_xlfn.DAYS(L9315, $C$2)</f>
        <v>16.952067982116457</v>
      </c>
      <c r="O9315" s="149">
        <f t="shared" ca="1" si="302"/>
        <v>1.000173611111111</v>
      </c>
    </row>
    <row r="9316" spans="12:15" x14ac:dyDescent="0.25">
      <c r="L9316" s="147">
        <f ca="1"/>
        <v>54555</v>
      </c>
      <c r="M9316" s="92">
        <f t="shared" ca="1" si="301"/>
        <v>6.25</v>
      </c>
      <c r="N9316" s="143">
        <f ca="1">(PRODUCT($O$5:$O9316)-1)*36000/_xlfn.DAYS(L9316, $C$2)</f>
        <v>16.953861456363477</v>
      </c>
      <c r="O9316" s="149">
        <f t="shared" ca="1" si="302"/>
        <v>1.000173611111111</v>
      </c>
    </row>
    <row r="9317" spans="12:15" x14ac:dyDescent="0.25">
      <c r="L9317" s="147">
        <f ca="1"/>
        <v>54556</v>
      </c>
      <c r="M9317" s="92">
        <f t="shared" ca="1" si="301"/>
        <v>6.25</v>
      </c>
      <c r="N9317" s="143">
        <f ca="1">(PRODUCT($O$5:$O9317)-1)*36000/_xlfn.DAYS(L9317, $C$2)</f>
        <v>16.955655172806235</v>
      </c>
      <c r="O9317" s="149">
        <f t="shared" ca="1" si="302"/>
        <v>1.000173611111111</v>
      </c>
    </row>
    <row r="9318" spans="12:15" x14ac:dyDescent="0.25">
      <c r="L9318" s="147">
        <f ca="1"/>
        <v>54557</v>
      </c>
      <c r="M9318" s="92">
        <f t="shared" ca="1" si="301"/>
        <v>6.25</v>
      </c>
      <c r="N9318" s="143">
        <f ca="1">(PRODUCT($O$5:$O9318)-1)*36000/_xlfn.DAYS(L9318, $C$2)</f>
        <v>16.957449131475624</v>
      </c>
      <c r="O9318" s="149">
        <f t="shared" ca="1" si="302"/>
        <v>1.000173611111111</v>
      </c>
    </row>
    <row r="9319" spans="12:15" x14ac:dyDescent="0.25">
      <c r="L9319" s="147">
        <f ca="1"/>
        <v>54558</v>
      </c>
      <c r="M9319" s="92">
        <f t="shared" ca="1" si="301"/>
        <v>6.25</v>
      </c>
      <c r="N9319" s="143">
        <f ca="1">(PRODUCT($O$5:$O9319)-1)*36000/_xlfn.DAYS(L9319, $C$2)</f>
        <v>16.95924333240254</v>
      </c>
      <c r="O9319" s="149">
        <f t="shared" ca="1" si="302"/>
        <v>1.000173611111111</v>
      </c>
    </row>
    <row r="9320" spans="12:15" x14ac:dyDescent="0.25">
      <c r="L9320" s="147">
        <f ca="1"/>
        <v>54559</v>
      </c>
      <c r="M9320" s="92">
        <f t="shared" ca="1" si="301"/>
        <v>6.25</v>
      </c>
      <c r="N9320" s="143">
        <f ca="1">(PRODUCT($O$5:$O9320)-1)*36000/_xlfn.DAYS(L9320, $C$2)</f>
        <v>16.961037775617886</v>
      </c>
      <c r="O9320" s="149">
        <f t="shared" ca="1" si="302"/>
        <v>1.000173611111111</v>
      </c>
    </row>
    <row r="9321" spans="12:15" x14ac:dyDescent="0.25">
      <c r="L9321" s="147">
        <f ca="1"/>
        <v>54560</v>
      </c>
      <c r="M9321" s="92">
        <f t="shared" ca="1" si="301"/>
        <v>6.25</v>
      </c>
      <c r="N9321" s="143">
        <f ca="1">(PRODUCT($O$5:$O9321)-1)*36000/_xlfn.DAYS(L9321, $C$2)</f>
        <v>16.96283246115258</v>
      </c>
      <c r="O9321" s="149">
        <f t="shared" ca="1" si="302"/>
        <v>1.000173611111111</v>
      </c>
    </row>
    <row r="9322" spans="12:15" x14ac:dyDescent="0.25">
      <c r="L9322" s="147">
        <f ca="1"/>
        <v>54561</v>
      </c>
      <c r="M9322" s="92">
        <f t="shared" ca="1" si="301"/>
        <v>6.25</v>
      </c>
      <c r="N9322" s="143">
        <f ca="1">(PRODUCT($O$5:$O9322)-1)*36000/_xlfn.DAYS(L9322, $C$2)</f>
        <v>16.964627389037531</v>
      </c>
      <c r="O9322" s="149">
        <f t="shared" ca="1" si="302"/>
        <v>1.000173611111111</v>
      </c>
    </row>
    <row r="9323" spans="12:15" x14ac:dyDescent="0.25">
      <c r="L9323" s="147">
        <f ca="1"/>
        <v>54562</v>
      </c>
      <c r="M9323" s="92">
        <f t="shared" ca="1" si="301"/>
        <v>6.25</v>
      </c>
      <c r="N9323" s="143">
        <f ca="1">(PRODUCT($O$5:$O9323)-1)*36000/_xlfn.DAYS(L9323, $C$2)</f>
        <v>16.966422559303663</v>
      </c>
      <c r="O9323" s="149">
        <f t="shared" ca="1" si="302"/>
        <v>1.000173611111111</v>
      </c>
    </row>
    <row r="9324" spans="12:15" x14ac:dyDescent="0.25">
      <c r="L9324" s="147">
        <f ca="1"/>
        <v>54563</v>
      </c>
      <c r="M9324" s="92">
        <f t="shared" ca="1" si="301"/>
        <v>6.25</v>
      </c>
      <c r="N9324" s="143">
        <f ca="1">(PRODUCT($O$5:$O9324)-1)*36000/_xlfn.DAYS(L9324, $C$2)</f>
        <v>16.968217971981904</v>
      </c>
      <c r="O9324" s="149">
        <f t="shared" ca="1" si="302"/>
        <v>1.000173611111111</v>
      </c>
    </row>
    <row r="9325" spans="12:15" x14ac:dyDescent="0.25">
      <c r="L9325" s="147">
        <f ca="1"/>
        <v>54564</v>
      </c>
      <c r="M9325" s="92">
        <f t="shared" ca="1" si="301"/>
        <v>6.25</v>
      </c>
      <c r="N9325" s="143">
        <f ca="1">(PRODUCT($O$5:$O9325)-1)*36000/_xlfn.DAYS(L9325, $C$2)</f>
        <v>16.970013627103185</v>
      </c>
      <c r="O9325" s="149">
        <f t="shared" ca="1" si="302"/>
        <v>1.000173611111111</v>
      </c>
    </row>
    <row r="9326" spans="12:15" x14ac:dyDescent="0.25">
      <c r="L9326" s="147">
        <f ca="1"/>
        <v>54565</v>
      </c>
      <c r="M9326" s="92">
        <f t="shared" ca="1" si="301"/>
        <v>6.25</v>
      </c>
      <c r="N9326" s="143">
        <f ca="1">(PRODUCT($O$5:$O9326)-1)*36000/_xlfn.DAYS(L9326, $C$2)</f>
        <v>16.971809524698443</v>
      </c>
      <c r="O9326" s="149">
        <f t="shared" ca="1" si="302"/>
        <v>1.000173611111111</v>
      </c>
    </row>
    <row r="9327" spans="12:15" x14ac:dyDescent="0.25">
      <c r="L9327" s="147">
        <f ca="1"/>
        <v>54566</v>
      </c>
      <c r="M9327" s="92">
        <f t="shared" ca="1" si="301"/>
        <v>6.25</v>
      </c>
      <c r="N9327" s="143">
        <f ca="1">(PRODUCT($O$5:$O9327)-1)*36000/_xlfn.DAYS(L9327, $C$2)</f>
        <v>16.973605664798622</v>
      </c>
      <c r="O9327" s="149">
        <f t="shared" ca="1" si="302"/>
        <v>1.000173611111111</v>
      </c>
    </row>
    <row r="9328" spans="12:15" x14ac:dyDescent="0.25">
      <c r="L9328" s="147">
        <f ca="1"/>
        <v>54567</v>
      </c>
      <c r="M9328" s="92">
        <f t="shared" ca="1" si="301"/>
        <v>6.25</v>
      </c>
      <c r="N9328" s="143">
        <f ca="1">(PRODUCT($O$5:$O9328)-1)*36000/_xlfn.DAYS(L9328, $C$2)</f>
        <v>16.975402047434674</v>
      </c>
      <c r="O9328" s="149">
        <f t="shared" ca="1" si="302"/>
        <v>1.000173611111111</v>
      </c>
    </row>
    <row r="9329" spans="12:15" x14ac:dyDescent="0.25">
      <c r="L9329" s="147">
        <f ca="1"/>
        <v>54568</v>
      </c>
      <c r="M9329" s="92">
        <f t="shared" ca="1" si="301"/>
        <v>6.25</v>
      </c>
      <c r="N9329" s="143">
        <f ca="1">(PRODUCT($O$5:$O9329)-1)*36000/_xlfn.DAYS(L9329, $C$2)</f>
        <v>16.977198672637549</v>
      </c>
      <c r="O9329" s="149">
        <f t="shared" ca="1" si="302"/>
        <v>1.000173611111111</v>
      </c>
    </row>
    <row r="9330" spans="12:15" x14ac:dyDescent="0.25">
      <c r="L9330" s="147">
        <f ca="1"/>
        <v>54569</v>
      </c>
      <c r="M9330" s="92">
        <f t="shared" ca="1" si="301"/>
        <v>6.25</v>
      </c>
      <c r="N9330" s="143">
        <f ca="1">(PRODUCT($O$5:$O9330)-1)*36000/_xlfn.DAYS(L9330, $C$2)</f>
        <v>16.978995540438213</v>
      </c>
      <c r="O9330" s="149">
        <f t="shared" ca="1" si="302"/>
        <v>1.000173611111111</v>
      </c>
    </row>
    <row r="9331" spans="12:15" x14ac:dyDescent="0.25">
      <c r="L9331" s="147">
        <f ca="1"/>
        <v>54570</v>
      </c>
      <c r="M9331" s="92">
        <f t="shared" ca="1" si="301"/>
        <v>6.25</v>
      </c>
      <c r="N9331" s="143">
        <f ca="1">(PRODUCT($O$5:$O9331)-1)*36000/_xlfn.DAYS(L9331, $C$2)</f>
        <v>16.980792650867638</v>
      </c>
      <c r="O9331" s="149">
        <f t="shared" ca="1" si="302"/>
        <v>1.000173611111111</v>
      </c>
    </row>
    <row r="9332" spans="12:15" x14ac:dyDescent="0.25">
      <c r="L9332" s="147">
        <f ca="1"/>
        <v>54571</v>
      </c>
      <c r="M9332" s="92">
        <f t="shared" ca="1" si="301"/>
        <v>6.25</v>
      </c>
      <c r="N9332" s="143">
        <f ca="1">(PRODUCT($O$5:$O9332)-1)*36000/_xlfn.DAYS(L9332, $C$2)</f>
        <v>16.98259000395678</v>
      </c>
      <c r="O9332" s="149">
        <f t="shared" ca="1" si="302"/>
        <v>1.000173611111111</v>
      </c>
    </row>
    <row r="9333" spans="12:15" x14ac:dyDescent="0.25">
      <c r="L9333" s="147">
        <f ca="1"/>
        <v>54572</v>
      </c>
      <c r="M9333" s="92">
        <f t="shared" ca="1" si="301"/>
        <v>6.25</v>
      </c>
      <c r="N9333" s="143">
        <f ca="1">(PRODUCT($O$5:$O9333)-1)*36000/_xlfn.DAYS(L9333, $C$2)</f>
        <v>16.984387599736625</v>
      </c>
      <c r="O9333" s="149">
        <f t="shared" ca="1" si="302"/>
        <v>1.000173611111111</v>
      </c>
    </row>
    <row r="9334" spans="12:15" x14ac:dyDescent="0.25">
      <c r="L9334" s="147">
        <f ca="1"/>
        <v>54573</v>
      </c>
      <c r="M9334" s="92">
        <f t="shared" ca="1" si="301"/>
        <v>6.25</v>
      </c>
      <c r="N9334" s="143">
        <f ca="1">(PRODUCT($O$5:$O9334)-1)*36000/_xlfn.DAYS(L9334, $C$2)</f>
        <v>16.986185438238163</v>
      </c>
      <c r="O9334" s="149">
        <f t="shared" ca="1" si="302"/>
        <v>1.000173611111111</v>
      </c>
    </row>
    <row r="9335" spans="12:15" x14ac:dyDescent="0.25">
      <c r="L9335" s="147">
        <f ca="1"/>
        <v>54574</v>
      </c>
      <c r="M9335" s="92">
        <f t="shared" ca="1" si="301"/>
        <v>6.25</v>
      </c>
      <c r="N9335" s="143">
        <f ca="1">(PRODUCT($O$5:$O9335)-1)*36000/_xlfn.DAYS(L9335, $C$2)</f>
        <v>16.987983519492378</v>
      </c>
      <c r="O9335" s="149">
        <f t="shared" ca="1" si="302"/>
        <v>1.000173611111111</v>
      </c>
    </row>
    <row r="9336" spans="12:15" x14ac:dyDescent="0.25">
      <c r="L9336" s="147">
        <f ca="1"/>
        <v>54575</v>
      </c>
      <c r="M9336" s="92">
        <f t="shared" ca="1" si="301"/>
        <v>6.25</v>
      </c>
      <c r="N9336" s="143">
        <f ca="1">(PRODUCT($O$5:$O9336)-1)*36000/_xlfn.DAYS(L9336, $C$2)</f>
        <v>16.98978184353026</v>
      </c>
      <c r="O9336" s="149">
        <f t="shared" ca="1" si="302"/>
        <v>1.000173611111111</v>
      </c>
    </row>
    <row r="9337" spans="12:15" x14ac:dyDescent="0.25">
      <c r="L9337" s="147">
        <f ca="1"/>
        <v>54576</v>
      </c>
      <c r="M9337" s="92">
        <f t="shared" ca="1" si="301"/>
        <v>6.25</v>
      </c>
      <c r="N9337" s="143">
        <f ca="1">(PRODUCT($O$5:$O9337)-1)*36000/_xlfn.DAYS(L9337, $C$2)</f>
        <v>16.991580410382817</v>
      </c>
      <c r="O9337" s="149">
        <f t="shared" ca="1" si="302"/>
        <v>1.000173611111111</v>
      </c>
    </row>
    <row r="9338" spans="12:15" x14ac:dyDescent="0.25">
      <c r="L9338" s="147">
        <f ca="1"/>
        <v>54577</v>
      </c>
      <c r="M9338" s="92">
        <f t="shared" ca="1" si="301"/>
        <v>6.25</v>
      </c>
      <c r="N9338" s="143">
        <f ca="1">(PRODUCT($O$5:$O9338)-1)*36000/_xlfn.DAYS(L9338, $C$2)</f>
        <v>16.993379220081046</v>
      </c>
      <c r="O9338" s="149">
        <f t="shared" ca="1" si="302"/>
        <v>1.000173611111111</v>
      </c>
    </row>
    <row r="9339" spans="12:15" x14ac:dyDescent="0.25">
      <c r="L9339" s="147">
        <f ca="1"/>
        <v>54578</v>
      </c>
      <c r="M9339" s="92">
        <f t="shared" ca="1" si="301"/>
        <v>6.25</v>
      </c>
      <c r="N9339" s="143">
        <f ca="1">(PRODUCT($O$5:$O9339)-1)*36000/_xlfn.DAYS(L9339, $C$2)</f>
        <v>16.99517827265597</v>
      </c>
      <c r="O9339" s="149">
        <f t="shared" ca="1" si="302"/>
        <v>1.000173611111111</v>
      </c>
    </row>
    <row r="9340" spans="12:15" x14ac:dyDescent="0.25">
      <c r="L9340" s="147">
        <f ca="1"/>
        <v>54579</v>
      </c>
      <c r="M9340" s="92">
        <f t="shared" ca="1" si="301"/>
        <v>6.25</v>
      </c>
      <c r="N9340" s="143">
        <f ca="1">(PRODUCT($O$5:$O9340)-1)*36000/_xlfn.DAYS(L9340, $C$2)</f>
        <v>16.996977568138597</v>
      </c>
      <c r="O9340" s="149">
        <f t="shared" ca="1" si="302"/>
        <v>1.000173611111111</v>
      </c>
    </row>
    <row r="9341" spans="12:15" x14ac:dyDescent="0.25">
      <c r="L9341" s="147">
        <f ca="1"/>
        <v>54580</v>
      </c>
      <c r="M9341" s="92">
        <f t="shared" ca="1" si="301"/>
        <v>6.25</v>
      </c>
      <c r="N9341" s="143">
        <f ca="1">(PRODUCT($O$5:$O9341)-1)*36000/_xlfn.DAYS(L9341, $C$2)</f>
        <v>16.998777106559952</v>
      </c>
      <c r="O9341" s="149">
        <f t="shared" ca="1" si="302"/>
        <v>1.000173611111111</v>
      </c>
    </row>
    <row r="9342" spans="12:15" x14ac:dyDescent="0.25">
      <c r="L9342" s="147">
        <f ca="1"/>
        <v>54581</v>
      </c>
      <c r="M9342" s="92">
        <f t="shared" ca="1" si="301"/>
        <v>6.25</v>
      </c>
      <c r="N9342" s="143">
        <f ca="1">(PRODUCT($O$5:$O9342)-1)*36000/_xlfn.DAYS(L9342, $C$2)</f>
        <v>17.000576887951063</v>
      </c>
      <c r="O9342" s="149">
        <f t="shared" ca="1" si="302"/>
        <v>1.000173611111111</v>
      </c>
    </row>
    <row r="9343" spans="12:15" x14ac:dyDescent="0.25">
      <c r="L9343" s="147">
        <f ca="1"/>
        <v>54582</v>
      </c>
      <c r="M9343" s="92">
        <f t="shared" ca="1" si="301"/>
        <v>6.25</v>
      </c>
      <c r="N9343" s="143">
        <f ca="1">(PRODUCT($O$5:$O9343)-1)*36000/_xlfn.DAYS(L9343, $C$2)</f>
        <v>17.002376912342971</v>
      </c>
      <c r="O9343" s="149">
        <f t="shared" ca="1" si="302"/>
        <v>1.000173611111111</v>
      </c>
    </row>
    <row r="9344" spans="12:15" x14ac:dyDescent="0.25">
      <c r="L9344" s="147">
        <f ca="1"/>
        <v>54583</v>
      </c>
      <c r="M9344" s="92">
        <f t="shared" ca="1" si="301"/>
        <v>6.25</v>
      </c>
      <c r="N9344" s="143">
        <f ca="1">(PRODUCT($O$5:$O9344)-1)*36000/_xlfn.DAYS(L9344, $C$2)</f>
        <v>17.00417717976671</v>
      </c>
      <c r="O9344" s="149">
        <f t="shared" ca="1" si="302"/>
        <v>1.000173611111111</v>
      </c>
    </row>
    <row r="9345" spans="12:15" x14ac:dyDescent="0.25">
      <c r="L9345" s="147">
        <f ca="1"/>
        <v>54584</v>
      </c>
      <c r="M9345" s="92">
        <f t="shared" ca="1" si="301"/>
        <v>6.25</v>
      </c>
      <c r="N9345" s="143">
        <f ca="1">(PRODUCT($O$5:$O9345)-1)*36000/_xlfn.DAYS(L9345, $C$2)</f>
        <v>17.005977690253324</v>
      </c>
      <c r="O9345" s="149">
        <f t="shared" ca="1" si="302"/>
        <v>1.000173611111111</v>
      </c>
    </row>
    <row r="9346" spans="12:15" x14ac:dyDescent="0.25">
      <c r="L9346" s="147">
        <f ca="1"/>
        <v>54585</v>
      </c>
      <c r="M9346" s="92">
        <f t="shared" ca="1" si="301"/>
        <v>6.25</v>
      </c>
      <c r="N9346" s="143">
        <f ca="1">(PRODUCT($O$5:$O9346)-1)*36000/_xlfn.DAYS(L9346, $C$2)</f>
        <v>17.007778443833867</v>
      </c>
      <c r="O9346" s="149">
        <f t="shared" ca="1" si="302"/>
        <v>1.000173611111111</v>
      </c>
    </row>
    <row r="9347" spans="12:15" x14ac:dyDescent="0.25">
      <c r="L9347" s="147">
        <f ca="1"/>
        <v>54586</v>
      </c>
      <c r="M9347" s="92">
        <f t="shared" ca="1" si="301"/>
        <v>6.25</v>
      </c>
      <c r="N9347" s="143">
        <f ca="1">(PRODUCT($O$5:$O9347)-1)*36000/_xlfn.DAYS(L9347, $C$2)</f>
        <v>17.009579440539394</v>
      </c>
      <c r="O9347" s="149">
        <f t="shared" ca="1" si="302"/>
        <v>1.000173611111111</v>
      </c>
    </row>
    <row r="9348" spans="12:15" x14ac:dyDescent="0.25">
      <c r="L9348" s="147">
        <f ca="1"/>
        <v>54587</v>
      </c>
      <c r="M9348" s="92">
        <f t="shared" ca="1" si="301"/>
        <v>6.25</v>
      </c>
      <c r="N9348" s="143">
        <f ca="1">(PRODUCT($O$5:$O9348)-1)*36000/_xlfn.DAYS(L9348, $C$2)</f>
        <v>17.011380680400972</v>
      </c>
      <c r="O9348" s="149">
        <f t="shared" ca="1" si="302"/>
        <v>1.000173611111111</v>
      </c>
    </row>
    <row r="9349" spans="12:15" x14ac:dyDescent="0.25">
      <c r="L9349" s="147">
        <f ca="1"/>
        <v>54588</v>
      </c>
      <c r="M9349" s="92">
        <f t="shared" ref="M9349:M9412" ca="1" si="303">IFERROR(INDEX($E$27:$H$47, MATCH(L9349, $F$27:$F$47, 0), 4), IF(ISNUMBER(M9348), M9348, $C$5))</f>
        <v>6.25</v>
      </c>
      <c r="N9349" s="143">
        <f ca="1">(PRODUCT($O$5:$O9349)-1)*36000/_xlfn.DAYS(L9349, $C$2)</f>
        <v>17.013182163449663</v>
      </c>
      <c r="O9349" s="149">
        <f t="shared" ca="1" si="302"/>
        <v>1.000173611111111</v>
      </c>
    </row>
    <row r="9350" spans="12:15" x14ac:dyDescent="0.25">
      <c r="L9350" s="147">
        <f ca="1"/>
        <v>54589</v>
      </c>
      <c r="M9350" s="92">
        <f t="shared" ca="1" si="303"/>
        <v>6.25</v>
      </c>
      <c r="N9350" s="143">
        <f ca="1">(PRODUCT($O$5:$O9350)-1)*36000/_xlfn.DAYS(L9350, $C$2)</f>
        <v>17.014983889716543</v>
      </c>
      <c r="O9350" s="149">
        <f t="shared" ref="O9350:O9413" ca="1" si="304">1+M9350*IFERROR(_xlfn.DAYS(L9350, L9349), _xlfn.DAYS(L9350, $C$2))/36000</f>
        <v>1.000173611111111</v>
      </c>
    </row>
    <row r="9351" spans="12:15" x14ac:dyDescent="0.25">
      <c r="L9351" s="147">
        <f ca="1"/>
        <v>54590</v>
      </c>
      <c r="M9351" s="92">
        <f t="shared" ca="1" si="303"/>
        <v>6.25</v>
      </c>
      <c r="N9351" s="143">
        <f ca="1">(PRODUCT($O$5:$O9351)-1)*36000/_xlfn.DAYS(L9351, $C$2)</f>
        <v>17.016785859232691</v>
      </c>
      <c r="O9351" s="149">
        <f t="shared" ca="1" si="304"/>
        <v>1.000173611111111</v>
      </c>
    </row>
    <row r="9352" spans="12:15" x14ac:dyDescent="0.25">
      <c r="L9352" s="147">
        <f ca="1"/>
        <v>54591</v>
      </c>
      <c r="M9352" s="92">
        <f t="shared" ca="1" si="303"/>
        <v>6.25</v>
      </c>
      <c r="N9352" s="143">
        <f ca="1">(PRODUCT($O$5:$O9352)-1)*36000/_xlfn.DAYS(L9352, $C$2)</f>
        <v>17.018588072029189</v>
      </c>
      <c r="O9352" s="149">
        <f t="shared" ca="1" si="304"/>
        <v>1.000173611111111</v>
      </c>
    </row>
    <row r="9353" spans="12:15" x14ac:dyDescent="0.25">
      <c r="L9353" s="147">
        <f ca="1"/>
        <v>54592</v>
      </c>
      <c r="M9353" s="92">
        <f t="shared" ca="1" si="303"/>
        <v>6.25</v>
      </c>
      <c r="N9353" s="143">
        <f ca="1">(PRODUCT($O$5:$O9353)-1)*36000/_xlfn.DAYS(L9353, $C$2)</f>
        <v>17.020390528137135</v>
      </c>
      <c r="O9353" s="149">
        <f t="shared" ca="1" si="304"/>
        <v>1.000173611111111</v>
      </c>
    </row>
    <row r="9354" spans="12:15" x14ac:dyDescent="0.25">
      <c r="L9354" s="147">
        <f ca="1"/>
        <v>54593</v>
      </c>
      <c r="M9354" s="92">
        <f t="shared" ca="1" si="303"/>
        <v>6.25</v>
      </c>
      <c r="N9354" s="143">
        <f ca="1">(PRODUCT($O$5:$O9354)-1)*36000/_xlfn.DAYS(L9354, $C$2)</f>
        <v>17.022193227587621</v>
      </c>
      <c r="O9354" s="149">
        <f t="shared" ca="1" si="304"/>
        <v>1.000173611111111</v>
      </c>
    </row>
    <row r="9355" spans="12:15" x14ac:dyDescent="0.25">
      <c r="L9355" s="147">
        <f ca="1"/>
        <v>54594</v>
      </c>
      <c r="M9355" s="92">
        <f t="shared" ca="1" si="303"/>
        <v>6.25</v>
      </c>
      <c r="N9355" s="143">
        <f ca="1">(PRODUCT($O$5:$O9355)-1)*36000/_xlfn.DAYS(L9355, $C$2)</f>
        <v>17.023996170411753</v>
      </c>
      <c r="O9355" s="149">
        <f t="shared" ca="1" si="304"/>
        <v>1.000173611111111</v>
      </c>
    </row>
    <row r="9356" spans="12:15" x14ac:dyDescent="0.25">
      <c r="L9356" s="147">
        <f ca="1"/>
        <v>54595</v>
      </c>
      <c r="M9356" s="92">
        <f t="shared" ca="1" si="303"/>
        <v>6.25</v>
      </c>
      <c r="N9356" s="143">
        <f ca="1">(PRODUCT($O$5:$O9356)-1)*36000/_xlfn.DAYS(L9356, $C$2)</f>
        <v>17.025799356640633</v>
      </c>
      <c r="O9356" s="149">
        <f t="shared" ca="1" si="304"/>
        <v>1.000173611111111</v>
      </c>
    </row>
    <row r="9357" spans="12:15" x14ac:dyDescent="0.25">
      <c r="L9357" s="147">
        <f ca="1"/>
        <v>54596</v>
      </c>
      <c r="M9357" s="92">
        <f t="shared" ca="1" si="303"/>
        <v>6.25</v>
      </c>
      <c r="N9357" s="143">
        <f ca="1">(PRODUCT($O$5:$O9357)-1)*36000/_xlfn.DAYS(L9357, $C$2)</f>
        <v>17.027602786305373</v>
      </c>
      <c r="O9357" s="149">
        <f t="shared" ca="1" si="304"/>
        <v>1.000173611111111</v>
      </c>
    </row>
    <row r="9358" spans="12:15" x14ac:dyDescent="0.25">
      <c r="L9358" s="147">
        <f ca="1"/>
        <v>54597</v>
      </c>
      <c r="M9358" s="92">
        <f t="shared" ca="1" si="303"/>
        <v>6.25</v>
      </c>
      <c r="N9358" s="143">
        <f ca="1">(PRODUCT($O$5:$O9358)-1)*36000/_xlfn.DAYS(L9358, $C$2)</f>
        <v>17.029406459437098</v>
      </c>
      <c r="O9358" s="149">
        <f t="shared" ca="1" si="304"/>
        <v>1.000173611111111</v>
      </c>
    </row>
    <row r="9359" spans="12:15" x14ac:dyDescent="0.25">
      <c r="L9359" s="147">
        <f ca="1"/>
        <v>54598</v>
      </c>
      <c r="M9359" s="92">
        <f t="shared" ca="1" si="303"/>
        <v>6.25</v>
      </c>
      <c r="N9359" s="143">
        <f ca="1">(PRODUCT($O$5:$O9359)-1)*36000/_xlfn.DAYS(L9359, $C$2)</f>
        <v>17.03121037606693</v>
      </c>
      <c r="O9359" s="149">
        <f t="shared" ca="1" si="304"/>
        <v>1.000173611111111</v>
      </c>
    </row>
    <row r="9360" spans="12:15" x14ac:dyDescent="0.25">
      <c r="L9360" s="147">
        <f ca="1"/>
        <v>54599</v>
      </c>
      <c r="M9360" s="92">
        <f t="shared" ca="1" si="303"/>
        <v>6.25</v>
      </c>
      <c r="N9360" s="143">
        <f ca="1">(PRODUCT($O$5:$O9360)-1)*36000/_xlfn.DAYS(L9360, $C$2)</f>
        <v>17.033014536225998</v>
      </c>
      <c r="O9360" s="149">
        <f t="shared" ca="1" si="304"/>
        <v>1.000173611111111</v>
      </c>
    </row>
    <row r="9361" spans="12:15" x14ac:dyDescent="0.25">
      <c r="L9361" s="147">
        <f ca="1"/>
        <v>54600</v>
      </c>
      <c r="M9361" s="92">
        <f t="shared" ca="1" si="303"/>
        <v>6.25</v>
      </c>
      <c r="N9361" s="143">
        <f ca="1">(PRODUCT($O$5:$O9361)-1)*36000/_xlfn.DAYS(L9361, $C$2)</f>
        <v>17.034818939945438</v>
      </c>
      <c r="O9361" s="149">
        <f t="shared" ca="1" si="304"/>
        <v>1.000173611111111</v>
      </c>
    </row>
    <row r="9362" spans="12:15" x14ac:dyDescent="0.25">
      <c r="L9362" s="147">
        <f ca="1"/>
        <v>54601</v>
      </c>
      <c r="M9362" s="92">
        <f t="shared" ca="1" si="303"/>
        <v>6.25</v>
      </c>
      <c r="N9362" s="143">
        <f ca="1">(PRODUCT($O$5:$O9362)-1)*36000/_xlfn.DAYS(L9362, $C$2)</f>
        <v>17.036623587256397</v>
      </c>
      <c r="O9362" s="149">
        <f t="shared" ca="1" si="304"/>
        <v>1.000173611111111</v>
      </c>
    </row>
    <row r="9363" spans="12:15" x14ac:dyDescent="0.25">
      <c r="L9363" s="147">
        <f ca="1"/>
        <v>54602</v>
      </c>
      <c r="M9363" s="92">
        <f t="shared" ca="1" si="303"/>
        <v>6.25</v>
      </c>
      <c r="N9363" s="143">
        <f ca="1">(PRODUCT($O$5:$O9363)-1)*36000/_xlfn.DAYS(L9363, $C$2)</f>
        <v>17.038428478190017</v>
      </c>
      <c r="O9363" s="149">
        <f t="shared" ca="1" si="304"/>
        <v>1.000173611111111</v>
      </c>
    </row>
    <row r="9364" spans="12:15" x14ac:dyDescent="0.25">
      <c r="L9364" s="147">
        <f ca="1"/>
        <v>54603</v>
      </c>
      <c r="M9364" s="92">
        <f t="shared" ca="1" si="303"/>
        <v>6.25</v>
      </c>
      <c r="N9364" s="143">
        <f ca="1">(PRODUCT($O$5:$O9364)-1)*36000/_xlfn.DAYS(L9364, $C$2)</f>
        <v>17.040233612777445</v>
      </c>
      <c r="O9364" s="149">
        <f t="shared" ca="1" si="304"/>
        <v>1.000173611111111</v>
      </c>
    </row>
    <row r="9365" spans="12:15" x14ac:dyDescent="0.25">
      <c r="L9365" s="147">
        <f ca="1"/>
        <v>54604</v>
      </c>
      <c r="M9365" s="92">
        <f t="shared" ca="1" si="303"/>
        <v>6.25</v>
      </c>
      <c r="N9365" s="143">
        <f ca="1">(PRODUCT($O$5:$O9365)-1)*36000/_xlfn.DAYS(L9365, $C$2)</f>
        <v>17.04203899104985</v>
      </c>
      <c r="O9365" s="149">
        <f t="shared" ca="1" si="304"/>
        <v>1.000173611111111</v>
      </c>
    </row>
    <row r="9366" spans="12:15" x14ac:dyDescent="0.25">
      <c r="L9366" s="147">
        <f ca="1"/>
        <v>54605</v>
      </c>
      <c r="M9366" s="92">
        <f t="shared" ca="1" si="303"/>
        <v>6.25</v>
      </c>
      <c r="N9366" s="143">
        <f ca="1">(PRODUCT($O$5:$O9366)-1)*36000/_xlfn.DAYS(L9366, $C$2)</f>
        <v>17.043844613038388</v>
      </c>
      <c r="O9366" s="149">
        <f t="shared" ca="1" si="304"/>
        <v>1.000173611111111</v>
      </c>
    </row>
    <row r="9367" spans="12:15" x14ac:dyDescent="0.25">
      <c r="L9367" s="147">
        <f ca="1"/>
        <v>54606</v>
      </c>
      <c r="M9367" s="92">
        <f t="shared" ca="1" si="303"/>
        <v>6.25</v>
      </c>
      <c r="N9367" s="143">
        <f ca="1">(PRODUCT($O$5:$O9367)-1)*36000/_xlfn.DAYS(L9367, $C$2)</f>
        <v>17.045650478774238</v>
      </c>
      <c r="O9367" s="149">
        <f t="shared" ca="1" si="304"/>
        <v>1.000173611111111</v>
      </c>
    </row>
    <row r="9368" spans="12:15" x14ac:dyDescent="0.25">
      <c r="L9368" s="147">
        <f ca="1"/>
        <v>54607</v>
      </c>
      <c r="M9368" s="92">
        <f t="shared" ca="1" si="303"/>
        <v>6.25</v>
      </c>
      <c r="N9368" s="143">
        <f ca="1">(PRODUCT($O$5:$O9368)-1)*36000/_xlfn.DAYS(L9368, $C$2)</f>
        <v>17.047456588288565</v>
      </c>
      <c r="O9368" s="149">
        <f t="shared" ca="1" si="304"/>
        <v>1.000173611111111</v>
      </c>
    </row>
    <row r="9369" spans="12:15" x14ac:dyDescent="0.25">
      <c r="L9369" s="147">
        <f ca="1"/>
        <v>54608</v>
      </c>
      <c r="M9369" s="92">
        <f t="shared" ca="1" si="303"/>
        <v>6.25</v>
      </c>
      <c r="N9369" s="143">
        <f ca="1">(PRODUCT($O$5:$O9369)-1)*36000/_xlfn.DAYS(L9369, $C$2)</f>
        <v>17.049262941612557</v>
      </c>
      <c r="O9369" s="149">
        <f t="shared" ca="1" si="304"/>
        <v>1.000173611111111</v>
      </c>
    </row>
    <row r="9370" spans="12:15" x14ac:dyDescent="0.25">
      <c r="L9370" s="147">
        <f ca="1"/>
        <v>54609</v>
      </c>
      <c r="M9370" s="92">
        <f t="shared" ca="1" si="303"/>
        <v>6.25</v>
      </c>
      <c r="N9370" s="143">
        <f ca="1">(PRODUCT($O$5:$O9370)-1)*36000/_xlfn.DAYS(L9370, $C$2)</f>
        <v>17.051069538777398</v>
      </c>
      <c r="O9370" s="149">
        <f t="shared" ca="1" si="304"/>
        <v>1.000173611111111</v>
      </c>
    </row>
    <row r="9371" spans="12:15" x14ac:dyDescent="0.25">
      <c r="L9371" s="147">
        <f ca="1"/>
        <v>54610</v>
      </c>
      <c r="M9371" s="92">
        <f t="shared" ca="1" si="303"/>
        <v>6.25</v>
      </c>
      <c r="N9371" s="143">
        <f ca="1">(PRODUCT($O$5:$O9371)-1)*36000/_xlfn.DAYS(L9371, $C$2)</f>
        <v>17.052876379814283</v>
      </c>
      <c r="O9371" s="149">
        <f t="shared" ca="1" si="304"/>
        <v>1.000173611111111</v>
      </c>
    </row>
    <row r="9372" spans="12:15" x14ac:dyDescent="0.25">
      <c r="L9372" s="147">
        <f ca="1"/>
        <v>54611</v>
      </c>
      <c r="M9372" s="92">
        <f t="shared" ca="1" si="303"/>
        <v>6.25</v>
      </c>
      <c r="N9372" s="143">
        <f ca="1">(PRODUCT($O$5:$O9372)-1)*36000/_xlfn.DAYS(L9372, $C$2)</f>
        <v>17.054683464754405</v>
      </c>
      <c r="O9372" s="149">
        <f t="shared" ca="1" si="304"/>
        <v>1.000173611111111</v>
      </c>
    </row>
    <row r="9373" spans="12:15" x14ac:dyDescent="0.25">
      <c r="L9373" s="147">
        <f ca="1"/>
        <v>54612</v>
      </c>
      <c r="M9373" s="92">
        <f t="shared" ca="1" si="303"/>
        <v>6.25</v>
      </c>
      <c r="N9373" s="143">
        <f ca="1">(PRODUCT($O$5:$O9373)-1)*36000/_xlfn.DAYS(L9373, $C$2)</f>
        <v>17.056490793628971</v>
      </c>
      <c r="O9373" s="149">
        <f t="shared" ca="1" si="304"/>
        <v>1.000173611111111</v>
      </c>
    </row>
    <row r="9374" spans="12:15" x14ac:dyDescent="0.25">
      <c r="L9374" s="147">
        <f ca="1"/>
        <v>54613</v>
      </c>
      <c r="M9374" s="92">
        <f t="shared" ca="1" si="303"/>
        <v>6.25</v>
      </c>
      <c r="N9374" s="143">
        <f ca="1">(PRODUCT($O$5:$O9374)-1)*36000/_xlfn.DAYS(L9374, $C$2)</f>
        <v>17.058298366469195</v>
      </c>
      <c r="O9374" s="149">
        <f t="shared" ca="1" si="304"/>
        <v>1.000173611111111</v>
      </c>
    </row>
    <row r="9375" spans="12:15" x14ac:dyDescent="0.25">
      <c r="L9375" s="147">
        <f ca="1"/>
        <v>54614</v>
      </c>
      <c r="M9375" s="92">
        <f t="shared" ca="1" si="303"/>
        <v>6.25</v>
      </c>
      <c r="N9375" s="143">
        <f ca="1">(PRODUCT($O$5:$O9375)-1)*36000/_xlfn.DAYS(L9375, $C$2)</f>
        <v>17.060106183306281</v>
      </c>
      <c r="O9375" s="149">
        <f t="shared" ca="1" si="304"/>
        <v>1.000173611111111</v>
      </c>
    </row>
    <row r="9376" spans="12:15" x14ac:dyDescent="0.25">
      <c r="L9376" s="147">
        <f ca="1"/>
        <v>54615</v>
      </c>
      <c r="M9376" s="92">
        <f t="shared" ca="1" si="303"/>
        <v>6.25</v>
      </c>
      <c r="N9376" s="143">
        <f ca="1">(PRODUCT($O$5:$O9376)-1)*36000/_xlfn.DAYS(L9376, $C$2)</f>
        <v>17.061914244171462</v>
      </c>
      <c r="O9376" s="149">
        <f t="shared" ca="1" si="304"/>
        <v>1.000173611111111</v>
      </c>
    </row>
    <row r="9377" spans="12:15" x14ac:dyDescent="0.25">
      <c r="L9377" s="147">
        <f ca="1"/>
        <v>54616</v>
      </c>
      <c r="M9377" s="92">
        <f t="shared" ca="1" si="303"/>
        <v>6.25</v>
      </c>
      <c r="N9377" s="143">
        <f ca="1">(PRODUCT($O$5:$O9377)-1)*36000/_xlfn.DAYS(L9377, $C$2)</f>
        <v>17.063722549095957</v>
      </c>
      <c r="O9377" s="149">
        <f t="shared" ca="1" si="304"/>
        <v>1.000173611111111</v>
      </c>
    </row>
    <row r="9378" spans="12:15" x14ac:dyDescent="0.25">
      <c r="L9378" s="147">
        <f ca="1"/>
        <v>54617</v>
      </c>
      <c r="M9378" s="92">
        <f t="shared" ca="1" si="303"/>
        <v>6.25</v>
      </c>
      <c r="N9378" s="143">
        <f ca="1">(PRODUCT($O$5:$O9378)-1)*36000/_xlfn.DAYS(L9378, $C$2)</f>
        <v>17.065531098110995</v>
      </c>
      <c r="O9378" s="149">
        <f t="shared" ca="1" si="304"/>
        <v>1.000173611111111</v>
      </c>
    </row>
    <row r="9379" spans="12:15" x14ac:dyDescent="0.25">
      <c r="L9379" s="147">
        <f ca="1"/>
        <v>54618</v>
      </c>
      <c r="M9379" s="92">
        <f t="shared" ca="1" si="303"/>
        <v>6.25</v>
      </c>
      <c r="N9379" s="143">
        <f ca="1">(PRODUCT($O$5:$O9379)-1)*36000/_xlfn.DAYS(L9379, $C$2)</f>
        <v>17.067339891247819</v>
      </c>
      <c r="O9379" s="149">
        <f t="shared" ca="1" si="304"/>
        <v>1.000173611111111</v>
      </c>
    </row>
    <row r="9380" spans="12:15" x14ac:dyDescent="0.25">
      <c r="L9380" s="147">
        <f ca="1"/>
        <v>54619</v>
      </c>
      <c r="M9380" s="92">
        <f t="shared" ca="1" si="303"/>
        <v>6.25</v>
      </c>
      <c r="N9380" s="143">
        <f ca="1">(PRODUCT($O$5:$O9380)-1)*36000/_xlfn.DAYS(L9380, $C$2)</f>
        <v>17.069148928537668</v>
      </c>
      <c r="O9380" s="149">
        <f t="shared" ca="1" si="304"/>
        <v>1.000173611111111</v>
      </c>
    </row>
    <row r="9381" spans="12:15" x14ac:dyDescent="0.25">
      <c r="L9381" s="147">
        <f ca="1"/>
        <v>54620</v>
      </c>
      <c r="M9381" s="92">
        <f t="shared" ca="1" si="303"/>
        <v>6.25</v>
      </c>
      <c r="N9381" s="143">
        <f ca="1">(PRODUCT($O$5:$O9381)-1)*36000/_xlfn.DAYS(L9381, $C$2)</f>
        <v>17.070958210011796</v>
      </c>
      <c r="O9381" s="149">
        <f t="shared" ca="1" si="304"/>
        <v>1.000173611111111</v>
      </c>
    </row>
    <row r="9382" spans="12:15" x14ac:dyDescent="0.25">
      <c r="L9382" s="147">
        <f ca="1"/>
        <v>54621</v>
      </c>
      <c r="M9382" s="92">
        <f t="shared" ca="1" si="303"/>
        <v>6.25</v>
      </c>
      <c r="N9382" s="143">
        <f ca="1">(PRODUCT($O$5:$O9382)-1)*36000/_xlfn.DAYS(L9382, $C$2)</f>
        <v>17.072767735701458</v>
      </c>
      <c r="O9382" s="149">
        <f t="shared" ca="1" si="304"/>
        <v>1.000173611111111</v>
      </c>
    </row>
    <row r="9383" spans="12:15" x14ac:dyDescent="0.25">
      <c r="L9383" s="147">
        <f ca="1"/>
        <v>54622</v>
      </c>
      <c r="M9383" s="92">
        <f t="shared" ca="1" si="303"/>
        <v>6.25</v>
      </c>
      <c r="N9383" s="143">
        <f ca="1">(PRODUCT($O$5:$O9383)-1)*36000/_xlfn.DAYS(L9383, $C$2)</f>
        <v>17.074577505637908</v>
      </c>
      <c r="O9383" s="149">
        <f t="shared" ca="1" si="304"/>
        <v>1.000173611111111</v>
      </c>
    </row>
    <row r="9384" spans="12:15" x14ac:dyDescent="0.25">
      <c r="L9384" s="147">
        <f ca="1"/>
        <v>54623</v>
      </c>
      <c r="M9384" s="92">
        <f t="shared" ca="1" si="303"/>
        <v>6.25</v>
      </c>
      <c r="N9384" s="143">
        <f ca="1">(PRODUCT($O$5:$O9384)-1)*36000/_xlfn.DAYS(L9384, $C$2)</f>
        <v>17.076387519852414</v>
      </c>
      <c r="O9384" s="149">
        <f t="shared" ca="1" si="304"/>
        <v>1.000173611111111</v>
      </c>
    </row>
    <row r="9385" spans="12:15" x14ac:dyDescent="0.25">
      <c r="L9385" s="147">
        <f ca="1"/>
        <v>54624</v>
      </c>
      <c r="M9385" s="92">
        <f t="shared" ca="1" si="303"/>
        <v>6.25</v>
      </c>
      <c r="N9385" s="143">
        <f ca="1">(PRODUCT($O$5:$O9385)-1)*36000/_xlfn.DAYS(L9385, $C$2)</f>
        <v>17.07819777837625</v>
      </c>
      <c r="O9385" s="149">
        <f t="shared" ca="1" si="304"/>
        <v>1.000173611111111</v>
      </c>
    </row>
    <row r="9386" spans="12:15" x14ac:dyDescent="0.25">
      <c r="L9386" s="147">
        <f ca="1"/>
        <v>54625</v>
      </c>
      <c r="M9386" s="92">
        <f t="shared" ca="1" si="303"/>
        <v>6.25</v>
      </c>
      <c r="N9386" s="143">
        <f ca="1">(PRODUCT($O$5:$O9386)-1)*36000/_xlfn.DAYS(L9386, $C$2)</f>
        <v>17.080008281240698</v>
      </c>
      <c r="O9386" s="149">
        <f t="shared" ca="1" si="304"/>
        <v>1.000173611111111</v>
      </c>
    </row>
    <row r="9387" spans="12:15" x14ac:dyDescent="0.25">
      <c r="L9387" s="147">
        <f ca="1"/>
        <v>54626</v>
      </c>
      <c r="M9387" s="92">
        <f t="shared" ca="1" si="303"/>
        <v>6.25</v>
      </c>
      <c r="N9387" s="143">
        <f ca="1">(PRODUCT($O$5:$O9387)-1)*36000/_xlfn.DAYS(L9387, $C$2)</f>
        <v>17.081819028477025</v>
      </c>
      <c r="O9387" s="149">
        <f t="shared" ca="1" si="304"/>
        <v>1.000173611111111</v>
      </c>
    </row>
    <row r="9388" spans="12:15" x14ac:dyDescent="0.25">
      <c r="L9388" s="147">
        <f ca="1"/>
        <v>54627</v>
      </c>
      <c r="M9388" s="92">
        <f t="shared" ca="1" si="303"/>
        <v>6.25</v>
      </c>
      <c r="N9388" s="143">
        <f ca="1">(PRODUCT($O$5:$O9388)-1)*36000/_xlfn.DAYS(L9388, $C$2)</f>
        <v>17.083630020116537</v>
      </c>
      <c r="O9388" s="149">
        <f t="shared" ca="1" si="304"/>
        <v>1.000173611111111</v>
      </c>
    </row>
    <row r="9389" spans="12:15" x14ac:dyDescent="0.25">
      <c r="L9389" s="147">
        <f ca="1"/>
        <v>54628</v>
      </c>
      <c r="M9389" s="92">
        <f t="shared" ca="1" si="303"/>
        <v>6.25</v>
      </c>
      <c r="N9389" s="143">
        <f ca="1">(PRODUCT($O$5:$O9389)-1)*36000/_xlfn.DAYS(L9389, $C$2)</f>
        <v>17.085441256190517</v>
      </c>
      <c r="O9389" s="149">
        <f t="shared" ca="1" si="304"/>
        <v>1.000173611111111</v>
      </c>
    </row>
    <row r="9390" spans="12:15" x14ac:dyDescent="0.25">
      <c r="L9390" s="147">
        <f ca="1"/>
        <v>54629</v>
      </c>
      <c r="M9390" s="92">
        <f t="shared" ca="1" si="303"/>
        <v>6.25</v>
      </c>
      <c r="N9390" s="143">
        <f ca="1">(PRODUCT($O$5:$O9390)-1)*36000/_xlfn.DAYS(L9390, $C$2)</f>
        <v>17.087252736730267</v>
      </c>
      <c r="O9390" s="149">
        <f t="shared" ca="1" si="304"/>
        <v>1.000173611111111</v>
      </c>
    </row>
    <row r="9391" spans="12:15" x14ac:dyDescent="0.25">
      <c r="L9391" s="147">
        <f ca="1"/>
        <v>54630</v>
      </c>
      <c r="M9391" s="92">
        <f t="shared" ca="1" si="303"/>
        <v>6.25</v>
      </c>
      <c r="N9391" s="143">
        <f ca="1">(PRODUCT($O$5:$O9391)-1)*36000/_xlfn.DAYS(L9391, $C$2)</f>
        <v>17.089064461767094</v>
      </c>
      <c r="O9391" s="149">
        <f t="shared" ca="1" si="304"/>
        <v>1.000173611111111</v>
      </c>
    </row>
    <row r="9392" spans="12:15" x14ac:dyDescent="0.25">
      <c r="L9392" s="147">
        <f ca="1"/>
        <v>54631</v>
      </c>
      <c r="M9392" s="92">
        <f t="shared" ca="1" si="303"/>
        <v>6.25</v>
      </c>
      <c r="N9392" s="143">
        <f ca="1">(PRODUCT($O$5:$O9392)-1)*36000/_xlfn.DAYS(L9392, $C$2)</f>
        <v>17.090876431332312</v>
      </c>
      <c r="O9392" s="149">
        <f t="shared" ca="1" si="304"/>
        <v>1.000173611111111</v>
      </c>
    </row>
    <row r="9393" spans="12:15" x14ac:dyDescent="0.25">
      <c r="L9393" s="147">
        <f ca="1"/>
        <v>54632</v>
      </c>
      <c r="M9393" s="92">
        <f t="shared" ca="1" si="303"/>
        <v>6.25</v>
      </c>
      <c r="N9393" s="143">
        <f ca="1">(PRODUCT($O$5:$O9393)-1)*36000/_xlfn.DAYS(L9393, $C$2)</f>
        <v>17.092688645457233</v>
      </c>
      <c r="O9393" s="149">
        <f t="shared" ca="1" si="304"/>
        <v>1.000173611111111</v>
      </c>
    </row>
    <row r="9394" spans="12:15" x14ac:dyDescent="0.25">
      <c r="L9394" s="147">
        <f ca="1"/>
        <v>54633</v>
      </c>
      <c r="M9394" s="92">
        <f t="shared" ca="1" si="303"/>
        <v>6.25</v>
      </c>
      <c r="N9394" s="143">
        <f ca="1">(PRODUCT($O$5:$O9394)-1)*36000/_xlfn.DAYS(L9394, $C$2)</f>
        <v>17.09450110417318</v>
      </c>
      <c r="O9394" s="149">
        <f t="shared" ca="1" si="304"/>
        <v>1.000173611111111</v>
      </c>
    </row>
    <row r="9395" spans="12:15" x14ac:dyDescent="0.25">
      <c r="L9395" s="147">
        <f ca="1"/>
        <v>54634</v>
      </c>
      <c r="M9395" s="92">
        <f t="shared" ca="1" si="303"/>
        <v>6.25</v>
      </c>
      <c r="N9395" s="143">
        <f ca="1">(PRODUCT($O$5:$O9395)-1)*36000/_xlfn.DAYS(L9395, $C$2)</f>
        <v>17.096313807511486</v>
      </c>
      <c r="O9395" s="149">
        <f t="shared" ca="1" si="304"/>
        <v>1.000173611111111</v>
      </c>
    </row>
    <row r="9396" spans="12:15" x14ac:dyDescent="0.25">
      <c r="L9396" s="147">
        <f ca="1"/>
        <v>54635</v>
      </c>
      <c r="M9396" s="92">
        <f t="shared" ca="1" si="303"/>
        <v>6.25</v>
      </c>
      <c r="N9396" s="143">
        <f ca="1">(PRODUCT($O$5:$O9396)-1)*36000/_xlfn.DAYS(L9396, $C$2)</f>
        <v>17.098126755503479</v>
      </c>
      <c r="O9396" s="149">
        <f t="shared" ca="1" si="304"/>
        <v>1.000173611111111</v>
      </c>
    </row>
    <row r="9397" spans="12:15" x14ac:dyDescent="0.25">
      <c r="L9397" s="147">
        <f ca="1"/>
        <v>54636</v>
      </c>
      <c r="M9397" s="92">
        <f t="shared" ca="1" si="303"/>
        <v>6.25</v>
      </c>
      <c r="N9397" s="143">
        <f ca="1">(PRODUCT($O$5:$O9397)-1)*36000/_xlfn.DAYS(L9397, $C$2)</f>
        <v>17.099939948180502</v>
      </c>
      <c r="O9397" s="149">
        <f t="shared" ca="1" si="304"/>
        <v>1.000173611111111</v>
      </c>
    </row>
    <row r="9398" spans="12:15" x14ac:dyDescent="0.25">
      <c r="L9398" s="147">
        <f ca="1"/>
        <v>54637</v>
      </c>
      <c r="M9398" s="92">
        <f t="shared" ca="1" si="303"/>
        <v>6.25</v>
      </c>
      <c r="N9398" s="143">
        <f ca="1">(PRODUCT($O$5:$O9398)-1)*36000/_xlfn.DAYS(L9398, $C$2)</f>
        <v>17.101753385573897</v>
      </c>
      <c r="O9398" s="149">
        <f t="shared" ca="1" si="304"/>
        <v>1.000173611111111</v>
      </c>
    </row>
    <row r="9399" spans="12:15" x14ac:dyDescent="0.25">
      <c r="L9399" s="147">
        <f ca="1"/>
        <v>54638</v>
      </c>
      <c r="M9399" s="92">
        <f t="shared" ca="1" si="303"/>
        <v>6.25</v>
      </c>
      <c r="N9399" s="143">
        <f ca="1">(PRODUCT($O$5:$O9399)-1)*36000/_xlfn.DAYS(L9399, $C$2)</f>
        <v>17.103567067715012</v>
      </c>
      <c r="O9399" s="149">
        <f t="shared" ca="1" si="304"/>
        <v>1.000173611111111</v>
      </c>
    </row>
    <row r="9400" spans="12:15" x14ac:dyDescent="0.25">
      <c r="L9400" s="147">
        <f ca="1"/>
        <v>54639</v>
      </c>
      <c r="M9400" s="92">
        <f t="shared" ca="1" si="303"/>
        <v>6.25</v>
      </c>
      <c r="N9400" s="143">
        <f ca="1">(PRODUCT($O$5:$O9400)-1)*36000/_xlfn.DAYS(L9400, $C$2)</f>
        <v>17.105380994635212</v>
      </c>
      <c r="O9400" s="149">
        <f t="shared" ca="1" si="304"/>
        <v>1.000173611111111</v>
      </c>
    </row>
    <row r="9401" spans="12:15" x14ac:dyDescent="0.25">
      <c r="L9401" s="147">
        <f ca="1"/>
        <v>54640</v>
      </c>
      <c r="M9401" s="92">
        <f t="shared" ca="1" si="303"/>
        <v>6.25</v>
      </c>
      <c r="N9401" s="143">
        <f ca="1">(PRODUCT($O$5:$O9401)-1)*36000/_xlfn.DAYS(L9401, $C$2)</f>
        <v>17.107195166365855</v>
      </c>
      <c r="O9401" s="149">
        <f t="shared" ca="1" si="304"/>
        <v>1.000173611111111</v>
      </c>
    </row>
    <row r="9402" spans="12:15" x14ac:dyDescent="0.25">
      <c r="L9402" s="147">
        <f ca="1"/>
        <v>54641</v>
      </c>
      <c r="M9402" s="92">
        <f t="shared" ca="1" si="303"/>
        <v>6.25</v>
      </c>
      <c r="N9402" s="143">
        <f ca="1">(PRODUCT($O$5:$O9402)-1)*36000/_xlfn.DAYS(L9402, $C$2)</f>
        <v>17.109009582938306</v>
      </c>
      <c r="O9402" s="149">
        <f t="shared" ca="1" si="304"/>
        <v>1.000173611111111</v>
      </c>
    </row>
    <row r="9403" spans="12:15" x14ac:dyDescent="0.25">
      <c r="L9403" s="147">
        <f ca="1"/>
        <v>54642</v>
      </c>
      <c r="M9403" s="92">
        <f t="shared" ca="1" si="303"/>
        <v>6.25</v>
      </c>
      <c r="N9403" s="143">
        <f ca="1">(PRODUCT($O$5:$O9403)-1)*36000/_xlfn.DAYS(L9403, $C$2)</f>
        <v>17.110824244383942</v>
      </c>
      <c r="O9403" s="149">
        <f t="shared" ca="1" si="304"/>
        <v>1.000173611111111</v>
      </c>
    </row>
    <row r="9404" spans="12:15" x14ac:dyDescent="0.25">
      <c r="L9404" s="147">
        <f ca="1"/>
        <v>54643</v>
      </c>
      <c r="M9404" s="92">
        <f t="shared" ca="1" si="303"/>
        <v>6.25</v>
      </c>
      <c r="N9404" s="143">
        <f ca="1">(PRODUCT($O$5:$O9404)-1)*36000/_xlfn.DAYS(L9404, $C$2)</f>
        <v>17.11263915073414</v>
      </c>
      <c r="O9404" s="149">
        <f t="shared" ca="1" si="304"/>
        <v>1.000173611111111</v>
      </c>
    </row>
    <row r="9405" spans="12:15" x14ac:dyDescent="0.25">
      <c r="L9405" s="147">
        <f ca="1"/>
        <v>54644</v>
      </c>
      <c r="M9405" s="92">
        <f t="shared" ca="1" si="303"/>
        <v>6.25</v>
      </c>
      <c r="N9405" s="143">
        <f ca="1">(PRODUCT($O$5:$O9405)-1)*36000/_xlfn.DAYS(L9405, $C$2)</f>
        <v>17.114454302020288</v>
      </c>
      <c r="O9405" s="149">
        <f t="shared" ca="1" si="304"/>
        <v>1.000173611111111</v>
      </c>
    </row>
    <row r="9406" spans="12:15" x14ac:dyDescent="0.25">
      <c r="L9406" s="147">
        <f ca="1"/>
        <v>54645</v>
      </c>
      <c r="M9406" s="92">
        <f t="shared" ca="1" si="303"/>
        <v>6.25</v>
      </c>
      <c r="N9406" s="143">
        <f ca="1">(PRODUCT($O$5:$O9406)-1)*36000/_xlfn.DAYS(L9406, $C$2)</f>
        <v>17.116269698273772</v>
      </c>
      <c r="O9406" s="149">
        <f t="shared" ca="1" si="304"/>
        <v>1.000173611111111</v>
      </c>
    </row>
    <row r="9407" spans="12:15" x14ac:dyDescent="0.25">
      <c r="L9407" s="147">
        <f ca="1"/>
        <v>54646</v>
      </c>
      <c r="M9407" s="92">
        <f t="shared" ca="1" si="303"/>
        <v>6.25</v>
      </c>
      <c r="N9407" s="143">
        <f ca="1">(PRODUCT($O$5:$O9407)-1)*36000/_xlfn.DAYS(L9407, $C$2)</f>
        <v>17.118085339525987</v>
      </c>
      <c r="O9407" s="149">
        <f t="shared" ca="1" si="304"/>
        <v>1.000173611111111</v>
      </c>
    </row>
    <row r="9408" spans="12:15" x14ac:dyDescent="0.25">
      <c r="L9408" s="147">
        <f ca="1"/>
        <v>54647</v>
      </c>
      <c r="M9408" s="92">
        <f t="shared" ca="1" si="303"/>
        <v>6.25</v>
      </c>
      <c r="N9408" s="143">
        <f ca="1">(PRODUCT($O$5:$O9408)-1)*36000/_xlfn.DAYS(L9408, $C$2)</f>
        <v>17.119901225808345</v>
      </c>
      <c r="O9408" s="149">
        <f t="shared" ca="1" si="304"/>
        <v>1.000173611111111</v>
      </c>
    </row>
    <row r="9409" spans="12:15" x14ac:dyDescent="0.25">
      <c r="L9409" s="147">
        <f ca="1"/>
        <v>54648</v>
      </c>
      <c r="M9409" s="92">
        <f t="shared" ca="1" si="303"/>
        <v>6.25</v>
      </c>
      <c r="N9409" s="143">
        <f ca="1">(PRODUCT($O$5:$O9409)-1)*36000/_xlfn.DAYS(L9409, $C$2)</f>
        <v>17.121717357152246</v>
      </c>
      <c r="O9409" s="149">
        <f t="shared" ca="1" si="304"/>
        <v>1.000173611111111</v>
      </c>
    </row>
    <row r="9410" spans="12:15" x14ac:dyDescent="0.25">
      <c r="L9410" s="147">
        <f ca="1"/>
        <v>54649</v>
      </c>
      <c r="M9410" s="92">
        <f t="shared" ca="1" si="303"/>
        <v>6.25</v>
      </c>
      <c r="N9410" s="143">
        <f ca="1">(PRODUCT($O$5:$O9410)-1)*36000/_xlfn.DAYS(L9410, $C$2)</f>
        <v>17.123533733589099</v>
      </c>
      <c r="O9410" s="149">
        <f t="shared" ca="1" si="304"/>
        <v>1.000173611111111</v>
      </c>
    </row>
    <row r="9411" spans="12:15" x14ac:dyDescent="0.25">
      <c r="L9411" s="147">
        <f ca="1"/>
        <v>54650</v>
      </c>
      <c r="M9411" s="92">
        <f t="shared" ca="1" si="303"/>
        <v>6.25</v>
      </c>
      <c r="N9411" s="143">
        <f ca="1">(PRODUCT($O$5:$O9411)-1)*36000/_xlfn.DAYS(L9411, $C$2)</f>
        <v>17.125350355150331</v>
      </c>
      <c r="O9411" s="149">
        <f t="shared" ca="1" si="304"/>
        <v>1.000173611111111</v>
      </c>
    </row>
    <row r="9412" spans="12:15" x14ac:dyDescent="0.25">
      <c r="L9412" s="147">
        <f ca="1"/>
        <v>54651</v>
      </c>
      <c r="M9412" s="92">
        <f t="shared" ca="1" si="303"/>
        <v>6.25</v>
      </c>
      <c r="N9412" s="143">
        <f ca="1">(PRODUCT($O$5:$O9412)-1)*36000/_xlfn.DAYS(L9412, $C$2)</f>
        <v>17.127167221867357</v>
      </c>
      <c r="O9412" s="149">
        <f t="shared" ca="1" si="304"/>
        <v>1.000173611111111</v>
      </c>
    </row>
    <row r="9413" spans="12:15" x14ac:dyDescent="0.25">
      <c r="L9413" s="147">
        <f ca="1"/>
        <v>54652</v>
      </c>
      <c r="M9413" s="92">
        <f t="shared" ref="M9413:M9476" ca="1" si="305">IFERROR(INDEX($E$27:$H$47, MATCH(L9413, $F$27:$F$47, 0), 4), IF(ISNUMBER(M9412), M9412, $C$5))</f>
        <v>6.25</v>
      </c>
      <c r="N9413" s="143">
        <f ca="1">(PRODUCT($O$5:$O9413)-1)*36000/_xlfn.DAYS(L9413, $C$2)</f>
        <v>17.128984333771616</v>
      </c>
      <c r="O9413" s="149">
        <f t="shared" ca="1" si="304"/>
        <v>1.000173611111111</v>
      </c>
    </row>
    <row r="9414" spans="12:15" x14ac:dyDescent="0.25">
      <c r="L9414" s="147">
        <f ca="1"/>
        <v>54653</v>
      </c>
      <c r="M9414" s="92">
        <f t="shared" ca="1" si="305"/>
        <v>6.25</v>
      </c>
      <c r="N9414" s="143">
        <f ca="1">(PRODUCT($O$5:$O9414)-1)*36000/_xlfn.DAYS(L9414, $C$2)</f>
        <v>17.130801690894543</v>
      </c>
      <c r="O9414" s="149">
        <f t="shared" ref="O9414:O9477" ca="1" si="306">1+M9414*IFERROR(_xlfn.DAYS(L9414, L9413), _xlfn.DAYS(L9414, $C$2))/36000</f>
        <v>1.000173611111111</v>
      </c>
    </row>
    <row r="9415" spans="12:15" x14ac:dyDescent="0.25">
      <c r="L9415" s="147">
        <f ca="1"/>
        <v>54654</v>
      </c>
      <c r="M9415" s="92">
        <f t="shared" ca="1" si="305"/>
        <v>6.25</v>
      </c>
      <c r="N9415" s="143">
        <f ca="1">(PRODUCT($O$5:$O9415)-1)*36000/_xlfn.DAYS(L9415, $C$2)</f>
        <v>17.13261929326757</v>
      </c>
      <c r="O9415" s="149">
        <f t="shared" ca="1" si="306"/>
        <v>1.000173611111111</v>
      </c>
    </row>
    <row r="9416" spans="12:15" x14ac:dyDescent="0.25">
      <c r="L9416" s="147">
        <f ca="1"/>
        <v>54655</v>
      </c>
      <c r="M9416" s="92">
        <f t="shared" ca="1" si="305"/>
        <v>6.25</v>
      </c>
      <c r="N9416" s="143">
        <f ca="1">(PRODUCT($O$5:$O9416)-1)*36000/_xlfn.DAYS(L9416, $C$2)</f>
        <v>17.134437140922156</v>
      </c>
      <c r="O9416" s="149">
        <f t="shared" ca="1" si="306"/>
        <v>1.000173611111111</v>
      </c>
    </row>
    <row r="9417" spans="12:15" x14ac:dyDescent="0.25">
      <c r="L9417" s="147">
        <f ca="1"/>
        <v>54656</v>
      </c>
      <c r="M9417" s="92">
        <f t="shared" ca="1" si="305"/>
        <v>6.25</v>
      </c>
      <c r="N9417" s="143">
        <f ca="1">(PRODUCT($O$5:$O9417)-1)*36000/_xlfn.DAYS(L9417, $C$2)</f>
        <v>17.136255233889742</v>
      </c>
      <c r="O9417" s="149">
        <f t="shared" ca="1" si="306"/>
        <v>1.000173611111111</v>
      </c>
    </row>
    <row r="9418" spans="12:15" x14ac:dyDescent="0.25">
      <c r="L9418" s="147">
        <f ca="1"/>
        <v>54657</v>
      </c>
      <c r="M9418" s="92">
        <f t="shared" ca="1" si="305"/>
        <v>6.25</v>
      </c>
      <c r="N9418" s="143">
        <f ca="1">(PRODUCT($O$5:$O9418)-1)*36000/_xlfn.DAYS(L9418, $C$2)</f>
        <v>17.138073572201797</v>
      </c>
      <c r="O9418" s="149">
        <f t="shared" ca="1" si="306"/>
        <v>1.000173611111111</v>
      </c>
    </row>
    <row r="9419" spans="12:15" x14ac:dyDescent="0.25">
      <c r="L9419" s="147">
        <f ca="1"/>
        <v>54658</v>
      </c>
      <c r="M9419" s="92">
        <f t="shared" ca="1" si="305"/>
        <v>6.25</v>
      </c>
      <c r="N9419" s="143">
        <f ca="1">(PRODUCT($O$5:$O9419)-1)*36000/_xlfn.DAYS(L9419, $C$2)</f>
        <v>17.139892155889779</v>
      </c>
      <c r="O9419" s="149">
        <f t="shared" ca="1" si="306"/>
        <v>1.000173611111111</v>
      </c>
    </row>
    <row r="9420" spans="12:15" x14ac:dyDescent="0.25">
      <c r="L9420" s="147">
        <f ca="1"/>
        <v>54659</v>
      </c>
      <c r="M9420" s="92">
        <f t="shared" ca="1" si="305"/>
        <v>6.25</v>
      </c>
      <c r="N9420" s="143">
        <f ca="1">(PRODUCT($O$5:$O9420)-1)*36000/_xlfn.DAYS(L9420, $C$2)</f>
        <v>17.14171098498516</v>
      </c>
      <c r="O9420" s="149">
        <f t="shared" ca="1" si="306"/>
        <v>1.000173611111111</v>
      </c>
    </row>
    <row r="9421" spans="12:15" x14ac:dyDescent="0.25">
      <c r="L9421" s="147">
        <f ca="1"/>
        <v>54660</v>
      </c>
      <c r="M9421" s="92">
        <f t="shared" ca="1" si="305"/>
        <v>6.25</v>
      </c>
      <c r="N9421" s="143">
        <f ca="1">(PRODUCT($O$5:$O9421)-1)*36000/_xlfn.DAYS(L9421, $C$2)</f>
        <v>17.143530059519414</v>
      </c>
      <c r="O9421" s="149">
        <f t="shared" ca="1" si="306"/>
        <v>1.000173611111111</v>
      </c>
    </row>
    <row r="9422" spans="12:15" x14ac:dyDescent="0.25">
      <c r="L9422" s="147">
        <f ca="1"/>
        <v>54661</v>
      </c>
      <c r="M9422" s="92">
        <f t="shared" ca="1" si="305"/>
        <v>6.25</v>
      </c>
      <c r="N9422" s="143">
        <f ca="1">(PRODUCT($O$5:$O9422)-1)*36000/_xlfn.DAYS(L9422, $C$2)</f>
        <v>17.145349379524021</v>
      </c>
      <c r="O9422" s="149">
        <f t="shared" ca="1" si="306"/>
        <v>1.000173611111111</v>
      </c>
    </row>
    <row r="9423" spans="12:15" x14ac:dyDescent="0.25">
      <c r="L9423" s="147">
        <f ca="1"/>
        <v>54662</v>
      </c>
      <c r="M9423" s="92">
        <f t="shared" ca="1" si="305"/>
        <v>6.25</v>
      </c>
      <c r="N9423" s="143">
        <f ca="1">(PRODUCT($O$5:$O9423)-1)*36000/_xlfn.DAYS(L9423, $C$2)</f>
        <v>17.147168945030469</v>
      </c>
      <c r="O9423" s="149">
        <f t="shared" ca="1" si="306"/>
        <v>1.000173611111111</v>
      </c>
    </row>
    <row r="9424" spans="12:15" x14ac:dyDescent="0.25">
      <c r="L9424" s="147">
        <f ca="1"/>
        <v>54663</v>
      </c>
      <c r="M9424" s="92">
        <f t="shared" ca="1" si="305"/>
        <v>6.25</v>
      </c>
      <c r="N9424" s="143">
        <f ca="1">(PRODUCT($O$5:$O9424)-1)*36000/_xlfn.DAYS(L9424, $C$2)</f>
        <v>17.148988756070253</v>
      </c>
      <c r="O9424" s="149">
        <f t="shared" ca="1" si="306"/>
        <v>1.000173611111111</v>
      </c>
    </row>
    <row r="9425" spans="12:15" x14ac:dyDescent="0.25">
      <c r="L9425" s="147">
        <f ca="1"/>
        <v>54664</v>
      </c>
      <c r="M9425" s="92">
        <f t="shared" ca="1" si="305"/>
        <v>6.25</v>
      </c>
      <c r="N9425" s="143">
        <f ca="1">(PRODUCT($O$5:$O9425)-1)*36000/_xlfn.DAYS(L9425, $C$2)</f>
        <v>17.150808812674871</v>
      </c>
      <c r="O9425" s="149">
        <f t="shared" ca="1" si="306"/>
        <v>1.000173611111111</v>
      </c>
    </row>
    <row r="9426" spans="12:15" x14ac:dyDescent="0.25">
      <c r="L9426" s="147">
        <f ca="1"/>
        <v>54665</v>
      </c>
      <c r="M9426" s="92">
        <f t="shared" ca="1" si="305"/>
        <v>6.25</v>
      </c>
      <c r="N9426" s="143">
        <f ca="1">(PRODUCT($O$5:$O9426)-1)*36000/_xlfn.DAYS(L9426, $C$2)</f>
        <v>17.152629114875818</v>
      </c>
      <c r="O9426" s="149">
        <f t="shared" ca="1" si="306"/>
        <v>1.000173611111111</v>
      </c>
    </row>
    <row r="9427" spans="12:15" x14ac:dyDescent="0.25">
      <c r="L9427" s="147">
        <f ca="1"/>
        <v>54666</v>
      </c>
      <c r="M9427" s="92">
        <f t="shared" ca="1" si="305"/>
        <v>6.25</v>
      </c>
      <c r="N9427" s="143">
        <f ca="1">(PRODUCT($O$5:$O9427)-1)*36000/_xlfn.DAYS(L9427, $C$2)</f>
        <v>17.154449662704611</v>
      </c>
      <c r="O9427" s="149">
        <f t="shared" ca="1" si="306"/>
        <v>1.000173611111111</v>
      </c>
    </row>
    <row r="9428" spans="12:15" x14ac:dyDescent="0.25">
      <c r="L9428" s="147">
        <f ca="1"/>
        <v>54667</v>
      </c>
      <c r="M9428" s="92">
        <f t="shared" ca="1" si="305"/>
        <v>6.25</v>
      </c>
      <c r="N9428" s="143">
        <f ca="1">(PRODUCT($O$5:$O9428)-1)*36000/_xlfn.DAYS(L9428, $C$2)</f>
        <v>17.156270456192768</v>
      </c>
      <c r="O9428" s="149">
        <f t="shared" ca="1" si="306"/>
        <v>1.000173611111111</v>
      </c>
    </row>
    <row r="9429" spans="12:15" x14ac:dyDescent="0.25">
      <c r="L9429" s="147">
        <f ca="1"/>
        <v>54668</v>
      </c>
      <c r="M9429" s="92">
        <f t="shared" ca="1" si="305"/>
        <v>6.25</v>
      </c>
      <c r="N9429" s="143">
        <f ca="1">(PRODUCT($O$5:$O9429)-1)*36000/_xlfn.DAYS(L9429, $C$2)</f>
        <v>17.158091495371803</v>
      </c>
      <c r="O9429" s="149">
        <f t="shared" ca="1" si="306"/>
        <v>1.000173611111111</v>
      </c>
    </row>
    <row r="9430" spans="12:15" x14ac:dyDescent="0.25">
      <c r="L9430" s="147">
        <f ca="1"/>
        <v>54669</v>
      </c>
      <c r="M9430" s="92">
        <f t="shared" ca="1" si="305"/>
        <v>6.25</v>
      </c>
      <c r="N9430" s="143">
        <f ca="1">(PRODUCT($O$5:$O9430)-1)*36000/_xlfn.DAYS(L9430, $C$2)</f>
        <v>17.159912780273242</v>
      </c>
      <c r="O9430" s="149">
        <f t="shared" ca="1" si="306"/>
        <v>1.000173611111111</v>
      </c>
    </row>
    <row r="9431" spans="12:15" x14ac:dyDescent="0.25">
      <c r="L9431" s="147">
        <f ca="1"/>
        <v>54670</v>
      </c>
      <c r="M9431" s="92">
        <f t="shared" ca="1" si="305"/>
        <v>6.25</v>
      </c>
      <c r="N9431" s="143">
        <f ca="1">(PRODUCT($O$5:$O9431)-1)*36000/_xlfn.DAYS(L9431, $C$2)</f>
        <v>17.161734310928622</v>
      </c>
      <c r="O9431" s="149">
        <f t="shared" ca="1" si="306"/>
        <v>1.000173611111111</v>
      </c>
    </row>
    <row r="9432" spans="12:15" x14ac:dyDescent="0.25">
      <c r="L9432" s="147">
        <f ca="1"/>
        <v>54671</v>
      </c>
      <c r="M9432" s="92">
        <f t="shared" ca="1" si="305"/>
        <v>6.25</v>
      </c>
      <c r="N9432" s="143">
        <f ca="1">(PRODUCT($O$5:$O9432)-1)*36000/_xlfn.DAYS(L9432, $C$2)</f>
        <v>17.163556087369479</v>
      </c>
      <c r="O9432" s="149">
        <f t="shared" ca="1" si="306"/>
        <v>1.000173611111111</v>
      </c>
    </row>
    <row r="9433" spans="12:15" x14ac:dyDescent="0.25">
      <c r="L9433" s="147">
        <f ca="1"/>
        <v>54672</v>
      </c>
      <c r="M9433" s="92">
        <f t="shared" ca="1" si="305"/>
        <v>6.25</v>
      </c>
      <c r="N9433" s="143">
        <f ca="1">(PRODUCT($O$5:$O9433)-1)*36000/_xlfn.DAYS(L9433, $C$2)</f>
        <v>17.165378109627355</v>
      </c>
      <c r="O9433" s="149">
        <f t="shared" ca="1" si="306"/>
        <v>1.000173611111111</v>
      </c>
    </row>
    <row r="9434" spans="12:15" x14ac:dyDescent="0.25">
      <c r="L9434" s="147">
        <f ca="1"/>
        <v>54673</v>
      </c>
      <c r="M9434" s="92">
        <f t="shared" ca="1" si="305"/>
        <v>6.25</v>
      </c>
      <c r="N9434" s="143">
        <f ca="1">(PRODUCT($O$5:$O9434)-1)*36000/_xlfn.DAYS(L9434, $C$2)</f>
        <v>17.167200377733799</v>
      </c>
      <c r="O9434" s="149">
        <f t="shared" ca="1" si="306"/>
        <v>1.000173611111111</v>
      </c>
    </row>
    <row r="9435" spans="12:15" x14ac:dyDescent="0.25">
      <c r="L9435" s="147">
        <f ca="1"/>
        <v>54674</v>
      </c>
      <c r="M9435" s="92">
        <f t="shared" ca="1" si="305"/>
        <v>6.25</v>
      </c>
      <c r="N9435" s="143">
        <f ca="1">(PRODUCT($O$5:$O9435)-1)*36000/_xlfn.DAYS(L9435, $C$2)</f>
        <v>17.16902289172037</v>
      </c>
      <c r="O9435" s="149">
        <f t="shared" ca="1" si="306"/>
        <v>1.000173611111111</v>
      </c>
    </row>
    <row r="9436" spans="12:15" x14ac:dyDescent="0.25">
      <c r="L9436" s="147">
        <f ca="1"/>
        <v>54675</v>
      </c>
      <c r="M9436" s="92">
        <f t="shared" ca="1" si="305"/>
        <v>6.25</v>
      </c>
      <c r="N9436" s="143">
        <f ca="1">(PRODUCT($O$5:$O9436)-1)*36000/_xlfn.DAYS(L9436, $C$2)</f>
        <v>17.17084565161862</v>
      </c>
      <c r="O9436" s="149">
        <f t="shared" ca="1" si="306"/>
        <v>1.000173611111111</v>
      </c>
    </row>
    <row r="9437" spans="12:15" x14ac:dyDescent="0.25">
      <c r="L9437" s="147">
        <f ca="1"/>
        <v>54676</v>
      </c>
      <c r="M9437" s="92">
        <f t="shared" ca="1" si="305"/>
        <v>6.25</v>
      </c>
      <c r="N9437" s="143">
        <f ca="1">(PRODUCT($O$5:$O9437)-1)*36000/_xlfn.DAYS(L9437, $C$2)</f>
        <v>17.172668657460122</v>
      </c>
      <c r="O9437" s="149">
        <f t="shared" ca="1" si="306"/>
        <v>1.000173611111111</v>
      </c>
    </row>
    <row r="9438" spans="12:15" x14ac:dyDescent="0.25">
      <c r="L9438" s="147">
        <f ca="1"/>
        <v>54677</v>
      </c>
      <c r="M9438" s="92">
        <f t="shared" ca="1" si="305"/>
        <v>6.25</v>
      </c>
      <c r="N9438" s="143">
        <f ca="1">(PRODUCT($O$5:$O9438)-1)*36000/_xlfn.DAYS(L9438, $C$2)</f>
        <v>17.174491909276441</v>
      </c>
      <c r="O9438" s="149">
        <f t="shared" ca="1" si="306"/>
        <v>1.000173611111111</v>
      </c>
    </row>
    <row r="9439" spans="12:15" x14ac:dyDescent="0.25">
      <c r="L9439" s="147">
        <f ca="1"/>
        <v>54678</v>
      </c>
      <c r="M9439" s="92">
        <f t="shared" ca="1" si="305"/>
        <v>6.25</v>
      </c>
      <c r="N9439" s="143">
        <f ca="1">(PRODUCT($O$5:$O9439)-1)*36000/_xlfn.DAYS(L9439, $C$2)</f>
        <v>17.176315407099167</v>
      </c>
      <c r="O9439" s="149">
        <f t="shared" ca="1" si="306"/>
        <v>1.000173611111111</v>
      </c>
    </row>
    <row r="9440" spans="12:15" x14ac:dyDescent="0.25">
      <c r="L9440" s="147">
        <f ca="1"/>
        <v>54679</v>
      </c>
      <c r="M9440" s="92">
        <f t="shared" ca="1" si="305"/>
        <v>6.25</v>
      </c>
      <c r="N9440" s="143">
        <f ca="1">(PRODUCT($O$5:$O9440)-1)*36000/_xlfn.DAYS(L9440, $C$2)</f>
        <v>17.178139150959876</v>
      </c>
      <c r="O9440" s="149">
        <f t="shared" ca="1" si="306"/>
        <v>1.000173611111111</v>
      </c>
    </row>
    <row r="9441" spans="12:15" x14ac:dyDescent="0.25">
      <c r="L9441" s="147">
        <f ca="1"/>
        <v>54680</v>
      </c>
      <c r="M9441" s="92">
        <f t="shared" ca="1" si="305"/>
        <v>6.25</v>
      </c>
      <c r="N9441" s="143">
        <f ca="1">(PRODUCT($O$5:$O9441)-1)*36000/_xlfn.DAYS(L9441, $C$2)</f>
        <v>17.179963140890148</v>
      </c>
      <c r="O9441" s="149">
        <f t="shared" ca="1" si="306"/>
        <v>1.000173611111111</v>
      </c>
    </row>
    <row r="9442" spans="12:15" x14ac:dyDescent="0.25">
      <c r="L9442" s="147">
        <f ca="1"/>
        <v>54681</v>
      </c>
      <c r="M9442" s="92">
        <f t="shared" ca="1" si="305"/>
        <v>6.25</v>
      </c>
      <c r="N9442" s="143">
        <f ca="1">(PRODUCT($O$5:$O9442)-1)*36000/_xlfn.DAYS(L9442, $C$2)</f>
        <v>17.181787376921594</v>
      </c>
      <c r="O9442" s="149">
        <f t="shared" ca="1" si="306"/>
        <v>1.000173611111111</v>
      </c>
    </row>
    <row r="9443" spans="12:15" x14ac:dyDescent="0.25">
      <c r="L9443" s="147">
        <f ca="1"/>
        <v>54682</v>
      </c>
      <c r="M9443" s="92">
        <f t="shared" ca="1" si="305"/>
        <v>6.25</v>
      </c>
      <c r="N9443" s="143">
        <f ca="1">(PRODUCT($O$5:$O9443)-1)*36000/_xlfn.DAYS(L9443, $C$2)</f>
        <v>17.183611859085804</v>
      </c>
      <c r="O9443" s="149">
        <f t="shared" ca="1" si="306"/>
        <v>1.000173611111111</v>
      </c>
    </row>
    <row r="9444" spans="12:15" x14ac:dyDescent="0.25">
      <c r="L9444" s="147">
        <f ca="1"/>
        <v>54683</v>
      </c>
      <c r="M9444" s="92">
        <f t="shared" ca="1" si="305"/>
        <v>6.25</v>
      </c>
      <c r="N9444" s="143">
        <f ca="1">(PRODUCT($O$5:$O9444)-1)*36000/_xlfn.DAYS(L9444, $C$2)</f>
        <v>17.185436587414383</v>
      </c>
      <c r="O9444" s="149">
        <f t="shared" ca="1" si="306"/>
        <v>1.000173611111111</v>
      </c>
    </row>
    <row r="9445" spans="12:15" x14ac:dyDescent="0.25">
      <c r="L9445" s="147">
        <f ca="1"/>
        <v>54684</v>
      </c>
      <c r="M9445" s="92">
        <f t="shared" ca="1" si="305"/>
        <v>6.25</v>
      </c>
      <c r="N9445" s="143">
        <f ca="1">(PRODUCT($O$5:$O9445)-1)*36000/_xlfn.DAYS(L9445, $C$2)</f>
        <v>17.187261561938943</v>
      </c>
      <c r="O9445" s="149">
        <f t="shared" ca="1" si="306"/>
        <v>1.000173611111111</v>
      </c>
    </row>
    <row r="9446" spans="12:15" x14ac:dyDescent="0.25">
      <c r="L9446" s="147">
        <f ca="1"/>
        <v>54685</v>
      </c>
      <c r="M9446" s="92">
        <f t="shared" ca="1" si="305"/>
        <v>6.25</v>
      </c>
      <c r="N9446" s="143">
        <f ca="1">(PRODUCT($O$5:$O9446)-1)*36000/_xlfn.DAYS(L9446, $C$2)</f>
        <v>17.189086782691103</v>
      </c>
      <c r="O9446" s="149">
        <f t="shared" ca="1" si="306"/>
        <v>1.000173611111111</v>
      </c>
    </row>
    <row r="9447" spans="12:15" x14ac:dyDescent="0.25">
      <c r="L9447" s="147">
        <f ca="1"/>
        <v>54686</v>
      </c>
      <c r="M9447" s="92">
        <f t="shared" ca="1" si="305"/>
        <v>6.25</v>
      </c>
      <c r="N9447" s="143">
        <f ca="1">(PRODUCT($O$5:$O9447)-1)*36000/_xlfn.DAYS(L9447, $C$2)</f>
        <v>17.190912249702485</v>
      </c>
      <c r="O9447" s="149">
        <f t="shared" ca="1" si="306"/>
        <v>1.000173611111111</v>
      </c>
    </row>
    <row r="9448" spans="12:15" x14ac:dyDescent="0.25">
      <c r="L9448" s="147">
        <f ca="1"/>
        <v>54687</v>
      </c>
      <c r="M9448" s="92">
        <f t="shared" ca="1" si="305"/>
        <v>6.25</v>
      </c>
      <c r="N9448" s="143">
        <f ca="1">(PRODUCT($O$5:$O9448)-1)*36000/_xlfn.DAYS(L9448, $C$2)</f>
        <v>17.192737963004721</v>
      </c>
      <c r="O9448" s="149">
        <f t="shared" ca="1" si="306"/>
        <v>1.000173611111111</v>
      </c>
    </row>
    <row r="9449" spans="12:15" x14ac:dyDescent="0.25">
      <c r="L9449" s="147">
        <f ca="1"/>
        <v>54688</v>
      </c>
      <c r="M9449" s="92">
        <f t="shared" ca="1" si="305"/>
        <v>6.25</v>
      </c>
      <c r="N9449" s="143">
        <f ca="1">(PRODUCT($O$5:$O9449)-1)*36000/_xlfn.DAYS(L9449, $C$2)</f>
        <v>17.194563922629442</v>
      </c>
      <c r="O9449" s="149">
        <f t="shared" ca="1" si="306"/>
        <v>1.000173611111111</v>
      </c>
    </row>
    <row r="9450" spans="12:15" x14ac:dyDescent="0.25">
      <c r="L9450" s="147">
        <f ca="1"/>
        <v>54689</v>
      </c>
      <c r="M9450" s="92">
        <f t="shared" ca="1" si="305"/>
        <v>6.25</v>
      </c>
      <c r="N9450" s="143">
        <f ca="1">(PRODUCT($O$5:$O9450)-1)*36000/_xlfn.DAYS(L9450, $C$2)</f>
        <v>17.196390128608289</v>
      </c>
      <c r="O9450" s="149">
        <f t="shared" ca="1" si="306"/>
        <v>1.000173611111111</v>
      </c>
    </row>
    <row r="9451" spans="12:15" x14ac:dyDescent="0.25">
      <c r="L9451" s="147">
        <f ca="1"/>
        <v>54690</v>
      </c>
      <c r="M9451" s="92">
        <f t="shared" ca="1" si="305"/>
        <v>6.25</v>
      </c>
      <c r="N9451" s="143">
        <f ca="1">(PRODUCT($O$5:$O9451)-1)*36000/_xlfn.DAYS(L9451, $C$2)</f>
        <v>17.1982165809729</v>
      </c>
      <c r="O9451" s="149">
        <f t="shared" ca="1" si="306"/>
        <v>1.000173611111111</v>
      </c>
    </row>
    <row r="9452" spans="12:15" x14ac:dyDescent="0.25">
      <c r="L9452" s="147">
        <f ca="1"/>
        <v>54691</v>
      </c>
      <c r="M9452" s="92">
        <f t="shared" ca="1" si="305"/>
        <v>6.25</v>
      </c>
      <c r="N9452" s="143">
        <f ca="1">(PRODUCT($O$5:$O9452)-1)*36000/_xlfn.DAYS(L9452, $C$2)</f>
        <v>17.200043279754944</v>
      </c>
      <c r="O9452" s="149">
        <f t="shared" ca="1" si="306"/>
        <v>1.000173611111111</v>
      </c>
    </row>
    <row r="9453" spans="12:15" x14ac:dyDescent="0.25">
      <c r="L9453" s="147">
        <f ca="1"/>
        <v>54692</v>
      </c>
      <c r="M9453" s="92">
        <f t="shared" ca="1" si="305"/>
        <v>6.25</v>
      </c>
      <c r="N9453" s="143">
        <f ca="1">(PRODUCT($O$5:$O9453)-1)*36000/_xlfn.DAYS(L9453, $C$2)</f>
        <v>17.20187022498606</v>
      </c>
      <c r="O9453" s="149">
        <f t="shared" ca="1" si="306"/>
        <v>1.000173611111111</v>
      </c>
    </row>
    <row r="9454" spans="12:15" x14ac:dyDescent="0.25">
      <c r="L9454" s="147">
        <f ca="1"/>
        <v>54693</v>
      </c>
      <c r="M9454" s="92">
        <f t="shared" ca="1" si="305"/>
        <v>6.25</v>
      </c>
      <c r="N9454" s="143">
        <f ca="1">(PRODUCT($O$5:$O9454)-1)*36000/_xlfn.DAYS(L9454, $C$2)</f>
        <v>17.203697416697917</v>
      </c>
      <c r="O9454" s="149">
        <f t="shared" ca="1" si="306"/>
        <v>1.000173611111111</v>
      </c>
    </row>
    <row r="9455" spans="12:15" x14ac:dyDescent="0.25">
      <c r="L9455" s="147">
        <f ca="1"/>
        <v>54694</v>
      </c>
      <c r="M9455" s="92">
        <f t="shared" ca="1" si="305"/>
        <v>6.25</v>
      </c>
      <c r="N9455" s="143">
        <f ca="1">(PRODUCT($O$5:$O9455)-1)*36000/_xlfn.DAYS(L9455, $C$2)</f>
        <v>17.205524854922185</v>
      </c>
      <c r="O9455" s="149">
        <f t="shared" ca="1" si="306"/>
        <v>1.000173611111111</v>
      </c>
    </row>
    <row r="9456" spans="12:15" x14ac:dyDescent="0.25">
      <c r="L9456" s="147">
        <f ca="1"/>
        <v>54695</v>
      </c>
      <c r="M9456" s="92">
        <f t="shared" ca="1" si="305"/>
        <v>6.25</v>
      </c>
      <c r="N9456" s="143">
        <f ca="1">(PRODUCT($O$5:$O9456)-1)*36000/_xlfn.DAYS(L9456, $C$2)</f>
        <v>17.207352539690536</v>
      </c>
      <c r="O9456" s="149">
        <f t="shared" ca="1" si="306"/>
        <v>1.000173611111111</v>
      </c>
    </row>
    <row r="9457" spans="12:15" x14ac:dyDescent="0.25">
      <c r="L9457" s="147">
        <f ca="1"/>
        <v>54696</v>
      </c>
      <c r="M9457" s="92">
        <f t="shared" ca="1" si="305"/>
        <v>6.25</v>
      </c>
      <c r="N9457" s="143">
        <f ca="1">(PRODUCT($O$5:$O9457)-1)*36000/_xlfn.DAYS(L9457, $C$2)</f>
        <v>17.209180471034649</v>
      </c>
      <c r="O9457" s="149">
        <f t="shared" ca="1" si="306"/>
        <v>1.000173611111111</v>
      </c>
    </row>
    <row r="9458" spans="12:15" x14ac:dyDescent="0.25">
      <c r="L9458" s="147">
        <f ca="1"/>
        <v>54697</v>
      </c>
      <c r="M9458" s="92">
        <f t="shared" ca="1" si="305"/>
        <v>6.25</v>
      </c>
      <c r="N9458" s="143">
        <f ca="1">(PRODUCT($O$5:$O9458)-1)*36000/_xlfn.DAYS(L9458, $C$2)</f>
        <v>17.211008648986212</v>
      </c>
      <c r="O9458" s="149">
        <f t="shared" ca="1" si="306"/>
        <v>1.000173611111111</v>
      </c>
    </row>
    <row r="9459" spans="12:15" x14ac:dyDescent="0.25">
      <c r="L9459" s="147">
        <f ca="1"/>
        <v>54698</v>
      </c>
      <c r="M9459" s="92">
        <f t="shared" ca="1" si="305"/>
        <v>6.25</v>
      </c>
      <c r="N9459" s="143">
        <f ca="1">(PRODUCT($O$5:$O9459)-1)*36000/_xlfn.DAYS(L9459, $C$2)</f>
        <v>17.212837073576917</v>
      </c>
      <c r="O9459" s="149">
        <f t="shared" ca="1" si="306"/>
        <v>1.000173611111111</v>
      </c>
    </row>
    <row r="9460" spans="12:15" x14ac:dyDescent="0.25">
      <c r="L9460" s="147">
        <f ca="1"/>
        <v>54699</v>
      </c>
      <c r="M9460" s="92">
        <f t="shared" ca="1" si="305"/>
        <v>6.25</v>
      </c>
      <c r="N9460" s="143">
        <f ca="1">(PRODUCT($O$5:$O9460)-1)*36000/_xlfn.DAYS(L9460, $C$2)</f>
        <v>17.214665744838452</v>
      </c>
      <c r="O9460" s="149">
        <f t="shared" ca="1" si="306"/>
        <v>1.000173611111111</v>
      </c>
    </row>
    <row r="9461" spans="12:15" x14ac:dyDescent="0.25">
      <c r="L9461" s="147">
        <f ca="1"/>
        <v>54700</v>
      </c>
      <c r="M9461" s="92">
        <f t="shared" ca="1" si="305"/>
        <v>6.25</v>
      </c>
      <c r="N9461" s="143">
        <f ca="1">(PRODUCT($O$5:$O9461)-1)*36000/_xlfn.DAYS(L9461, $C$2)</f>
        <v>17.216494662802525</v>
      </c>
      <c r="O9461" s="149">
        <f t="shared" ca="1" si="306"/>
        <v>1.000173611111111</v>
      </c>
    </row>
    <row r="9462" spans="12:15" x14ac:dyDescent="0.25">
      <c r="L9462" s="147">
        <f ca="1"/>
        <v>54701</v>
      </c>
      <c r="M9462" s="92">
        <f t="shared" ca="1" si="305"/>
        <v>6.25</v>
      </c>
      <c r="N9462" s="143">
        <f ca="1">(PRODUCT($O$5:$O9462)-1)*36000/_xlfn.DAYS(L9462, $C$2)</f>
        <v>17.218323827500843</v>
      </c>
      <c r="O9462" s="149">
        <f t="shared" ca="1" si="306"/>
        <v>1.000173611111111</v>
      </c>
    </row>
    <row r="9463" spans="12:15" x14ac:dyDescent="0.25">
      <c r="L9463" s="147">
        <f ca="1"/>
        <v>54702</v>
      </c>
      <c r="M9463" s="92">
        <f t="shared" ca="1" si="305"/>
        <v>6.25</v>
      </c>
      <c r="N9463" s="143">
        <f ca="1">(PRODUCT($O$5:$O9463)-1)*36000/_xlfn.DAYS(L9463, $C$2)</f>
        <v>17.220153238965121</v>
      </c>
      <c r="O9463" s="149">
        <f t="shared" ca="1" si="306"/>
        <v>1.000173611111111</v>
      </c>
    </row>
    <row r="9464" spans="12:15" x14ac:dyDescent="0.25">
      <c r="L9464" s="147">
        <f ca="1"/>
        <v>54703</v>
      </c>
      <c r="M9464" s="92">
        <f t="shared" ca="1" si="305"/>
        <v>6.25</v>
      </c>
      <c r="N9464" s="143">
        <f ca="1">(PRODUCT($O$5:$O9464)-1)*36000/_xlfn.DAYS(L9464, $C$2)</f>
        <v>17.221982897227083</v>
      </c>
      <c r="O9464" s="149">
        <f t="shared" ca="1" si="306"/>
        <v>1.000173611111111</v>
      </c>
    </row>
    <row r="9465" spans="12:15" x14ac:dyDescent="0.25">
      <c r="L9465" s="147">
        <f ca="1"/>
        <v>54704</v>
      </c>
      <c r="M9465" s="92">
        <f t="shared" ca="1" si="305"/>
        <v>6.25</v>
      </c>
      <c r="N9465" s="143">
        <f ca="1">(PRODUCT($O$5:$O9465)-1)*36000/_xlfn.DAYS(L9465, $C$2)</f>
        <v>17.223812802318445</v>
      </c>
      <c r="O9465" s="149">
        <f t="shared" ca="1" si="306"/>
        <v>1.000173611111111</v>
      </c>
    </row>
    <row r="9466" spans="12:15" x14ac:dyDescent="0.25">
      <c r="L9466" s="147">
        <f ca="1"/>
        <v>54705</v>
      </c>
      <c r="M9466" s="92">
        <f t="shared" ca="1" si="305"/>
        <v>6.25</v>
      </c>
      <c r="N9466" s="143">
        <f ca="1">(PRODUCT($O$5:$O9466)-1)*36000/_xlfn.DAYS(L9466, $C$2)</f>
        <v>17.225642954270942</v>
      </c>
      <c r="O9466" s="149">
        <f t="shared" ca="1" si="306"/>
        <v>1.000173611111111</v>
      </c>
    </row>
    <row r="9467" spans="12:15" x14ac:dyDescent="0.25">
      <c r="L9467" s="147">
        <f ca="1"/>
        <v>54706</v>
      </c>
      <c r="M9467" s="92">
        <f t="shared" ca="1" si="305"/>
        <v>6.25</v>
      </c>
      <c r="N9467" s="143">
        <f ca="1">(PRODUCT($O$5:$O9467)-1)*36000/_xlfn.DAYS(L9467, $C$2)</f>
        <v>17.227473353116313</v>
      </c>
      <c r="O9467" s="149">
        <f t="shared" ca="1" si="306"/>
        <v>1.000173611111111</v>
      </c>
    </row>
    <row r="9468" spans="12:15" x14ac:dyDescent="0.25">
      <c r="L9468" s="147">
        <f ca="1"/>
        <v>54707</v>
      </c>
      <c r="M9468" s="92">
        <f t="shared" ca="1" si="305"/>
        <v>6.25</v>
      </c>
      <c r="N9468" s="143">
        <f ca="1">(PRODUCT($O$5:$O9468)-1)*36000/_xlfn.DAYS(L9468, $C$2)</f>
        <v>17.229303998886294</v>
      </c>
      <c r="O9468" s="149">
        <f t="shared" ca="1" si="306"/>
        <v>1.000173611111111</v>
      </c>
    </row>
    <row r="9469" spans="12:15" x14ac:dyDescent="0.25">
      <c r="L9469" s="147">
        <f ca="1"/>
        <v>54708</v>
      </c>
      <c r="M9469" s="92">
        <f t="shared" ca="1" si="305"/>
        <v>6.25</v>
      </c>
      <c r="N9469" s="143">
        <f ca="1">(PRODUCT($O$5:$O9469)-1)*36000/_xlfn.DAYS(L9469, $C$2)</f>
        <v>17.231134891612637</v>
      </c>
      <c r="O9469" s="149">
        <f t="shared" ca="1" si="306"/>
        <v>1.000173611111111</v>
      </c>
    </row>
    <row r="9470" spans="12:15" x14ac:dyDescent="0.25">
      <c r="L9470" s="147">
        <f ca="1"/>
        <v>54709</v>
      </c>
      <c r="M9470" s="92">
        <f t="shared" ca="1" si="305"/>
        <v>6.25</v>
      </c>
      <c r="N9470" s="143">
        <f ca="1">(PRODUCT($O$5:$O9470)-1)*36000/_xlfn.DAYS(L9470, $C$2)</f>
        <v>17.232966031327095</v>
      </c>
      <c r="O9470" s="149">
        <f t="shared" ca="1" si="306"/>
        <v>1.000173611111111</v>
      </c>
    </row>
    <row r="9471" spans="12:15" x14ac:dyDescent="0.25">
      <c r="L9471" s="147">
        <f ca="1"/>
        <v>54710</v>
      </c>
      <c r="M9471" s="92">
        <f t="shared" ca="1" si="305"/>
        <v>6.25</v>
      </c>
      <c r="N9471" s="143">
        <f ca="1">(PRODUCT($O$5:$O9471)-1)*36000/_xlfn.DAYS(L9471, $C$2)</f>
        <v>17.234797418061419</v>
      </c>
      <c r="O9471" s="149">
        <f t="shared" ca="1" si="306"/>
        <v>1.000173611111111</v>
      </c>
    </row>
    <row r="9472" spans="12:15" x14ac:dyDescent="0.25">
      <c r="L9472" s="147">
        <f ca="1"/>
        <v>54711</v>
      </c>
      <c r="M9472" s="92">
        <f t="shared" ca="1" si="305"/>
        <v>6.25</v>
      </c>
      <c r="N9472" s="143">
        <f ca="1">(PRODUCT($O$5:$O9472)-1)*36000/_xlfn.DAYS(L9472, $C$2)</f>
        <v>17.236629051847387</v>
      </c>
      <c r="O9472" s="149">
        <f t="shared" ca="1" si="306"/>
        <v>1.000173611111111</v>
      </c>
    </row>
    <row r="9473" spans="12:15" x14ac:dyDescent="0.25">
      <c r="L9473" s="147">
        <f ca="1"/>
        <v>54712</v>
      </c>
      <c r="M9473" s="92">
        <f t="shared" ca="1" si="305"/>
        <v>6.25</v>
      </c>
      <c r="N9473" s="143">
        <f ca="1">(PRODUCT($O$5:$O9473)-1)*36000/_xlfn.DAYS(L9473, $C$2)</f>
        <v>17.238460932716762</v>
      </c>
      <c r="O9473" s="149">
        <f t="shared" ca="1" si="306"/>
        <v>1.000173611111111</v>
      </c>
    </row>
    <row r="9474" spans="12:15" x14ac:dyDescent="0.25">
      <c r="L9474" s="147">
        <f ca="1"/>
        <v>54713</v>
      </c>
      <c r="M9474" s="92">
        <f t="shared" ca="1" si="305"/>
        <v>6.25</v>
      </c>
      <c r="N9474" s="143">
        <f ca="1">(PRODUCT($O$5:$O9474)-1)*36000/_xlfn.DAYS(L9474, $C$2)</f>
        <v>17.240293060701319</v>
      </c>
      <c r="O9474" s="149">
        <f t="shared" ca="1" si="306"/>
        <v>1.000173611111111</v>
      </c>
    </row>
    <row r="9475" spans="12:15" x14ac:dyDescent="0.25">
      <c r="L9475" s="147">
        <f ca="1"/>
        <v>54714</v>
      </c>
      <c r="M9475" s="92">
        <f t="shared" ca="1" si="305"/>
        <v>6.25</v>
      </c>
      <c r="N9475" s="143">
        <f ca="1">(PRODUCT($O$5:$O9475)-1)*36000/_xlfn.DAYS(L9475, $C$2)</f>
        <v>17.242125435832847</v>
      </c>
      <c r="O9475" s="149">
        <f t="shared" ca="1" si="306"/>
        <v>1.000173611111111</v>
      </c>
    </row>
    <row r="9476" spans="12:15" x14ac:dyDescent="0.25">
      <c r="L9476" s="147">
        <f ca="1"/>
        <v>54715</v>
      </c>
      <c r="M9476" s="92">
        <f t="shared" ca="1" si="305"/>
        <v>6.25</v>
      </c>
      <c r="N9476" s="143">
        <f ca="1">(PRODUCT($O$5:$O9476)-1)*36000/_xlfn.DAYS(L9476, $C$2)</f>
        <v>17.243958058143125</v>
      </c>
      <c r="O9476" s="149">
        <f t="shared" ca="1" si="306"/>
        <v>1.000173611111111</v>
      </c>
    </row>
    <row r="9477" spans="12:15" x14ac:dyDescent="0.25">
      <c r="L9477" s="147">
        <f ca="1"/>
        <v>54716</v>
      </c>
      <c r="M9477" s="92">
        <f t="shared" ref="M9477:M9540" ca="1" si="307">IFERROR(INDEX($E$27:$H$47, MATCH(L9477, $F$27:$F$47, 0), 4), IF(ISNUMBER(M9476), M9476, $C$5))</f>
        <v>6.25</v>
      </c>
      <c r="N9477" s="143">
        <f ca="1">(PRODUCT($O$5:$O9477)-1)*36000/_xlfn.DAYS(L9477, $C$2)</f>
        <v>17.245790927663954</v>
      </c>
      <c r="O9477" s="149">
        <f t="shared" ca="1" si="306"/>
        <v>1.000173611111111</v>
      </c>
    </row>
    <row r="9478" spans="12:15" x14ac:dyDescent="0.25">
      <c r="L9478" s="147">
        <f ca="1"/>
        <v>54717</v>
      </c>
      <c r="M9478" s="92">
        <f t="shared" ca="1" si="307"/>
        <v>6.25</v>
      </c>
      <c r="N9478" s="143">
        <f ca="1">(PRODUCT($O$5:$O9478)-1)*36000/_xlfn.DAYS(L9478, $C$2)</f>
        <v>17.247624044427127</v>
      </c>
      <c r="O9478" s="149">
        <f t="shared" ref="O9478:O9541" ca="1" si="308">1+M9478*IFERROR(_xlfn.DAYS(L9478, L9477), _xlfn.DAYS(L9478, $C$2))/36000</f>
        <v>1.000173611111111</v>
      </c>
    </row>
    <row r="9479" spans="12:15" x14ac:dyDescent="0.25">
      <c r="L9479" s="147">
        <f ca="1"/>
        <v>54718</v>
      </c>
      <c r="M9479" s="92">
        <f t="shared" ca="1" si="307"/>
        <v>6.25</v>
      </c>
      <c r="N9479" s="143">
        <f ca="1">(PRODUCT($O$5:$O9479)-1)*36000/_xlfn.DAYS(L9479, $C$2)</f>
        <v>17.249457408464448</v>
      </c>
      <c r="O9479" s="149">
        <f t="shared" ca="1" si="308"/>
        <v>1.000173611111111</v>
      </c>
    </row>
    <row r="9480" spans="12:15" x14ac:dyDescent="0.25">
      <c r="L9480" s="147">
        <f ca="1"/>
        <v>54719</v>
      </c>
      <c r="M9480" s="92">
        <f t="shared" ca="1" si="307"/>
        <v>6.25</v>
      </c>
      <c r="N9480" s="143">
        <f ca="1">(PRODUCT($O$5:$O9480)-1)*36000/_xlfn.DAYS(L9480, $C$2)</f>
        <v>17.251291019807731</v>
      </c>
      <c r="O9480" s="149">
        <f t="shared" ca="1" si="308"/>
        <v>1.000173611111111</v>
      </c>
    </row>
    <row r="9481" spans="12:15" x14ac:dyDescent="0.25">
      <c r="L9481" s="147">
        <f ca="1"/>
        <v>54720</v>
      </c>
      <c r="M9481" s="92">
        <f t="shared" ca="1" si="307"/>
        <v>6.25</v>
      </c>
      <c r="N9481" s="143">
        <f ca="1">(PRODUCT($O$5:$O9481)-1)*36000/_xlfn.DAYS(L9481, $C$2)</f>
        <v>17.253124878488791</v>
      </c>
      <c r="O9481" s="149">
        <f t="shared" ca="1" si="308"/>
        <v>1.000173611111111</v>
      </c>
    </row>
    <row r="9482" spans="12:15" x14ac:dyDescent="0.25">
      <c r="L9482" s="147">
        <f ca="1"/>
        <v>54721</v>
      </c>
      <c r="M9482" s="92">
        <f t="shared" ca="1" si="307"/>
        <v>6.25</v>
      </c>
      <c r="N9482" s="143">
        <f ca="1">(PRODUCT($O$5:$O9482)-1)*36000/_xlfn.DAYS(L9482, $C$2)</f>
        <v>17.254958984539449</v>
      </c>
      <c r="O9482" s="149">
        <f t="shared" ca="1" si="308"/>
        <v>1.000173611111111</v>
      </c>
    </row>
    <row r="9483" spans="12:15" x14ac:dyDescent="0.25">
      <c r="L9483" s="147">
        <f ca="1"/>
        <v>54722</v>
      </c>
      <c r="M9483" s="92">
        <f t="shared" ca="1" si="307"/>
        <v>6.25</v>
      </c>
      <c r="N9483" s="143">
        <f ca="1">(PRODUCT($O$5:$O9483)-1)*36000/_xlfn.DAYS(L9483, $C$2)</f>
        <v>17.256793337991535</v>
      </c>
      <c r="O9483" s="149">
        <f t="shared" ca="1" si="308"/>
        <v>1.000173611111111</v>
      </c>
    </row>
    <row r="9484" spans="12:15" x14ac:dyDescent="0.25">
      <c r="L9484" s="147">
        <f ca="1"/>
        <v>54723</v>
      </c>
      <c r="M9484" s="92">
        <f t="shared" ca="1" si="307"/>
        <v>6.25</v>
      </c>
      <c r="N9484" s="143">
        <f ca="1">(PRODUCT($O$5:$O9484)-1)*36000/_xlfn.DAYS(L9484, $C$2)</f>
        <v>17.258627938876877</v>
      </c>
      <c r="O9484" s="149">
        <f t="shared" ca="1" si="308"/>
        <v>1.000173611111111</v>
      </c>
    </row>
    <row r="9485" spans="12:15" x14ac:dyDescent="0.25">
      <c r="L9485" s="147">
        <f ca="1"/>
        <v>54724</v>
      </c>
      <c r="M9485" s="92">
        <f t="shared" ca="1" si="307"/>
        <v>6.25</v>
      </c>
      <c r="N9485" s="143">
        <f ca="1">(PRODUCT($O$5:$O9485)-1)*36000/_xlfn.DAYS(L9485, $C$2)</f>
        <v>17.260462787227315</v>
      </c>
      <c r="O9485" s="149">
        <f t="shared" ca="1" si="308"/>
        <v>1.000173611111111</v>
      </c>
    </row>
    <row r="9486" spans="12:15" x14ac:dyDescent="0.25">
      <c r="L9486" s="147">
        <f ca="1"/>
        <v>54725</v>
      </c>
      <c r="M9486" s="92">
        <f t="shared" ca="1" si="307"/>
        <v>6.25</v>
      </c>
      <c r="N9486" s="143">
        <f ca="1">(PRODUCT($O$5:$O9486)-1)*36000/_xlfn.DAYS(L9486, $C$2)</f>
        <v>17.262297883074694</v>
      </c>
      <c r="O9486" s="149">
        <f t="shared" ca="1" si="308"/>
        <v>1.000173611111111</v>
      </c>
    </row>
    <row r="9487" spans="12:15" x14ac:dyDescent="0.25">
      <c r="L9487" s="147">
        <f ca="1"/>
        <v>54726</v>
      </c>
      <c r="M9487" s="92">
        <f t="shared" ca="1" si="307"/>
        <v>6.25</v>
      </c>
      <c r="N9487" s="143">
        <f ca="1">(PRODUCT($O$5:$O9487)-1)*36000/_xlfn.DAYS(L9487, $C$2)</f>
        <v>17.26413322645087</v>
      </c>
      <c r="O9487" s="149">
        <f t="shared" ca="1" si="308"/>
        <v>1.000173611111111</v>
      </c>
    </row>
    <row r="9488" spans="12:15" x14ac:dyDescent="0.25">
      <c r="L9488" s="147">
        <f ca="1"/>
        <v>54727</v>
      </c>
      <c r="M9488" s="92">
        <f t="shared" ca="1" si="307"/>
        <v>6.25</v>
      </c>
      <c r="N9488" s="143">
        <f ca="1">(PRODUCT($O$5:$O9488)-1)*36000/_xlfn.DAYS(L9488, $C$2)</f>
        <v>17.265968817387687</v>
      </c>
      <c r="O9488" s="149">
        <f t="shared" ca="1" si="308"/>
        <v>1.000173611111111</v>
      </c>
    </row>
    <row r="9489" spans="12:15" x14ac:dyDescent="0.25">
      <c r="L9489" s="147">
        <f ca="1"/>
        <v>54728</v>
      </c>
      <c r="M9489" s="92">
        <f t="shared" ca="1" si="307"/>
        <v>6.25</v>
      </c>
      <c r="N9489" s="143">
        <f ca="1">(PRODUCT($O$5:$O9489)-1)*36000/_xlfn.DAYS(L9489, $C$2)</f>
        <v>17.267804655917015</v>
      </c>
      <c r="O9489" s="149">
        <f t="shared" ca="1" si="308"/>
        <v>1.000173611111111</v>
      </c>
    </row>
    <row r="9490" spans="12:15" x14ac:dyDescent="0.25">
      <c r="L9490" s="147">
        <f ca="1"/>
        <v>54729</v>
      </c>
      <c r="M9490" s="92">
        <f t="shared" ca="1" si="307"/>
        <v>6.25</v>
      </c>
      <c r="N9490" s="143">
        <f ca="1">(PRODUCT($O$5:$O9490)-1)*36000/_xlfn.DAYS(L9490, $C$2)</f>
        <v>17.269640742070717</v>
      </c>
      <c r="O9490" s="149">
        <f t="shared" ca="1" si="308"/>
        <v>1.000173611111111</v>
      </c>
    </row>
    <row r="9491" spans="12:15" x14ac:dyDescent="0.25">
      <c r="L9491" s="147">
        <f ca="1"/>
        <v>54730</v>
      </c>
      <c r="M9491" s="92">
        <f t="shared" ca="1" si="307"/>
        <v>6.25</v>
      </c>
      <c r="N9491" s="143">
        <f ca="1">(PRODUCT($O$5:$O9491)-1)*36000/_xlfn.DAYS(L9491, $C$2)</f>
        <v>17.271477075880671</v>
      </c>
      <c r="O9491" s="149">
        <f t="shared" ca="1" si="308"/>
        <v>1.000173611111111</v>
      </c>
    </row>
    <row r="9492" spans="12:15" x14ac:dyDescent="0.25">
      <c r="L9492" s="147">
        <f ca="1"/>
        <v>54731</v>
      </c>
      <c r="M9492" s="92">
        <f t="shared" ca="1" si="307"/>
        <v>6.25</v>
      </c>
      <c r="N9492" s="143">
        <f ca="1">(PRODUCT($O$5:$O9492)-1)*36000/_xlfn.DAYS(L9492, $C$2)</f>
        <v>17.273313657378747</v>
      </c>
      <c r="O9492" s="149">
        <f t="shared" ca="1" si="308"/>
        <v>1.000173611111111</v>
      </c>
    </row>
    <row r="9493" spans="12:15" x14ac:dyDescent="0.25">
      <c r="L9493" s="147">
        <f ca="1"/>
        <v>54732</v>
      </c>
      <c r="M9493" s="92">
        <f t="shared" ca="1" si="307"/>
        <v>6.25</v>
      </c>
      <c r="N9493" s="143">
        <f ca="1">(PRODUCT($O$5:$O9493)-1)*36000/_xlfn.DAYS(L9493, $C$2)</f>
        <v>17.275150486596836</v>
      </c>
      <c r="O9493" s="149">
        <f t="shared" ca="1" si="308"/>
        <v>1.000173611111111</v>
      </c>
    </row>
    <row r="9494" spans="12:15" x14ac:dyDescent="0.25">
      <c r="L9494" s="147">
        <f ca="1"/>
        <v>54733</v>
      </c>
      <c r="M9494" s="92">
        <f t="shared" ca="1" si="307"/>
        <v>6.25</v>
      </c>
      <c r="N9494" s="143">
        <f ca="1">(PRODUCT($O$5:$O9494)-1)*36000/_xlfn.DAYS(L9494, $C$2)</f>
        <v>17.276987563566827</v>
      </c>
      <c r="O9494" s="149">
        <f t="shared" ca="1" si="308"/>
        <v>1.000173611111111</v>
      </c>
    </row>
    <row r="9495" spans="12:15" x14ac:dyDescent="0.25">
      <c r="L9495" s="147">
        <f ca="1"/>
        <v>54734</v>
      </c>
      <c r="M9495" s="92">
        <f t="shared" ca="1" si="307"/>
        <v>6.25</v>
      </c>
      <c r="N9495" s="143">
        <f ca="1">(PRODUCT($O$5:$O9495)-1)*36000/_xlfn.DAYS(L9495, $C$2)</f>
        <v>17.278824888320617</v>
      </c>
      <c r="O9495" s="149">
        <f t="shared" ca="1" si="308"/>
        <v>1.000173611111111</v>
      </c>
    </row>
    <row r="9496" spans="12:15" x14ac:dyDescent="0.25">
      <c r="L9496" s="147">
        <f ca="1"/>
        <v>54735</v>
      </c>
      <c r="M9496" s="92">
        <f t="shared" ca="1" si="307"/>
        <v>6.25</v>
      </c>
      <c r="N9496" s="143">
        <f ca="1">(PRODUCT($O$5:$O9496)-1)*36000/_xlfn.DAYS(L9496, $C$2)</f>
        <v>17.280662460890102</v>
      </c>
      <c r="O9496" s="149">
        <f t="shared" ca="1" si="308"/>
        <v>1.000173611111111</v>
      </c>
    </row>
    <row r="9497" spans="12:15" x14ac:dyDescent="0.25">
      <c r="L9497" s="147">
        <f ca="1"/>
        <v>54736</v>
      </c>
      <c r="M9497" s="92">
        <f t="shared" ca="1" si="307"/>
        <v>6.25</v>
      </c>
      <c r="N9497" s="143">
        <f ca="1">(PRODUCT($O$5:$O9497)-1)*36000/_xlfn.DAYS(L9497, $C$2)</f>
        <v>17.282500281307193</v>
      </c>
      <c r="O9497" s="149">
        <f t="shared" ca="1" si="308"/>
        <v>1.000173611111111</v>
      </c>
    </row>
    <row r="9498" spans="12:15" x14ac:dyDescent="0.25">
      <c r="L9498" s="147">
        <f ca="1"/>
        <v>54737</v>
      </c>
      <c r="M9498" s="92">
        <f t="shared" ca="1" si="307"/>
        <v>6.25</v>
      </c>
      <c r="N9498" s="143">
        <f ca="1">(PRODUCT($O$5:$O9498)-1)*36000/_xlfn.DAYS(L9498, $C$2)</f>
        <v>17.2843383496038</v>
      </c>
      <c r="O9498" s="149">
        <f t="shared" ca="1" si="308"/>
        <v>1.000173611111111</v>
      </c>
    </row>
    <row r="9499" spans="12:15" x14ac:dyDescent="0.25">
      <c r="L9499" s="147">
        <f ca="1"/>
        <v>54738</v>
      </c>
      <c r="M9499" s="92">
        <f t="shared" ca="1" si="307"/>
        <v>6.25</v>
      </c>
      <c r="N9499" s="143">
        <f ca="1">(PRODUCT($O$5:$O9499)-1)*36000/_xlfn.DAYS(L9499, $C$2)</f>
        <v>17.286176665811844</v>
      </c>
      <c r="O9499" s="149">
        <f t="shared" ca="1" si="308"/>
        <v>1.000173611111111</v>
      </c>
    </row>
    <row r="9500" spans="12:15" x14ac:dyDescent="0.25">
      <c r="L9500" s="147">
        <f ca="1"/>
        <v>54739</v>
      </c>
      <c r="M9500" s="92">
        <f t="shared" ca="1" si="307"/>
        <v>6.25</v>
      </c>
      <c r="N9500" s="143">
        <f ca="1">(PRODUCT($O$5:$O9500)-1)*36000/_xlfn.DAYS(L9500, $C$2)</f>
        <v>17.288015229963243</v>
      </c>
      <c r="O9500" s="149">
        <f t="shared" ca="1" si="308"/>
        <v>1.000173611111111</v>
      </c>
    </row>
    <row r="9501" spans="12:15" x14ac:dyDescent="0.25">
      <c r="L9501" s="147">
        <f ca="1"/>
        <v>54740</v>
      </c>
      <c r="M9501" s="92">
        <f t="shared" ca="1" si="307"/>
        <v>6.25</v>
      </c>
      <c r="N9501" s="143">
        <f ca="1">(PRODUCT($O$5:$O9501)-1)*36000/_xlfn.DAYS(L9501, $C$2)</f>
        <v>17.289854042089939</v>
      </c>
      <c r="O9501" s="149">
        <f t="shared" ca="1" si="308"/>
        <v>1.000173611111111</v>
      </c>
    </row>
    <row r="9502" spans="12:15" x14ac:dyDescent="0.25">
      <c r="L9502" s="147">
        <f ca="1"/>
        <v>54741</v>
      </c>
      <c r="M9502" s="92">
        <f t="shared" ca="1" si="307"/>
        <v>6.25</v>
      </c>
      <c r="N9502" s="143">
        <f ca="1">(PRODUCT($O$5:$O9502)-1)*36000/_xlfn.DAYS(L9502, $C$2)</f>
        <v>17.291693102223856</v>
      </c>
      <c r="O9502" s="149">
        <f t="shared" ca="1" si="308"/>
        <v>1.000173611111111</v>
      </c>
    </row>
    <row r="9503" spans="12:15" x14ac:dyDescent="0.25">
      <c r="L9503" s="147">
        <f ca="1"/>
        <v>54742</v>
      </c>
      <c r="M9503" s="92">
        <f t="shared" ca="1" si="307"/>
        <v>6.25</v>
      </c>
      <c r="N9503" s="143">
        <f ca="1">(PRODUCT($O$5:$O9503)-1)*36000/_xlfn.DAYS(L9503, $C$2)</f>
        <v>17.293532410396935</v>
      </c>
      <c r="O9503" s="149">
        <f t="shared" ca="1" si="308"/>
        <v>1.000173611111111</v>
      </c>
    </row>
    <row r="9504" spans="12:15" x14ac:dyDescent="0.25">
      <c r="L9504" s="147">
        <f ca="1"/>
        <v>54743</v>
      </c>
      <c r="M9504" s="92">
        <f t="shared" ca="1" si="307"/>
        <v>6.25</v>
      </c>
      <c r="N9504" s="143">
        <f ca="1">(PRODUCT($O$5:$O9504)-1)*36000/_xlfn.DAYS(L9504, $C$2)</f>
        <v>17.295371966641135</v>
      </c>
      <c r="O9504" s="149">
        <f t="shared" ca="1" si="308"/>
        <v>1.000173611111111</v>
      </c>
    </row>
    <row r="9505" spans="12:15" x14ac:dyDescent="0.25">
      <c r="L9505" s="147">
        <f ca="1"/>
        <v>54744</v>
      </c>
      <c r="M9505" s="92">
        <f t="shared" ca="1" si="307"/>
        <v>6.25</v>
      </c>
      <c r="N9505" s="143">
        <f ca="1">(PRODUCT($O$5:$O9505)-1)*36000/_xlfn.DAYS(L9505, $C$2)</f>
        <v>17.297211770988394</v>
      </c>
      <c r="O9505" s="149">
        <f t="shared" ca="1" si="308"/>
        <v>1.000173611111111</v>
      </c>
    </row>
    <row r="9506" spans="12:15" x14ac:dyDescent="0.25">
      <c r="L9506" s="147">
        <f ca="1"/>
        <v>54745</v>
      </c>
      <c r="M9506" s="92">
        <f t="shared" ca="1" si="307"/>
        <v>6.25</v>
      </c>
      <c r="N9506" s="143">
        <f ca="1">(PRODUCT($O$5:$O9506)-1)*36000/_xlfn.DAYS(L9506, $C$2)</f>
        <v>17.299051823470677</v>
      </c>
      <c r="O9506" s="149">
        <f t="shared" ca="1" si="308"/>
        <v>1.000173611111111</v>
      </c>
    </row>
    <row r="9507" spans="12:15" x14ac:dyDescent="0.25">
      <c r="L9507" s="147">
        <f ca="1"/>
        <v>54746</v>
      </c>
      <c r="M9507" s="92">
        <f t="shared" ca="1" si="307"/>
        <v>6.25</v>
      </c>
      <c r="N9507" s="143">
        <f ca="1">(PRODUCT($O$5:$O9507)-1)*36000/_xlfn.DAYS(L9507, $C$2)</f>
        <v>17.300892124119951</v>
      </c>
      <c r="O9507" s="149">
        <f t="shared" ca="1" si="308"/>
        <v>1.000173611111111</v>
      </c>
    </row>
    <row r="9508" spans="12:15" x14ac:dyDescent="0.25">
      <c r="L9508" s="147">
        <f ca="1"/>
        <v>54747</v>
      </c>
      <c r="M9508" s="92">
        <f t="shared" ca="1" si="307"/>
        <v>6.25</v>
      </c>
      <c r="N9508" s="143">
        <f ca="1">(PRODUCT($O$5:$O9508)-1)*36000/_xlfn.DAYS(L9508, $C$2)</f>
        <v>17.302732672968176</v>
      </c>
      <c r="O9508" s="149">
        <f t="shared" ca="1" si="308"/>
        <v>1.000173611111111</v>
      </c>
    </row>
    <row r="9509" spans="12:15" x14ac:dyDescent="0.25">
      <c r="L9509" s="147">
        <f ca="1"/>
        <v>54748</v>
      </c>
      <c r="M9509" s="92">
        <f t="shared" ca="1" si="307"/>
        <v>6.25</v>
      </c>
      <c r="N9509" s="143">
        <f ca="1">(PRODUCT($O$5:$O9509)-1)*36000/_xlfn.DAYS(L9509, $C$2)</f>
        <v>17.304573470047334</v>
      </c>
      <c r="O9509" s="149">
        <f t="shared" ca="1" si="308"/>
        <v>1.000173611111111</v>
      </c>
    </row>
    <row r="9510" spans="12:15" x14ac:dyDescent="0.25">
      <c r="L9510" s="147">
        <f ca="1"/>
        <v>54749</v>
      </c>
      <c r="M9510" s="92">
        <f t="shared" ca="1" si="307"/>
        <v>6.25</v>
      </c>
      <c r="N9510" s="143">
        <f ca="1">(PRODUCT($O$5:$O9510)-1)*36000/_xlfn.DAYS(L9510, $C$2)</f>
        <v>17.306414515389406</v>
      </c>
      <c r="O9510" s="149">
        <f t="shared" ca="1" si="308"/>
        <v>1.000173611111111</v>
      </c>
    </row>
    <row r="9511" spans="12:15" x14ac:dyDescent="0.25">
      <c r="L9511" s="147">
        <f ca="1"/>
        <v>54750</v>
      </c>
      <c r="M9511" s="92">
        <f t="shared" ca="1" si="307"/>
        <v>6.25</v>
      </c>
      <c r="N9511" s="143">
        <f ca="1">(PRODUCT($O$5:$O9511)-1)*36000/_xlfn.DAYS(L9511, $C$2)</f>
        <v>17.308255809026377</v>
      </c>
      <c r="O9511" s="149">
        <f t="shared" ca="1" si="308"/>
        <v>1.000173611111111</v>
      </c>
    </row>
    <row r="9512" spans="12:15" x14ac:dyDescent="0.25">
      <c r="L9512" s="147">
        <f ca="1"/>
        <v>54751</v>
      </c>
      <c r="M9512" s="92">
        <f t="shared" ca="1" si="307"/>
        <v>6.25</v>
      </c>
      <c r="N9512" s="143">
        <f ca="1">(PRODUCT($O$5:$O9512)-1)*36000/_xlfn.DAYS(L9512, $C$2)</f>
        <v>17.310097350990244</v>
      </c>
      <c r="O9512" s="149">
        <f t="shared" ca="1" si="308"/>
        <v>1.000173611111111</v>
      </c>
    </row>
    <row r="9513" spans="12:15" x14ac:dyDescent="0.25">
      <c r="L9513" s="147">
        <f ca="1"/>
        <v>54752</v>
      </c>
      <c r="M9513" s="92">
        <f t="shared" ca="1" si="307"/>
        <v>6.25</v>
      </c>
      <c r="N9513" s="143">
        <f ca="1">(PRODUCT($O$5:$O9513)-1)*36000/_xlfn.DAYS(L9513, $C$2)</f>
        <v>17.311939141312997</v>
      </c>
      <c r="O9513" s="149">
        <f t="shared" ca="1" si="308"/>
        <v>1.000173611111111</v>
      </c>
    </row>
    <row r="9514" spans="12:15" x14ac:dyDescent="0.25">
      <c r="L9514" s="147">
        <f ca="1"/>
        <v>54753</v>
      </c>
      <c r="M9514" s="92">
        <f t="shared" ca="1" si="307"/>
        <v>6.25</v>
      </c>
      <c r="N9514" s="143">
        <f ca="1">(PRODUCT($O$5:$O9514)-1)*36000/_xlfn.DAYS(L9514, $C$2)</f>
        <v>17.313781180026645</v>
      </c>
      <c r="O9514" s="149">
        <f t="shared" ca="1" si="308"/>
        <v>1.000173611111111</v>
      </c>
    </row>
    <row r="9515" spans="12:15" x14ac:dyDescent="0.25">
      <c r="L9515" s="147">
        <f ca="1"/>
        <v>54754</v>
      </c>
      <c r="M9515" s="92">
        <f t="shared" ca="1" si="307"/>
        <v>6.25</v>
      </c>
      <c r="N9515" s="143">
        <f ca="1">(PRODUCT($O$5:$O9515)-1)*36000/_xlfn.DAYS(L9515, $C$2)</f>
        <v>17.315623467163192</v>
      </c>
      <c r="O9515" s="149">
        <f t="shared" ca="1" si="308"/>
        <v>1.000173611111111</v>
      </c>
    </row>
    <row r="9516" spans="12:15" x14ac:dyDescent="0.25">
      <c r="L9516" s="147">
        <f ca="1"/>
        <v>54755</v>
      </c>
      <c r="M9516" s="92">
        <f t="shared" ca="1" si="307"/>
        <v>6.25</v>
      </c>
      <c r="N9516" s="143">
        <f ca="1">(PRODUCT($O$5:$O9516)-1)*36000/_xlfn.DAYS(L9516, $C$2)</f>
        <v>17.317466002754664</v>
      </c>
      <c r="O9516" s="149">
        <f t="shared" ca="1" si="308"/>
        <v>1.000173611111111</v>
      </c>
    </row>
    <row r="9517" spans="12:15" x14ac:dyDescent="0.25">
      <c r="L9517" s="147">
        <f ca="1"/>
        <v>54756</v>
      </c>
      <c r="M9517" s="92">
        <f t="shared" ca="1" si="307"/>
        <v>6.25</v>
      </c>
      <c r="N9517" s="143">
        <f ca="1">(PRODUCT($O$5:$O9517)-1)*36000/_xlfn.DAYS(L9517, $C$2)</f>
        <v>17.319308786833073</v>
      </c>
      <c r="O9517" s="149">
        <f t="shared" ca="1" si="308"/>
        <v>1.000173611111111</v>
      </c>
    </row>
    <row r="9518" spans="12:15" x14ac:dyDescent="0.25">
      <c r="L9518" s="147">
        <f ca="1"/>
        <v>54757</v>
      </c>
      <c r="M9518" s="92">
        <f t="shared" ca="1" si="307"/>
        <v>6.25</v>
      </c>
      <c r="N9518" s="143">
        <f ca="1">(PRODUCT($O$5:$O9518)-1)*36000/_xlfn.DAYS(L9518, $C$2)</f>
        <v>17.321151819430444</v>
      </c>
      <c r="O9518" s="149">
        <f t="shared" ca="1" si="308"/>
        <v>1.000173611111111</v>
      </c>
    </row>
    <row r="9519" spans="12:15" x14ac:dyDescent="0.25">
      <c r="L9519" s="147">
        <f ca="1"/>
        <v>54758</v>
      </c>
      <c r="M9519" s="92">
        <f t="shared" ca="1" si="307"/>
        <v>6.25</v>
      </c>
      <c r="N9519" s="143">
        <f ca="1">(PRODUCT($O$5:$O9519)-1)*36000/_xlfn.DAYS(L9519, $C$2)</f>
        <v>17.322995100578812</v>
      </c>
      <c r="O9519" s="149">
        <f t="shared" ca="1" si="308"/>
        <v>1.000173611111111</v>
      </c>
    </row>
    <row r="9520" spans="12:15" x14ac:dyDescent="0.25">
      <c r="L9520" s="147">
        <f ca="1"/>
        <v>54759</v>
      </c>
      <c r="M9520" s="92">
        <f t="shared" ca="1" si="307"/>
        <v>6.25</v>
      </c>
      <c r="N9520" s="143">
        <f ca="1">(PRODUCT($O$5:$O9520)-1)*36000/_xlfn.DAYS(L9520, $C$2)</f>
        <v>17.324838630310222</v>
      </c>
      <c r="O9520" s="149">
        <f t="shared" ca="1" si="308"/>
        <v>1.000173611111111</v>
      </c>
    </row>
    <row r="9521" spans="12:15" x14ac:dyDescent="0.25">
      <c r="L9521" s="147">
        <f ca="1"/>
        <v>54760</v>
      </c>
      <c r="M9521" s="92">
        <f t="shared" ca="1" si="307"/>
        <v>6.25</v>
      </c>
      <c r="N9521" s="143">
        <f ca="1">(PRODUCT($O$5:$O9521)-1)*36000/_xlfn.DAYS(L9521, $C$2)</f>
        <v>17.326682408656705</v>
      </c>
      <c r="O9521" s="149">
        <f t="shared" ca="1" si="308"/>
        <v>1.000173611111111</v>
      </c>
    </row>
    <row r="9522" spans="12:15" x14ac:dyDescent="0.25">
      <c r="L9522" s="147">
        <f ca="1"/>
        <v>54761</v>
      </c>
      <c r="M9522" s="92">
        <f t="shared" ca="1" si="307"/>
        <v>6.25</v>
      </c>
      <c r="N9522" s="143">
        <f ca="1">(PRODUCT($O$5:$O9522)-1)*36000/_xlfn.DAYS(L9522, $C$2)</f>
        <v>17.328526435650318</v>
      </c>
      <c r="O9522" s="149">
        <f t="shared" ca="1" si="308"/>
        <v>1.000173611111111</v>
      </c>
    </row>
    <row r="9523" spans="12:15" x14ac:dyDescent="0.25">
      <c r="L9523" s="147">
        <f ca="1"/>
        <v>54762</v>
      </c>
      <c r="M9523" s="92">
        <f t="shared" ca="1" si="307"/>
        <v>6.25</v>
      </c>
      <c r="N9523" s="143">
        <f ca="1">(PRODUCT($O$5:$O9523)-1)*36000/_xlfn.DAYS(L9523, $C$2)</f>
        <v>17.330370711323116</v>
      </c>
      <c r="O9523" s="149">
        <f t="shared" ca="1" si="308"/>
        <v>1.000173611111111</v>
      </c>
    </row>
    <row r="9524" spans="12:15" x14ac:dyDescent="0.25">
      <c r="L9524" s="147">
        <f ca="1"/>
        <v>54763</v>
      </c>
      <c r="M9524" s="92">
        <f t="shared" ca="1" si="307"/>
        <v>6.25</v>
      </c>
      <c r="N9524" s="143">
        <f ca="1">(PRODUCT($O$5:$O9524)-1)*36000/_xlfn.DAYS(L9524, $C$2)</f>
        <v>17.33221523570716</v>
      </c>
      <c r="O9524" s="149">
        <f t="shared" ca="1" si="308"/>
        <v>1.000173611111111</v>
      </c>
    </row>
    <row r="9525" spans="12:15" x14ac:dyDescent="0.25">
      <c r="L9525" s="147">
        <f ca="1"/>
        <v>54764</v>
      </c>
      <c r="M9525" s="92">
        <f t="shared" ca="1" si="307"/>
        <v>6.25</v>
      </c>
      <c r="N9525" s="143">
        <f ca="1">(PRODUCT($O$5:$O9525)-1)*36000/_xlfn.DAYS(L9525, $C$2)</f>
        <v>17.334060008834509</v>
      </c>
      <c r="O9525" s="149">
        <f t="shared" ca="1" si="308"/>
        <v>1.000173611111111</v>
      </c>
    </row>
    <row r="9526" spans="12:15" x14ac:dyDescent="0.25">
      <c r="L9526" s="147">
        <f ca="1"/>
        <v>54765</v>
      </c>
      <c r="M9526" s="92">
        <f t="shared" ca="1" si="307"/>
        <v>6.25</v>
      </c>
      <c r="N9526" s="143">
        <f ca="1">(PRODUCT($O$5:$O9526)-1)*36000/_xlfn.DAYS(L9526, $C$2)</f>
        <v>17.335905030737244</v>
      </c>
      <c r="O9526" s="149">
        <f t="shared" ca="1" si="308"/>
        <v>1.000173611111111</v>
      </c>
    </row>
    <row r="9527" spans="12:15" x14ac:dyDescent="0.25">
      <c r="L9527" s="147">
        <f ca="1"/>
        <v>54766</v>
      </c>
      <c r="M9527" s="92">
        <f t="shared" ca="1" si="307"/>
        <v>6.25</v>
      </c>
      <c r="N9527" s="143">
        <f ca="1">(PRODUCT($O$5:$O9527)-1)*36000/_xlfn.DAYS(L9527, $C$2)</f>
        <v>17.337750301447439</v>
      </c>
      <c r="O9527" s="149">
        <f t="shared" ca="1" si="308"/>
        <v>1.000173611111111</v>
      </c>
    </row>
    <row r="9528" spans="12:15" x14ac:dyDescent="0.25">
      <c r="L9528" s="147">
        <f ca="1"/>
        <v>54767</v>
      </c>
      <c r="M9528" s="92">
        <f t="shared" ca="1" si="307"/>
        <v>6.25</v>
      </c>
      <c r="N9528" s="143">
        <f ca="1">(PRODUCT($O$5:$O9528)-1)*36000/_xlfn.DAYS(L9528, $C$2)</f>
        <v>17.339595820997179</v>
      </c>
      <c r="O9528" s="149">
        <f t="shared" ca="1" si="308"/>
        <v>1.000173611111111</v>
      </c>
    </row>
    <row r="9529" spans="12:15" x14ac:dyDescent="0.25">
      <c r="L9529" s="147">
        <f ca="1"/>
        <v>54768</v>
      </c>
      <c r="M9529" s="92">
        <f t="shared" ca="1" si="307"/>
        <v>6.25</v>
      </c>
      <c r="N9529" s="143">
        <f ca="1">(PRODUCT($O$5:$O9529)-1)*36000/_xlfn.DAYS(L9529, $C$2)</f>
        <v>17.341441589418551</v>
      </c>
      <c r="O9529" s="149">
        <f t="shared" ca="1" si="308"/>
        <v>1.000173611111111</v>
      </c>
    </row>
    <row r="9530" spans="12:15" x14ac:dyDescent="0.25">
      <c r="L9530" s="147">
        <f ca="1"/>
        <v>54769</v>
      </c>
      <c r="M9530" s="92">
        <f t="shared" ca="1" si="307"/>
        <v>6.25</v>
      </c>
      <c r="N9530" s="143">
        <f ca="1">(PRODUCT($O$5:$O9530)-1)*36000/_xlfn.DAYS(L9530, $C$2)</f>
        <v>17.343287606743647</v>
      </c>
      <c r="O9530" s="149">
        <f t="shared" ca="1" si="308"/>
        <v>1.000173611111111</v>
      </c>
    </row>
    <row r="9531" spans="12:15" x14ac:dyDescent="0.25">
      <c r="L9531" s="147">
        <f ca="1"/>
        <v>54770</v>
      </c>
      <c r="M9531" s="92">
        <f t="shared" ca="1" si="307"/>
        <v>6.25</v>
      </c>
      <c r="N9531" s="143">
        <f ca="1">(PRODUCT($O$5:$O9531)-1)*36000/_xlfn.DAYS(L9531, $C$2)</f>
        <v>17.345133873004581</v>
      </c>
      <c r="O9531" s="149">
        <f t="shared" ca="1" si="308"/>
        <v>1.000173611111111</v>
      </c>
    </row>
    <row r="9532" spans="12:15" x14ac:dyDescent="0.25">
      <c r="L9532" s="147">
        <f ca="1"/>
        <v>54771</v>
      </c>
      <c r="M9532" s="92">
        <f t="shared" ca="1" si="307"/>
        <v>6.25</v>
      </c>
      <c r="N9532" s="143">
        <f ca="1">(PRODUCT($O$5:$O9532)-1)*36000/_xlfn.DAYS(L9532, $C$2)</f>
        <v>17.34698038823344</v>
      </c>
      <c r="O9532" s="149">
        <f t="shared" ca="1" si="308"/>
        <v>1.000173611111111</v>
      </c>
    </row>
    <row r="9533" spans="12:15" x14ac:dyDescent="0.25">
      <c r="L9533" s="147">
        <f ca="1"/>
        <v>54772</v>
      </c>
      <c r="M9533" s="92">
        <f t="shared" ca="1" si="307"/>
        <v>6.25</v>
      </c>
      <c r="N9533" s="143">
        <f ca="1">(PRODUCT($O$5:$O9533)-1)*36000/_xlfn.DAYS(L9533, $C$2)</f>
        <v>17.348827152462352</v>
      </c>
      <c r="O9533" s="149">
        <f t="shared" ca="1" si="308"/>
        <v>1.000173611111111</v>
      </c>
    </row>
    <row r="9534" spans="12:15" x14ac:dyDescent="0.25">
      <c r="L9534" s="147">
        <f ca="1"/>
        <v>54773</v>
      </c>
      <c r="M9534" s="92">
        <f t="shared" ca="1" si="307"/>
        <v>6.25</v>
      </c>
      <c r="N9534" s="143">
        <f ca="1">(PRODUCT($O$5:$O9534)-1)*36000/_xlfn.DAYS(L9534, $C$2)</f>
        <v>17.350674165723429</v>
      </c>
      <c r="O9534" s="149">
        <f t="shared" ca="1" si="308"/>
        <v>1.000173611111111</v>
      </c>
    </row>
    <row r="9535" spans="12:15" x14ac:dyDescent="0.25">
      <c r="L9535" s="147">
        <f ca="1"/>
        <v>54774</v>
      </c>
      <c r="M9535" s="92">
        <f t="shared" ca="1" si="307"/>
        <v>6.25</v>
      </c>
      <c r="N9535" s="143">
        <f ca="1">(PRODUCT($O$5:$O9535)-1)*36000/_xlfn.DAYS(L9535, $C$2)</f>
        <v>17.352521428048792</v>
      </c>
      <c r="O9535" s="149">
        <f t="shared" ca="1" si="308"/>
        <v>1.000173611111111</v>
      </c>
    </row>
    <row r="9536" spans="12:15" x14ac:dyDescent="0.25">
      <c r="L9536" s="147">
        <f ca="1"/>
        <v>54775</v>
      </c>
      <c r="M9536" s="92">
        <f t="shared" ca="1" si="307"/>
        <v>6.25</v>
      </c>
      <c r="N9536" s="143">
        <f ca="1">(PRODUCT($O$5:$O9536)-1)*36000/_xlfn.DAYS(L9536, $C$2)</f>
        <v>17.354368939470572</v>
      </c>
      <c r="O9536" s="149">
        <f t="shared" ca="1" si="308"/>
        <v>1.000173611111111</v>
      </c>
    </row>
    <row r="9537" spans="12:15" x14ac:dyDescent="0.25">
      <c r="L9537" s="147">
        <f ca="1"/>
        <v>54776</v>
      </c>
      <c r="M9537" s="92">
        <f t="shared" ca="1" si="307"/>
        <v>6.25</v>
      </c>
      <c r="N9537" s="143">
        <f ca="1">(PRODUCT($O$5:$O9537)-1)*36000/_xlfn.DAYS(L9537, $C$2)</f>
        <v>17.356216700020905</v>
      </c>
      <c r="O9537" s="149">
        <f t="shared" ca="1" si="308"/>
        <v>1.000173611111111</v>
      </c>
    </row>
    <row r="9538" spans="12:15" x14ac:dyDescent="0.25">
      <c r="L9538" s="147">
        <f ca="1"/>
        <v>54777</v>
      </c>
      <c r="M9538" s="92">
        <f t="shared" ca="1" si="307"/>
        <v>6.25</v>
      </c>
      <c r="N9538" s="143">
        <f ca="1">(PRODUCT($O$5:$O9538)-1)*36000/_xlfn.DAYS(L9538, $C$2)</f>
        <v>17.358064709731931</v>
      </c>
      <c r="O9538" s="149">
        <f t="shared" ca="1" si="308"/>
        <v>1.000173611111111</v>
      </c>
    </row>
    <row r="9539" spans="12:15" x14ac:dyDescent="0.25">
      <c r="L9539" s="147">
        <f ca="1"/>
        <v>54778</v>
      </c>
      <c r="M9539" s="92">
        <f t="shared" ca="1" si="307"/>
        <v>6.25</v>
      </c>
      <c r="N9539" s="143">
        <f ca="1">(PRODUCT($O$5:$O9539)-1)*36000/_xlfn.DAYS(L9539, $C$2)</f>
        <v>17.359912968635793</v>
      </c>
      <c r="O9539" s="149">
        <f t="shared" ca="1" si="308"/>
        <v>1.000173611111111</v>
      </c>
    </row>
    <row r="9540" spans="12:15" x14ac:dyDescent="0.25">
      <c r="L9540" s="147">
        <f ca="1"/>
        <v>54779</v>
      </c>
      <c r="M9540" s="92">
        <f t="shared" ca="1" si="307"/>
        <v>6.25</v>
      </c>
      <c r="N9540" s="143">
        <f ca="1">(PRODUCT($O$5:$O9540)-1)*36000/_xlfn.DAYS(L9540, $C$2)</f>
        <v>17.361761476764649</v>
      </c>
      <c r="O9540" s="149">
        <f t="shared" ca="1" si="308"/>
        <v>1.000173611111111</v>
      </c>
    </row>
    <row r="9541" spans="12:15" x14ac:dyDescent="0.25">
      <c r="L9541" s="147">
        <f ca="1"/>
        <v>54780</v>
      </c>
      <c r="M9541" s="92">
        <f t="shared" ref="M9541:M9604" ca="1" si="309">IFERROR(INDEX($E$27:$H$47, MATCH(L9541, $F$27:$F$47, 0), 4), IF(ISNUMBER(M9540), M9540, $C$5))</f>
        <v>6.25</v>
      </c>
      <c r="N9541" s="143">
        <f ca="1">(PRODUCT($O$5:$O9541)-1)*36000/_xlfn.DAYS(L9541, $C$2)</f>
        <v>17.363610234150652</v>
      </c>
      <c r="O9541" s="149">
        <f t="shared" ca="1" si="308"/>
        <v>1.000173611111111</v>
      </c>
    </row>
    <row r="9542" spans="12:15" x14ac:dyDescent="0.25">
      <c r="L9542" s="147">
        <f ca="1"/>
        <v>54781</v>
      </c>
      <c r="M9542" s="92">
        <f t="shared" ca="1" si="309"/>
        <v>6.25</v>
      </c>
      <c r="N9542" s="143">
        <f ca="1">(PRODUCT($O$5:$O9542)-1)*36000/_xlfn.DAYS(L9542, $C$2)</f>
        <v>17.365459240825963</v>
      </c>
      <c r="O9542" s="149">
        <f t="shared" ref="O9542:O9605" ca="1" si="310">1+M9542*IFERROR(_xlfn.DAYS(L9542, L9541), _xlfn.DAYS(L9542, $C$2))/36000</f>
        <v>1.000173611111111</v>
      </c>
    </row>
    <row r="9543" spans="12:15" x14ac:dyDescent="0.25">
      <c r="L9543" s="147">
        <f ca="1"/>
        <v>54782</v>
      </c>
      <c r="M9543" s="92">
        <f t="shared" ca="1" si="309"/>
        <v>6.25</v>
      </c>
      <c r="N9543" s="143">
        <f ca="1">(PRODUCT($O$5:$O9543)-1)*36000/_xlfn.DAYS(L9543, $C$2)</f>
        <v>17.367308496822758</v>
      </c>
      <c r="O9543" s="149">
        <f t="shared" ca="1" si="310"/>
        <v>1.000173611111111</v>
      </c>
    </row>
    <row r="9544" spans="12:15" x14ac:dyDescent="0.25">
      <c r="L9544" s="147">
        <f ca="1"/>
        <v>54783</v>
      </c>
      <c r="M9544" s="92">
        <f t="shared" ca="1" si="309"/>
        <v>6.25</v>
      </c>
      <c r="N9544" s="143">
        <f ca="1">(PRODUCT($O$5:$O9544)-1)*36000/_xlfn.DAYS(L9544, $C$2)</f>
        <v>17.369158002173208</v>
      </c>
      <c r="O9544" s="149">
        <f t="shared" ca="1" si="310"/>
        <v>1.000173611111111</v>
      </c>
    </row>
    <row r="9545" spans="12:15" x14ac:dyDescent="0.25">
      <c r="L9545" s="147">
        <f ca="1"/>
        <v>54784</v>
      </c>
      <c r="M9545" s="92">
        <f t="shared" ca="1" si="309"/>
        <v>6.25</v>
      </c>
      <c r="N9545" s="143">
        <f ca="1">(PRODUCT($O$5:$O9545)-1)*36000/_xlfn.DAYS(L9545, $C$2)</f>
        <v>17.371007756909496</v>
      </c>
      <c r="O9545" s="149">
        <f t="shared" ca="1" si="310"/>
        <v>1.000173611111111</v>
      </c>
    </row>
    <row r="9546" spans="12:15" x14ac:dyDescent="0.25">
      <c r="L9546" s="147">
        <f ca="1"/>
        <v>54785</v>
      </c>
      <c r="M9546" s="92">
        <f t="shared" ca="1" si="309"/>
        <v>6.25</v>
      </c>
      <c r="N9546" s="143">
        <f ca="1">(PRODUCT($O$5:$O9546)-1)*36000/_xlfn.DAYS(L9546, $C$2)</f>
        <v>17.372857761063806</v>
      </c>
      <c r="O9546" s="149">
        <f t="shared" ca="1" si="310"/>
        <v>1.000173611111111</v>
      </c>
    </row>
    <row r="9547" spans="12:15" x14ac:dyDescent="0.25">
      <c r="L9547" s="147">
        <f ca="1"/>
        <v>54786</v>
      </c>
      <c r="M9547" s="92">
        <f t="shared" ca="1" si="309"/>
        <v>6.25</v>
      </c>
      <c r="N9547" s="143">
        <f ca="1">(PRODUCT($O$5:$O9547)-1)*36000/_xlfn.DAYS(L9547, $C$2)</f>
        <v>17.374708014668325</v>
      </c>
      <c r="O9547" s="149">
        <f t="shared" ca="1" si="310"/>
        <v>1.000173611111111</v>
      </c>
    </row>
    <row r="9548" spans="12:15" x14ac:dyDescent="0.25">
      <c r="L9548" s="147">
        <f ca="1"/>
        <v>54787</v>
      </c>
      <c r="M9548" s="92">
        <f t="shared" ca="1" si="309"/>
        <v>6.25</v>
      </c>
      <c r="N9548" s="143">
        <f ca="1">(PRODUCT($O$5:$O9548)-1)*36000/_xlfn.DAYS(L9548, $C$2)</f>
        <v>17.37655851775526</v>
      </c>
      <c r="O9548" s="149">
        <f t="shared" ca="1" si="310"/>
        <v>1.000173611111111</v>
      </c>
    </row>
    <row r="9549" spans="12:15" x14ac:dyDescent="0.25">
      <c r="L9549" s="147">
        <f ca="1"/>
        <v>54788</v>
      </c>
      <c r="M9549" s="92">
        <f t="shared" ca="1" si="309"/>
        <v>6.25</v>
      </c>
      <c r="N9549" s="143">
        <f ca="1">(PRODUCT($O$5:$O9549)-1)*36000/_xlfn.DAYS(L9549, $C$2)</f>
        <v>17.378409270356812</v>
      </c>
      <c r="O9549" s="149">
        <f t="shared" ca="1" si="310"/>
        <v>1.000173611111111</v>
      </c>
    </row>
    <row r="9550" spans="12:15" x14ac:dyDescent="0.25">
      <c r="L9550" s="147">
        <f ca="1"/>
        <v>54789</v>
      </c>
      <c r="M9550" s="92">
        <f t="shared" ca="1" si="309"/>
        <v>6.25</v>
      </c>
      <c r="N9550" s="143">
        <f ca="1">(PRODUCT($O$5:$O9550)-1)*36000/_xlfn.DAYS(L9550, $C$2)</f>
        <v>17.380260272505186</v>
      </c>
      <c r="O9550" s="149">
        <f t="shared" ca="1" si="310"/>
        <v>1.000173611111111</v>
      </c>
    </row>
    <row r="9551" spans="12:15" x14ac:dyDescent="0.25">
      <c r="L9551" s="147">
        <f ca="1"/>
        <v>54790</v>
      </c>
      <c r="M9551" s="92">
        <f t="shared" ca="1" si="309"/>
        <v>6.25</v>
      </c>
      <c r="N9551" s="143">
        <f ca="1">(PRODUCT($O$5:$O9551)-1)*36000/_xlfn.DAYS(L9551, $C$2)</f>
        <v>17.382111524232599</v>
      </c>
      <c r="O9551" s="149">
        <f t="shared" ca="1" si="310"/>
        <v>1.000173611111111</v>
      </c>
    </row>
    <row r="9552" spans="12:15" x14ac:dyDescent="0.25">
      <c r="L9552" s="147">
        <f ca="1"/>
        <v>54791</v>
      </c>
      <c r="M9552" s="92">
        <f t="shared" ca="1" si="309"/>
        <v>6.25</v>
      </c>
      <c r="N9552" s="143">
        <f ca="1">(PRODUCT($O$5:$O9552)-1)*36000/_xlfn.DAYS(L9552, $C$2)</f>
        <v>17.383963025571269</v>
      </c>
      <c r="O9552" s="149">
        <f t="shared" ca="1" si="310"/>
        <v>1.000173611111111</v>
      </c>
    </row>
    <row r="9553" spans="12:15" x14ac:dyDescent="0.25">
      <c r="L9553" s="147">
        <f ca="1"/>
        <v>54792</v>
      </c>
      <c r="M9553" s="92">
        <f t="shared" ca="1" si="309"/>
        <v>6.25</v>
      </c>
      <c r="N9553" s="143">
        <f ca="1">(PRODUCT($O$5:$O9553)-1)*36000/_xlfn.DAYS(L9553, $C$2)</f>
        <v>17.385814776553424</v>
      </c>
      <c r="O9553" s="149">
        <f t="shared" ca="1" si="310"/>
        <v>1.000173611111111</v>
      </c>
    </row>
    <row r="9554" spans="12:15" x14ac:dyDescent="0.25">
      <c r="L9554" s="147">
        <f ca="1"/>
        <v>54793</v>
      </c>
      <c r="M9554" s="92">
        <f t="shared" ca="1" si="309"/>
        <v>6.25</v>
      </c>
      <c r="N9554" s="143">
        <f ca="1">(PRODUCT($O$5:$O9554)-1)*36000/_xlfn.DAYS(L9554, $C$2)</f>
        <v>17.387666777211297</v>
      </c>
      <c r="O9554" s="149">
        <f t="shared" ca="1" si="310"/>
        <v>1.000173611111111</v>
      </c>
    </row>
    <row r="9555" spans="12:15" x14ac:dyDescent="0.25">
      <c r="L9555" s="147">
        <f ca="1"/>
        <v>54794</v>
      </c>
      <c r="M9555" s="92">
        <f t="shared" ca="1" si="309"/>
        <v>6.25</v>
      </c>
      <c r="N9555" s="143">
        <f ca="1">(PRODUCT($O$5:$O9555)-1)*36000/_xlfn.DAYS(L9555, $C$2)</f>
        <v>17.389519027577126</v>
      </c>
      <c r="O9555" s="149">
        <f t="shared" ca="1" si="310"/>
        <v>1.000173611111111</v>
      </c>
    </row>
    <row r="9556" spans="12:15" x14ac:dyDescent="0.25">
      <c r="L9556" s="147">
        <f ca="1"/>
        <v>54795</v>
      </c>
      <c r="M9556" s="92">
        <f t="shared" ca="1" si="309"/>
        <v>6.25</v>
      </c>
      <c r="N9556" s="143">
        <f ca="1">(PRODUCT($O$5:$O9556)-1)*36000/_xlfn.DAYS(L9556, $C$2)</f>
        <v>17.391371527683152</v>
      </c>
      <c r="O9556" s="149">
        <f t="shared" ca="1" si="310"/>
        <v>1.000173611111111</v>
      </c>
    </row>
    <row r="9557" spans="12:15" x14ac:dyDescent="0.25">
      <c r="L9557" s="147">
        <f ca="1"/>
        <v>54796</v>
      </c>
      <c r="M9557" s="92">
        <f t="shared" ca="1" si="309"/>
        <v>6.25</v>
      </c>
      <c r="N9557" s="143">
        <f ca="1">(PRODUCT($O$5:$O9557)-1)*36000/_xlfn.DAYS(L9557, $C$2)</f>
        <v>17.393224277561625</v>
      </c>
      <c r="O9557" s="149">
        <f t="shared" ca="1" si="310"/>
        <v>1.000173611111111</v>
      </c>
    </row>
    <row r="9558" spans="12:15" x14ac:dyDescent="0.25">
      <c r="L9558" s="147">
        <f ca="1"/>
        <v>54797</v>
      </c>
      <c r="M9558" s="92">
        <f t="shared" ca="1" si="309"/>
        <v>6.25</v>
      </c>
      <c r="N9558" s="143">
        <f ca="1">(PRODUCT($O$5:$O9558)-1)*36000/_xlfn.DAYS(L9558, $C$2)</f>
        <v>17.395077277244795</v>
      </c>
      <c r="O9558" s="149">
        <f t="shared" ca="1" si="310"/>
        <v>1.000173611111111</v>
      </c>
    </row>
    <row r="9559" spans="12:15" x14ac:dyDescent="0.25">
      <c r="L9559" s="147">
        <f ca="1"/>
        <v>54798</v>
      </c>
      <c r="M9559" s="92">
        <f t="shared" ca="1" si="309"/>
        <v>6.25</v>
      </c>
      <c r="N9559" s="143">
        <f ca="1">(PRODUCT($O$5:$O9559)-1)*36000/_xlfn.DAYS(L9559, $C$2)</f>
        <v>17.39693052676493</v>
      </c>
      <c r="O9559" s="149">
        <f t="shared" ca="1" si="310"/>
        <v>1.000173611111111</v>
      </c>
    </row>
    <row r="9560" spans="12:15" x14ac:dyDescent="0.25">
      <c r="L9560" s="147">
        <f ca="1"/>
        <v>54799</v>
      </c>
      <c r="M9560" s="92">
        <f t="shared" ca="1" si="309"/>
        <v>6.25</v>
      </c>
      <c r="N9560" s="143">
        <f ca="1">(PRODUCT($O$5:$O9560)-1)*36000/_xlfn.DAYS(L9560, $C$2)</f>
        <v>17.398784026154296</v>
      </c>
      <c r="O9560" s="149">
        <f t="shared" ca="1" si="310"/>
        <v>1.000173611111111</v>
      </c>
    </row>
    <row r="9561" spans="12:15" x14ac:dyDescent="0.25">
      <c r="L9561" s="147">
        <f ca="1"/>
        <v>54800</v>
      </c>
      <c r="M9561" s="92">
        <f t="shared" ca="1" si="309"/>
        <v>6.25</v>
      </c>
      <c r="N9561" s="143">
        <f ca="1">(PRODUCT($O$5:$O9561)-1)*36000/_xlfn.DAYS(L9561, $C$2)</f>
        <v>17.400637775445158</v>
      </c>
      <c r="O9561" s="149">
        <f t="shared" ca="1" si="310"/>
        <v>1.000173611111111</v>
      </c>
    </row>
    <row r="9562" spans="12:15" x14ac:dyDescent="0.25">
      <c r="L9562" s="147">
        <f ca="1"/>
        <v>54801</v>
      </c>
      <c r="M9562" s="92">
        <f t="shared" ca="1" si="309"/>
        <v>6.25</v>
      </c>
      <c r="N9562" s="143">
        <f ca="1">(PRODUCT($O$5:$O9562)-1)*36000/_xlfn.DAYS(L9562, $C$2)</f>
        <v>17.402491774669798</v>
      </c>
      <c r="O9562" s="149">
        <f t="shared" ca="1" si="310"/>
        <v>1.000173611111111</v>
      </c>
    </row>
    <row r="9563" spans="12:15" x14ac:dyDescent="0.25">
      <c r="L9563" s="147">
        <f ca="1"/>
        <v>54802</v>
      </c>
      <c r="M9563" s="92">
        <f t="shared" ca="1" si="309"/>
        <v>6.25</v>
      </c>
      <c r="N9563" s="143">
        <f ca="1">(PRODUCT($O$5:$O9563)-1)*36000/_xlfn.DAYS(L9563, $C$2)</f>
        <v>17.404346023860501</v>
      </c>
      <c r="O9563" s="149">
        <f t="shared" ca="1" si="310"/>
        <v>1.000173611111111</v>
      </c>
    </row>
    <row r="9564" spans="12:15" x14ac:dyDescent="0.25">
      <c r="L9564" s="147">
        <f ca="1"/>
        <v>54803</v>
      </c>
      <c r="M9564" s="92">
        <f t="shared" ca="1" si="309"/>
        <v>6.25</v>
      </c>
      <c r="N9564" s="143">
        <f ca="1">(PRODUCT($O$5:$O9564)-1)*36000/_xlfn.DAYS(L9564, $C$2)</f>
        <v>17.406200523049549</v>
      </c>
      <c r="O9564" s="149">
        <f t="shared" ca="1" si="310"/>
        <v>1.000173611111111</v>
      </c>
    </row>
    <row r="9565" spans="12:15" x14ac:dyDescent="0.25">
      <c r="L9565" s="147">
        <f ca="1"/>
        <v>54804</v>
      </c>
      <c r="M9565" s="92">
        <f t="shared" ca="1" si="309"/>
        <v>6.25</v>
      </c>
      <c r="N9565" s="143">
        <f ca="1">(PRODUCT($O$5:$O9565)-1)*36000/_xlfn.DAYS(L9565, $C$2)</f>
        <v>17.408055272269245</v>
      </c>
      <c r="O9565" s="149">
        <f t="shared" ca="1" si="310"/>
        <v>1.000173611111111</v>
      </c>
    </row>
    <row r="9566" spans="12:15" x14ac:dyDescent="0.25">
      <c r="L9566" s="147">
        <f ca="1"/>
        <v>54805</v>
      </c>
      <c r="M9566" s="92">
        <f t="shared" ca="1" si="309"/>
        <v>6.25</v>
      </c>
      <c r="N9566" s="143">
        <f ca="1">(PRODUCT($O$5:$O9566)-1)*36000/_xlfn.DAYS(L9566, $C$2)</f>
        <v>17.40991027155188</v>
      </c>
      <c r="O9566" s="149">
        <f t="shared" ca="1" si="310"/>
        <v>1.000173611111111</v>
      </c>
    </row>
    <row r="9567" spans="12:15" x14ac:dyDescent="0.25">
      <c r="L9567" s="147">
        <f ca="1"/>
        <v>54806</v>
      </c>
      <c r="M9567" s="92">
        <f t="shared" ca="1" si="309"/>
        <v>6.25</v>
      </c>
      <c r="N9567" s="143">
        <f ca="1">(PRODUCT($O$5:$O9567)-1)*36000/_xlfn.DAYS(L9567, $C$2)</f>
        <v>17.411765520929769</v>
      </c>
      <c r="O9567" s="149">
        <f t="shared" ca="1" si="310"/>
        <v>1.000173611111111</v>
      </c>
    </row>
    <row r="9568" spans="12:15" x14ac:dyDescent="0.25">
      <c r="L9568" s="147">
        <f ca="1"/>
        <v>54807</v>
      </c>
      <c r="M9568" s="92">
        <f t="shared" ca="1" si="309"/>
        <v>6.25</v>
      </c>
      <c r="N9568" s="143">
        <f ca="1">(PRODUCT($O$5:$O9568)-1)*36000/_xlfn.DAYS(L9568, $C$2)</f>
        <v>17.413621020435222</v>
      </c>
      <c r="O9568" s="149">
        <f t="shared" ca="1" si="310"/>
        <v>1.000173611111111</v>
      </c>
    </row>
    <row r="9569" spans="12:15" x14ac:dyDescent="0.25">
      <c r="L9569" s="147">
        <f ca="1"/>
        <v>54808</v>
      </c>
      <c r="M9569" s="92">
        <f t="shared" ca="1" si="309"/>
        <v>6.25</v>
      </c>
      <c r="N9569" s="143">
        <f ca="1">(PRODUCT($O$5:$O9569)-1)*36000/_xlfn.DAYS(L9569, $C$2)</f>
        <v>17.415476770100554</v>
      </c>
      <c r="O9569" s="149">
        <f t="shared" ca="1" si="310"/>
        <v>1.000173611111111</v>
      </c>
    </row>
    <row r="9570" spans="12:15" x14ac:dyDescent="0.25">
      <c r="L9570" s="147">
        <f ca="1"/>
        <v>54809</v>
      </c>
      <c r="M9570" s="92">
        <f t="shared" ca="1" si="309"/>
        <v>6.25</v>
      </c>
      <c r="N9570" s="143">
        <f ca="1">(PRODUCT($O$5:$O9570)-1)*36000/_xlfn.DAYS(L9570, $C$2)</f>
        <v>17.417332769958087</v>
      </c>
      <c r="O9570" s="149">
        <f t="shared" ca="1" si="310"/>
        <v>1.000173611111111</v>
      </c>
    </row>
    <row r="9571" spans="12:15" x14ac:dyDescent="0.25">
      <c r="L9571" s="147">
        <f ca="1"/>
        <v>54810</v>
      </c>
      <c r="M9571" s="92">
        <f t="shared" ca="1" si="309"/>
        <v>6.25</v>
      </c>
      <c r="N9571" s="143">
        <f ca="1">(PRODUCT($O$5:$O9571)-1)*36000/_xlfn.DAYS(L9571, $C$2)</f>
        <v>17.419189020040154</v>
      </c>
      <c r="O9571" s="149">
        <f t="shared" ca="1" si="310"/>
        <v>1.000173611111111</v>
      </c>
    </row>
    <row r="9572" spans="12:15" x14ac:dyDescent="0.25">
      <c r="L9572" s="147">
        <f ca="1"/>
        <v>54811</v>
      </c>
      <c r="M9572" s="92">
        <f t="shared" ca="1" si="309"/>
        <v>6.25</v>
      </c>
      <c r="N9572" s="143">
        <f ca="1">(PRODUCT($O$5:$O9572)-1)*36000/_xlfn.DAYS(L9572, $C$2)</f>
        <v>17.421045520379085</v>
      </c>
      <c r="O9572" s="149">
        <f t="shared" ca="1" si="310"/>
        <v>1.000173611111111</v>
      </c>
    </row>
    <row r="9573" spans="12:15" x14ac:dyDescent="0.25">
      <c r="L9573" s="147">
        <f ca="1"/>
        <v>54812</v>
      </c>
      <c r="M9573" s="92">
        <f t="shared" ca="1" si="309"/>
        <v>6.25</v>
      </c>
      <c r="N9573" s="143">
        <f ca="1">(PRODUCT($O$5:$O9573)-1)*36000/_xlfn.DAYS(L9573, $C$2)</f>
        <v>17.422902271007228</v>
      </c>
      <c r="O9573" s="149">
        <f t="shared" ca="1" si="310"/>
        <v>1.000173611111111</v>
      </c>
    </row>
    <row r="9574" spans="12:15" x14ac:dyDescent="0.25">
      <c r="L9574" s="147">
        <f ca="1"/>
        <v>54813</v>
      </c>
      <c r="M9574" s="92">
        <f t="shared" ca="1" si="309"/>
        <v>6.25</v>
      </c>
      <c r="N9574" s="143">
        <f ca="1">(PRODUCT($O$5:$O9574)-1)*36000/_xlfn.DAYS(L9574, $C$2)</f>
        <v>17.424759271956919</v>
      </c>
      <c r="O9574" s="149">
        <f t="shared" ca="1" si="310"/>
        <v>1.000173611111111</v>
      </c>
    </row>
    <row r="9575" spans="12:15" x14ac:dyDescent="0.25">
      <c r="L9575" s="147">
        <f ca="1"/>
        <v>54814</v>
      </c>
      <c r="M9575" s="92">
        <f t="shared" ca="1" si="309"/>
        <v>6.25</v>
      </c>
      <c r="N9575" s="143">
        <f ca="1">(PRODUCT($O$5:$O9575)-1)*36000/_xlfn.DAYS(L9575, $C$2)</f>
        <v>17.42661652326052</v>
      </c>
      <c r="O9575" s="149">
        <f t="shared" ca="1" si="310"/>
        <v>1.000173611111111</v>
      </c>
    </row>
    <row r="9576" spans="12:15" x14ac:dyDescent="0.25">
      <c r="L9576" s="147">
        <f ca="1"/>
        <v>54815</v>
      </c>
      <c r="M9576" s="92">
        <f t="shared" ca="1" si="309"/>
        <v>6.25</v>
      </c>
      <c r="N9576" s="143">
        <f ca="1">(PRODUCT($O$5:$O9576)-1)*36000/_xlfn.DAYS(L9576, $C$2)</f>
        <v>17.428474024950383</v>
      </c>
      <c r="O9576" s="149">
        <f t="shared" ca="1" si="310"/>
        <v>1.000173611111111</v>
      </c>
    </row>
    <row r="9577" spans="12:15" x14ac:dyDescent="0.25">
      <c r="L9577" s="147">
        <f ca="1"/>
        <v>54816</v>
      </c>
      <c r="M9577" s="92">
        <f t="shared" ca="1" si="309"/>
        <v>6.25</v>
      </c>
      <c r="N9577" s="143">
        <f ca="1">(PRODUCT($O$5:$O9577)-1)*36000/_xlfn.DAYS(L9577, $C$2)</f>
        <v>17.430331777058868</v>
      </c>
      <c r="O9577" s="149">
        <f t="shared" ca="1" si="310"/>
        <v>1.000173611111111</v>
      </c>
    </row>
    <row r="9578" spans="12:15" x14ac:dyDescent="0.25">
      <c r="L9578" s="147">
        <f ca="1"/>
        <v>54817</v>
      </c>
      <c r="M9578" s="92">
        <f t="shared" ca="1" si="309"/>
        <v>6.25</v>
      </c>
      <c r="N9578" s="143">
        <f ca="1">(PRODUCT($O$5:$O9578)-1)*36000/_xlfn.DAYS(L9578, $C$2)</f>
        <v>17.432189779618348</v>
      </c>
      <c r="O9578" s="149">
        <f t="shared" ca="1" si="310"/>
        <v>1.000173611111111</v>
      </c>
    </row>
    <row r="9579" spans="12:15" x14ac:dyDescent="0.25">
      <c r="L9579" s="147">
        <f ca="1"/>
        <v>54818</v>
      </c>
      <c r="M9579" s="92">
        <f t="shared" ca="1" si="309"/>
        <v>6.25</v>
      </c>
      <c r="N9579" s="143">
        <f ca="1">(PRODUCT($O$5:$O9579)-1)*36000/_xlfn.DAYS(L9579, $C$2)</f>
        <v>17.434048032661202</v>
      </c>
      <c r="O9579" s="149">
        <f t="shared" ca="1" si="310"/>
        <v>1.000173611111111</v>
      </c>
    </row>
    <row r="9580" spans="12:15" x14ac:dyDescent="0.25">
      <c r="L9580" s="147">
        <f ca="1"/>
        <v>54819</v>
      </c>
      <c r="M9580" s="92">
        <f t="shared" ca="1" si="309"/>
        <v>6.25</v>
      </c>
      <c r="N9580" s="143">
        <f ca="1">(PRODUCT($O$5:$O9580)-1)*36000/_xlfn.DAYS(L9580, $C$2)</f>
        <v>17.435906536219804</v>
      </c>
      <c r="O9580" s="149">
        <f t="shared" ca="1" si="310"/>
        <v>1.000173611111111</v>
      </c>
    </row>
    <row r="9581" spans="12:15" x14ac:dyDescent="0.25">
      <c r="L9581" s="147">
        <f ca="1"/>
        <v>54820</v>
      </c>
      <c r="M9581" s="92">
        <f t="shared" ca="1" si="309"/>
        <v>6.25</v>
      </c>
      <c r="N9581" s="143">
        <f ca="1">(PRODUCT($O$5:$O9581)-1)*36000/_xlfn.DAYS(L9581, $C$2)</f>
        <v>17.437765290326542</v>
      </c>
      <c r="O9581" s="149">
        <f t="shared" ca="1" si="310"/>
        <v>1.000173611111111</v>
      </c>
    </row>
    <row r="9582" spans="12:15" x14ac:dyDescent="0.25">
      <c r="L9582" s="147">
        <f ca="1"/>
        <v>54821</v>
      </c>
      <c r="M9582" s="92">
        <f t="shared" ca="1" si="309"/>
        <v>6.25</v>
      </c>
      <c r="N9582" s="143">
        <f ca="1">(PRODUCT($O$5:$O9582)-1)*36000/_xlfn.DAYS(L9582, $C$2)</f>
        <v>17.439624295013804</v>
      </c>
      <c r="O9582" s="149">
        <f t="shared" ca="1" si="310"/>
        <v>1.000173611111111</v>
      </c>
    </row>
    <row r="9583" spans="12:15" x14ac:dyDescent="0.25">
      <c r="L9583" s="147">
        <f ca="1"/>
        <v>54822</v>
      </c>
      <c r="M9583" s="92">
        <f t="shared" ca="1" si="309"/>
        <v>6.25</v>
      </c>
      <c r="N9583" s="143">
        <f ca="1">(PRODUCT($O$5:$O9583)-1)*36000/_xlfn.DAYS(L9583, $C$2)</f>
        <v>17.441483550313997</v>
      </c>
      <c r="O9583" s="149">
        <f t="shared" ca="1" si="310"/>
        <v>1.000173611111111</v>
      </c>
    </row>
    <row r="9584" spans="12:15" x14ac:dyDescent="0.25">
      <c r="L9584" s="147">
        <f ca="1"/>
        <v>54823</v>
      </c>
      <c r="M9584" s="92">
        <f t="shared" ca="1" si="309"/>
        <v>6.25</v>
      </c>
      <c r="N9584" s="143">
        <f ca="1">(PRODUCT($O$5:$O9584)-1)*36000/_xlfn.DAYS(L9584, $C$2)</f>
        <v>17.443343056259515</v>
      </c>
      <c r="O9584" s="149">
        <f t="shared" ca="1" si="310"/>
        <v>1.000173611111111</v>
      </c>
    </row>
    <row r="9585" spans="12:15" x14ac:dyDescent="0.25">
      <c r="L9585" s="147">
        <f ca="1"/>
        <v>54824</v>
      </c>
      <c r="M9585" s="92">
        <f t="shared" ca="1" si="309"/>
        <v>6.25</v>
      </c>
      <c r="N9585" s="143">
        <f ca="1">(PRODUCT($O$5:$O9585)-1)*36000/_xlfn.DAYS(L9585, $C$2)</f>
        <v>17.445202812882773</v>
      </c>
      <c r="O9585" s="149">
        <f t="shared" ca="1" si="310"/>
        <v>1.000173611111111</v>
      </c>
    </row>
    <row r="9586" spans="12:15" x14ac:dyDescent="0.25">
      <c r="L9586" s="147">
        <f ca="1"/>
        <v>54825</v>
      </c>
      <c r="M9586" s="92">
        <f t="shared" ca="1" si="309"/>
        <v>6.25</v>
      </c>
      <c r="N9586" s="143">
        <f ca="1">(PRODUCT($O$5:$O9586)-1)*36000/_xlfn.DAYS(L9586, $C$2)</f>
        <v>17.447062820216182</v>
      </c>
      <c r="O9586" s="149">
        <f t="shared" ca="1" si="310"/>
        <v>1.000173611111111</v>
      </c>
    </row>
    <row r="9587" spans="12:15" x14ac:dyDescent="0.25">
      <c r="L9587" s="147">
        <f ca="1"/>
        <v>54826</v>
      </c>
      <c r="M9587" s="92">
        <f t="shared" ca="1" si="309"/>
        <v>6.25</v>
      </c>
      <c r="N9587" s="143">
        <f ca="1">(PRODUCT($O$5:$O9587)-1)*36000/_xlfn.DAYS(L9587, $C$2)</f>
        <v>17.448923078292164</v>
      </c>
      <c r="O9587" s="149">
        <f t="shared" ca="1" si="310"/>
        <v>1.000173611111111</v>
      </c>
    </row>
    <row r="9588" spans="12:15" x14ac:dyDescent="0.25">
      <c r="L9588" s="147">
        <f ca="1"/>
        <v>54827</v>
      </c>
      <c r="M9588" s="92">
        <f t="shared" ca="1" si="309"/>
        <v>6.25</v>
      </c>
      <c r="N9588" s="143">
        <f ca="1">(PRODUCT($O$5:$O9588)-1)*36000/_xlfn.DAYS(L9588, $C$2)</f>
        <v>17.45078358714315</v>
      </c>
      <c r="O9588" s="149">
        <f t="shared" ca="1" si="310"/>
        <v>1.000173611111111</v>
      </c>
    </row>
    <row r="9589" spans="12:15" x14ac:dyDescent="0.25">
      <c r="L9589" s="147">
        <f ca="1"/>
        <v>54828</v>
      </c>
      <c r="M9589" s="92">
        <f t="shared" ca="1" si="309"/>
        <v>6.25</v>
      </c>
      <c r="N9589" s="143">
        <f ca="1">(PRODUCT($O$5:$O9589)-1)*36000/_xlfn.DAYS(L9589, $C$2)</f>
        <v>17.452644346801563</v>
      </c>
      <c r="O9589" s="149">
        <f t="shared" ca="1" si="310"/>
        <v>1.000173611111111</v>
      </c>
    </row>
    <row r="9590" spans="12:15" x14ac:dyDescent="0.25">
      <c r="L9590" s="147">
        <f ca="1"/>
        <v>54829</v>
      </c>
      <c r="M9590" s="92">
        <f t="shared" ca="1" si="309"/>
        <v>6.25</v>
      </c>
      <c r="N9590" s="143">
        <f ca="1">(PRODUCT($O$5:$O9590)-1)*36000/_xlfn.DAYS(L9590, $C$2)</f>
        <v>17.454505357299844</v>
      </c>
      <c r="O9590" s="149">
        <f t="shared" ca="1" si="310"/>
        <v>1.000173611111111</v>
      </c>
    </row>
    <row r="9591" spans="12:15" x14ac:dyDescent="0.25">
      <c r="L9591" s="147">
        <f ca="1"/>
        <v>54830</v>
      </c>
      <c r="M9591" s="92">
        <f t="shared" ca="1" si="309"/>
        <v>6.25</v>
      </c>
      <c r="N9591" s="143">
        <f ca="1">(PRODUCT($O$5:$O9591)-1)*36000/_xlfn.DAYS(L9591, $C$2)</f>
        <v>17.456366618670437</v>
      </c>
      <c r="O9591" s="149">
        <f t="shared" ca="1" si="310"/>
        <v>1.000173611111111</v>
      </c>
    </row>
    <row r="9592" spans="12:15" x14ac:dyDescent="0.25">
      <c r="L9592" s="147">
        <f ca="1"/>
        <v>54831</v>
      </c>
      <c r="M9592" s="92">
        <f t="shared" ca="1" si="309"/>
        <v>6.25</v>
      </c>
      <c r="N9592" s="143">
        <f ca="1">(PRODUCT($O$5:$O9592)-1)*36000/_xlfn.DAYS(L9592, $C$2)</f>
        <v>17.458228130945791</v>
      </c>
      <c r="O9592" s="149">
        <f t="shared" ca="1" si="310"/>
        <v>1.000173611111111</v>
      </c>
    </row>
    <row r="9593" spans="12:15" x14ac:dyDescent="0.25">
      <c r="L9593" s="147">
        <f ca="1"/>
        <v>54832</v>
      </c>
      <c r="M9593" s="92">
        <f t="shared" ca="1" si="309"/>
        <v>6.25</v>
      </c>
      <c r="N9593" s="143">
        <f ca="1">(PRODUCT($O$5:$O9593)-1)*36000/_xlfn.DAYS(L9593, $C$2)</f>
        <v>17.460089894158365</v>
      </c>
      <c r="O9593" s="149">
        <f t="shared" ca="1" si="310"/>
        <v>1.000173611111111</v>
      </c>
    </row>
    <row r="9594" spans="12:15" x14ac:dyDescent="0.25">
      <c r="L9594" s="147">
        <f ca="1"/>
        <v>54833</v>
      </c>
      <c r="M9594" s="92">
        <f t="shared" ca="1" si="309"/>
        <v>6.25</v>
      </c>
      <c r="N9594" s="143">
        <f ca="1">(PRODUCT($O$5:$O9594)-1)*36000/_xlfn.DAYS(L9594, $C$2)</f>
        <v>17.461951908340613</v>
      </c>
      <c r="O9594" s="149">
        <f t="shared" ca="1" si="310"/>
        <v>1.000173611111111</v>
      </c>
    </row>
    <row r="9595" spans="12:15" x14ac:dyDescent="0.25">
      <c r="L9595" s="147">
        <f ca="1"/>
        <v>54834</v>
      </c>
      <c r="M9595" s="92">
        <f t="shared" ca="1" si="309"/>
        <v>6.25</v>
      </c>
      <c r="N9595" s="143">
        <f ca="1">(PRODUCT($O$5:$O9595)-1)*36000/_xlfn.DAYS(L9595, $C$2)</f>
        <v>17.463814173525002</v>
      </c>
      <c r="O9595" s="149">
        <f t="shared" ca="1" si="310"/>
        <v>1.000173611111111</v>
      </c>
    </row>
    <row r="9596" spans="12:15" x14ac:dyDescent="0.25">
      <c r="L9596" s="147">
        <f ca="1"/>
        <v>54835</v>
      </c>
      <c r="M9596" s="92">
        <f t="shared" ca="1" si="309"/>
        <v>6.25</v>
      </c>
      <c r="N9596" s="143">
        <f ca="1">(PRODUCT($O$5:$O9596)-1)*36000/_xlfn.DAYS(L9596, $C$2)</f>
        <v>17.465676689744004</v>
      </c>
      <c r="O9596" s="149">
        <f t="shared" ca="1" si="310"/>
        <v>1.000173611111111</v>
      </c>
    </row>
    <row r="9597" spans="12:15" x14ac:dyDescent="0.25">
      <c r="L9597" s="147">
        <f ca="1"/>
        <v>54836</v>
      </c>
      <c r="M9597" s="92">
        <f t="shared" ca="1" si="309"/>
        <v>6.25</v>
      </c>
      <c r="N9597" s="143">
        <f ca="1">(PRODUCT($O$5:$O9597)-1)*36000/_xlfn.DAYS(L9597, $C$2)</f>
        <v>17.467539457030103</v>
      </c>
      <c r="O9597" s="149">
        <f t="shared" ca="1" si="310"/>
        <v>1.000173611111111</v>
      </c>
    </row>
    <row r="9598" spans="12:15" x14ac:dyDescent="0.25">
      <c r="L9598" s="147">
        <f ca="1"/>
        <v>54837</v>
      </c>
      <c r="M9598" s="92">
        <f t="shared" ca="1" si="309"/>
        <v>6.25</v>
      </c>
      <c r="N9598" s="143">
        <f ca="1">(PRODUCT($O$5:$O9598)-1)*36000/_xlfn.DAYS(L9598, $C$2)</f>
        <v>17.469402475415777</v>
      </c>
      <c r="O9598" s="149">
        <f t="shared" ca="1" si="310"/>
        <v>1.000173611111111</v>
      </c>
    </row>
    <row r="9599" spans="12:15" x14ac:dyDescent="0.25">
      <c r="L9599" s="147">
        <f ca="1"/>
        <v>54838</v>
      </c>
      <c r="M9599" s="92">
        <f t="shared" ca="1" si="309"/>
        <v>6.25</v>
      </c>
      <c r="N9599" s="143">
        <f ca="1">(PRODUCT($O$5:$O9599)-1)*36000/_xlfn.DAYS(L9599, $C$2)</f>
        <v>17.471265744933511</v>
      </c>
      <c r="O9599" s="149">
        <f t="shared" ca="1" si="310"/>
        <v>1.000173611111111</v>
      </c>
    </row>
    <row r="9600" spans="12:15" x14ac:dyDescent="0.25">
      <c r="L9600" s="147">
        <f ca="1"/>
        <v>54839</v>
      </c>
      <c r="M9600" s="92">
        <f t="shared" ca="1" si="309"/>
        <v>6.25</v>
      </c>
      <c r="N9600" s="143">
        <f ca="1">(PRODUCT($O$5:$O9600)-1)*36000/_xlfn.DAYS(L9600, $C$2)</f>
        <v>17.473129265615807</v>
      </c>
      <c r="O9600" s="149">
        <f t="shared" ca="1" si="310"/>
        <v>1.000173611111111</v>
      </c>
    </row>
    <row r="9601" spans="12:15" x14ac:dyDescent="0.25">
      <c r="L9601" s="147">
        <f ca="1"/>
        <v>54840</v>
      </c>
      <c r="M9601" s="92">
        <f t="shared" ca="1" si="309"/>
        <v>6.25</v>
      </c>
      <c r="N9601" s="143">
        <f ca="1">(PRODUCT($O$5:$O9601)-1)*36000/_xlfn.DAYS(L9601, $C$2)</f>
        <v>17.474993037495164</v>
      </c>
      <c r="O9601" s="149">
        <f t="shared" ca="1" si="310"/>
        <v>1.000173611111111</v>
      </c>
    </row>
    <row r="9602" spans="12:15" x14ac:dyDescent="0.25">
      <c r="L9602" s="147">
        <f ca="1"/>
        <v>54841</v>
      </c>
      <c r="M9602" s="92">
        <f t="shared" ca="1" si="309"/>
        <v>6.25</v>
      </c>
      <c r="N9602" s="143">
        <f ca="1">(PRODUCT($O$5:$O9602)-1)*36000/_xlfn.DAYS(L9602, $C$2)</f>
        <v>17.476857060604086</v>
      </c>
      <c r="O9602" s="149">
        <f t="shared" ca="1" si="310"/>
        <v>1.000173611111111</v>
      </c>
    </row>
    <row r="9603" spans="12:15" x14ac:dyDescent="0.25">
      <c r="L9603" s="147">
        <f ca="1"/>
        <v>54842</v>
      </c>
      <c r="M9603" s="92">
        <f t="shared" ca="1" si="309"/>
        <v>6.25</v>
      </c>
      <c r="N9603" s="143">
        <f ca="1">(PRODUCT($O$5:$O9603)-1)*36000/_xlfn.DAYS(L9603, $C$2)</f>
        <v>17.478721334975084</v>
      </c>
      <c r="O9603" s="149">
        <f t="shared" ca="1" si="310"/>
        <v>1.000173611111111</v>
      </c>
    </row>
    <row r="9604" spans="12:15" x14ac:dyDescent="0.25">
      <c r="L9604" s="147">
        <f ca="1"/>
        <v>54843</v>
      </c>
      <c r="M9604" s="92">
        <f t="shared" ca="1" si="309"/>
        <v>6.25</v>
      </c>
      <c r="N9604" s="143">
        <f ca="1">(PRODUCT($O$5:$O9604)-1)*36000/_xlfn.DAYS(L9604, $C$2)</f>
        <v>17.480585860640684</v>
      </c>
      <c r="O9604" s="149">
        <f t="shared" ca="1" si="310"/>
        <v>1.000173611111111</v>
      </c>
    </row>
    <row r="9605" spans="12:15" x14ac:dyDescent="0.25">
      <c r="L9605" s="147">
        <f ca="1"/>
        <v>54844</v>
      </c>
      <c r="M9605" s="92">
        <f t="shared" ref="M9605:M9668" ca="1" si="311">IFERROR(INDEX($E$27:$H$47, MATCH(L9605, $F$27:$F$47, 0), 4), IF(ISNUMBER(M9604), M9604, $C$5))</f>
        <v>6.25</v>
      </c>
      <c r="N9605" s="143">
        <f ca="1">(PRODUCT($O$5:$O9605)-1)*36000/_xlfn.DAYS(L9605, $C$2)</f>
        <v>17.482450637633399</v>
      </c>
      <c r="O9605" s="149">
        <f t="shared" ca="1" si="310"/>
        <v>1.000173611111111</v>
      </c>
    </row>
    <row r="9606" spans="12:15" x14ac:dyDescent="0.25">
      <c r="L9606" s="147">
        <f ca="1"/>
        <v>54845</v>
      </c>
      <c r="M9606" s="92">
        <f t="shared" ca="1" si="311"/>
        <v>6.25</v>
      </c>
      <c r="N9606" s="143">
        <f ca="1">(PRODUCT($O$5:$O9606)-1)*36000/_xlfn.DAYS(L9606, $C$2)</f>
        <v>17.484315665985768</v>
      </c>
      <c r="O9606" s="149">
        <f t="shared" ref="O9606:O9669" ca="1" si="312">1+M9606*IFERROR(_xlfn.DAYS(L9606, L9605), _xlfn.DAYS(L9606, $C$2))/36000</f>
        <v>1.000173611111111</v>
      </c>
    </row>
    <row r="9607" spans="12:15" x14ac:dyDescent="0.25">
      <c r="L9607" s="147">
        <f ca="1"/>
        <v>54846</v>
      </c>
      <c r="M9607" s="92">
        <f t="shared" ca="1" si="311"/>
        <v>6.25</v>
      </c>
      <c r="N9607" s="143">
        <f ca="1">(PRODUCT($O$5:$O9607)-1)*36000/_xlfn.DAYS(L9607, $C$2)</f>
        <v>17.486180945730318</v>
      </c>
      <c r="O9607" s="149">
        <f t="shared" ca="1" si="312"/>
        <v>1.000173611111111</v>
      </c>
    </row>
    <row r="9608" spans="12:15" x14ac:dyDescent="0.25">
      <c r="L9608" s="147">
        <f ca="1"/>
        <v>54847</v>
      </c>
      <c r="M9608" s="92">
        <f t="shared" ca="1" si="311"/>
        <v>6.25</v>
      </c>
      <c r="N9608" s="143">
        <f ca="1">(PRODUCT($O$5:$O9608)-1)*36000/_xlfn.DAYS(L9608, $C$2)</f>
        <v>17.488046476899591</v>
      </c>
      <c r="O9608" s="149">
        <f t="shared" ca="1" si="312"/>
        <v>1.000173611111111</v>
      </c>
    </row>
    <row r="9609" spans="12:15" x14ac:dyDescent="0.25">
      <c r="L9609" s="147">
        <f ca="1"/>
        <v>54848</v>
      </c>
      <c r="M9609" s="92">
        <f t="shared" ca="1" si="311"/>
        <v>6.25</v>
      </c>
      <c r="N9609" s="143">
        <f ca="1">(PRODUCT($O$5:$O9609)-1)*36000/_xlfn.DAYS(L9609, $C$2)</f>
        <v>17.489912259526136</v>
      </c>
      <c r="O9609" s="149">
        <f t="shared" ca="1" si="312"/>
        <v>1.000173611111111</v>
      </c>
    </row>
    <row r="9610" spans="12:15" x14ac:dyDescent="0.25">
      <c r="L9610" s="147">
        <f ca="1"/>
        <v>54849</v>
      </c>
      <c r="M9610" s="92">
        <f t="shared" ca="1" si="311"/>
        <v>6.25</v>
      </c>
      <c r="N9610" s="143">
        <f ca="1">(PRODUCT($O$5:$O9610)-1)*36000/_xlfn.DAYS(L9610, $C$2)</f>
        <v>17.491778293642504</v>
      </c>
      <c r="O9610" s="149">
        <f t="shared" ca="1" si="312"/>
        <v>1.000173611111111</v>
      </c>
    </row>
    <row r="9611" spans="12:15" x14ac:dyDescent="0.25">
      <c r="L9611" s="147">
        <f ca="1"/>
        <v>54850</v>
      </c>
      <c r="M9611" s="92">
        <f t="shared" ca="1" si="311"/>
        <v>6.25</v>
      </c>
      <c r="N9611" s="143">
        <f ca="1">(PRODUCT($O$5:$O9611)-1)*36000/_xlfn.DAYS(L9611, $C$2)</f>
        <v>17.493644579281252</v>
      </c>
      <c r="O9611" s="149">
        <f t="shared" ca="1" si="312"/>
        <v>1.000173611111111</v>
      </c>
    </row>
    <row r="9612" spans="12:15" x14ac:dyDescent="0.25">
      <c r="L9612" s="147">
        <f ca="1"/>
        <v>54851</v>
      </c>
      <c r="M9612" s="92">
        <f t="shared" ca="1" si="311"/>
        <v>6.25</v>
      </c>
      <c r="N9612" s="143">
        <f ca="1">(PRODUCT($O$5:$O9612)-1)*36000/_xlfn.DAYS(L9612, $C$2)</f>
        <v>17.495511116474947</v>
      </c>
      <c r="O9612" s="149">
        <f t="shared" ca="1" si="312"/>
        <v>1.000173611111111</v>
      </c>
    </row>
    <row r="9613" spans="12:15" x14ac:dyDescent="0.25">
      <c r="L9613" s="147">
        <f ca="1"/>
        <v>54852</v>
      </c>
      <c r="M9613" s="92">
        <f t="shared" ca="1" si="311"/>
        <v>6.25</v>
      </c>
      <c r="N9613" s="143">
        <f ca="1">(PRODUCT($O$5:$O9613)-1)*36000/_xlfn.DAYS(L9613, $C$2)</f>
        <v>17.497377905256155</v>
      </c>
      <c r="O9613" s="149">
        <f t="shared" ca="1" si="312"/>
        <v>1.000173611111111</v>
      </c>
    </row>
    <row r="9614" spans="12:15" x14ac:dyDescent="0.25">
      <c r="L9614" s="147">
        <f ca="1"/>
        <v>54853</v>
      </c>
      <c r="M9614" s="92">
        <f t="shared" ca="1" si="311"/>
        <v>6.25</v>
      </c>
      <c r="N9614" s="143">
        <f ca="1">(PRODUCT($O$5:$O9614)-1)*36000/_xlfn.DAYS(L9614, $C$2)</f>
        <v>17.499244945657448</v>
      </c>
      <c r="O9614" s="149">
        <f t="shared" ca="1" si="312"/>
        <v>1.000173611111111</v>
      </c>
    </row>
    <row r="9615" spans="12:15" x14ac:dyDescent="0.25">
      <c r="L9615" s="147">
        <f ca="1"/>
        <v>54854</v>
      </c>
      <c r="M9615" s="92">
        <f t="shared" ca="1" si="311"/>
        <v>6.25</v>
      </c>
      <c r="N9615" s="143">
        <f ca="1">(PRODUCT($O$5:$O9615)-1)*36000/_xlfn.DAYS(L9615, $C$2)</f>
        <v>17.501112237711414</v>
      </c>
      <c r="O9615" s="149">
        <f t="shared" ca="1" si="312"/>
        <v>1.000173611111111</v>
      </c>
    </row>
    <row r="9616" spans="12:15" x14ac:dyDescent="0.25">
      <c r="L9616" s="147">
        <f ca="1"/>
        <v>54855</v>
      </c>
      <c r="M9616" s="92">
        <f t="shared" ca="1" si="311"/>
        <v>6.25</v>
      </c>
      <c r="N9616" s="143">
        <f ca="1">(PRODUCT($O$5:$O9616)-1)*36000/_xlfn.DAYS(L9616, $C$2)</f>
        <v>17.502979781450637</v>
      </c>
      <c r="O9616" s="149">
        <f t="shared" ca="1" si="312"/>
        <v>1.000173611111111</v>
      </c>
    </row>
    <row r="9617" spans="12:15" x14ac:dyDescent="0.25">
      <c r="L9617" s="147">
        <f ca="1"/>
        <v>54856</v>
      </c>
      <c r="M9617" s="92">
        <f t="shared" ca="1" si="311"/>
        <v>6.25</v>
      </c>
      <c r="N9617" s="143">
        <f ca="1">(PRODUCT($O$5:$O9617)-1)*36000/_xlfn.DAYS(L9617, $C$2)</f>
        <v>17.504847576907714</v>
      </c>
      <c r="O9617" s="149">
        <f t="shared" ca="1" si="312"/>
        <v>1.000173611111111</v>
      </c>
    </row>
    <row r="9618" spans="12:15" x14ac:dyDescent="0.25">
      <c r="L9618" s="147">
        <f ca="1"/>
        <v>54857</v>
      </c>
      <c r="M9618" s="92">
        <f t="shared" ca="1" si="311"/>
        <v>6.25</v>
      </c>
      <c r="N9618" s="143">
        <f ca="1">(PRODUCT($O$5:$O9618)-1)*36000/_xlfn.DAYS(L9618, $C$2)</f>
        <v>17.50671562411523</v>
      </c>
      <c r="O9618" s="149">
        <f t="shared" ca="1" si="312"/>
        <v>1.000173611111111</v>
      </c>
    </row>
    <row r="9619" spans="12:15" x14ac:dyDescent="0.25">
      <c r="L9619" s="147">
        <f ca="1"/>
        <v>54858</v>
      </c>
      <c r="M9619" s="92">
        <f t="shared" ca="1" si="311"/>
        <v>6.25</v>
      </c>
      <c r="N9619" s="143">
        <f ca="1">(PRODUCT($O$5:$O9619)-1)*36000/_xlfn.DAYS(L9619, $C$2)</f>
        <v>17.508583923105796</v>
      </c>
      <c r="O9619" s="149">
        <f t="shared" ca="1" si="312"/>
        <v>1.000173611111111</v>
      </c>
    </row>
    <row r="9620" spans="12:15" x14ac:dyDescent="0.25">
      <c r="L9620" s="147">
        <f ca="1"/>
        <v>54859</v>
      </c>
      <c r="M9620" s="92">
        <f t="shared" ca="1" si="311"/>
        <v>6.25</v>
      </c>
      <c r="N9620" s="143">
        <f ca="1">(PRODUCT($O$5:$O9620)-1)*36000/_xlfn.DAYS(L9620, $C$2)</f>
        <v>17.510452473912025</v>
      </c>
      <c r="O9620" s="149">
        <f t="shared" ca="1" si="312"/>
        <v>1.000173611111111</v>
      </c>
    </row>
    <row r="9621" spans="12:15" x14ac:dyDescent="0.25">
      <c r="L9621" s="147">
        <f ca="1"/>
        <v>54860</v>
      </c>
      <c r="M9621" s="92">
        <f t="shared" ca="1" si="311"/>
        <v>6.25</v>
      </c>
      <c r="N9621" s="143">
        <f ca="1">(PRODUCT($O$5:$O9621)-1)*36000/_xlfn.DAYS(L9621, $C$2)</f>
        <v>17.512321276566528</v>
      </c>
      <c r="O9621" s="149">
        <f t="shared" ca="1" si="312"/>
        <v>1.000173611111111</v>
      </c>
    </row>
    <row r="9622" spans="12:15" x14ac:dyDescent="0.25">
      <c r="L9622" s="147">
        <f ca="1"/>
        <v>54861</v>
      </c>
      <c r="M9622" s="92">
        <f t="shared" ca="1" si="311"/>
        <v>6.25</v>
      </c>
      <c r="N9622" s="143">
        <f ca="1">(PRODUCT($O$5:$O9622)-1)*36000/_xlfn.DAYS(L9622, $C$2)</f>
        <v>17.514190331101929</v>
      </c>
      <c r="O9622" s="149">
        <f t="shared" ca="1" si="312"/>
        <v>1.000173611111111</v>
      </c>
    </row>
    <row r="9623" spans="12:15" x14ac:dyDescent="0.25">
      <c r="L9623" s="147">
        <f ca="1"/>
        <v>54862</v>
      </c>
      <c r="M9623" s="92">
        <f t="shared" ca="1" si="311"/>
        <v>6.25</v>
      </c>
      <c r="N9623" s="143">
        <f ca="1">(PRODUCT($O$5:$O9623)-1)*36000/_xlfn.DAYS(L9623, $C$2)</f>
        <v>17.51605963755085</v>
      </c>
      <c r="O9623" s="149">
        <f t="shared" ca="1" si="312"/>
        <v>1.000173611111111</v>
      </c>
    </row>
    <row r="9624" spans="12:15" x14ac:dyDescent="0.25">
      <c r="L9624" s="147">
        <f ca="1"/>
        <v>54863</v>
      </c>
      <c r="M9624" s="92">
        <f t="shared" ca="1" si="311"/>
        <v>6.25</v>
      </c>
      <c r="N9624" s="143">
        <f ca="1">(PRODUCT($O$5:$O9624)-1)*36000/_xlfn.DAYS(L9624, $C$2)</f>
        <v>17.517929195945921</v>
      </c>
      <c r="O9624" s="149">
        <f t="shared" ca="1" si="312"/>
        <v>1.000173611111111</v>
      </c>
    </row>
    <row r="9625" spans="12:15" x14ac:dyDescent="0.25">
      <c r="L9625" s="147">
        <f ca="1"/>
        <v>54864</v>
      </c>
      <c r="M9625" s="92">
        <f t="shared" ca="1" si="311"/>
        <v>6.25</v>
      </c>
      <c r="N9625" s="143">
        <f ca="1">(PRODUCT($O$5:$O9625)-1)*36000/_xlfn.DAYS(L9625, $C$2)</f>
        <v>17.519799006319793</v>
      </c>
      <c r="O9625" s="149">
        <f t="shared" ca="1" si="312"/>
        <v>1.000173611111111</v>
      </c>
    </row>
    <row r="9626" spans="12:15" x14ac:dyDescent="0.25">
      <c r="L9626" s="147">
        <f ca="1"/>
        <v>54865</v>
      </c>
      <c r="M9626" s="92">
        <f t="shared" ca="1" si="311"/>
        <v>6.25</v>
      </c>
      <c r="N9626" s="143">
        <f ca="1">(PRODUCT($O$5:$O9626)-1)*36000/_xlfn.DAYS(L9626, $C$2)</f>
        <v>17.521669068705098</v>
      </c>
      <c r="O9626" s="149">
        <f t="shared" ca="1" si="312"/>
        <v>1.000173611111111</v>
      </c>
    </row>
    <row r="9627" spans="12:15" x14ac:dyDescent="0.25">
      <c r="L9627" s="147">
        <f ca="1"/>
        <v>54866</v>
      </c>
      <c r="M9627" s="92">
        <f t="shared" ca="1" si="311"/>
        <v>6.25</v>
      </c>
      <c r="N9627" s="143">
        <f ca="1">(PRODUCT($O$5:$O9627)-1)*36000/_xlfn.DAYS(L9627, $C$2)</f>
        <v>17.523539383134491</v>
      </c>
      <c r="O9627" s="149">
        <f t="shared" ca="1" si="312"/>
        <v>1.000173611111111</v>
      </c>
    </row>
    <row r="9628" spans="12:15" x14ac:dyDescent="0.25">
      <c r="L9628" s="147">
        <f ca="1"/>
        <v>54867</v>
      </c>
      <c r="M9628" s="92">
        <f t="shared" ca="1" si="311"/>
        <v>6.25</v>
      </c>
      <c r="N9628" s="143">
        <f ca="1">(PRODUCT($O$5:$O9628)-1)*36000/_xlfn.DAYS(L9628, $C$2)</f>
        <v>17.525409949640622</v>
      </c>
      <c r="O9628" s="149">
        <f t="shared" ca="1" si="312"/>
        <v>1.000173611111111</v>
      </c>
    </row>
    <row r="9629" spans="12:15" x14ac:dyDescent="0.25">
      <c r="L9629" s="147">
        <f ca="1"/>
        <v>54868</v>
      </c>
      <c r="M9629" s="92">
        <f t="shared" ca="1" si="311"/>
        <v>6.25</v>
      </c>
      <c r="N9629" s="143">
        <f ca="1">(PRODUCT($O$5:$O9629)-1)*36000/_xlfn.DAYS(L9629, $C$2)</f>
        <v>17.527280768256158</v>
      </c>
      <c r="O9629" s="149">
        <f t="shared" ca="1" si="312"/>
        <v>1.000173611111111</v>
      </c>
    </row>
    <row r="9630" spans="12:15" x14ac:dyDescent="0.25">
      <c r="L9630" s="147">
        <f ca="1"/>
        <v>54869</v>
      </c>
      <c r="M9630" s="92">
        <f t="shared" ca="1" si="311"/>
        <v>6.25</v>
      </c>
      <c r="N9630" s="143">
        <f ca="1">(PRODUCT($O$5:$O9630)-1)*36000/_xlfn.DAYS(L9630, $C$2)</f>
        <v>17.529151839013764</v>
      </c>
      <c r="O9630" s="149">
        <f t="shared" ca="1" si="312"/>
        <v>1.000173611111111</v>
      </c>
    </row>
    <row r="9631" spans="12:15" x14ac:dyDescent="0.25">
      <c r="L9631" s="147">
        <f ca="1"/>
        <v>54870</v>
      </c>
      <c r="M9631" s="92">
        <f t="shared" ca="1" si="311"/>
        <v>6.25</v>
      </c>
      <c r="N9631" s="143">
        <f ca="1">(PRODUCT($O$5:$O9631)-1)*36000/_xlfn.DAYS(L9631, $C$2)</f>
        <v>17.531023161946109</v>
      </c>
      <c r="O9631" s="149">
        <f t="shared" ca="1" si="312"/>
        <v>1.000173611111111</v>
      </c>
    </row>
    <row r="9632" spans="12:15" x14ac:dyDescent="0.25">
      <c r="L9632" s="147">
        <f ca="1"/>
        <v>54871</v>
      </c>
      <c r="M9632" s="92">
        <f t="shared" ca="1" si="311"/>
        <v>6.25</v>
      </c>
      <c r="N9632" s="143">
        <f ca="1">(PRODUCT($O$5:$O9632)-1)*36000/_xlfn.DAYS(L9632, $C$2)</f>
        <v>17.532894737085879</v>
      </c>
      <c r="O9632" s="149">
        <f t="shared" ca="1" si="312"/>
        <v>1.000173611111111</v>
      </c>
    </row>
    <row r="9633" spans="12:15" x14ac:dyDescent="0.25">
      <c r="L9633" s="147">
        <f ca="1"/>
        <v>54872</v>
      </c>
      <c r="M9633" s="92">
        <f t="shared" ca="1" si="311"/>
        <v>6.25</v>
      </c>
      <c r="N9633" s="143">
        <f ca="1">(PRODUCT($O$5:$O9633)-1)*36000/_xlfn.DAYS(L9633, $C$2)</f>
        <v>17.534766564465752</v>
      </c>
      <c r="O9633" s="149">
        <f t="shared" ca="1" si="312"/>
        <v>1.000173611111111</v>
      </c>
    </row>
    <row r="9634" spans="12:15" x14ac:dyDescent="0.25">
      <c r="L9634" s="147">
        <f ca="1"/>
        <v>54873</v>
      </c>
      <c r="M9634" s="92">
        <f t="shared" ca="1" si="311"/>
        <v>6.25</v>
      </c>
      <c r="N9634" s="143">
        <f ca="1">(PRODUCT($O$5:$O9634)-1)*36000/_xlfn.DAYS(L9634, $C$2)</f>
        <v>17.536638644118419</v>
      </c>
      <c r="O9634" s="149">
        <f t="shared" ca="1" si="312"/>
        <v>1.000173611111111</v>
      </c>
    </row>
    <row r="9635" spans="12:15" x14ac:dyDescent="0.25">
      <c r="L9635" s="147">
        <f ca="1"/>
        <v>54874</v>
      </c>
      <c r="M9635" s="92">
        <f t="shared" ca="1" si="311"/>
        <v>6.25</v>
      </c>
      <c r="N9635" s="143">
        <f ca="1">(PRODUCT($O$5:$O9635)-1)*36000/_xlfn.DAYS(L9635, $C$2)</f>
        <v>17.538510976076573</v>
      </c>
      <c r="O9635" s="149">
        <f t="shared" ca="1" si="312"/>
        <v>1.000173611111111</v>
      </c>
    </row>
    <row r="9636" spans="12:15" x14ac:dyDescent="0.25">
      <c r="L9636" s="147">
        <f ca="1"/>
        <v>54875</v>
      </c>
      <c r="M9636" s="92">
        <f t="shared" ca="1" si="311"/>
        <v>6.25</v>
      </c>
      <c r="N9636" s="143">
        <f ca="1">(PRODUCT($O$5:$O9636)-1)*36000/_xlfn.DAYS(L9636, $C$2)</f>
        <v>17.54038356037292</v>
      </c>
      <c r="O9636" s="149">
        <f t="shared" ca="1" si="312"/>
        <v>1.000173611111111</v>
      </c>
    </row>
    <row r="9637" spans="12:15" x14ac:dyDescent="0.25">
      <c r="L9637" s="147">
        <f ca="1"/>
        <v>54876</v>
      </c>
      <c r="M9637" s="92">
        <f t="shared" ca="1" si="311"/>
        <v>6.25</v>
      </c>
      <c r="N9637" s="143">
        <f ca="1">(PRODUCT($O$5:$O9637)-1)*36000/_xlfn.DAYS(L9637, $C$2)</f>
        <v>17.542256397040163</v>
      </c>
      <c r="O9637" s="149">
        <f t="shared" ca="1" si="312"/>
        <v>1.000173611111111</v>
      </c>
    </row>
    <row r="9638" spans="12:15" x14ac:dyDescent="0.25">
      <c r="L9638" s="147">
        <f ca="1"/>
        <v>54877</v>
      </c>
      <c r="M9638" s="92">
        <f t="shared" ca="1" si="311"/>
        <v>6.25</v>
      </c>
      <c r="N9638" s="143">
        <f ca="1">(PRODUCT($O$5:$O9638)-1)*36000/_xlfn.DAYS(L9638, $C$2)</f>
        <v>17.544129486111022</v>
      </c>
      <c r="O9638" s="149">
        <f t="shared" ca="1" si="312"/>
        <v>1.000173611111111</v>
      </c>
    </row>
    <row r="9639" spans="12:15" x14ac:dyDescent="0.25">
      <c r="L9639" s="147">
        <f ca="1"/>
        <v>54878</v>
      </c>
      <c r="M9639" s="92">
        <f t="shared" ca="1" si="311"/>
        <v>6.25</v>
      </c>
      <c r="N9639" s="143">
        <f ca="1">(PRODUCT($O$5:$O9639)-1)*36000/_xlfn.DAYS(L9639, $C$2)</f>
        <v>17.546002827618203</v>
      </c>
      <c r="O9639" s="149">
        <f t="shared" ca="1" si="312"/>
        <v>1.000173611111111</v>
      </c>
    </row>
    <row r="9640" spans="12:15" x14ac:dyDescent="0.25">
      <c r="L9640" s="147">
        <f ca="1"/>
        <v>54879</v>
      </c>
      <c r="M9640" s="92">
        <f t="shared" ca="1" si="311"/>
        <v>6.25</v>
      </c>
      <c r="N9640" s="143">
        <f ca="1">(PRODUCT($O$5:$O9640)-1)*36000/_xlfn.DAYS(L9640, $C$2)</f>
        <v>17.547876421594438</v>
      </c>
      <c r="O9640" s="149">
        <f t="shared" ca="1" si="312"/>
        <v>1.000173611111111</v>
      </c>
    </row>
    <row r="9641" spans="12:15" x14ac:dyDescent="0.25">
      <c r="L9641" s="147">
        <f ca="1"/>
        <v>54880</v>
      </c>
      <c r="M9641" s="92">
        <f t="shared" ca="1" si="311"/>
        <v>6.25</v>
      </c>
      <c r="N9641" s="143">
        <f ca="1">(PRODUCT($O$5:$O9641)-1)*36000/_xlfn.DAYS(L9641, $C$2)</f>
        <v>17.549750268072462</v>
      </c>
      <c r="O9641" s="149">
        <f t="shared" ca="1" si="312"/>
        <v>1.000173611111111</v>
      </c>
    </row>
    <row r="9642" spans="12:15" x14ac:dyDescent="0.25">
      <c r="L9642" s="147">
        <f ca="1"/>
        <v>54881</v>
      </c>
      <c r="M9642" s="92">
        <f t="shared" ca="1" si="311"/>
        <v>6.25</v>
      </c>
      <c r="N9642" s="143">
        <f ca="1">(PRODUCT($O$5:$O9642)-1)*36000/_xlfn.DAYS(L9642, $C$2)</f>
        <v>17.551624367084997</v>
      </c>
      <c r="O9642" s="149">
        <f t="shared" ca="1" si="312"/>
        <v>1.000173611111111</v>
      </c>
    </row>
    <row r="9643" spans="12:15" x14ac:dyDescent="0.25">
      <c r="L9643" s="147">
        <f ca="1"/>
        <v>54882</v>
      </c>
      <c r="M9643" s="92">
        <f t="shared" ca="1" si="311"/>
        <v>6.25</v>
      </c>
      <c r="N9643" s="143">
        <f ca="1">(PRODUCT($O$5:$O9643)-1)*36000/_xlfn.DAYS(L9643, $C$2)</f>
        <v>17.553498718664798</v>
      </c>
      <c r="O9643" s="149">
        <f t="shared" ca="1" si="312"/>
        <v>1.000173611111111</v>
      </c>
    </row>
    <row r="9644" spans="12:15" x14ac:dyDescent="0.25">
      <c r="L9644" s="147">
        <f ca="1"/>
        <v>54883</v>
      </c>
      <c r="M9644" s="92">
        <f t="shared" ca="1" si="311"/>
        <v>6.25</v>
      </c>
      <c r="N9644" s="143">
        <f ca="1">(PRODUCT($O$5:$O9644)-1)*36000/_xlfn.DAYS(L9644, $C$2)</f>
        <v>17.555373322844602</v>
      </c>
      <c r="O9644" s="149">
        <f t="shared" ca="1" si="312"/>
        <v>1.000173611111111</v>
      </c>
    </row>
    <row r="9645" spans="12:15" x14ac:dyDescent="0.25">
      <c r="L9645" s="147">
        <f ca="1"/>
        <v>54884</v>
      </c>
      <c r="M9645" s="92">
        <f t="shared" ca="1" si="311"/>
        <v>6.25</v>
      </c>
      <c r="N9645" s="143">
        <f ca="1">(PRODUCT($O$5:$O9645)-1)*36000/_xlfn.DAYS(L9645, $C$2)</f>
        <v>17.557248179657169</v>
      </c>
      <c r="O9645" s="149">
        <f t="shared" ca="1" si="312"/>
        <v>1.000173611111111</v>
      </c>
    </row>
    <row r="9646" spans="12:15" x14ac:dyDescent="0.25">
      <c r="L9646" s="147">
        <f ca="1"/>
        <v>54885</v>
      </c>
      <c r="M9646" s="92">
        <f t="shared" ca="1" si="311"/>
        <v>6.25</v>
      </c>
      <c r="N9646" s="143">
        <f ca="1">(PRODUCT($O$5:$O9646)-1)*36000/_xlfn.DAYS(L9646, $C$2)</f>
        <v>17.559123289135258</v>
      </c>
      <c r="O9646" s="149">
        <f t="shared" ca="1" si="312"/>
        <v>1.000173611111111</v>
      </c>
    </row>
    <row r="9647" spans="12:15" x14ac:dyDescent="0.25">
      <c r="L9647" s="147">
        <f ca="1"/>
        <v>54886</v>
      </c>
      <c r="M9647" s="92">
        <f t="shared" ca="1" si="311"/>
        <v>6.25</v>
      </c>
      <c r="N9647" s="143">
        <f ca="1">(PRODUCT($O$5:$O9647)-1)*36000/_xlfn.DAYS(L9647, $C$2)</f>
        <v>17.560998651311625</v>
      </c>
      <c r="O9647" s="149">
        <f t="shared" ca="1" si="312"/>
        <v>1.000173611111111</v>
      </c>
    </row>
    <row r="9648" spans="12:15" x14ac:dyDescent="0.25">
      <c r="L9648" s="147">
        <f ca="1"/>
        <v>54887</v>
      </c>
      <c r="M9648" s="92">
        <f t="shared" ca="1" si="311"/>
        <v>6.25</v>
      </c>
      <c r="N9648" s="143">
        <f ca="1">(PRODUCT($O$5:$O9648)-1)*36000/_xlfn.DAYS(L9648, $C$2)</f>
        <v>17.562874266219048</v>
      </c>
      <c r="O9648" s="149">
        <f t="shared" ca="1" si="312"/>
        <v>1.000173611111111</v>
      </c>
    </row>
    <row r="9649" spans="12:15" x14ac:dyDescent="0.25">
      <c r="L9649" s="147">
        <f ca="1"/>
        <v>54888</v>
      </c>
      <c r="M9649" s="92">
        <f t="shared" ca="1" si="311"/>
        <v>6.25</v>
      </c>
      <c r="N9649" s="143">
        <f ca="1">(PRODUCT($O$5:$O9649)-1)*36000/_xlfn.DAYS(L9649, $C$2)</f>
        <v>17.564750133890296</v>
      </c>
      <c r="O9649" s="149">
        <f t="shared" ca="1" si="312"/>
        <v>1.000173611111111</v>
      </c>
    </row>
    <row r="9650" spans="12:15" x14ac:dyDescent="0.25">
      <c r="L9650" s="147">
        <f ca="1"/>
        <v>54889</v>
      </c>
      <c r="M9650" s="92">
        <f t="shared" ca="1" si="311"/>
        <v>6.25</v>
      </c>
      <c r="N9650" s="143">
        <f ca="1">(PRODUCT($O$5:$O9650)-1)*36000/_xlfn.DAYS(L9650, $C$2)</f>
        <v>17.566626254358155</v>
      </c>
      <c r="O9650" s="149">
        <f t="shared" ca="1" si="312"/>
        <v>1.000173611111111</v>
      </c>
    </row>
    <row r="9651" spans="12:15" x14ac:dyDescent="0.25">
      <c r="L9651" s="147">
        <f ca="1"/>
        <v>54890</v>
      </c>
      <c r="M9651" s="92">
        <f t="shared" ca="1" si="311"/>
        <v>6.25</v>
      </c>
      <c r="N9651" s="143">
        <f ca="1">(PRODUCT($O$5:$O9651)-1)*36000/_xlfn.DAYS(L9651, $C$2)</f>
        <v>17.568502627655416</v>
      </c>
      <c r="O9651" s="149">
        <f t="shared" ca="1" si="312"/>
        <v>1.000173611111111</v>
      </c>
    </row>
    <row r="9652" spans="12:15" x14ac:dyDescent="0.25">
      <c r="L9652" s="147">
        <f ca="1"/>
        <v>54891</v>
      </c>
      <c r="M9652" s="92">
        <f t="shared" ca="1" si="311"/>
        <v>6.25</v>
      </c>
      <c r="N9652" s="143">
        <f ca="1">(PRODUCT($O$5:$O9652)-1)*36000/_xlfn.DAYS(L9652, $C$2)</f>
        <v>17.57037925381487</v>
      </c>
      <c r="O9652" s="149">
        <f t="shared" ca="1" si="312"/>
        <v>1.000173611111111</v>
      </c>
    </row>
    <row r="9653" spans="12:15" x14ac:dyDescent="0.25">
      <c r="L9653" s="147">
        <f ca="1"/>
        <v>54892</v>
      </c>
      <c r="M9653" s="92">
        <f t="shared" ca="1" si="311"/>
        <v>6.25</v>
      </c>
      <c r="N9653" s="143">
        <f ca="1">(PRODUCT($O$5:$O9653)-1)*36000/_xlfn.DAYS(L9653, $C$2)</f>
        <v>17.57225613286931</v>
      </c>
      <c r="O9653" s="149">
        <f t="shared" ca="1" si="312"/>
        <v>1.000173611111111</v>
      </c>
    </row>
    <row r="9654" spans="12:15" x14ac:dyDescent="0.25">
      <c r="L9654" s="147">
        <f ca="1"/>
        <v>54893</v>
      </c>
      <c r="M9654" s="92">
        <f t="shared" ca="1" si="311"/>
        <v>6.25</v>
      </c>
      <c r="N9654" s="143">
        <f ca="1">(PRODUCT($O$5:$O9654)-1)*36000/_xlfn.DAYS(L9654, $C$2)</f>
        <v>17.574133264851547</v>
      </c>
      <c r="O9654" s="149">
        <f t="shared" ca="1" si="312"/>
        <v>1.000173611111111</v>
      </c>
    </row>
    <row r="9655" spans="12:15" x14ac:dyDescent="0.25">
      <c r="L9655" s="147">
        <f ca="1"/>
        <v>54894</v>
      </c>
      <c r="M9655" s="92">
        <f t="shared" ca="1" si="311"/>
        <v>6.25</v>
      </c>
      <c r="N9655" s="143">
        <f ca="1">(PRODUCT($O$5:$O9655)-1)*36000/_xlfn.DAYS(L9655, $C$2)</f>
        <v>17.576010649794387</v>
      </c>
      <c r="O9655" s="149">
        <f t="shared" ca="1" si="312"/>
        <v>1.000173611111111</v>
      </c>
    </row>
    <row r="9656" spans="12:15" x14ac:dyDescent="0.25">
      <c r="L9656" s="147">
        <f ca="1"/>
        <v>54895</v>
      </c>
      <c r="M9656" s="92">
        <f t="shared" ca="1" si="311"/>
        <v>6.25</v>
      </c>
      <c r="N9656" s="143">
        <f ca="1">(PRODUCT($O$5:$O9656)-1)*36000/_xlfn.DAYS(L9656, $C$2)</f>
        <v>17.577888287730648</v>
      </c>
      <c r="O9656" s="149">
        <f t="shared" ca="1" si="312"/>
        <v>1.000173611111111</v>
      </c>
    </row>
    <row r="9657" spans="12:15" x14ac:dyDescent="0.25">
      <c r="L9657" s="147">
        <f ca="1"/>
        <v>54896</v>
      </c>
      <c r="M9657" s="92">
        <f t="shared" ca="1" si="311"/>
        <v>6.25</v>
      </c>
      <c r="N9657" s="143">
        <f ca="1">(PRODUCT($O$5:$O9657)-1)*36000/_xlfn.DAYS(L9657, $C$2)</f>
        <v>17.579766178693156</v>
      </c>
      <c r="O9657" s="149">
        <f t="shared" ca="1" si="312"/>
        <v>1.000173611111111</v>
      </c>
    </row>
    <row r="9658" spans="12:15" x14ac:dyDescent="0.25">
      <c r="L9658" s="147">
        <f ca="1"/>
        <v>54897</v>
      </c>
      <c r="M9658" s="92">
        <f t="shared" ca="1" si="311"/>
        <v>6.25</v>
      </c>
      <c r="N9658" s="143">
        <f ca="1">(PRODUCT($O$5:$O9658)-1)*36000/_xlfn.DAYS(L9658, $C$2)</f>
        <v>17.58164432271473</v>
      </c>
      <c r="O9658" s="149">
        <f t="shared" ca="1" si="312"/>
        <v>1.000173611111111</v>
      </c>
    </row>
    <row r="9659" spans="12:15" x14ac:dyDescent="0.25">
      <c r="L9659" s="147">
        <f ca="1"/>
        <v>54898</v>
      </c>
      <c r="M9659" s="92">
        <f t="shared" ca="1" si="311"/>
        <v>6.25</v>
      </c>
      <c r="N9659" s="143">
        <f ca="1">(PRODUCT($O$5:$O9659)-1)*36000/_xlfn.DAYS(L9659, $C$2)</f>
        <v>17.58352271982821</v>
      </c>
      <c r="O9659" s="149">
        <f t="shared" ca="1" si="312"/>
        <v>1.000173611111111</v>
      </c>
    </row>
    <row r="9660" spans="12:15" x14ac:dyDescent="0.25">
      <c r="L9660" s="147">
        <f ca="1"/>
        <v>54899</v>
      </c>
      <c r="M9660" s="92">
        <f t="shared" ca="1" si="311"/>
        <v>6.25</v>
      </c>
      <c r="N9660" s="143">
        <f ca="1">(PRODUCT($O$5:$O9660)-1)*36000/_xlfn.DAYS(L9660, $C$2)</f>
        <v>17.585401370066432</v>
      </c>
      <c r="O9660" s="149">
        <f t="shared" ca="1" si="312"/>
        <v>1.000173611111111</v>
      </c>
    </row>
    <row r="9661" spans="12:15" x14ac:dyDescent="0.25">
      <c r="L9661" s="147">
        <f ca="1"/>
        <v>54900</v>
      </c>
      <c r="M9661" s="92">
        <f t="shared" ca="1" si="311"/>
        <v>6.25</v>
      </c>
      <c r="N9661" s="143">
        <f ca="1">(PRODUCT($O$5:$O9661)-1)*36000/_xlfn.DAYS(L9661, $C$2)</f>
        <v>17.587280273462245</v>
      </c>
      <c r="O9661" s="149">
        <f t="shared" ca="1" si="312"/>
        <v>1.000173611111111</v>
      </c>
    </row>
    <row r="9662" spans="12:15" x14ac:dyDescent="0.25">
      <c r="L9662" s="147">
        <f ca="1"/>
        <v>54901</v>
      </c>
      <c r="M9662" s="92">
        <f t="shared" ca="1" si="311"/>
        <v>6.25</v>
      </c>
      <c r="N9662" s="143">
        <f ca="1">(PRODUCT($O$5:$O9662)-1)*36000/_xlfn.DAYS(L9662, $C$2)</f>
        <v>17.589159430048493</v>
      </c>
      <c r="O9662" s="149">
        <f t="shared" ca="1" si="312"/>
        <v>1.000173611111111</v>
      </c>
    </row>
    <row r="9663" spans="12:15" x14ac:dyDescent="0.25">
      <c r="L9663" s="147">
        <f ca="1"/>
        <v>54902</v>
      </c>
      <c r="M9663" s="92">
        <f t="shared" ca="1" si="311"/>
        <v>6.25</v>
      </c>
      <c r="N9663" s="143">
        <f ca="1">(PRODUCT($O$5:$O9663)-1)*36000/_xlfn.DAYS(L9663, $C$2)</f>
        <v>17.591038839858037</v>
      </c>
      <c r="O9663" s="149">
        <f t="shared" ca="1" si="312"/>
        <v>1.000173611111111</v>
      </c>
    </row>
    <row r="9664" spans="12:15" x14ac:dyDescent="0.25">
      <c r="L9664" s="147">
        <f ca="1"/>
        <v>54903</v>
      </c>
      <c r="M9664" s="92">
        <f t="shared" ca="1" si="311"/>
        <v>6.25</v>
      </c>
      <c r="N9664" s="143">
        <f ca="1">(PRODUCT($O$5:$O9664)-1)*36000/_xlfn.DAYS(L9664, $C$2)</f>
        <v>17.592918502923737</v>
      </c>
      <c r="O9664" s="149">
        <f t="shared" ca="1" si="312"/>
        <v>1.000173611111111</v>
      </c>
    </row>
    <row r="9665" spans="12:15" x14ac:dyDescent="0.25">
      <c r="L9665" s="147">
        <f ca="1"/>
        <v>54904</v>
      </c>
      <c r="M9665" s="92">
        <f t="shared" ca="1" si="311"/>
        <v>6.25</v>
      </c>
      <c r="N9665" s="143">
        <f ca="1">(PRODUCT($O$5:$O9665)-1)*36000/_xlfn.DAYS(L9665, $C$2)</f>
        <v>17.594798419278465</v>
      </c>
      <c r="O9665" s="149">
        <f t="shared" ca="1" si="312"/>
        <v>1.000173611111111</v>
      </c>
    </row>
    <row r="9666" spans="12:15" x14ac:dyDescent="0.25">
      <c r="L9666" s="147">
        <f ca="1"/>
        <v>54905</v>
      </c>
      <c r="M9666" s="92">
        <f t="shared" ca="1" si="311"/>
        <v>6.25</v>
      </c>
      <c r="N9666" s="143">
        <f ca="1">(PRODUCT($O$5:$O9666)-1)*36000/_xlfn.DAYS(L9666, $C$2)</f>
        <v>17.59667858895509</v>
      </c>
      <c r="O9666" s="149">
        <f t="shared" ca="1" si="312"/>
        <v>1.000173611111111</v>
      </c>
    </row>
    <row r="9667" spans="12:15" x14ac:dyDescent="0.25">
      <c r="L9667" s="147">
        <f ca="1"/>
        <v>54906</v>
      </c>
      <c r="M9667" s="92">
        <f t="shared" ca="1" si="311"/>
        <v>6.25</v>
      </c>
      <c r="N9667" s="143">
        <f ca="1">(PRODUCT($O$5:$O9667)-1)*36000/_xlfn.DAYS(L9667, $C$2)</f>
        <v>17.598559011986492</v>
      </c>
      <c r="O9667" s="149">
        <f t="shared" ca="1" si="312"/>
        <v>1.000173611111111</v>
      </c>
    </row>
    <row r="9668" spans="12:15" x14ac:dyDescent="0.25">
      <c r="L9668" s="147">
        <f ca="1"/>
        <v>54907</v>
      </c>
      <c r="M9668" s="92">
        <f t="shared" ca="1" si="311"/>
        <v>6.25</v>
      </c>
      <c r="N9668" s="143">
        <f ca="1">(PRODUCT($O$5:$O9668)-1)*36000/_xlfn.DAYS(L9668, $C$2)</f>
        <v>17.600439688405555</v>
      </c>
      <c r="O9668" s="149">
        <f t="shared" ca="1" si="312"/>
        <v>1.000173611111111</v>
      </c>
    </row>
    <row r="9669" spans="12:15" x14ac:dyDescent="0.25">
      <c r="L9669" s="147">
        <f ca="1"/>
        <v>54908</v>
      </c>
      <c r="M9669" s="92">
        <f t="shared" ref="M9669:M9732" ca="1" si="313">IFERROR(INDEX($E$27:$H$47, MATCH(L9669, $F$27:$F$47, 0), 4), IF(ISNUMBER(M9668), M9668, $C$5))</f>
        <v>6.25</v>
      </c>
      <c r="N9669" s="143">
        <f ca="1">(PRODUCT($O$5:$O9669)-1)*36000/_xlfn.DAYS(L9669, $C$2)</f>
        <v>17.602320618245173</v>
      </c>
      <c r="O9669" s="149">
        <f t="shared" ca="1" si="312"/>
        <v>1.000173611111111</v>
      </c>
    </row>
    <row r="9670" spans="12:15" x14ac:dyDescent="0.25">
      <c r="L9670" s="147">
        <f ca="1"/>
        <v>54909</v>
      </c>
      <c r="M9670" s="92">
        <f t="shared" ca="1" si="313"/>
        <v>6.25</v>
      </c>
      <c r="N9670" s="143">
        <f ca="1">(PRODUCT($O$5:$O9670)-1)*36000/_xlfn.DAYS(L9670, $C$2)</f>
        <v>17.604201801538238</v>
      </c>
      <c r="O9670" s="149">
        <f t="shared" ref="O9670:O9733" ca="1" si="314">1+M9670*IFERROR(_xlfn.DAYS(L9670, L9669), _xlfn.DAYS(L9670, $C$2))/36000</f>
        <v>1.000173611111111</v>
      </c>
    </row>
    <row r="9671" spans="12:15" x14ac:dyDescent="0.25">
      <c r="L9671" s="147">
        <f ca="1"/>
        <v>54910</v>
      </c>
      <c r="M9671" s="92">
        <f t="shared" ca="1" si="313"/>
        <v>6.25</v>
      </c>
      <c r="N9671" s="143">
        <f ca="1">(PRODUCT($O$5:$O9671)-1)*36000/_xlfn.DAYS(L9671, $C$2)</f>
        <v>17.606083238317655</v>
      </c>
      <c r="O9671" s="149">
        <f t="shared" ca="1" si="314"/>
        <v>1.000173611111111</v>
      </c>
    </row>
    <row r="9672" spans="12:15" x14ac:dyDescent="0.25">
      <c r="L9672" s="147">
        <f ca="1"/>
        <v>54911</v>
      </c>
      <c r="M9672" s="92">
        <f t="shared" ca="1" si="313"/>
        <v>6.25</v>
      </c>
      <c r="N9672" s="143">
        <f ca="1">(PRODUCT($O$5:$O9672)-1)*36000/_xlfn.DAYS(L9672, $C$2)</f>
        <v>17.607964928616337</v>
      </c>
      <c r="O9672" s="149">
        <f t="shared" ca="1" si="314"/>
        <v>1.000173611111111</v>
      </c>
    </row>
    <row r="9673" spans="12:15" x14ac:dyDescent="0.25">
      <c r="L9673" s="147">
        <f ca="1"/>
        <v>54912</v>
      </c>
      <c r="M9673" s="92">
        <f t="shared" ca="1" si="313"/>
        <v>6.25</v>
      </c>
      <c r="N9673" s="143">
        <f ca="1">(PRODUCT($O$5:$O9673)-1)*36000/_xlfn.DAYS(L9673, $C$2)</f>
        <v>17.609846872467191</v>
      </c>
      <c r="O9673" s="149">
        <f t="shared" ca="1" si="314"/>
        <v>1.000173611111111</v>
      </c>
    </row>
    <row r="9674" spans="12:15" x14ac:dyDescent="0.25">
      <c r="L9674" s="147">
        <f ca="1"/>
        <v>54913</v>
      </c>
      <c r="M9674" s="92">
        <f t="shared" ca="1" si="313"/>
        <v>6.25</v>
      </c>
      <c r="N9674" s="143">
        <f ca="1">(PRODUCT($O$5:$O9674)-1)*36000/_xlfn.DAYS(L9674, $C$2)</f>
        <v>17.611729069903141</v>
      </c>
      <c r="O9674" s="149">
        <f t="shared" ca="1" si="314"/>
        <v>1.000173611111111</v>
      </c>
    </row>
    <row r="9675" spans="12:15" x14ac:dyDescent="0.25">
      <c r="L9675" s="147">
        <f ca="1"/>
        <v>54914</v>
      </c>
      <c r="M9675" s="92">
        <f t="shared" ca="1" si="313"/>
        <v>6.25</v>
      </c>
      <c r="N9675" s="143">
        <f ca="1">(PRODUCT($O$5:$O9675)-1)*36000/_xlfn.DAYS(L9675, $C$2)</f>
        <v>17.613611520957107</v>
      </c>
      <c r="O9675" s="149">
        <f t="shared" ca="1" si="314"/>
        <v>1.000173611111111</v>
      </c>
    </row>
    <row r="9676" spans="12:15" x14ac:dyDescent="0.25">
      <c r="L9676" s="147">
        <f ca="1"/>
        <v>54915</v>
      </c>
      <c r="M9676" s="92">
        <f t="shared" ca="1" si="313"/>
        <v>6.25</v>
      </c>
      <c r="N9676" s="143">
        <f ca="1">(PRODUCT($O$5:$O9676)-1)*36000/_xlfn.DAYS(L9676, $C$2)</f>
        <v>17.615494225662022</v>
      </c>
      <c r="O9676" s="149">
        <f t="shared" ca="1" si="314"/>
        <v>1.000173611111111</v>
      </c>
    </row>
    <row r="9677" spans="12:15" x14ac:dyDescent="0.25">
      <c r="L9677" s="147">
        <f ca="1"/>
        <v>54916</v>
      </c>
      <c r="M9677" s="92">
        <f t="shared" ca="1" si="313"/>
        <v>6.25</v>
      </c>
      <c r="N9677" s="143">
        <f ca="1">(PRODUCT($O$5:$O9677)-1)*36000/_xlfn.DAYS(L9677, $C$2)</f>
        <v>17.617377184050827</v>
      </c>
      <c r="O9677" s="149">
        <f t="shared" ca="1" si="314"/>
        <v>1.000173611111111</v>
      </c>
    </row>
    <row r="9678" spans="12:15" x14ac:dyDescent="0.25">
      <c r="L9678" s="147">
        <f ca="1"/>
        <v>54917</v>
      </c>
      <c r="M9678" s="92">
        <f t="shared" ca="1" si="313"/>
        <v>6.25</v>
      </c>
      <c r="N9678" s="143">
        <f ca="1">(PRODUCT($O$5:$O9678)-1)*36000/_xlfn.DAYS(L9678, $C$2)</f>
        <v>17.619260396156463</v>
      </c>
      <c r="O9678" s="149">
        <f t="shared" ca="1" si="314"/>
        <v>1.000173611111111</v>
      </c>
    </row>
    <row r="9679" spans="12:15" x14ac:dyDescent="0.25">
      <c r="L9679" s="147">
        <f ca="1"/>
        <v>54918</v>
      </c>
      <c r="M9679" s="92">
        <f t="shared" ca="1" si="313"/>
        <v>6.25</v>
      </c>
      <c r="N9679" s="143">
        <f ca="1">(PRODUCT($O$5:$O9679)-1)*36000/_xlfn.DAYS(L9679, $C$2)</f>
        <v>17.621143862011877</v>
      </c>
      <c r="O9679" s="149">
        <f t="shared" ca="1" si="314"/>
        <v>1.000173611111111</v>
      </c>
    </row>
    <row r="9680" spans="12:15" x14ac:dyDescent="0.25">
      <c r="L9680" s="147">
        <f ca="1"/>
        <v>54919</v>
      </c>
      <c r="M9680" s="92">
        <f t="shared" ca="1" si="313"/>
        <v>6.25</v>
      </c>
      <c r="N9680" s="143">
        <f ca="1">(PRODUCT($O$5:$O9680)-1)*36000/_xlfn.DAYS(L9680, $C$2)</f>
        <v>17.623027581650021</v>
      </c>
      <c r="O9680" s="149">
        <f t="shared" ca="1" si="314"/>
        <v>1.000173611111111</v>
      </c>
    </row>
    <row r="9681" spans="12:15" x14ac:dyDescent="0.25">
      <c r="L9681" s="147">
        <f ca="1"/>
        <v>54920</v>
      </c>
      <c r="M9681" s="92">
        <f t="shared" ca="1" si="313"/>
        <v>6.25</v>
      </c>
      <c r="N9681" s="143">
        <f ca="1">(PRODUCT($O$5:$O9681)-1)*36000/_xlfn.DAYS(L9681, $C$2)</f>
        <v>17.624911555103857</v>
      </c>
      <c r="O9681" s="149">
        <f t="shared" ca="1" si="314"/>
        <v>1.000173611111111</v>
      </c>
    </row>
    <row r="9682" spans="12:15" x14ac:dyDescent="0.25">
      <c r="L9682" s="147">
        <f ca="1"/>
        <v>54921</v>
      </c>
      <c r="M9682" s="92">
        <f t="shared" ca="1" si="313"/>
        <v>6.25</v>
      </c>
      <c r="N9682" s="143">
        <f ca="1">(PRODUCT($O$5:$O9682)-1)*36000/_xlfn.DAYS(L9682, $C$2)</f>
        <v>17.626795782406354</v>
      </c>
      <c r="O9682" s="149">
        <f t="shared" ca="1" si="314"/>
        <v>1.000173611111111</v>
      </c>
    </row>
    <row r="9683" spans="12:15" x14ac:dyDescent="0.25">
      <c r="L9683" s="147">
        <f ca="1"/>
        <v>54922</v>
      </c>
      <c r="M9683" s="92">
        <f t="shared" ca="1" si="313"/>
        <v>6.25</v>
      </c>
      <c r="N9683" s="143">
        <f ca="1">(PRODUCT($O$5:$O9683)-1)*36000/_xlfn.DAYS(L9683, $C$2)</f>
        <v>17.628680263590478</v>
      </c>
      <c r="O9683" s="149">
        <f t="shared" ca="1" si="314"/>
        <v>1.000173611111111</v>
      </c>
    </row>
    <row r="9684" spans="12:15" x14ac:dyDescent="0.25">
      <c r="L9684" s="147">
        <f ca="1"/>
        <v>54923</v>
      </c>
      <c r="M9684" s="92">
        <f t="shared" ca="1" si="313"/>
        <v>6.25</v>
      </c>
      <c r="N9684" s="143">
        <f ca="1">(PRODUCT($O$5:$O9684)-1)*36000/_xlfn.DAYS(L9684, $C$2)</f>
        <v>17.630564998689209</v>
      </c>
      <c r="O9684" s="149">
        <f t="shared" ca="1" si="314"/>
        <v>1.000173611111111</v>
      </c>
    </row>
    <row r="9685" spans="12:15" x14ac:dyDescent="0.25">
      <c r="L9685" s="147">
        <f ca="1"/>
        <v>54924</v>
      </c>
      <c r="M9685" s="92">
        <f t="shared" ca="1" si="313"/>
        <v>6.25</v>
      </c>
      <c r="N9685" s="143">
        <f ca="1">(PRODUCT($O$5:$O9685)-1)*36000/_xlfn.DAYS(L9685, $C$2)</f>
        <v>17.63244998773553</v>
      </c>
      <c r="O9685" s="149">
        <f t="shared" ca="1" si="314"/>
        <v>1.000173611111111</v>
      </c>
    </row>
    <row r="9686" spans="12:15" x14ac:dyDescent="0.25">
      <c r="L9686" s="147">
        <f ca="1"/>
        <v>54925</v>
      </c>
      <c r="M9686" s="92">
        <f t="shared" ca="1" si="313"/>
        <v>6.25</v>
      </c>
      <c r="N9686" s="143">
        <f ca="1">(PRODUCT($O$5:$O9686)-1)*36000/_xlfn.DAYS(L9686, $C$2)</f>
        <v>17.634335230762428</v>
      </c>
      <c r="O9686" s="149">
        <f t="shared" ca="1" si="314"/>
        <v>1.000173611111111</v>
      </c>
    </row>
    <row r="9687" spans="12:15" x14ac:dyDescent="0.25">
      <c r="L9687" s="147">
        <f ca="1"/>
        <v>54926</v>
      </c>
      <c r="M9687" s="92">
        <f t="shared" ca="1" si="313"/>
        <v>6.25</v>
      </c>
      <c r="N9687" s="143">
        <f ca="1">(PRODUCT($O$5:$O9687)-1)*36000/_xlfn.DAYS(L9687, $C$2)</f>
        <v>17.636220727802897</v>
      </c>
      <c r="O9687" s="149">
        <f t="shared" ca="1" si="314"/>
        <v>1.000173611111111</v>
      </c>
    </row>
    <row r="9688" spans="12:15" x14ac:dyDescent="0.25">
      <c r="L9688" s="147">
        <f ca="1"/>
        <v>54927</v>
      </c>
      <c r="M9688" s="92">
        <f t="shared" ca="1" si="313"/>
        <v>6.25</v>
      </c>
      <c r="N9688" s="143">
        <f ca="1">(PRODUCT($O$5:$O9688)-1)*36000/_xlfn.DAYS(L9688, $C$2)</f>
        <v>17.638106478889942</v>
      </c>
      <c r="O9688" s="149">
        <f t="shared" ca="1" si="314"/>
        <v>1.000173611111111</v>
      </c>
    </row>
    <row r="9689" spans="12:15" x14ac:dyDescent="0.25">
      <c r="L9689" s="147">
        <f ca="1"/>
        <v>54928</v>
      </c>
      <c r="M9689" s="92">
        <f t="shared" ca="1" si="313"/>
        <v>6.25</v>
      </c>
      <c r="N9689" s="143">
        <f ca="1">(PRODUCT($O$5:$O9689)-1)*36000/_xlfn.DAYS(L9689, $C$2)</f>
        <v>17.639992484056563</v>
      </c>
      <c r="O9689" s="149">
        <f t="shared" ca="1" si="314"/>
        <v>1.000173611111111</v>
      </c>
    </row>
    <row r="9690" spans="12:15" x14ac:dyDescent="0.25">
      <c r="L9690" s="147">
        <f ca="1"/>
        <v>54929</v>
      </c>
      <c r="M9690" s="92">
        <f t="shared" ca="1" si="313"/>
        <v>6.25</v>
      </c>
      <c r="N9690" s="143">
        <f ca="1">(PRODUCT($O$5:$O9690)-1)*36000/_xlfn.DAYS(L9690, $C$2)</f>
        <v>17.64187874333577</v>
      </c>
      <c r="O9690" s="149">
        <f t="shared" ca="1" si="314"/>
        <v>1.000173611111111</v>
      </c>
    </row>
    <row r="9691" spans="12:15" x14ac:dyDescent="0.25">
      <c r="L9691" s="147">
        <f ca="1"/>
        <v>54930</v>
      </c>
      <c r="M9691" s="92">
        <f t="shared" ca="1" si="313"/>
        <v>6.25</v>
      </c>
      <c r="N9691" s="143">
        <f ca="1">(PRODUCT($O$5:$O9691)-1)*36000/_xlfn.DAYS(L9691, $C$2)</f>
        <v>17.643765256760592</v>
      </c>
      <c r="O9691" s="149">
        <f t="shared" ca="1" si="314"/>
        <v>1.000173611111111</v>
      </c>
    </row>
    <row r="9692" spans="12:15" x14ac:dyDescent="0.25">
      <c r="L9692" s="147">
        <f ca="1"/>
        <v>54931</v>
      </c>
      <c r="M9692" s="92">
        <f t="shared" ca="1" si="313"/>
        <v>6.25</v>
      </c>
      <c r="N9692" s="143">
        <f ca="1">(PRODUCT($O$5:$O9692)-1)*36000/_xlfn.DAYS(L9692, $C$2)</f>
        <v>17.645652024364043</v>
      </c>
      <c r="O9692" s="149">
        <f t="shared" ca="1" si="314"/>
        <v>1.000173611111111</v>
      </c>
    </row>
    <row r="9693" spans="12:15" x14ac:dyDescent="0.25">
      <c r="L9693" s="147">
        <f ca="1"/>
        <v>54932</v>
      </c>
      <c r="M9693" s="92">
        <f t="shared" ca="1" si="313"/>
        <v>6.25</v>
      </c>
      <c r="N9693" s="143">
        <f ca="1">(PRODUCT($O$5:$O9693)-1)*36000/_xlfn.DAYS(L9693, $C$2)</f>
        <v>17.647539046179155</v>
      </c>
      <c r="O9693" s="149">
        <f t="shared" ca="1" si="314"/>
        <v>1.000173611111111</v>
      </c>
    </row>
    <row r="9694" spans="12:15" x14ac:dyDescent="0.25">
      <c r="L9694" s="147">
        <f ca="1"/>
        <v>54933</v>
      </c>
      <c r="M9694" s="92">
        <f t="shared" ca="1" si="313"/>
        <v>6.25</v>
      </c>
      <c r="N9694" s="143">
        <f ca="1">(PRODUCT($O$5:$O9694)-1)*36000/_xlfn.DAYS(L9694, $C$2)</f>
        <v>17.649426322238956</v>
      </c>
      <c r="O9694" s="149">
        <f t="shared" ca="1" si="314"/>
        <v>1.000173611111111</v>
      </c>
    </row>
    <row r="9695" spans="12:15" x14ac:dyDescent="0.25">
      <c r="L9695" s="147">
        <f ca="1"/>
        <v>54934</v>
      </c>
      <c r="M9695" s="92">
        <f t="shared" ca="1" si="313"/>
        <v>6.25</v>
      </c>
      <c r="N9695" s="143">
        <f ca="1">(PRODUCT($O$5:$O9695)-1)*36000/_xlfn.DAYS(L9695, $C$2)</f>
        <v>17.651313852576497</v>
      </c>
      <c r="O9695" s="149">
        <f t="shared" ca="1" si="314"/>
        <v>1.000173611111111</v>
      </c>
    </row>
    <row r="9696" spans="12:15" x14ac:dyDescent="0.25">
      <c r="L9696" s="147">
        <f ca="1"/>
        <v>54935</v>
      </c>
      <c r="M9696" s="92">
        <f t="shared" ca="1" si="313"/>
        <v>6.25</v>
      </c>
      <c r="N9696" s="143">
        <f ca="1">(PRODUCT($O$5:$O9696)-1)*36000/_xlfn.DAYS(L9696, $C$2)</f>
        <v>17.653201637224818</v>
      </c>
      <c r="O9696" s="149">
        <f t="shared" ca="1" si="314"/>
        <v>1.000173611111111</v>
      </c>
    </row>
    <row r="9697" spans="12:15" x14ac:dyDescent="0.25">
      <c r="L9697" s="147">
        <f ca="1"/>
        <v>54936</v>
      </c>
      <c r="M9697" s="92">
        <f t="shared" ca="1" si="313"/>
        <v>6.25</v>
      </c>
      <c r="N9697" s="143">
        <f ca="1">(PRODUCT($O$5:$O9697)-1)*36000/_xlfn.DAYS(L9697, $C$2)</f>
        <v>17.655089676216974</v>
      </c>
      <c r="O9697" s="149">
        <f t="shared" ca="1" si="314"/>
        <v>1.000173611111111</v>
      </c>
    </row>
    <row r="9698" spans="12:15" x14ac:dyDescent="0.25">
      <c r="L9698" s="147">
        <f ca="1"/>
        <v>54937</v>
      </c>
      <c r="M9698" s="92">
        <f t="shared" ca="1" si="313"/>
        <v>6.25</v>
      </c>
      <c r="N9698" s="143">
        <f ca="1">(PRODUCT($O$5:$O9698)-1)*36000/_xlfn.DAYS(L9698, $C$2)</f>
        <v>17.65697796958602</v>
      </c>
      <c r="O9698" s="149">
        <f t="shared" ca="1" si="314"/>
        <v>1.000173611111111</v>
      </c>
    </row>
    <row r="9699" spans="12:15" x14ac:dyDescent="0.25">
      <c r="L9699" s="147">
        <f ca="1"/>
        <v>54938</v>
      </c>
      <c r="M9699" s="92">
        <f t="shared" ca="1" si="313"/>
        <v>6.25</v>
      </c>
      <c r="N9699" s="143">
        <f ca="1">(PRODUCT($O$5:$O9699)-1)*36000/_xlfn.DAYS(L9699, $C$2)</f>
        <v>17.65886651736502</v>
      </c>
      <c r="O9699" s="149">
        <f t="shared" ca="1" si="314"/>
        <v>1.000173611111111</v>
      </c>
    </row>
    <row r="9700" spans="12:15" x14ac:dyDescent="0.25">
      <c r="L9700" s="147">
        <f ca="1"/>
        <v>54939</v>
      </c>
      <c r="M9700" s="92">
        <f t="shared" ca="1" si="313"/>
        <v>6.25</v>
      </c>
      <c r="N9700" s="143">
        <f ca="1">(PRODUCT($O$5:$O9700)-1)*36000/_xlfn.DAYS(L9700, $C$2)</f>
        <v>17.660755319587039</v>
      </c>
      <c r="O9700" s="149">
        <f t="shared" ca="1" si="314"/>
        <v>1.000173611111111</v>
      </c>
    </row>
    <row r="9701" spans="12:15" x14ac:dyDescent="0.25">
      <c r="L9701" s="147">
        <f ca="1"/>
        <v>54940</v>
      </c>
      <c r="M9701" s="92">
        <f t="shared" ca="1" si="313"/>
        <v>6.25</v>
      </c>
      <c r="N9701" s="143">
        <f ca="1">(PRODUCT($O$5:$O9701)-1)*36000/_xlfn.DAYS(L9701, $C$2)</f>
        <v>17.662644376285165</v>
      </c>
      <c r="O9701" s="149">
        <f t="shared" ca="1" si="314"/>
        <v>1.000173611111111</v>
      </c>
    </row>
    <row r="9702" spans="12:15" x14ac:dyDescent="0.25">
      <c r="L9702" s="147">
        <f ca="1"/>
        <v>54941</v>
      </c>
      <c r="M9702" s="92">
        <f t="shared" ca="1" si="313"/>
        <v>6.25</v>
      </c>
      <c r="N9702" s="143">
        <f ca="1">(PRODUCT($O$5:$O9702)-1)*36000/_xlfn.DAYS(L9702, $C$2)</f>
        <v>17.664533687492469</v>
      </c>
      <c r="O9702" s="149">
        <f t="shared" ca="1" si="314"/>
        <v>1.000173611111111</v>
      </c>
    </row>
    <row r="9703" spans="12:15" x14ac:dyDescent="0.25">
      <c r="L9703" s="147">
        <f ca="1"/>
        <v>54942</v>
      </c>
      <c r="M9703" s="92">
        <f t="shared" ca="1" si="313"/>
        <v>6.25</v>
      </c>
      <c r="N9703" s="143">
        <f ca="1">(PRODUCT($O$5:$O9703)-1)*36000/_xlfn.DAYS(L9703, $C$2)</f>
        <v>17.666423253242037</v>
      </c>
      <c r="O9703" s="149">
        <f t="shared" ca="1" si="314"/>
        <v>1.000173611111111</v>
      </c>
    </row>
    <row r="9704" spans="12:15" x14ac:dyDescent="0.25">
      <c r="L9704" s="147">
        <f ca="1"/>
        <v>54943</v>
      </c>
      <c r="M9704" s="92">
        <f t="shared" ca="1" si="313"/>
        <v>6.25</v>
      </c>
      <c r="N9704" s="143">
        <f ca="1">(PRODUCT($O$5:$O9704)-1)*36000/_xlfn.DAYS(L9704, $C$2)</f>
        <v>17.668313073566967</v>
      </c>
      <c r="O9704" s="149">
        <f t="shared" ca="1" si="314"/>
        <v>1.000173611111111</v>
      </c>
    </row>
    <row r="9705" spans="12:15" x14ac:dyDescent="0.25">
      <c r="L9705" s="147">
        <f ca="1"/>
        <v>54944</v>
      </c>
      <c r="M9705" s="92">
        <f t="shared" ca="1" si="313"/>
        <v>6.25</v>
      </c>
      <c r="N9705" s="143">
        <f ca="1">(PRODUCT($O$5:$O9705)-1)*36000/_xlfn.DAYS(L9705, $C$2)</f>
        <v>17.670203148500356</v>
      </c>
      <c r="O9705" s="149">
        <f t="shared" ca="1" si="314"/>
        <v>1.000173611111111</v>
      </c>
    </row>
    <row r="9706" spans="12:15" x14ac:dyDescent="0.25">
      <c r="L9706" s="147">
        <f ca="1"/>
        <v>54945</v>
      </c>
      <c r="M9706" s="92">
        <f t="shared" ca="1" si="313"/>
        <v>6.25</v>
      </c>
      <c r="N9706" s="143">
        <f ca="1">(PRODUCT($O$5:$O9706)-1)*36000/_xlfn.DAYS(L9706, $C$2)</f>
        <v>17.672093478075301</v>
      </c>
      <c r="O9706" s="149">
        <f t="shared" ca="1" si="314"/>
        <v>1.000173611111111</v>
      </c>
    </row>
    <row r="9707" spans="12:15" x14ac:dyDescent="0.25">
      <c r="L9707" s="147">
        <f ca="1"/>
        <v>54946</v>
      </c>
      <c r="M9707" s="92">
        <f t="shared" ca="1" si="313"/>
        <v>6.25</v>
      </c>
      <c r="N9707" s="143">
        <f ca="1">(PRODUCT($O$5:$O9707)-1)*36000/_xlfn.DAYS(L9707, $C$2)</f>
        <v>17.673984062324916</v>
      </c>
      <c r="O9707" s="149">
        <f t="shared" ca="1" si="314"/>
        <v>1.000173611111111</v>
      </c>
    </row>
    <row r="9708" spans="12:15" x14ac:dyDescent="0.25">
      <c r="L9708" s="147">
        <f ca="1"/>
        <v>54947</v>
      </c>
      <c r="M9708" s="92">
        <f t="shared" ca="1" si="313"/>
        <v>6.25</v>
      </c>
      <c r="N9708" s="143">
        <f ca="1">(PRODUCT($O$5:$O9708)-1)*36000/_xlfn.DAYS(L9708, $C$2)</f>
        <v>17.675874901282324</v>
      </c>
      <c r="O9708" s="149">
        <f t="shared" ca="1" si="314"/>
        <v>1.000173611111111</v>
      </c>
    </row>
    <row r="9709" spans="12:15" x14ac:dyDescent="0.25">
      <c r="L9709" s="147">
        <f ca="1"/>
        <v>54948</v>
      </c>
      <c r="M9709" s="92">
        <f t="shared" ca="1" si="313"/>
        <v>6.25</v>
      </c>
      <c r="N9709" s="143">
        <f ca="1">(PRODUCT($O$5:$O9709)-1)*36000/_xlfn.DAYS(L9709, $C$2)</f>
        <v>17.677765994980636</v>
      </c>
      <c r="O9709" s="149">
        <f t="shared" ca="1" si="314"/>
        <v>1.000173611111111</v>
      </c>
    </row>
    <row r="9710" spans="12:15" x14ac:dyDescent="0.25">
      <c r="L9710" s="147">
        <f ca="1"/>
        <v>54949</v>
      </c>
      <c r="M9710" s="92">
        <f t="shared" ca="1" si="313"/>
        <v>6.25</v>
      </c>
      <c r="N9710" s="143">
        <f ca="1">(PRODUCT($O$5:$O9710)-1)*36000/_xlfn.DAYS(L9710, $C$2)</f>
        <v>17.67965734345298</v>
      </c>
      <c r="O9710" s="149">
        <f t="shared" ca="1" si="314"/>
        <v>1.000173611111111</v>
      </c>
    </row>
    <row r="9711" spans="12:15" x14ac:dyDescent="0.25">
      <c r="L9711" s="147">
        <f ca="1"/>
        <v>54950</v>
      </c>
      <c r="M9711" s="92">
        <f t="shared" ca="1" si="313"/>
        <v>6.25</v>
      </c>
      <c r="N9711" s="143">
        <f ca="1">(PRODUCT($O$5:$O9711)-1)*36000/_xlfn.DAYS(L9711, $C$2)</f>
        <v>17.681548946732494</v>
      </c>
      <c r="O9711" s="149">
        <f t="shared" ca="1" si="314"/>
        <v>1.000173611111111</v>
      </c>
    </row>
    <row r="9712" spans="12:15" x14ac:dyDescent="0.25">
      <c r="L9712" s="147">
        <f ca="1"/>
        <v>54951</v>
      </c>
      <c r="M9712" s="92">
        <f t="shared" ca="1" si="313"/>
        <v>6.25</v>
      </c>
      <c r="N9712" s="143">
        <f ca="1">(PRODUCT($O$5:$O9712)-1)*36000/_xlfn.DAYS(L9712, $C$2)</f>
        <v>17.68344080485231</v>
      </c>
      <c r="O9712" s="149">
        <f t="shared" ca="1" si="314"/>
        <v>1.000173611111111</v>
      </c>
    </row>
    <row r="9713" spans="12:15" x14ac:dyDescent="0.25">
      <c r="L9713" s="147">
        <f ca="1"/>
        <v>54952</v>
      </c>
      <c r="M9713" s="92">
        <f t="shared" ca="1" si="313"/>
        <v>6.25</v>
      </c>
      <c r="N9713" s="143">
        <f ca="1">(PRODUCT($O$5:$O9713)-1)*36000/_xlfn.DAYS(L9713, $C$2)</f>
        <v>17.685332917845578</v>
      </c>
      <c r="O9713" s="149">
        <f t="shared" ca="1" si="314"/>
        <v>1.000173611111111</v>
      </c>
    </row>
    <row r="9714" spans="12:15" x14ac:dyDescent="0.25">
      <c r="L9714" s="147">
        <f ca="1"/>
        <v>54953</v>
      </c>
      <c r="M9714" s="92">
        <f t="shared" ca="1" si="313"/>
        <v>6.25</v>
      </c>
      <c r="N9714" s="143">
        <f ca="1">(PRODUCT($O$5:$O9714)-1)*36000/_xlfn.DAYS(L9714, $C$2)</f>
        <v>17.687225285745448</v>
      </c>
      <c r="O9714" s="149">
        <f t="shared" ca="1" si="314"/>
        <v>1.000173611111111</v>
      </c>
    </row>
    <row r="9715" spans="12:15" x14ac:dyDescent="0.25">
      <c r="L9715" s="147">
        <f ca="1"/>
        <v>54954</v>
      </c>
      <c r="M9715" s="92">
        <f t="shared" ca="1" si="313"/>
        <v>6.25</v>
      </c>
      <c r="N9715" s="143">
        <f ca="1">(PRODUCT($O$5:$O9715)-1)*36000/_xlfn.DAYS(L9715, $C$2)</f>
        <v>17.689117908585068</v>
      </c>
      <c r="O9715" s="149">
        <f t="shared" ca="1" si="314"/>
        <v>1.000173611111111</v>
      </c>
    </row>
    <row r="9716" spans="12:15" x14ac:dyDescent="0.25">
      <c r="L9716" s="147">
        <f ca="1"/>
        <v>54955</v>
      </c>
      <c r="M9716" s="92">
        <f t="shared" ca="1" si="313"/>
        <v>6.25</v>
      </c>
      <c r="N9716" s="143">
        <f ca="1">(PRODUCT($O$5:$O9716)-1)*36000/_xlfn.DAYS(L9716, $C$2)</f>
        <v>17.691010786397612</v>
      </c>
      <c r="O9716" s="149">
        <f t="shared" ca="1" si="314"/>
        <v>1.000173611111111</v>
      </c>
    </row>
    <row r="9717" spans="12:15" x14ac:dyDescent="0.25">
      <c r="L9717" s="147">
        <f ca="1"/>
        <v>54956</v>
      </c>
      <c r="M9717" s="92">
        <f t="shared" ca="1" si="313"/>
        <v>6.25</v>
      </c>
      <c r="N9717" s="143">
        <f ca="1">(PRODUCT($O$5:$O9717)-1)*36000/_xlfn.DAYS(L9717, $C$2)</f>
        <v>17.692903919216239</v>
      </c>
      <c r="O9717" s="149">
        <f t="shared" ca="1" si="314"/>
        <v>1.000173611111111</v>
      </c>
    </row>
    <row r="9718" spans="12:15" x14ac:dyDescent="0.25">
      <c r="L9718" s="147">
        <f ca="1"/>
        <v>54957</v>
      </c>
      <c r="M9718" s="92">
        <f t="shared" ca="1" si="313"/>
        <v>6.25</v>
      </c>
      <c r="N9718" s="143">
        <f ca="1">(PRODUCT($O$5:$O9718)-1)*36000/_xlfn.DAYS(L9718, $C$2)</f>
        <v>17.694797307074122</v>
      </c>
      <c r="O9718" s="149">
        <f t="shared" ca="1" si="314"/>
        <v>1.000173611111111</v>
      </c>
    </row>
    <row r="9719" spans="12:15" x14ac:dyDescent="0.25">
      <c r="L9719" s="147">
        <f ca="1"/>
        <v>54958</v>
      </c>
      <c r="M9719" s="92">
        <f t="shared" ca="1" si="313"/>
        <v>6.25</v>
      </c>
      <c r="N9719" s="143">
        <f ca="1">(PRODUCT($O$5:$O9719)-1)*36000/_xlfn.DAYS(L9719, $C$2)</f>
        <v>17.696690950004442</v>
      </c>
      <c r="O9719" s="149">
        <f t="shared" ca="1" si="314"/>
        <v>1.000173611111111</v>
      </c>
    </row>
    <row r="9720" spans="12:15" x14ac:dyDescent="0.25">
      <c r="L9720" s="147">
        <f ca="1"/>
        <v>54959</v>
      </c>
      <c r="M9720" s="92">
        <f t="shared" ca="1" si="313"/>
        <v>6.25</v>
      </c>
      <c r="N9720" s="143">
        <f ca="1">(PRODUCT($O$5:$O9720)-1)*36000/_xlfn.DAYS(L9720, $C$2)</f>
        <v>17.698584848040387</v>
      </c>
      <c r="O9720" s="149">
        <f t="shared" ca="1" si="314"/>
        <v>1.000173611111111</v>
      </c>
    </row>
    <row r="9721" spans="12:15" x14ac:dyDescent="0.25">
      <c r="L9721" s="147">
        <f ca="1"/>
        <v>54960</v>
      </c>
      <c r="M9721" s="92">
        <f t="shared" ca="1" si="313"/>
        <v>6.25</v>
      </c>
      <c r="N9721" s="143">
        <f ca="1">(PRODUCT($O$5:$O9721)-1)*36000/_xlfn.DAYS(L9721, $C$2)</f>
        <v>17.70047900121514</v>
      </c>
      <c r="O9721" s="149">
        <f t="shared" ca="1" si="314"/>
        <v>1.000173611111111</v>
      </c>
    </row>
    <row r="9722" spans="12:15" x14ac:dyDescent="0.25">
      <c r="L9722" s="147">
        <f ca="1"/>
        <v>54961</v>
      </c>
      <c r="M9722" s="92">
        <f t="shared" ca="1" si="313"/>
        <v>6.25</v>
      </c>
      <c r="N9722" s="143">
        <f ca="1">(PRODUCT($O$5:$O9722)-1)*36000/_xlfn.DAYS(L9722, $C$2)</f>
        <v>17.702373409561904</v>
      </c>
      <c r="O9722" s="149">
        <f t="shared" ca="1" si="314"/>
        <v>1.000173611111111</v>
      </c>
    </row>
    <row r="9723" spans="12:15" x14ac:dyDescent="0.25">
      <c r="L9723" s="147">
        <f ca="1"/>
        <v>54962</v>
      </c>
      <c r="M9723" s="92">
        <f t="shared" ca="1" si="313"/>
        <v>6.25</v>
      </c>
      <c r="N9723" s="143">
        <f ca="1">(PRODUCT($O$5:$O9723)-1)*36000/_xlfn.DAYS(L9723, $C$2)</f>
        <v>17.704268073113873</v>
      </c>
      <c r="O9723" s="149">
        <f t="shared" ca="1" si="314"/>
        <v>1.000173611111111</v>
      </c>
    </row>
    <row r="9724" spans="12:15" x14ac:dyDescent="0.25">
      <c r="L9724" s="147">
        <f ca="1"/>
        <v>54963</v>
      </c>
      <c r="M9724" s="92">
        <f t="shared" ca="1" si="313"/>
        <v>6.25</v>
      </c>
      <c r="N9724" s="143">
        <f ca="1">(PRODUCT($O$5:$O9724)-1)*36000/_xlfn.DAYS(L9724, $C$2)</f>
        <v>17.706162991904261</v>
      </c>
      <c r="O9724" s="149">
        <f t="shared" ca="1" si="314"/>
        <v>1.000173611111111</v>
      </c>
    </row>
    <row r="9725" spans="12:15" x14ac:dyDescent="0.25">
      <c r="L9725" s="147">
        <f ca="1"/>
        <v>54964</v>
      </c>
      <c r="M9725" s="92">
        <f t="shared" ca="1" si="313"/>
        <v>6.25</v>
      </c>
      <c r="N9725" s="143">
        <f ca="1">(PRODUCT($O$5:$O9725)-1)*36000/_xlfn.DAYS(L9725, $C$2)</f>
        <v>17.708058165966285</v>
      </c>
      <c r="O9725" s="149">
        <f t="shared" ca="1" si="314"/>
        <v>1.000173611111111</v>
      </c>
    </row>
    <row r="9726" spans="12:15" x14ac:dyDescent="0.25">
      <c r="L9726" s="147">
        <f ca="1"/>
        <v>54965</v>
      </c>
      <c r="M9726" s="92">
        <f t="shared" ca="1" si="313"/>
        <v>6.25</v>
      </c>
      <c r="N9726" s="143">
        <f ca="1">(PRODUCT($O$5:$O9726)-1)*36000/_xlfn.DAYS(L9726, $C$2)</f>
        <v>17.709953595333157</v>
      </c>
      <c r="O9726" s="149">
        <f t="shared" ca="1" si="314"/>
        <v>1.000173611111111</v>
      </c>
    </row>
    <row r="9727" spans="12:15" x14ac:dyDescent="0.25">
      <c r="L9727" s="147">
        <f ca="1"/>
        <v>54966</v>
      </c>
      <c r="M9727" s="92">
        <f t="shared" ca="1" si="313"/>
        <v>6.25</v>
      </c>
      <c r="N9727" s="143">
        <f ca="1">(PRODUCT($O$5:$O9727)-1)*36000/_xlfn.DAYS(L9727, $C$2)</f>
        <v>17.711849280038106</v>
      </c>
      <c r="O9727" s="149">
        <f t="shared" ca="1" si="314"/>
        <v>1.000173611111111</v>
      </c>
    </row>
    <row r="9728" spans="12:15" x14ac:dyDescent="0.25">
      <c r="L9728" s="147">
        <f ca="1"/>
        <v>54967</v>
      </c>
      <c r="M9728" s="92">
        <f t="shared" ca="1" si="313"/>
        <v>6.25</v>
      </c>
      <c r="N9728" s="143">
        <f ca="1">(PRODUCT($O$5:$O9728)-1)*36000/_xlfn.DAYS(L9728, $C$2)</f>
        <v>17.713745220114362</v>
      </c>
      <c r="O9728" s="149">
        <f t="shared" ca="1" si="314"/>
        <v>1.000173611111111</v>
      </c>
    </row>
    <row r="9729" spans="12:15" x14ac:dyDescent="0.25">
      <c r="L9729" s="147">
        <f ca="1"/>
        <v>54968</v>
      </c>
      <c r="M9729" s="92">
        <f t="shared" ca="1" si="313"/>
        <v>6.25</v>
      </c>
      <c r="N9729" s="143">
        <f ca="1">(PRODUCT($O$5:$O9729)-1)*36000/_xlfn.DAYS(L9729, $C$2)</f>
        <v>17.715641415595158</v>
      </c>
      <c r="O9729" s="149">
        <f t="shared" ca="1" si="314"/>
        <v>1.000173611111111</v>
      </c>
    </row>
    <row r="9730" spans="12:15" x14ac:dyDescent="0.25">
      <c r="L9730" s="147">
        <f ca="1"/>
        <v>54969</v>
      </c>
      <c r="M9730" s="92">
        <f t="shared" ca="1" si="313"/>
        <v>6.25</v>
      </c>
      <c r="N9730" s="143">
        <f ca="1">(PRODUCT($O$5:$O9730)-1)*36000/_xlfn.DAYS(L9730, $C$2)</f>
        <v>17.717537866513744</v>
      </c>
      <c r="O9730" s="149">
        <f t="shared" ca="1" si="314"/>
        <v>1.000173611111111</v>
      </c>
    </row>
    <row r="9731" spans="12:15" x14ac:dyDescent="0.25">
      <c r="L9731" s="147">
        <f ca="1"/>
        <v>54970</v>
      </c>
      <c r="M9731" s="92">
        <f t="shared" ca="1" si="313"/>
        <v>6.25</v>
      </c>
      <c r="N9731" s="143">
        <f ca="1">(PRODUCT($O$5:$O9731)-1)*36000/_xlfn.DAYS(L9731, $C$2)</f>
        <v>17.71943457290336</v>
      </c>
      <c r="O9731" s="149">
        <f t="shared" ca="1" si="314"/>
        <v>1.000173611111111</v>
      </c>
    </row>
    <row r="9732" spans="12:15" x14ac:dyDescent="0.25">
      <c r="L9732" s="147">
        <f ca="1"/>
        <v>54971</v>
      </c>
      <c r="M9732" s="92">
        <f t="shared" ca="1" si="313"/>
        <v>6.25</v>
      </c>
      <c r="N9732" s="143">
        <f ca="1">(PRODUCT($O$5:$O9732)-1)*36000/_xlfn.DAYS(L9732, $C$2)</f>
        <v>17.721331534797269</v>
      </c>
      <c r="O9732" s="149">
        <f t="shared" ca="1" si="314"/>
        <v>1.000173611111111</v>
      </c>
    </row>
    <row r="9733" spans="12:15" x14ac:dyDescent="0.25">
      <c r="L9733" s="147">
        <f ca="1"/>
        <v>54972</v>
      </c>
      <c r="M9733" s="92">
        <f t="shared" ref="M9733:M9796" ca="1" si="315">IFERROR(INDEX($E$27:$H$47, MATCH(L9733, $F$27:$F$47, 0), 4), IF(ISNUMBER(M9732), M9732, $C$5))</f>
        <v>6.25</v>
      </c>
      <c r="N9733" s="143">
        <f ca="1">(PRODUCT($O$5:$O9733)-1)*36000/_xlfn.DAYS(L9733, $C$2)</f>
        <v>17.723228752228724</v>
      </c>
      <c r="O9733" s="149">
        <f t="shared" ca="1" si="314"/>
        <v>1.000173611111111</v>
      </c>
    </row>
    <row r="9734" spans="12:15" x14ac:dyDescent="0.25">
      <c r="L9734" s="147">
        <f ca="1"/>
        <v>54973</v>
      </c>
      <c r="M9734" s="92">
        <f t="shared" ca="1" si="315"/>
        <v>6.25</v>
      </c>
      <c r="N9734" s="143">
        <f ca="1">(PRODUCT($O$5:$O9734)-1)*36000/_xlfn.DAYS(L9734, $C$2)</f>
        <v>17.725126225230991</v>
      </c>
      <c r="O9734" s="149">
        <f t="shared" ref="O9734:O9797" ca="1" si="316">1+M9734*IFERROR(_xlfn.DAYS(L9734, L9733), _xlfn.DAYS(L9734, $C$2))/36000</f>
        <v>1.000173611111111</v>
      </c>
    </row>
    <row r="9735" spans="12:15" x14ac:dyDescent="0.25">
      <c r="L9735" s="147">
        <f ca="1"/>
        <v>54974</v>
      </c>
      <c r="M9735" s="92">
        <f t="shared" ca="1" si="315"/>
        <v>6.25</v>
      </c>
      <c r="N9735" s="143">
        <f ca="1">(PRODUCT($O$5:$O9735)-1)*36000/_xlfn.DAYS(L9735, $C$2)</f>
        <v>17.727023953837346</v>
      </c>
      <c r="O9735" s="149">
        <f t="shared" ca="1" si="316"/>
        <v>1.000173611111111</v>
      </c>
    </row>
    <row r="9736" spans="12:15" x14ac:dyDescent="0.25">
      <c r="L9736" s="147">
        <f ca="1"/>
        <v>54975</v>
      </c>
      <c r="M9736" s="92">
        <f t="shared" ca="1" si="315"/>
        <v>6.25</v>
      </c>
      <c r="N9736" s="143">
        <f ca="1">(PRODUCT($O$5:$O9736)-1)*36000/_xlfn.DAYS(L9736, $C$2)</f>
        <v>17.728921938081061</v>
      </c>
      <c r="O9736" s="149">
        <f t="shared" ca="1" si="316"/>
        <v>1.000173611111111</v>
      </c>
    </row>
    <row r="9737" spans="12:15" x14ac:dyDescent="0.25">
      <c r="L9737" s="147">
        <f ca="1"/>
        <v>54976</v>
      </c>
      <c r="M9737" s="92">
        <f t="shared" ca="1" si="315"/>
        <v>6.25</v>
      </c>
      <c r="N9737" s="143">
        <f ca="1">(PRODUCT($O$5:$O9737)-1)*36000/_xlfn.DAYS(L9737, $C$2)</f>
        <v>17.730820177995419</v>
      </c>
      <c r="O9737" s="149">
        <f t="shared" ca="1" si="316"/>
        <v>1.000173611111111</v>
      </c>
    </row>
    <row r="9738" spans="12:15" x14ac:dyDescent="0.25">
      <c r="L9738" s="147">
        <f ca="1"/>
        <v>54977</v>
      </c>
      <c r="M9738" s="92">
        <f t="shared" ca="1" si="315"/>
        <v>6.25</v>
      </c>
      <c r="N9738" s="143">
        <f ca="1">(PRODUCT($O$5:$O9738)-1)*36000/_xlfn.DAYS(L9738, $C$2)</f>
        <v>17.732718673613711</v>
      </c>
      <c r="O9738" s="149">
        <f t="shared" ca="1" si="316"/>
        <v>1.000173611111111</v>
      </c>
    </row>
    <row r="9739" spans="12:15" x14ac:dyDescent="0.25">
      <c r="L9739" s="147">
        <f ca="1"/>
        <v>54978</v>
      </c>
      <c r="M9739" s="92">
        <f t="shared" ca="1" si="315"/>
        <v>6.25</v>
      </c>
      <c r="N9739" s="143">
        <f ca="1">(PRODUCT($O$5:$O9739)-1)*36000/_xlfn.DAYS(L9739, $C$2)</f>
        <v>17.73461742496923</v>
      </c>
      <c r="O9739" s="149">
        <f t="shared" ca="1" si="316"/>
        <v>1.000173611111111</v>
      </c>
    </row>
    <row r="9740" spans="12:15" x14ac:dyDescent="0.25">
      <c r="L9740" s="147">
        <f ca="1"/>
        <v>54979</v>
      </c>
      <c r="M9740" s="92">
        <f t="shared" ca="1" si="315"/>
        <v>6.25</v>
      </c>
      <c r="N9740" s="143">
        <f ca="1">(PRODUCT($O$5:$O9740)-1)*36000/_xlfn.DAYS(L9740, $C$2)</f>
        <v>17.736516432095279</v>
      </c>
      <c r="O9740" s="149">
        <f t="shared" ca="1" si="316"/>
        <v>1.000173611111111</v>
      </c>
    </row>
    <row r="9741" spans="12:15" x14ac:dyDescent="0.25">
      <c r="L9741" s="147">
        <f ca="1"/>
        <v>54980</v>
      </c>
      <c r="M9741" s="92">
        <f t="shared" ca="1" si="315"/>
        <v>6.25</v>
      </c>
      <c r="N9741" s="143">
        <f ca="1">(PRODUCT($O$5:$O9741)-1)*36000/_xlfn.DAYS(L9741, $C$2)</f>
        <v>17.738415695025161</v>
      </c>
      <c r="O9741" s="149">
        <f t="shared" ca="1" si="316"/>
        <v>1.000173611111111</v>
      </c>
    </row>
    <row r="9742" spans="12:15" x14ac:dyDescent="0.25">
      <c r="L9742" s="147">
        <f ca="1"/>
        <v>54981</v>
      </c>
      <c r="M9742" s="92">
        <f t="shared" ca="1" si="315"/>
        <v>6.25</v>
      </c>
      <c r="N9742" s="143">
        <f ca="1">(PRODUCT($O$5:$O9742)-1)*36000/_xlfn.DAYS(L9742, $C$2)</f>
        <v>17.740315213792186</v>
      </c>
      <c r="O9742" s="149">
        <f t="shared" ca="1" si="316"/>
        <v>1.000173611111111</v>
      </c>
    </row>
    <row r="9743" spans="12:15" x14ac:dyDescent="0.25">
      <c r="L9743" s="147">
        <f ca="1"/>
        <v>54982</v>
      </c>
      <c r="M9743" s="92">
        <f t="shared" ca="1" si="315"/>
        <v>6.25</v>
      </c>
      <c r="N9743" s="143">
        <f ca="1">(PRODUCT($O$5:$O9743)-1)*36000/_xlfn.DAYS(L9743, $C$2)</f>
        <v>17.742214988429676</v>
      </c>
      <c r="O9743" s="149">
        <f t="shared" ca="1" si="316"/>
        <v>1.000173611111111</v>
      </c>
    </row>
    <row r="9744" spans="12:15" x14ac:dyDescent="0.25">
      <c r="L9744" s="147">
        <f ca="1"/>
        <v>54983</v>
      </c>
      <c r="M9744" s="92">
        <f t="shared" ca="1" si="315"/>
        <v>6.25</v>
      </c>
      <c r="N9744" s="143">
        <f ca="1">(PRODUCT($O$5:$O9744)-1)*36000/_xlfn.DAYS(L9744, $C$2)</f>
        <v>17.744115018970948</v>
      </c>
      <c r="O9744" s="149">
        <f t="shared" ca="1" si="316"/>
        <v>1.000173611111111</v>
      </c>
    </row>
    <row r="9745" spans="12:15" x14ac:dyDescent="0.25">
      <c r="L9745" s="147">
        <f ca="1"/>
        <v>54984</v>
      </c>
      <c r="M9745" s="92">
        <f t="shared" ca="1" si="315"/>
        <v>6.25</v>
      </c>
      <c r="N9745" s="143">
        <f ca="1">(PRODUCT($O$5:$O9745)-1)*36000/_xlfn.DAYS(L9745, $C$2)</f>
        <v>17.74601530544934</v>
      </c>
      <c r="O9745" s="149">
        <f t="shared" ca="1" si="316"/>
        <v>1.000173611111111</v>
      </c>
    </row>
    <row r="9746" spans="12:15" x14ac:dyDescent="0.25">
      <c r="L9746" s="147">
        <f ca="1"/>
        <v>54985</v>
      </c>
      <c r="M9746" s="92">
        <f t="shared" ca="1" si="315"/>
        <v>6.25</v>
      </c>
      <c r="N9746" s="143">
        <f ca="1">(PRODUCT($O$5:$O9746)-1)*36000/_xlfn.DAYS(L9746, $C$2)</f>
        <v>17.747915847898181</v>
      </c>
      <c r="O9746" s="149">
        <f t="shared" ca="1" si="316"/>
        <v>1.000173611111111</v>
      </c>
    </row>
    <row r="9747" spans="12:15" x14ac:dyDescent="0.25">
      <c r="L9747" s="147">
        <f ca="1"/>
        <v>54986</v>
      </c>
      <c r="M9747" s="92">
        <f t="shared" ca="1" si="315"/>
        <v>6.25</v>
      </c>
      <c r="N9747" s="143">
        <f ca="1">(PRODUCT($O$5:$O9747)-1)*36000/_xlfn.DAYS(L9747, $C$2)</f>
        <v>17.749816646350812</v>
      </c>
      <c r="O9747" s="149">
        <f t="shared" ca="1" si="316"/>
        <v>1.000173611111111</v>
      </c>
    </row>
    <row r="9748" spans="12:15" x14ac:dyDescent="0.25">
      <c r="L9748" s="147">
        <f ca="1"/>
        <v>54987</v>
      </c>
      <c r="M9748" s="92">
        <f t="shared" ca="1" si="315"/>
        <v>6.25</v>
      </c>
      <c r="N9748" s="143">
        <f ca="1">(PRODUCT($O$5:$O9748)-1)*36000/_xlfn.DAYS(L9748, $C$2)</f>
        <v>17.751717700840587</v>
      </c>
      <c r="O9748" s="149">
        <f t="shared" ca="1" si="316"/>
        <v>1.000173611111111</v>
      </c>
    </row>
    <row r="9749" spans="12:15" x14ac:dyDescent="0.25">
      <c r="L9749" s="147">
        <f ca="1"/>
        <v>54988</v>
      </c>
      <c r="M9749" s="92">
        <f t="shared" ca="1" si="315"/>
        <v>6.25</v>
      </c>
      <c r="N9749" s="143">
        <f ca="1">(PRODUCT($O$5:$O9749)-1)*36000/_xlfn.DAYS(L9749, $C$2)</f>
        <v>17.753619011400843</v>
      </c>
      <c r="O9749" s="149">
        <f t="shared" ca="1" si="316"/>
        <v>1.000173611111111</v>
      </c>
    </row>
    <row r="9750" spans="12:15" x14ac:dyDescent="0.25">
      <c r="L9750" s="147">
        <f ca="1"/>
        <v>54989</v>
      </c>
      <c r="M9750" s="92">
        <f t="shared" ca="1" si="315"/>
        <v>6.25</v>
      </c>
      <c r="N9750" s="143">
        <f ca="1">(PRODUCT($O$5:$O9750)-1)*36000/_xlfn.DAYS(L9750, $C$2)</f>
        <v>17.755520578064949</v>
      </c>
      <c r="O9750" s="149">
        <f t="shared" ca="1" si="316"/>
        <v>1.000173611111111</v>
      </c>
    </row>
    <row r="9751" spans="12:15" x14ac:dyDescent="0.25">
      <c r="L9751" s="147">
        <f ca="1"/>
        <v>54990</v>
      </c>
      <c r="M9751" s="92">
        <f t="shared" ca="1" si="315"/>
        <v>6.25</v>
      </c>
      <c r="N9751" s="143">
        <f ca="1">(PRODUCT($O$5:$O9751)-1)*36000/_xlfn.DAYS(L9751, $C$2)</f>
        <v>17.757422400866268</v>
      </c>
      <c r="O9751" s="149">
        <f t="shared" ca="1" si="316"/>
        <v>1.000173611111111</v>
      </c>
    </row>
    <row r="9752" spans="12:15" x14ac:dyDescent="0.25">
      <c r="L9752" s="147">
        <f ca="1"/>
        <v>54991</v>
      </c>
      <c r="M9752" s="92">
        <f t="shared" ca="1" si="315"/>
        <v>6.25</v>
      </c>
      <c r="N9752" s="143">
        <f ca="1">(PRODUCT($O$5:$O9752)-1)*36000/_xlfn.DAYS(L9752, $C$2)</f>
        <v>17.75932447983817</v>
      </c>
      <c r="O9752" s="149">
        <f t="shared" ca="1" si="316"/>
        <v>1.000173611111111</v>
      </c>
    </row>
    <row r="9753" spans="12:15" x14ac:dyDescent="0.25">
      <c r="L9753" s="147">
        <f ca="1"/>
        <v>54992</v>
      </c>
      <c r="M9753" s="92">
        <f t="shared" ca="1" si="315"/>
        <v>6.25</v>
      </c>
      <c r="N9753" s="143">
        <f ca="1">(PRODUCT($O$5:$O9753)-1)*36000/_xlfn.DAYS(L9753, $C$2)</f>
        <v>17.761226815014027</v>
      </c>
      <c r="O9753" s="149">
        <f t="shared" ca="1" si="316"/>
        <v>1.000173611111111</v>
      </c>
    </row>
    <row r="9754" spans="12:15" x14ac:dyDescent="0.25">
      <c r="L9754" s="147">
        <f ca="1"/>
        <v>54993</v>
      </c>
      <c r="M9754" s="92">
        <f t="shared" ca="1" si="315"/>
        <v>6.25</v>
      </c>
      <c r="N9754" s="143">
        <f ca="1">(PRODUCT($O$5:$O9754)-1)*36000/_xlfn.DAYS(L9754, $C$2)</f>
        <v>17.763129406427222</v>
      </c>
      <c r="O9754" s="149">
        <f t="shared" ca="1" si="316"/>
        <v>1.000173611111111</v>
      </c>
    </row>
    <row r="9755" spans="12:15" x14ac:dyDescent="0.25">
      <c r="L9755" s="147">
        <f ca="1"/>
        <v>54994</v>
      </c>
      <c r="M9755" s="92">
        <f t="shared" ca="1" si="315"/>
        <v>6.25</v>
      </c>
      <c r="N9755" s="143">
        <f ca="1">(PRODUCT($O$5:$O9755)-1)*36000/_xlfn.DAYS(L9755, $C$2)</f>
        <v>17.765032254111144</v>
      </c>
      <c r="O9755" s="149">
        <f t="shared" ca="1" si="316"/>
        <v>1.000173611111111</v>
      </c>
    </row>
    <row r="9756" spans="12:15" x14ac:dyDescent="0.25">
      <c r="L9756" s="147">
        <f ca="1"/>
        <v>54995</v>
      </c>
      <c r="M9756" s="92">
        <f t="shared" ca="1" si="315"/>
        <v>6.25</v>
      </c>
      <c r="N9756" s="143">
        <f ca="1">(PRODUCT($O$5:$O9756)-1)*36000/_xlfn.DAYS(L9756, $C$2)</f>
        <v>17.766935358099179</v>
      </c>
      <c r="O9756" s="149">
        <f t="shared" ca="1" si="316"/>
        <v>1.000173611111111</v>
      </c>
    </row>
    <row r="9757" spans="12:15" x14ac:dyDescent="0.25">
      <c r="L9757" s="147">
        <f ca="1"/>
        <v>54996</v>
      </c>
      <c r="M9757" s="92">
        <f t="shared" ca="1" si="315"/>
        <v>6.25</v>
      </c>
      <c r="N9757" s="143">
        <f ca="1">(PRODUCT($O$5:$O9757)-1)*36000/_xlfn.DAYS(L9757, $C$2)</f>
        <v>17.768838718424735</v>
      </c>
      <c r="O9757" s="149">
        <f t="shared" ca="1" si="316"/>
        <v>1.000173611111111</v>
      </c>
    </row>
    <row r="9758" spans="12:15" x14ac:dyDescent="0.25">
      <c r="L9758" s="147">
        <f ca="1"/>
        <v>54997</v>
      </c>
      <c r="M9758" s="92">
        <f t="shared" ca="1" si="315"/>
        <v>6.25</v>
      </c>
      <c r="N9758" s="143">
        <f ca="1">(PRODUCT($O$5:$O9758)-1)*36000/_xlfn.DAYS(L9758, $C$2)</f>
        <v>17.770742335121206</v>
      </c>
      <c r="O9758" s="149">
        <f t="shared" ca="1" si="316"/>
        <v>1.000173611111111</v>
      </c>
    </row>
    <row r="9759" spans="12:15" x14ac:dyDescent="0.25">
      <c r="L9759" s="147">
        <f ca="1"/>
        <v>54998</v>
      </c>
      <c r="M9759" s="92">
        <f t="shared" ca="1" si="315"/>
        <v>6.25</v>
      </c>
      <c r="N9759" s="143">
        <f ca="1">(PRODUCT($O$5:$O9759)-1)*36000/_xlfn.DAYS(L9759, $C$2)</f>
        <v>17.772646208222007</v>
      </c>
      <c r="O9759" s="149">
        <f t="shared" ca="1" si="316"/>
        <v>1.000173611111111</v>
      </c>
    </row>
    <row r="9760" spans="12:15" x14ac:dyDescent="0.25">
      <c r="L9760" s="147">
        <f ca="1"/>
        <v>54999</v>
      </c>
      <c r="M9760" s="92">
        <f t="shared" ca="1" si="315"/>
        <v>6.25</v>
      </c>
      <c r="N9760" s="143">
        <f ca="1">(PRODUCT($O$5:$O9760)-1)*36000/_xlfn.DAYS(L9760, $C$2)</f>
        <v>17.774550337760555</v>
      </c>
      <c r="O9760" s="149">
        <f t="shared" ca="1" si="316"/>
        <v>1.000173611111111</v>
      </c>
    </row>
    <row r="9761" spans="12:15" x14ac:dyDescent="0.25">
      <c r="L9761" s="147">
        <f ca="1"/>
        <v>55000</v>
      </c>
      <c r="M9761" s="92">
        <f t="shared" ca="1" si="315"/>
        <v>6.25</v>
      </c>
      <c r="N9761" s="143">
        <f ca="1">(PRODUCT($O$5:$O9761)-1)*36000/_xlfn.DAYS(L9761, $C$2)</f>
        <v>17.776454723770271</v>
      </c>
      <c r="O9761" s="149">
        <f t="shared" ca="1" si="316"/>
        <v>1.000173611111111</v>
      </c>
    </row>
    <row r="9762" spans="12:15" x14ac:dyDescent="0.25">
      <c r="L9762" s="147">
        <f ca="1"/>
        <v>55001</v>
      </c>
      <c r="M9762" s="92">
        <f t="shared" ca="1" si="315"/>
        <v>6.25</v>
      </c>
      <c r="N9762" s="143">
        <f ca="1">(PRODUCT($O$5:$O9762)-1)*36000/_xlfn.DAYS(L9762, $C$2)</f>
        <v>17.778359366284583</v>
      </c>
      <c r="O9762" s="149">
        <f t="shared" ca="1" si="316"/>
        <v>1.000173611111111</v>
      </c>
    </row>
    <row r="9763" spans="12:15" x14ac:dyDescent="0.25">
      <c r="L9763" s="147">
        <f ca="1"/>
        <v>55002</v>
      </c>
      <c r="M9763" s="92">
        <f t="shared" ca="1" si="315"/>
        <v>6.25</v>
      </c>
      <c r="N9763" s="143">
        <f ca="1">(PRODUCT($O$5:$O9763)-1)*36000/_xlfn.DAYS(L9763, $C$2)</f>
        <v>17.780264265336925</v>
      </c>
      <c r="O9763" s="149">
        <f t="shared" ca="1" si="316"/>
        <v>1.000173611111111</v>
      </c>
    </row>
    <row r="9764" spans="12:15" x14ac:dyDescent="0.25">
      <c r="L9764" s="147">
        <f ca="1"/>
        <v>55003</v>
      </c>
      <c r="M9764" s="92">
        <f t="shared" ca="1" si="315"/>
        <v>6.25</v>
      </c>
      <c r="N9764" s="143">
        <f ca="1">(PRODUCT($O$5:$O9764)-1)*36000/_xlfn.DAYS(L9764, $C$2)</f>
        <v>17.782169420960731</v>
      </c>
      <c r="O9764" s="149">
        <f t="shared" ca="1" si="316"/>
        <v>1.000173611111111</v>
      </c>
    </row>
    <row r="9765" spans="12:15" x14ac:dyDescent="0.25">
      <c r="L9765" s="147">
        <f ca="1"/>
        <v>55004</v>
      </c>
      <c r="M9765" s="92">
        <f t="shared" ca="1" si="315"/>
        <v>6.25</v>
      </c>
      <c r="N9765" s="143">
        <f ca="1">(PRODUCT($O$5:$O9765)-1)*36000/_xlfn.DAYS(L9765, $C$2)</f>
        <v>17.78407483318945</v>
      </c>
      <c r="O9765" s="149">
        <f t="shared" ca="1" si="316"/>
        <v>1.000173611111111</v>
      </c>
    </row>
    <row r="9766" spans="12:15" x14ac:dyDescent="0.25">
      <c r="L9766" s="147">
        <f ca="1"/>
        <v>55005</v>
      </c>
      <c r="M9766" s="92">
        <f t="shared" ca="1" si="315"/>
        <v>6.25</v>
      </c>
      <c r="N9766" s="143">
        <f ca="1">(PRODUCT($O$5:$O9766)-1)*36000/_xlfn.DAYS(L9766, $C$2)</f>
        <v>17.785980502056532</v>
      </c>
      <c r="O9766" s="149">
        <f t="shared" ca="1" si="316"/>
        <v>1.000173611111111</v>
      </c>
    </row>
    <row r="9767" spans="12:15" x14ac:dyDescent="0.25">
      <c r="L9767" s="147">
        <f ca="1"/>
        <v>55006</v>
      </c>
      <c r="M9767" s="92">
        <f t="shared" ca="1" si="315"/>
        <v>6.25</v>
      </c>
      <c r="N9767" s="143">
        <f ca="1">(PRODUCT($O$5:$O9767)-1)*36000/_xlfn.DAYS(L9767, $C$2)</f>
        <v>17.787886427595435</v>
      </c>
      <c r="O9767" s="149">
        <f t="shared" ca="1" si="316"/>
        <v>1.000173611111111</v>
      </c>
    </row>
    <row r="9768" spans="12:15" x14ac:dyDescent="0.25">
      <c r="L9768" s="147">
        <f ca="1"/>
        <v>55007</v>
      </c>
      <c r="M9768" s="92">
        <f t="shared" ca="1" si="315"/>
        <v>6.25</v>
      </c>
      <c r="N9768" s="143">
        <f ca="1">(PRODUCT($O$5:$O9768)-1)*36000/_xlfn.DAYS(L9768, $C$2)</f>
        <v>17.789792609839619</v>
      </c>
      <c r="O9768" s="149">
        <f t="shared" ca="1" si="316"/>
        <v>1.000173611111111</v>
      </c>
    </row>
    <row r="9769" spans="12:15" x14ac:dyDescent="0.25">
      <c r="L9769" s="147">
        <f ca="1"/>
        <v>55008</v>
      </c>
      <c r="M9769" s="92">
        <f t="shared" ca="1" si="315"/>
        <v>6.25</v>
      </c>
      <c r="N9769" s="143">
        <f ca="1">(PRODUCT($O$5:$O9769)-1)*36000/_xlfn.DAYS(L9769, $C$2)</f>
        <v>17.791699048822554</v>
      </c>
      <c r="O9769" s="149">
        <f t="shared" ca="1" si="316"/>
        <v>1.000173611111111</v>
      </c>
    </row>
    <row r="9770" spans="12:15" x14ac:dyDescent="0.25">
      <c r="L9770" s="147">
        <f ca="1"/>
        <v>55009</v>
      </c>
      <c r="M9770" s="92">
        <f t="shared" ca="1" si="315"/>
        <v>6.25</v>
      </c>
      <c r="N9770" s="143">
        <f ca="1">(PRODUCT($O$5:$O9770)-1)*36000/_xlfn.DAYS(L9770, $C$2)</f>
        <v>17.793605744577714</v>
      </c>
      <c r="O9770" s="149">
        <f t="shared" ca="1" si="316"/>
        <v>1.000173611111111</v>
      </c>
    </row>
    <row r="9771" spans="12:15" x14ac:dyDescent="0.25">
      <c r="L9771" s="147">
        <f ca="1"/>
        <v>55010</v>
      </c>
      <c r="M9771" s="92">
        <f t="shared" ca="1" si="315"/>
        <v>6.25</v>
      </c>
      <c r="N9771" s="143">
        <f ca="1">(PRODUCT($O$5:$O9771)-1)*36000/_xlfn.DAYS(L9771, $C$2)</f>
        <v>17.795512697138573</v>
      </c>
      <c r="O9771" s="149">
        <f t="shared" ca="1" si="316"/>
        <v>1.000173611111111</v>
      </c>
    </row>
    <row r="9772" spans="12:15" x14ac:dyDescent="0.25">
      <c r="L9772" s="147">
        <f ca="1"/>
        <v>55011</v>
      </c>
      <c r="M9772" s="92">
        <f t="shared" ca="1" si="315"/>
        <v>6.25</v>
      </c>
      <c r="N9772" s="143">
        <f ca="1">(PRODUCT($O$5:$O9772)-1)*36000/_xlfn.DAYS(L9772, $C$2)</f>
        <v>17.797419906538622</v>
      </c>
      <c r="O9772" s="149">
        <f t="shared" ca="1" si="316"/>
        <v>1.000173611111111</v>
      </c>
    </row>
    <row r="9773" spans="12:15" x14ac:dyDescent="0.25">
      <c r="L9773" s="147">
        <f ca="1"/>
        <v>55012</v>
      </c>
      <c r="M9773" s="92">
        <f t="shared" ca="1" si="315"/>
        <v>6.25</v>
      </c>
      <c r="N9773" s="143">
        <f ca="1">(PRODUCT($O$5:$O9773)-1)*36000/_xlfn.DAYS(L9773, $C$2)</f>
        <v>17.799327372811348</v>
      </c>
      <c r="O9773" s="149">
        <f t="shared" ca="1" si="316"/>
        <v>1.000173611111111</v>
      </c>
    </row>
    <row r="9774" spans="12:15" x14ac:dyDescent="0.25">
      <c r="L9774" s="147">
        <f ca="1"/>
        <v>55013</v>
      </c>
      <c r="M9774" s="92">
        <f t="shared" ca="1" si="315"/>
        <v>6.25</v>
      </c>
      <c r="N9774" s="143">
        <f ca="1">(PRODUCT($O$5:$O9774)-1)*36000/_xlfn.DAYS(L9774, $C$2)</f>
        <v>17.801235095990254</v>
      </c>
      <c r="O9774" s="149">
        <f t="shared" ca="1" si="316"/>
        <v>1.000173611111111</v>
      </c>
    </row>
    <row r="9775" spans="12:15" x14ac:dyDescent="0.25">
      <c r="L9775" s="147">
        <f ca="1"/>
        <v>55014</v>
      </c>
      <c r="M9775" s="92">
        <f t="shared" ca="1" si="315"/>
        <v>6.25</v>
      </c>
      <c r="N9775" s="143">
        <f ca="1">(PRODUCT($O$5:$O9775)-1)*36000/_xlfn.DAYS(L9775, $C$2)</f>
        <v>17.803143076108839</v>
      </c>
      <c r="O9775" s="149">
        <f t="shared" ca="1" si="316"/>
        <v>1.000173611111111</v>
      </c>
    </row>
    <row r="9776" spans="12:15" x14ac:dyDescent="0.25">
      <c r="L9776" s="147">
        <f ca="1"/>
        <v>55015</v>
      </c>
      <c r="M9776" s="92">
        <f t="shared" ca="1" si="315"/>
        <v>6.25</v>
      </c>
      <c r="N9776" s="143">
        <f ca="1">(PRODUCT($O$5:$O9776)-1)*36000/_xlfn.DAYS(L9776, $C$2)</f>
        <v>17.805051313200611</v>
      </c>
      <c r="O9776" s="149">
        <f t="shared" ca="1" si="316"/>
        <v>1.000173611111111</v>
      </c>
    </row>
    <row r="9777" spans="12:15" x14ac:dyDescent="0.25">
      <c r="L9777" s="147">
        <f ca="1"/>
        <v>55016</v>
      </c>
      <c r="M9777" s="92">
        <f t="shared" ca="1" si="315"/>
        <v>6.25</v>
      </c>
      <c r="N9777" s="143">
        <f ca="1">(PRODUCT($O$5:$O9777)-1)*36000/_xlfn.DAYS(L9777, $C$2)</f>
        <v>17.806959807299087</v>
      </c>
      <c r="O9777" s="149">
        <f t="shared" ca="1" si="316"/>
        <v>1.000173611111111</v>
      </c>
    </row>
    <row r="9778" spans="12:15" x14ac:dyDescent="0.25">
      <c r="L9778" s="147">
        <f ca="1"/>
        <v>55017</v>
      </c>
      <c r="M9778" s="92">
        <f t="shared" ca="1" si="315"/>
        <v>6.25</v>
      </c>
      <c r="N9778" s="143">
        <f ca="1">(PRODUCT($O$5:$O9778)-1)*36000/_xlfn.DAYS(L9778, $C$2)</f>
        <v>17.808868558437783</v>
      </c>
      <c r="O9778" s="149">
        <f t="shared" ca="1" si="316"/>
        <v>1.000173611111111</v>
      </c>
    </row>
    <row r="9779" spans="12:15" x14ac:dyDescent="0.25">
      <c r="L9779" s="147">
        <f ca="1"/>
        <v>55018</v>
      </c>
      <c r="M9779" s="92">
        <f t="shared" ca="1" si="315"/>
        <v>6.25</v>
      </c>
      <c r="N9779" s="143">
        <f ca="1">(PRODUCT($O$5:$O9779)-1)*36000/_xlfn.DAYS(L9779, $C$2)</f>
        <v>17.810777566650227</v>
      </c>
      <c r="O9779" s="149">
        <f t="shared" ca="1" si="316"/>
        <v>1.000173611111111</v>
      </c>
    </row>
    <row r="9780" spans="12:15" x14ac:dyDescent="0.25">
      <c r="L9780" s="147">
        <f ca="1"/>
        <v>55019</v>
      </c>
      <c r="M9780" s="92">
        <f t="shared" ca="1" si="315"/>
        <v>6.25</v>
      </c>
      <c r="N9780" s="143">
        <f ca="1">(PRODUCT($O$5:$O9780)-1)*36000/_xlfn.DAYS(L9780, $C$2)</f>
        <v>17.812686831969952</v>
      </c>
      <c r="O9780" s="149">
        <f t="shared" ca="1" si="316"/>
        <v>1.000173611111111</v>
      </c>
    </row>
    <row r="9781" spans="12:15" x14ac:dyDescent="0.25">
      <c r="L9781" s="147">
        <f ca="1"/>
        <v>55020</v>
      </c>
      <c r="M9781" s="92">
        <f t="shared" ca="1" si="315"/>
        <v>6.25</v>
      </c>
      <c r="N9781" s="143">
        <f ca="1">(PRODUCT($O$5:$O9781)-1)*36000/_xlfn.DAYS(L9781, $C$2)</f>
        <v>17.814596354430492</v>
      </c>
      <c r="O9781" s="149">
        <f t="shared" ca="1" si="316"/>
        <v>1.000173611111111</v>
      </c>
    </row>
    <row r="9782" spans="12:15" x14ac:dyDescent="0.25">
      <c r="L9782" s="147">
        <f ca="1"/>
        <v>55021</v>
      </c>
      <c r="M9782" s="92">
        <f t="shared" ca="1" si="315"/>
        <v>6.25</v>
      </c>
      <c r="N9782" s="143">
        <f ca="1">(PRODUCT($O$5:$O9782)-1)*36000/_xlfn.DAYS(L9782, $C$2)</f>
        <v>17.816506134065392</v>
      </c>
      <c r="O9782" s="149">
        <f t="shared" ca="1" si="316"/>
        <v>1.000173611111111</v>
      </c>
    </row>
    <row r="9783" spans="12:15" x14ac:dyDescent="0.25">
      <c r="L9783" s="147">
        <f ca="1"/>
        <v>55022</v>
      </c>
      <c r="M9783" s="92">
        <f t="shared" ca="1" si="315"/>
        <v>6.25</v>
      </c>
      <c r="N9783" s="143">
        <f ca="1">(PRODUCT($O$5:$O9783)-1)*36000/_xlfn.DAYS(L9783, $C$2)</f>
        <v>17.818416170908208</v>
      </c>
      <c r="O9783" s="149">
        <f t="shared" ca="1" si="316"/>
        <v>1.000173611111111</v>
      </c>
    </row>
    <row r="9784" spans="12:15" x14ac:dyDescent="0.25">
      <c r="L9784" s="147">
        <f ca="1"/>
        <v>55023</v>
      </c>
      <c r="M9784" s="92">
        <f t="shared" ca="1" si="315"/>
        <v>6.25</v>
      </c>
      <c r="N9784" s="143">
        <f ca="1">(PRODUCT($O$5:$O9784)-1)*36000/_xlfn.DAYS(L9784, $C$2)</f>
        <v>17.820326464992487</v>
      </c>
      <c r="O9784" s="149">
        <f t="shared" ca="1" si="316"/>
        <v>1.000173611111111</v>
      </c>
    </row>
    <row r="9785" spans="12:15" x14ac:dyDescent="0.25">
      <c r="L9785" s="147">
        <f ca="1"/>
        <v>55024</v>
      </c>
      <c r="M9785" s="92">
        <f t="shared" ca="1" si="315"/>
        <v>6.25</v>
      </c>
      <c r="N9785" s="143">
        <f ca="1">(PRODUCT($O$5:$O9785)-1)*36000/_xlfn.DAYS(L9785, $C$2)</f>
        <v>17.822237016351789</v>
      </c>
      <c r="O9785" s="149">
        <f t="shared" ca="1" si="316"/>
        <v>1.000173611111111</v>
      </c>
    </row>
    <row r="9786" spans="12:15" x14ac:dyDescent="0.25">
      <c r="L9786" s="147">
        <f ca="1"/>
        <v>55025</v>
      </c>
      <c r="M9786" s="92">
        <f t="shared" ca="1" si="315"/>
        <v>6.25</v>
      </c>
      <c r="N9786" s="143">
        <f ca="1">(PRODUCT($O$5:$O9786)-1)*36000/_xlfn.DAYS(L9786, $C$2)</f>
        <v>17.824147825019679</v>
      </c>
      <c r="O9786" s="149">
        <f t="shared" ca="1" si="316"/>
        <v>1.000173611111111</v>
      </c>
    </row>
    <row r="9787" spans="12:15" x14ac:dyDescent="0.25">
      <c r="L9787" s="147">
        <f ca="1"/>
        <v>55026</v>
      </c>
      <c r="M9787" s="92">
        <f t="shared" ca="1" si="315"/>
        <v>6.25</v>
      </c>
      <c r="N9787" s="143">
        <f ca="1">(PRODUCT($O$5:$O9787)-1)*36000/_xlfn.DAYS(L9787, $C$2)</f>
        <v>17.826058891029739</v>
      </c>
      <c r="O9787" s="149">
        <f t="shared" ca="1" si="316"/>
        <v>1.000173611111111</v>
      </c>
    </row>
    <row r="9788" spans="12:15" x14ac:dyDescent="0.25">
      <c r="L9788" s="147">
        <f ca="1"/>
        <v>55027</v>
      </c>
      <c r="M9788" s="92">
        <f t="shared" ca="1" si="315"/>
        <v>6.25</v>
      </c>
      <c r="N9788" s="143">
        <f ca="1">(PRODUCT($O$5:$O9788)-1)*36000/_xlfn.DAYS(L9788, $C$2)</f>
        <v>17.82797021441554</v>
      </c>
      <c r="O9788" s="149">
        <f t="shared" ca="1" si="316"/>
        <v>1.000173611111111</v>
      </c>
    </row>
    <row r="9789" spans="12:15" x14ac:dyDescent="0.25">
      <c r="L9789" s="147">
        <f ca="1"/>
        <v>55028</v>
      </c>
      <c r="M9789" s="92">
        <f t="shared" ca="1" si="315"/>
        <v>6.25</v>
      </c>
      <c r="N9789" s="143">
        <f ca="1">(PRODUCT($O$5:$O9789)-1)*36000/_xlfn.DAYS(L9789, $C$2)</f>
        <v>17.829881795210667</v>
      </c>
      <c r="O9789" s="149">
        <f t="shared" ca="1" si="316"/>
        <v>1.000173611111111</v>
      </c>
    </row>
    <row r="9790" spans="12:15" x14ac:dyDescent="0.25">
      <c r="L9790" s="147">
        <f ca="1"/>
        <v>55029</v>
      </c>
      <c r="M9790" s="92">
        <f t="shared" ca="1" si="315"/>
        <v>6.25</v>
      </c>
      <c r="N9790" s="143">
        <f ca="1">(PRODUCT($O$5:$O9790)-1)*36000/_xlfn.DAYS(L9790, $C$2)</f>
        <v>17.831793633448711</v>
      </c>
      <c r="O9790" s="149">
        <f t="shared" ca="1" si="316"/>
        <v>1.000173611111111</v>
      </c>
    </row>
    <row r="9791" spans="12:15" x14ac:dyDescent="0.25">
      <c r="L9791" s="147">
        <f ca="1"/>
        <v>55030</v>
      </c>
      <c r="M9791" s="92">
        <f t="shared" ca="1" si="315"/>
        <v>6.25</v>
      </c>
      <c r="N9791" s="143">
        <f ca="1">(PRODUCT($O$5:$O9791)-1)*36000/_xlfn.DAYS(L9791, $C$2)</f>
        <v>17.83370572916327</v>
      </c>
      <c r="O9791" s="149">
        <f t="shared" ca="1" si="316"/>
        <v>1.000173611111111</v>
      </c>
    </row>
    <row r="9792" spans="12:15" x14ac:dyDescent="0.25">
      <c r="L9792" s="147">
        <f ca="1"/>
        <v>55031</v>
      </c>
      <c r="M9792" s="92">
        <f t="shared" ca="1" si="315"/>
        <v>6.25</v>
      </c>
      <c r="N9792" s="143">
        <f ca="1">(PRODUCT($O$5:$O9792)-1)*36000/_xlfn.DAYS(L9792, $C$2)</f>
        <v>17.835618082387938</v>
      </c>
      <c r="O9792" s="149">
        <f t="shared" ca="1" si="316"/>
        <v>1.000173611111111</v>
      </c>
    </row>
    <row r="9793" spans="12:15" x14ac:dyDescent="0.25">
      <c r="L9793" s="147">
        <f ca="1"/>
        <v>55032</v>
      </c>
      <c r="M9793" s="92">
        <f t="shared" ca="1" si="315"/>
        <v>6.25</v>
      </c>
      <c r="N9793" s="143">
        <f ca="1">(PRODUCT($O$5:$O9793)-1)*36000/_xlfn.DAYS(L9793, $C$2)</f>
        <v>17.837530693156328</v>
      </c>
      <c r="O9793" s="149">
        <f t="shared" ca="1" si="316"/>
        <v>1.000173611111111</v>
      </c>
    </row>
    <row r="9794" spans="12:15" x14ac:dyDescent="0.25">
      <c r="L9794" s="147">
        <f ca="1"/>
        <v>55033</v>
      </c>
      <c r="M9794" s="92">
        <f t="shared" ca="1" si="315"/>
        <v>6.25</v>
      </c>
      <c r="N9794" s="143">
        <f ca="1">(PRODUCT($O$5:$O9794)-1)*36000/_xlfn.DAYS(L9794, $C$2)</f>
        <v>17.839443561502051</v>
      </c>
      <c r="O9794" s="149">
        <f t="shared" ca="1" si="316"/>
        <v>1.000173611111111</v>
      </c>
    </row>
    <row r="9795" spans="12:15" x14ac:dyDescent="0.25">
      <c r="L9795" s="147">
        <f ca="1"/>
        <v>55034</v>
      </c>
      <c r="M9795" s="92">
        <f t="shared" ca="1" si="315"/>
        <v>6.25</v>
      </c>
      <c r="N9795" s="143">
        <f ca="1">(PRODUCT($O$5:$O9795)-1)*36000/_xlfn.DAYS(L9795, $C$2)</f>
        <v>17.841356687458724</v>
      </c>
      <c r="O9795" s="149">
        <f t="shared" ca="1" si="316"/>
        <v>1.000173611111111</v>
      </c>
    </row>
    <row r="9796" spans="12:15" x14ac:dyDescent="0.25">
      <c r="L9796" s="147">
        <f ca="1"/>
        <v>55035</v>
      </c>
      <c r="M9796" s="92">
        <f t="shared" ca="1" si="315"/>
        <v>6.25</v>
      </c>
      <c r="N9796" s="143">
        <f ca="1">(PRODUCT($O$5:$O9796)-1)*36000/_xlfn.DAYS(L9796, $C$2)</f>
        <v>17.843270071059973</v>
      </c>
      <c r="O9796" s="149">
        <f t="shared" ca="1" si="316"/>
        <v>1.000173611111111</v>
      </c>
    </row>
    <row r="9797" spans="12:15" x14ac:dyDescent="0.25">
      <c r="L9797" s="147">
        <f ca="1"/>
        <v>55036</v>
      </c>
      <c r="M9797" s="92">
        <f t="shared" ref="M9797:M9860" ca="1" si="317">IFERROR(INDEX($E$27:$H$47, MATCH(L9797, $F$27:$F$47, 0), 4), IF(ISNUMBER(M9796), M9796, $C$5))</f>
        <v>6.25</v>
      </c>
      <c r="N9797" s="143">
        <f ca="1">(PRODUCT($O$5:$O9797)-1)*36000/_xlfn.DAYS(L9797, $C$2)</f>
        <v>17.845183712339434</v>
      </c>
      <c r="O9797" s="149">
        <f t="shared" ca="1" si="316"/>
        <v>1.000173611111111</v>
      </c>
    </row>
    <row r="9798" spans="12:15" x14ac:dyDescent="0.25">
      <c r="L9798" s="147">
        <f ca="1"/>
        <v>55037</v>
      </c>
      <c r="M9798" s="92">
        <f t="shared" ca="1" si="317"/>
        <v>6.25</v>
      </c>
      <c r="N9798" s="143">
        <f ca="1">(PRODUCT($O$5:$O9798)-1)*36000/_xlfn.DAYS(L9798, $C$2)</f>
        <v>17.847097611330728</v>
      </c>
      <c r="O9798" s="149">
        <f t="shared" ref="O9798:O9861" ca="1" si="318">1+M9798*IFERROR(_xlfn.DAYS(L9798, L9797), _xlfn.DAYS(L9798, $C$2))/36000</f>
        <v>1.000173611111111</v>
      </c>
    </row>
    <row r="9799" spans="12:15" x14ac:dyDescent="0.25">
      <c r="L9799" s="147">
        <f ca="1"/>
        <v>55038</v>
      </c>
      <c r="M9799" s="92">
        <f t="shared" ca="1" si="317"/>
        <v>6.25</v>
      </c>
      <c r="N9799" s="143">
        <f ca="1">(PRODUCT($O$5:$O9799)-1)*36000/_xlfn.DAYS(L9799, $C$2)</f>
        <v>17.849011768067516</v>
      </c>
      <c r="O9799" s="149">
        <f t="shared" ca="1" si="318"/>
        <v>1.000173611111111</v>
      </c>
    </row>
    <row r="9800" spans="12:15" x14ac:dyDescent="0.25">
      <c r="L9800" s="147">
        <f ca="1"/>
        <v>55039</v>
      </c>
      <c r="M9800" s="92">
        <f t="shared" ca="1" si="317"/>
        <v>6.25</v>
      </c>
      <c r="N9800" s="143">
        <f ca="1">(PRODUCT($O$5:$O9800)-1)*36000/_xlfn.DAYS(L9800, $C$2)</f>
        <v>17.850926182583432</v>
      </c>
      <c r="O9800" s="149">
        <f t="shared" ca="1" si="318"/>
        <v>1.000173611111111</v>
      </c>
    </row>
    <row r="9801" spans="12:15" x14ac:dyDescent="0.25">
      <c r="L9801" s="147">
        <f ca="1"/>
        <v>55040</v>
      </c>
      <c r="M9801" s="92">
        <f t="shared" ca="1" si="317"/>
        <v>6.25</v>
      </c>
      <c r="N9801" s="143">
        <f ca="1">(PRODUCT($O$5:$O9801)-1)*36000/_xlfn.DAYS(L9801, $C$2)</f>
        <v>17.852840854912134</v>
      </c>
      <c r="O9801" s="149">
        <f t="shared" ca="1" si="318"/>
        <v>1.000173611111111</v>
      </c>
    </row>
    <row r="9802" spans="12:15" x14ac:dyDescent="0.25">
      <c r="L9802" s="147">
        <f ca="1"/>
        <v>55041</v>
      </c>
      <c r="M9802" s="92">
        <f t="shared" ca="1" si="317"/>
        <v>6.25</v>
      </c>
      <c r="N9802" s="143">
        <f ca="1">(PRODUCT($O$5:$O9802)-1)*36000/_xlfn.DAYS(L9802, $C$2)</f>
        <v>17.854755785087285</v>
      </c>
      <c r="O9802" s="149">
        <f t="shared" ca="1" si="318"/>
        <v>1.000173611111111</v>
      </c>
    </row>
    <row r="9803" spans="12:15" x14ac:dyDescent="0.25">
      <c r="L9803" s="147">
        <f ca="1"/>
        <v>55042</v>
      </c>
      <c r="M9803" s="92">
        <f t="shared" ca="1" si="317"/>
        <v>6.25</v>
      </c>
      <c r="N9803" s="143">
        <f ca="1">(PRODUCT($O$5:$O9803)-1)*36000/_xlfn.DAYS(L9803, $C$2)</f>
        <v>17.856670973142545</v>
      </c>
      <c r="O9803" s="149">
        <f t="shared" ca="1" si="318"/>
        <v>1.000173611111111</v>
      </c>
    </row>
    <row r="9804" spans="12:15" x14ac:dyDescent="0.25">
      <c r="L9804" s="147">
        <f ca="1"/>
        <v>55043</v>
      </c>
      <c r="M9804" s="92">
        <f t="shared" ca="1" si="317"/>
        <v>6.25</v>
      </c>
      <c r="N9804" s="143">
        <f ca="1">(PRODUCT($O$5:$O9804)-1)*36000/_xlfn.DAYS(L9804, $C$2)</f>
        <v>17.858586419111589</v>
      </c>
      <c r="O9804" s="149">
        <f t="shared" ca="1" si="318"/>
        <v>1.000173611111111</v>
      </c>
    </row>
    <row r="9805" spans="12:15" x14ac:dyDescent="0.25">
      <c r="L9805" s="147">
        <f ca="1"/>
        <v>55044</v>
      </c>
      <c r="M9805" s="92">
        <f t="shared" ca="1" si="317"/>
        <v>6.25</v>
      </c>
      <c r="N9805" s="143">
        <f ca="1">(PRODUCT($O$5:$O9805)-1)*36000/_xlfn.DAYS(L9805, $C$2)</f>
        <v>17.860502123028084</v>
      </c>
      <c r="O9805" s="149">
        <f t="shared" ca="1" si="318"/>
        <v>1.000173611111111</v>
      </c>
    </row>
    <row r="9806" spans="12:15" x14ac:dyDescent="0.25">
      <c r="L9806" s="147">
        <f ca="1"/>
        <v>55045</v>
      </c>
      <c r="M9806" s="92">
        <f t="shared" ca="1" si="317"/>
        <v>6.25</v>
      </c>
      <c r="N9806" s="143">
        <f ca="1">(PRODUCT($O$5:$O9806)-1)*36000/_xlfn.DAYS(L9806, $C$2)</f>
        <v>17.862418084925725</v>
      </c>
      <c r="O9806" s="149">
        <f t="shared" ca="1" si="318"/>
        <v>1.000173611111111</v>
      </c>
    </row>
    <row r="9807" spans="12:15" x14ac:dyDescent="0.25">
      <c r="L9807" s="147">
        <f ca="1"/>
        <v>55046</v>
      </c>
      <c r="M9807" s="92">
        <f t="shared" ca="1" si="317"/>
        <v>6.25</v>
      </c>
      <c r="N9807" s="143">
        <f ca="1">(PRODUCT($O$5:$O9807)-1)*36000/_xlfn.DAYS(L9807, $C$2)</f>
        <v>17.864334304838195</v>
      </c>
      <c r="O9807" s="149">
        <f t="shared" ca="1" si="318"/>
        <v>1.000173611111111</v>
      </c>
    </row>
    <row r="9808" spans="12:15" x14ac:dyDescent="0.25">
      <c r="L9808" s="147">
        <f ca="1"/>
        <v>55047</v>
      </c>
      <c r="M9808" s="92">
        <f t="shared" ca="1" si="317"/>
        <v>6.25</v>
      </c>
      <c r="N9808" s="143">
        <f ca="1">(PRODUCT($O$5:$O9808)-1)*36000/_xlfn.DAYS(L9808, $C$2)</f>
        <v>17.866250782799188</v>
      </c>
      <c r="O9808" s="149">
        <f t="shared" ca="1" si="318"/>
        <v>1.000173611111111</v>
      </c>
    </row>
    <row r="9809" spans="12:15" x14ac:dyDescent="0.25">
      <c r="L9809" s="147">
        <f ca="1"/>
        <v>55048</v>
      </c>
      <c r="M9809" s="92">
        <f t="shared" ca="1" si="317"/>
        <v>6.25</v>
      </c>
      <c r="N9809" s="143">
        <f ca="1">(PRODUCT($O$5:$O9809)-1)*36000/_xlfn.DAYS(L9809, $C$2)</f>
        <v>17.868167518842405</v>
      </c>
      <c r="O9809" s="149">
        <f t="shared" ca="1" si="318"/>
        <v>1.000173611111111</v>
      </c>
    </row>
    <row r="9810" spans="12:15" x14ac:dyDescent="0.25">
      <c r="L9810" s="147">
        <f ca="1"/>
        <v>55049</v>
      </c>
      <c r="M9810" s="92">
        <f t="shared" ca="1" si="317"/>
        <v>6.25</v>
      </c>
      <c r="N9810" s="143">
        <f ca="1">(PRODUCT($O$5:$O9810)-1)*36000/_xlfn.DAYS(L9810, $C$2)</f>
        <v>17.870084513001554</v>
      </c>
      <c r="O9810" s="149">
        <f t="shared" ca="1" si="318"/>
        <v>1.000173611111111</v>
      </c>
    </row>
    <row r="9811" spans="12:15" x14ac:dyDescent="0.25">
      <c r="L9811" s="147">
        <f ca="1"/>
        <v>55050</v>
      </c>
      <c r="M9811" s="92">
        <f t="shared" ca="1" si="317"/>
        <v>6.25</v>
      </c>
      <c r="N9811" s="143">
        <f ca="1">(PRODUCT($O$5:$O9811)-1)*36000/_xlfn.DAYS(L9811, $C$2)</f>
        <v>17.87200176531034</v>
      </c>
      <c r="O9811" s="149">
        <f t="shared" ca="1" si="318"/>
        <v>1.000173611111111</v>
      </c>
    </row>
    <row r="9812" spans="12:15" x14ac:dyDescent="0.25">
      <c r="L9812" s="147">
        <f ca="1"/>
        <v>55051</v>
      </c>
      <c r="M9812" s="92">
        <f t="shared" ca="1" si="317"/>
        <v>6.25</v>
      </c>
      <c r="N9812" s="143">
        <f ca="1">(PRODUCT($O$5:$O9812)-1)*36000/_xlfn.DAYS(L9812, $C$2)</f>
        <v>17.873919275802486</v>
      </c>
      <c r="O9812" s="149">
        <f t="shared" ca="1" si="318"/>
        <v>1.000173611111111</v>
      </c>
    </row>
    <row r="9813" spans="12:15" x14ac:dyDescent="0.25">
      <c r="L9813" s="147">
        <f ca="1"/>
        <v>55052</v>
      </c>
      <c r="M9813" s="92">
        <f t="shared" ca="1" si="317"/>
        <v>6.25</v>
      </c>
      <c r="N9813" s="143">
        <f ca="1">(PRODUCT($O$5:$O9813)-1)*36000/_xlfn.DAYS(L9813, $C$2)</f>
        <v>17.875837044511712</v>
      </c>
      <c r="O9813" s="149">
        <f t="shared" ca="1" si="318"/>
        <v>1.000173611111111</v>
      </c>
    </row>
    <row r="9814" spans="12:15" x14ac:dyDescent="0.25">
      <c r="L9814" s="147">
        <f ca="1"/>
        <v>55053</v>
      </c>
      <c r="M9814" s="92">
        <f t="shared" ca="1" si="317"/>
        <v>6.25</v>
      </c>
      <c r="N9814" s="143">
        <f ca="1">(PRODUCT($O$5:$O9814)-1)*36000/_xlfn.DAYS(L9814, $C$2)</f>
        <v>17.87775507147175</v>
      </c>
      <c r="O9814" s="149">
        <f t="shared" ca="1" si="318"/>
        <v>1.000173611111111</v>
      </c>
    </row>
    <row r="9815" spans="12:15" x14ac:dyDescent="0.25">
      <c r="L9815" s="147">
        <f ca="1"/>
        <v>55054</v>
      </c>
      <c r="M9815" s="92">
        <f t="shared" ca="1" si="317"/>
        <v>6.25</v>
      </c>
      <c r="N9815" s="143">
        <f ca="1">(PRODUCT($O$5:$O9815)-1)*36000/_xlfn.DAYS(L9815, $C$2)</f>
        <v>17.879673356716335</v>
      </c>
      <c r="O9815" s="149">
        <f t="shared" ca="1" si="318"/>
        <v>1.000173611111111</v>
      </c>
    </row>
    <row r="9816" spans="12:15" x14ac:dyDescent="0.25">
      <c r="L9816" s="147">
        <f ca="1"/>
        <v>55055</v>
      </c>
      <c r="M9816" s="92">
        <f t="shared" ca="1" si="317"/>
        <v>6.25</v>
      </c>
      <c r="N9816" s="143">
        <f ca="1">(PRODUCT($O$5:$O9816)-1)*36000/_xlfn.DAYS(L9816, $C$2)</f>
        <v>17.881591900279204</v>
      </c>
      <c r="O9816" s="149">
        <f t="shared" ca="1" si="318"/>
        <v>1.000173611111111</v>
      </c>
    </row>
    <row r="9817" spans="12:15" x14ac:dyDescent="0.25">
      <c r="L9817" s="147">
        <f ca="1"/>
        <v>55056</v>
      </c>
      <c r="M9817" s="92">
        <f t="shared" ca="1" si="317"/>
        <v>6.25</v>
      </c>
      <c r="N9817" s="143">
        <f ca="1">(PRODUCT($O$5:$O9817)-1)*36000/_xlfn.DAYS(L9817, $C$2)</f>
        <v>17.883510702194108</v>
      </c>
      <c r="O9817" s="149">
        <f t="shared" ca="1" si="318"/>
        <v>1.000173611111111</v>
      </c>
    </row>
    <row r="9818" spans="12:15" x14ac:dyDescent="0.25">
      <c r="L9818" s="147">
        <f ca="1"/>
        <v>55057</v>
      </c>
      <c r="M9818" s="92">
        <f t="shared" ca="1" si="317"/>
        <v>6.25</v>
      </c>
      <c r="N9818" s="143">
        <f ca="1">(PRODUCT($O$5:$O9818)-1)*36000/_xlfn.DAYS(L9818, $C$2)</f>
        <v>17.885429762494795</v>
      </c>
      <c r="O9818" s="149">
        <f t="shared" ca="1" si="318"/>
        <v>1.000173611111111</v>
      </c>
    </row>
    <row r="9819" spans="12:15" x14ac:dyDescent="0.25">
      <c r="L9819" s="147">
        <f ca="1"/>
        <v>55058</v>
      </c>
      <c r="M9819" s="92">
        <f t="shared" ca="1" si="317"/>
        <v>6.25</v>
      </c>
      <c r="N9819" s="143">
        <f ca="1">(PRODUCT($O$5:$O9819)-1)*36000/_xlfn.DAYS(L9819, $C$2)</f>
        <v>17.887349081215024</v>
      </c>
      <c r="O9819" s="149">
        <f t="shared" ca="1" si="318"/>
        <v>1.000173611111111</v>
      </c>
    </row>
    <row r="9820" spans="12:15" x14ac:dyDescent="0.25">
      <c r="L9820" s="147">
        <f ca="1"/>
        <v>55059</v>
      </c>
      <c r="M9820" s="92">
        <f t="shared" ca="1" si="317"/>
        <v>6.25</v>
      </c>
      <c r="N9820" s="143">
        <f ca="1">(PRODUCT($O$5:$O9820)-1)*36000/_xlfn.DAYS(L9820, $C$2)</f>
        <v>17.889268658388563</v>
      </c>
      <c r="O9820" s="149">
        <f t="shared" ca="1" si="318"/>
        <v>1.000173611111111</v>
      </c>
    </row>
    <row r="9821" spans="12:15" x14ac:dyDescent="0.25">
      <c r="L9821" s="147">
        <f ca="1"/>
        <v>55060</v>
      </c>
      <c r="M9821" s="92">
        <f t="shared" ca="1" si="317"/>
        <v>6.25</v>
      </c>
      <c r="N9821" s="143">
        <f ca="1">(PRODUCT($O$5:$O9821)-1)*36000/_xlfn.DAYS(L9821, $C$2)</f>
        <v>17.891188494049182</v>
      </c>
      <c r="O9821" s="149">
        <f t="shared" ca="1" si="318"/>
        <v>1.000173611111111</v>
      </c>
    </row>
    <row r="9822" spans="12:15" x14ac:dyDescent="0.25">
      <c r="L9822" s="147">
        <f ca="1"/>
        <v>55061</v>
      </c>
      <c r="M9822" s="92">
        <f t="shared" ca="1" si="317"/>
        <v>6.25</v>
      </c>
      <c r="N9822" s="143">
        <f ca="1">(PRODUCT($O$5:$O9822)-1)*36000/_xlfn.DAYS(L9822, $C$2)</f>
        <v>17.89310858823065</v>
      </c>
      <c r="O9822" s="149">
        <f t="shared" ca="1" si="318"/>
        <v>1.000173611111111</v>
      </c>
    </row>
    <row r="9823" spans="12:15" x14ac:dyDescent="0.25">
      <c r="L9823" s="147">
        <f ca="1"/>
        <v>55062</v>
      </c>
      <c r="M9823" s="92">
        <f t="shared" ca="1" si="317"/>
        <v>6.25</v>
      </c>
      <c r="N9823" s="143">
        <f ca="1">(PRODUCT($O$5:$O9823)-1)*36000/_xlfn.DAYS(L9823, $C$2)</f>
        <v>17.89502894096675</v>
      </c>
      <c r="O9823" s="149">
        <f t="shared" ca="1" si="318"/>
        <v>1.000173611111111</v>
      </c>
    </row>
    <row r="9824" spans="12:15" x14ac:dyDescent="0.25">
      <c r="L9824" s="147">
        <f ca="1"/>
        <v>55063</v>
      </c>
      <c r="M9824" s="92">
        <f t="shared" ca="1" si="317"/>
        <v>6.25</v>
      </c>
      <c r="N9824" s="143">
        <f ca="1">(PRODUCT($O$5:$O9824)-1)*36000/_xlfn.DAYS(L9824, $C$2)</f>
        <v>17.896949552291275</v>
      </c>
      <c r="O9824" s="149">
        <f t="shared" ca="1" si="318"/>
        <v>1.000173611111111</v>
      </c>
    </row>
    <row r="9825" spans="12:15" x14ac:dyDescent="0.25">
      <c r="L9825" s="147">
        <f ca="1"/>
        <v>55064</v>
      </c>
      <c r="M9825" s="92">
        <f t="shared" ca="1" si="317"/>
        <v>6.25</v>
      </c>
      <c r="N9825" s="143">
        <f ca="1">(PRODUCT($O$5:$O9825)-1)*36000/_xlfn.DAYS(L9825, $C$2)</f>
        <v>17.898870422238012</v>
      </c>
      <c r="O9825" s="149">
        <f t="shared" ca="1" si="318"/>
        <v>1.000173611111111</v>
      </c>
    </row>
    <row r="9826" spans="12:15" x14ac:dyDescent="0.25">
      <c r="L9826" s="147">
        <f ca="1"/>
        <v>55065</v>
      </c>
      <c r="M9826" s="92">
        <f t="shared" ca="1" si="317"/>
        <v>6.25</v>
      </c>
      <c r="N9826" s="143">
        <f ca="1">(PRODUCT($O$5:$O9826)-1)*36000/_xlfn.DAYS(L9826, $C$2)</f>
        <v>17.900791550840761</v>
      </c>
      <c r="O9826" s="149">
        <f t="shared" ca="1" si="318"/>
        <v>1.000173611111111</v>
      </c>
    </row>
    <row r="9827" spans="12:15" x14ac:dyDescent="0.25">
      <c r="L9827" s="147">
        <f ca="1"/>
        <v>55066</v>
      </c>
      <c r="M9827" s="92">
        <f t="shared" ca="1" si="317"/>
        <v>6.25</v>
      </c>
      <c r="N9827" s="143">
        <f ca="1">(PRODUCT($O$5:$O9827)-1)*36000/_xlfn.DAYS(L9827, $C$2)</f>
        <v>17.90271293813333</v>
      </c>
      <c r="O9827" s="149">
        <f t="shared" ca="1" si="318"/>
        <v>1.000173611111111</v>
      </c>
    </row>
    <row r="9828" spans="12:15" x14ac:dyDescent="0.25">
      <c r="L9828" s="147">
        <f ca="1"/>
        <v>55067</v>
      </c>
      <c r="M9828" s="92">
        <f t="shared" ca="1" si="317"/>
        <v>6.25</v>
      </c>
      <c r="N9828" s="143">
        <f ca="1">(PRODUCT($O$5:$O9828)-1)*36000/_xlfn.DAYS(L9828, $C$2)</f>
        <v>17.90463458414953</v>
      </c>
      <c r="O9828" s="149">
        <f t="shared" ca="1" si="318"/>
        <v>1.000173611111111</v>
      </c>
    </row>
    <row r="9829" spans="12:15" x14ac:dyDescent="0.25">
      <c r="L9829" s="147">
        <f ca="1"/>
        <v>55068</v>
      </c>
      <c r="M9829" s="92">
        <f t="shared" ca="1" si="317"/>
        <v>6.25</v>
      </c>
      <c r="N9829" s="143">
        <f ca="1">(PRODUCT($O$5:$O9829)-1)*36000/_xlfn.DAYS(L9829, $C$2)</f>
        <v>17.906556488923169</v>
      </c>
      <c r="O9829" s="149">
        <f t="shared" ca="1" si="318"/>
        <v>1.000173611111111</v>
      </c>
    </row>
    <row r="9830" spans="12:15" x14ac:dyDescent="0.25">
      <c r="L9830" s="147">
        <f ca="1"/>
        <v>55069</v>
      </c>
      <c r="M9830" s="92">
        <f t="shared" ca="1" si="317"/>
        <v>6.25</v>
      </c>
      <c r="N9830" s="143">
        <f ca="1">(PRODUCT($O$5:$O9830)-1)*36000/_xlfn.DAYS(L9830, $C$2)</f>
        <v>17.908478652488075</v>
      </c>
      <c r="O9830" s="149">
        <f t="shared" ca="1" si="318"/>
        <v>1.000173611111111</v>
      </c>
    </row>
    <row r="9831" spans="12:15" x14ac:dyDescent="0.25">
      <c r="L9831" s="147">
        <f ca="1"/>
        <v>55070</v>
      </c>
      <c r="M9831" s="92">
        <f t="shared" ca="1" si="317"/>
        <v>6.25</v>
      </c>
      <c r="N9831" s="143">
        <f ca="1">(PRODUCT($O$5:$O9831)-1)*36000/_xlfn.DAYS(L9831, $C$2)</f>
        <v>17.910401074878077</v>
      </c>
      <c r="O9831" s="149">
        <f t="shared" ca="1" si="318"/>
        <v>1.000173611111111</v>
      </c>
    </row>
    <row r="9832" spans="12:15" x14ac:dyDescent="0.25">
      <c r="L9832" s="147">
        <f ca="1"/>
        <v>55071</v>
      </c>
      <c r="M9832" s="92">
        <f t="shared" ca="1" si="317"/>
        <v>6.25</v>
      </c>
      <c r="N9832" s="143">
        <f ca="1">(PRODUCT($O$5:$O9832)-1)*36000/_xlfn.DAYS(L9832, $C$2)</f>
        <v>17.912323756127005</v>
      </c>
      <c r="O9832" s="149">
        <f t="shared" ca="1" si="318"/>
        <v>1.000173611111111</v>
      </c>
    </row>
    <row r="9833" spans="12:15" x14ac:dyDescent="0.25">
      <c r="L9833" s="147">
        <f ca="1"/>
        <v>55072</v>
      </c>
      <c r="M9833" s="92">
        <f t="shared" ca="1" si="317"/>
        <v>6.25</v>
      </c>
      <c r="N9833" s="143">
        <f ca="1">(PRODUCT($O$5:$O9833)-1)*36000/_xlfn.DAYS(L9833, $C$2)</f>
        <v>17.914246696268705</v>
      </c>
      <c r="O9833" s="149">
        <f t="shared" ca="1" si="318"/>
        <v>1.000173611111111</v>
      </c>
    </row>
    <row r="9834" spans="12:15" x14ac:dyDescent="0.25">
      <c r="L9834" s="147">
        <f ca="1"/>
        <v>55073</v>
      </c>
      <c r="M9834" s="92">
        <f t="shared" ca="1" si="317"/>
        <v>6.25</v>
      </c>
      <c r="N9834" s="143">
        <f ca="1">(PRODUCT($O$5:$O9834)-1)*36000/_xlfn.DAYS(L9834, $C$2)</f>
        <v>17.916169895337017</v>
      </c>
      <c r="O9834" s="149">
        <f t="shared" ca="1" si="318"/>
        <v>1.000173611111111</v>
      </c>
    </row>
    <row r="9835" spans="12:15" x14ac:dyDescent="0.25">
      <c r="L9835" s="147">
        <f ca="1"/>
        <v>55074</v>
      </c>
      <c r="M9835" s="92">
        <f t="shared" ca="1" si="317"/>
        <v>6.25</v>
      </c>
      <c r="N9835" s="143">
        <f ca="1">(PRODUCT($O$5:$O9835)-1)*36000/_xlfn.DAYS(L9835, $C$2)</f>
        <v>17.918093353365791</v>
      </c>
      <c r="O9835" s="149">
        <f t="shared" ca="1" si="318"/>
        <v>1.000173611111111</v>
      </c>
    </row>
    <row r="9836" spans="12:15" x14ac:dyDescent="0.25">
      <c r="L9836" s="147">
        <f ca="1"/>
        <v>55075</v>
      </c>
      <c r="M9836" s="92">
        <f t="shared" ca="1" si="317"/>
        <v>6.25</v>
      </c>
      <c r="N9836" s="143">
        <f ca="1">(PRODUCT($O$5:$O9836)-1)*36000/_xlfn.DAYS(L9836, $C$2)</f>
        <v>17.920017070388887</v>
      </c>
      <c r="O9836" s="149">
        <f t="shared" ca="1" si="318"/>
        <v>1.000173611111111</v>
      </c>
    </row>
    <row r="9837" spans="12:15" x14ac:dyDescent="0.25">
      <c r="L9837" s="147">
        <f ca="1"/>
        <v>55076</v>
      </c>
      <c r="M9837" s="92">
        <f t="shared" ca="1" si="317"/>
        <v>6.25</v>
      </c>
      <c r="N9837" s="143">
        <f ca="1">(PRODUCT($O$5:$O9837)-1)*36000/_xlfn.DAYS(L9837, $C$2)</f>
        <v>17.921941046440168</v>
      </c>
      <c r="O9837" s="149">
        <f t="shared" ca="1" si="318"/>
        <v>1.000173611111111</v>
      </c>
    </row>
    <row r="9838" spans="12:15" x14ac:dyDescent="0.25">
      <c r="L9838" s="147">
        <f ca="1"/>
        <v>55077</v>
      </c>
      <c r="M9838" s="92">
        <f t="shared" ca="1" si="317"/>
        <v>6.25</v>
      </c>
      <c r="N9838" s="143">
        <f ca="1">(PRODUCT($O$5:$O9838)-1)*36000/_xlfn.DAYS(L9838, $C$2)</f>
        <v>17.923865281553503</v>
      </c>
      <c r="O9838" s="149">
        <f t="shared" ca="1" si="318"/>
        <v>1.000173611111111</v>
      </c>
    </row>
    <row r="9839" spans="12:15" x14ac:dyDescent="0.25">
      <c r="L9839" s="147">
        <f ca="1"/>
        <v>55078</v>
      </c>
      <c r="M9839" s="92">
        <f t="shared" ca="1" si="317"/>
        <v>6.25</v>
      </c>
      <c r="N9839" s="143">
        <f ca="1">(PRODUCT($O$5:$O9839)-1)*36000/_xlfn.DAYS(L9839, $C$2)</f>
        <v>17.925789775762766</v>
      </c>
      <c r="O9839" s="149">
        <f t="shared" ca="1" si="318"/>
        <v>1.000173611111111</v>
      </c>
    </row>
    <row r="9840" spans="12:15" x14ac:dyDescent="0.25">
      <c r="L9840" s="147">
        <f ca="1"/>
        <v>55079</v>
      </c>
      <c r="M9840" s="92">
        <f t="shared" ca="1" si="317"/>
        <v>6.25</v>
      </c>
      <c r="N9840" s="143">
        <f ca="1">(PRODUCT($O$5:$O9840)-1)*36000/_xlfn.DAYS(L9840, $C$2)</f>
        <v>17.927714529101834</v>
      </c>
      <c r="O9840" s="149">
        <f t="shared" ca="1" si="318"/>
        <v>1.000173611111111</v>
      </c>
    </row>
    <row r="9841" spans="12:15" x14ac:dyDescent="0.25">
      <c r="L9841" s="147">
        <f ca="1"/>
        <v>55080</v>
      </c>
      <c r="M9841" s="92">
        <f t="shared" ca="1" si="317"/>
        <v>6.25</v>
      </c>
      <c r="N9841" s="143">
        <f ca="1">(PRODUCT($O$5:$O9841)-1)*36000/_xlfn.DAYS(L9841, $C$2)</f>
        <v>17.929639541604594</v>
      </c>
      <c r="O9841" s="149">
        <f t="shared" ca="1" si="318"/>
        <v>1.000173611111111</v>
      </c>
    </row>
    <row r="9842" spans="12:15" x14ac:dyDescent="0.25">
      <c r="L9842" s="147">
        <f ca="1"/>
        <v>55081</v>
      </c>
      <c r="M9842" s="92">
        <f t="shared" ca="1" si="317"/>
        <v>6.25</v>
      </c>
      <c r="N9842" s="143">
        <f ca="1">(PRODUCT($O$5:$O9842)-1)*36000/_xlfn.DAYS(L9842, $C$2)</f>
        <v>17.931564813304941</v>
      </c>
      <c r="O9842" s="149">
        <f t="shared" ca="1" si="318"/>
        <v>1.000173611111111</v>
      </c>
    </row>
    <row r="9843" spans="12:15" x14ac:dyDescent="0.25">
      <c r="L9843" s="147">
        <f ca="1"/>
        <v>55082</v>
      </c>
      <c r="M9843" s="92">
        <f t="shared" ca="1" si="317"/>
        <v>6.25</v>
      </c>
      <c r="N9843" s="143">
        <f ca="1">(PRODUCT($O$5:$O9843)-1)*36000/_xlfn.DAYS(L9843, $C$2)</f>
        <v>17.933490344236773</v>
      </c>
      <c r="O9843" s="149">
        <f t="shared" ca="1" si="318"/>
        <v>1.000173611111111</v>
      </c>
    </row>
    <row r="9844" spans="12:15" x14ac:dyDescent="0.25">
      <c r="L9844" s="147">
        <f ca="1"/>
        <v>55083</v>
      </c>
      <c r="M9844" s="92">
        <f t="shared" ca="1" si="317"/>
        <v>6.25</v>
      </c>
      <c r="N9844" s="143">
        <f ca="1">(PRODUCT($O$5:$O9844)-1)*36000/_xlfn.DAYS(L9844, $C$2)</f>
        <v>17.935416134433989</v>
      </c>
      <c r="O9844" s="149">
        <f t="shared" ca="1" si="318"/>
        <v>1.000173611111111</v>
      </c>
    </row>
    <row r="9845" spans="12:15" x14ac:dyDescent="0.25">
      <c r="L9845" s="147">
        <f ca="1"/>
        <v>55084</v>
      </c>
      <c r="M9845" s="92">
        <f t="shared" ca="1" si="317"/>
        <v>6.25</v>
      </c>
      <c r="N9845" s="143">
        <f ca="1">(PRODUCT($O$5:$O9845)-1)*36000/_xlfn.DAYS(L9845, $C$2)</f>
        <v>17.937342183930504</v>
      </c>
      <c r="O9845" s="149">
        <f t="shared" ca="1" si="318"/>
        <v>1.000173611111111</v>
      </c>
    </row>
    <row r="9846" spans="12:15" x14ac:dyDescent="0.25">
      <c r="L9846" s="147">
        <f ca="1"/>
        <v>55085</v>
      </c>
      <c r="M9846" s="92">
        <f t="shared" ca="1" si="317"/>
        <v>6.25</v>
      </c>
      <c r="N9846" s="143">
        <f ca="1">(PRODUCT($O$5:$O9846)-1)*36000/_xlfn.DAYS(L9846, $C$2)</f>
        <v>17.939268492760231</v>
      </c>
      <c r="O9846" s="149">
        <f t="shared" ca="1" si="318"/>
        <v>1.000173611111111</v>
      </c>
    </row>
    <row r="9847" spans="12:15" x14ac:dyDescent="0.25">
      <c r="L9847" s="147">
        <f ca="1"/>
        <v>55086</v>
      </c>
      <c r="M9847" s="92">
        <f t="shared" ca="1" si="317"/>
        <v>6.25</v>
      </c>
      <c r="N9847" s="143">
        <f ca="1">(PRODUCT($O$5:$O9847)-1)*36000/_xlfn.DAYS(L9847, $C$2)</f>
        <v>17.941195060957092</v>
      </c>
      <c r="O9847" s="149">
        <f t="shared" ca="1" si="318"/>
        <v>1.000173611111111</v>
      </c>
    </row>
    <row r="9848" spans="12:15" x14ac:dyDescent="0.25">
      <c r="L9848" s="147">
        <f ca="1"/>
        <v>55087</v>
      </c>
      <c r="M9848" s="92">
        <f t="shared" ca="1" si="317"/>
        <v>6.25</v>
      </c>
      <c r="N9848" s="143">
        <f ca="1">(PRODUCT($O$5:$O9848)-1)*36000/_xlfn.DAYS(L9848, $C$2)</f>
        <v>17.943121888555009</v>
      </c>
      <c r="O9848" s="149">
        <f t="shared" ca="1" si="318"/>
        <v>1.000173611111111</v>
      </c>
    </row>
    <row r="9849" spans="12:15" x14ac:dyDescent="0.25">
      <c r="L9849" s="147">
        <f ca="1"/>
        <v>55088</v>
      </c>
      <c r="M9849" s="92">
        <f t="shared" ca="1" si="317"/>
        <v>6.25</v>
      </c>
      <c r="N9849" s="143">
        <f ca="1">(PRODUCT($O$5:$O9849)-1)*36000/_xlfn.DAYS(L9849, $C$2)</f>
        <v>17.945048975587923</v>
      </c>
      <c r="O9849" s="149">
        <f t="shared" ca="1" si="318"/>
        <v>1.000173611111111</v>
      </c>
    </row>
    <row r="9850" spans="12:15" x14ac:dyDescent="0.25">
      <c r="L9850" s="147">
        <f ca="1"/>
        <v>55089</v>
      </c>
      <c r="M9850" s="92">
        <f t="shared" ca="1" si="317"/>
        <v>6.25</v>
      </c>
      <c r="N9850" s="143">
        <f ca="1">(PRODUCT($O$5:$O9850)-1)*36000/_xlfn.DAYS(L9850, $C$2)</f>
        <v>17.946976322089764</v>
      </c>
      <c r="O9850" s="149">
        <f t="shared" ca="1" si="318"/>
        <v>1.000173611111111</v>
      </c>
    </row>
    <row r="9851" spans="12:15" x14ac:dyDescent="0.25">
      <c r="L9851" s="147">
        <f ca="1"/>
        <v>55090</v>
      </c>
      <c r="M9851" s="92">
        <f t="shared" ca="1" si="317"/>
        <v>6.25</v>
      </c>
      <c r="N9851" s="143">
        <f ca="1">(PRODUCT($O$5:$O9851)-1)*36000/_xlfn.DAYS(L9851, $C$2)</f>
        <v>17.948903928094484</v>
      </c>
      <c r="O9851" s="149">
        <f t="shared" ca="1" si="318"/>
        <v>1.000173611111111</v>
      </c>
    </row>
    <row r="9852" spans="12:15" x14ac:dyDescent="0.25">
      <c r="L9852" s="147">
        <f ca="1"/>
        <v>55091</v>
      </c>
      <c r="M9852" s="92">
        <f t="shared" ca="1" si="317"/>
        <v>6.25</v>
      </c>
      <c r="N9852" s="143">
        <f ca="1">(PRODUCT($O$5:$O9852)-1)*36000/_xlfn.DAYS(L9852, $C$2)</f>
        <v>17.950831793636027</v>
      </c>
      <c r="O9852" s="149">
        <f t="shared" ca="1" si="318"/>
        <v>1.000173611111111</v>
      </c>
    </row>
    <row r="9853" spans="12:15" x14ac:dyDescent="0.25">
      <c r="L9853" s="147">
        <f ca="1"/>
        <v>55092</v>
      </c>
      <c r="M9853" s="92">
        <f t="shared" ca="1" si="317"/>
        <v>6.25</v>
      </c>
      <c r="N9853" s="143">
        <f ca="1">(PRODUCT($O$5:$O9853)-1)*36000/_xlfn.DAYS(L9853, $C$2)</f>
        <v>17.952759918748356</v>
      </c>
      <c r="O9853" s="149">
        <f t="shared" ca="1" si="318"/>
        <v>1.000173611111111</v>
      </c>
    </row>
    <row r="9854" spans="12:15" x14ac:dyDescent="0.25">
      <c r="L9854" s="147">
        <f ca="1"/>
        <v>55093</v>
      </c>
      <c r="M9854" s="92">
        <f t="shared" ca="1" si="317"/>
        <v>6.25</v>
      </c>
      <c r="N9854" s="143">
        <f ca="1">(PRODUCT($O$5:$O9854)-1)*36000/_xlfn.DAYS(L9854, $C$2)</f>
        <v>17.954688303465424</v>
      </c>
      <c r="O9854" s="149">
        <f t="shared" ca="1" si="318"/>
        <v>1.000173611111111</v>
      </c>
    </row>
    <row r="9855" spans="12:15" x14ac:dyDescent="0.25">
      <c r="L9855" s="147">
        <f ca="1"/>
        <v>55094</v>
      </c>
      <c r="M9855" s="92">
        <f t="shared" ca="1" si="317"/>
        <v>6.25</v>
      </c>
      <c r="N9855" s="143">
        <f ca="1">(PRODUCT($O$5:$O9855)-1)*36000/_xlfn.DAYS(L9855, $C$2)</f>
        <v>17.956616947821207</v>
      </c>
      <c r="O9855" s="149">
        <f t="shared" ca="1" si="318"/>
        <v>1.000173611111111</v>
      </c>
    </row>
    <row r="9856" spans="12:15" x14ac:dyDescent="0.25">
      <c r="L9856" s="147">
        <f ca="1"/>
        <v>55095</v>
      </c>
      <c r="M9856" s="92">
        <f t="shared" ca="1" si="317"/>
        <v>6.25</v>
      </c>
      <c r="N9856" s="143">
        <f ca="1">(PRODUCT($O$5:$O9856)-1)*36000/_xlfn.DAYS(L9856, $C$2)</f>
        <v>17.958545851849674</v>
      </c>
      <c r="O9856" s="149">
        <f t="shared" ca="1" si="318"/>
        <v>1.000173611111111</v>
      </c>
    </row>
    <row r="9857" spans="12:15" x14ac:dyDescent="0.25">
      <c r="L9857" s="147">
        <f ca="1"/>
        <v>55096</v>
      </c>
      <c r="M9857" s="92">
        <f t="shared" ca="1" si="317"/>
        <v>6.25</v>
      </c>
      <c r="N9857" s="143">
        <f ca="1">(PRODUCT($O$5:$O9857)-1)*36000/_xlfn.DAYS(L9857, $C$2)</f>
        <v>17.960475015584805</v>
      </c>
      <c r="O9857" s="149">
        <f t="shared" ca="1" si="318"/>
        <v>1.000173611111111</v>
      </c>
    </row>
    <row r="9858" spans="12:15" x14ac:dyDescent="0.25">
      <c r="L9858" s="147">
        <f ca="1"/>
        <v>55097</v>
      </c>
      <c r="M9858" s="92">
        <f t="shared" ca="1" si="317"/>
        <v>6.25</v>
      </c>
      <c r="N9858" s="143">
        <f ca="1">(PRODUCT($O$5:$O9858)-1)*36000/_xlfn.DAYS(L9858, $C$2)</f>
        <v>17.962404439060581</v>
      </c>
      <c r="O9858" s="149">
        <f t="shared" ca="1" si="318"/>
        <v>1.000173611111111</v>
      </c>
    </row>
    <row r="9859" spans="12:15" x14ac:dyDescent="0.25">
      <c r="L9859" s="147">
        <f ca="1"/>
        <v>55098</v>
      </c>
      <c r="M9859" s="92">
        <f t="shared" ca="1" si="317"/>
        <v>6.25</v>
      </c>
      <c r="N9859" s="143">
        <f ca="1">(PRODUCT($O$5:$O9859)-1)*36000/_xlfn.DAYS(L9859, $C$2)</f>
        <v>17.964334122310998</v>
      </c>
      <c r="O9859" s="149">
        <f t="shared" ca="1" si="318"/>
        <v>1.000173611111111</v>
      </c>
    </row>
    <row r="9860" spans="12:15" x14ac:dyDescent="0.25">
      <c r="L9860" s="147">
        <f ca="1"/>
        <v>55099</v>
      </c>
      <c r="M9860" s="92">
        <f t="shared" ca="1" si="317"/>
        <v>6.25</v>
      </c>
      <c r="N9860" s="143">
        <f ca="1">(PRODUCT($O$5:$O9860)-1)*36000/_xlfn.DAYS(L9860, $C$2)</f>
        <v>17.966264065370058</v>
      </c>
      <c r="O9860" s="149">
        <f t="shared" ca="1" si="318"/>
        <v>1.000173611111111</v>
      </c>
    </row>
    <row r="9861" spans="12:15" x14ac:dyDescent="0.25">
      <c r="L9861" s="147">
        <f ca="1"/>
        <v>55100</v>
      </c>
      <c r="M9861" s="92">
        <f t="shared" ref="M9861:M9924" ca="1" si="319">IFERROR(INDEX($E$27:$H$47, MATCH(L9861, $F$27:$F$47, 0), 4), IF(ISNUMBER(M9860), M9860, $C$5))</f>
        <v>6.25</v>
      </c>
      <c r="N9861" s="143">
        <f ca="1">(PRODUCT($O$5:$O9861)-1)*36000/_xlfn.DAYS(L9861, $C$2)</f>
        <v>17.968194268271755</v>
      </c>
      <c r="O9861" s="149">
        <f t="shared" ca="1" si="318"/>
        <v>1.000173611111111</v>
      </c>
    </row>
    <row r="9862" spans="12:15" x14ac:dyDescent="0.25">
      <c r="L9862" s="147">
        <f ca="1"/>
        <v>55101</v>
      </c>
      <c r="M9862" s="92">
        <f t="shared" ca="1" si="319"/>
        <v>6.25</v>
      </c>
      <c r="N9862" s="143">
        <f ca="1">(PRODUCT($O$5:$O9862)-1)*36000/_xlfn.DAYS(L9862, $C$2)</f>
        <v>17.970124731050099</v>
      </c>
      <c r="O9862" s="149">
        <f t="shared" ref="O9862:O9925" ca="1" si="320">1+M9862*IFERROR(_xlfn.DAYS(L9862, L9861), _xlfn.DAYS(L9862, $C$2))/36000</f>
        <v>1.000173611111111</v>
      </c>
    </row>
    <row r="9863" spans="12:15" x14ac:dyDescent="0.25">
      <c r="L9863" s="147">
        <f ca="1"/>
        <v>55102</v>
      </c>
      <c r="M9863" s="92">
        <f t="shared" ca="1" si="319"/>
        <v>6.25</v>
      </c>
      <c r="N9863" s="143">
        <f ca="1">(PRODUCT($O$5:$O9863)-1)*36000/_xlfn.DAYS(L9863, $C$2)</f>
        <v>17.972055453739106</v>
      </c>
      <c r="O9863" s="149">
        <f t="shared" ca="1" si="320"/>
        <v>1.000173611111111</v>
      </c>
    </row>
    <row r="9864" spans="12:15" x14ac:dyDescent="0.25">
      <c r="L9864" s="147">
        <f ca="1"/>
        <v>55103</v>
      </c>
      <c r="M9864" s="92">
        <f t="shared" ca="1" si="319"/>
        <v>6.25</v>
      </c>
      <c r="N9864" s="143">
        <f ca="1">(PRODUCT($O$5:$O9864)-1)*36000/_xlfn.DAYS(L9864, $C$2)</f>
        <v>17.973986436372801</v>
      </c>
      <c r="O9864" s="149">
        <f t="shared" ca="1" si="320"/>
        <v>1.000173611111111</v>
      </c>
    </row>
    <row r="9865" spans="12:15" x14ac:dyDescent="0.25">
      <c r="L9865" s="147">
        <f ca="1"/>
        <v>55104</v>
      </c>
      <c r="M9865" s="92">
        <f t="shared" ca="1" si="319"/>
        <v>6.25</v>
      </c>
      <c r="N9865" s="143">
        <f ca="1">(PRODUCT($O$5:$O9865)-1)*36000/_xlfn.DAYS(L9865, $C$2)</f>
        <v>17.975917678985198</v>
      </c>
      <c r="O9865" s="149">
        <f t="shared" ca="1" si="320"/>
        <v>1.000173611111111</v>
      </c>
    </row>
    <row r="9866" spans="12:15" x14ac:dyDescent="0.25">
      <c r="L9866" s="147">
        <f ca="1"/>
        <v>55105</v>
      </c>
      <c r="M9866" s="92">
        <f t="shared" ca="1" si="319"/>
        <v>6.25</v>
      </c>
      <c r="N9866" s="143">
        <f ca="1">(PRODUCT($O$5:$O9866)-1)*36000/_xlfn.DAYS(L9866, $C$2)</f>
        <v>17.977849181610338</v>
      </c>
      <c r="O9866" s="149">
        <f t="shared" ca="1" si="320"/>
        <v>1.000173611111111</v>
      </c>
    </row>
    <row r="9867" spans="12:15" x14ac:dyDescent="0.25">
      <c r="L9867" s="147">
        <f ca="1"/>
        <v>55106</v>
      </c>
      <c r="M9867" s="92">
        <f t="shared" ca="1" si="319"/>
        <v>6.25</v>
      </c>
      <c r="N9867" s="143">
        <f ca="1">(PRODUCT($O$5:$O9867)-1)*36000/_xlfn.DAYS(L9867, $C$2)</f>
        <v>17.979780944282258</v>
      </c>
      <c r="O9867" s="149">
        <f t="shared" ca="1" si="320"/>
        <v>1.000173611111111</v>
      </c>
    </row>
    <row r="9868" spans="12:15" x14ac:dyDescent="0.25">
      <c r="L9868" s="147">
        <f ca="1"/>
        <v>55107</v>
      </c>
      <c r="M9868" s="92">
        <f t="shared" ca="1" si="319"/>
        <v>6.25</v>
      </c>
      <c r="N9868" s="143">
        <f ca="1">(PRODUCT($O$5:$O9868)-1)*36000/_xlfn.DAYS(L9868, $C$2)</f>
        <v>17.981712967034998</v>
      </c>
      <c r="O9868" s="149">
        <f t="shared" ca="1" si="320"/>
        <v>1.000173611111111</v>
      </c>
    </row>
    <row r="9869" spans="12:15" x14ac:dyDescent="0.25">
      <c r="L9869" s="147">
        <f ca="1"/>
        <v>55108</v>
      </c>
      <c r="M9869" s="92">
        <f t="shared" ca="1" si="319"/>
        <v>6.25</v>
      </c>
      <c r="N9869" s="143">
        <f ca="1">(PRODUCT($O$5:$O9869)-1)*36000/_xlfn.DAYS(L9869, $C$2)</f>
        <v>17.983645249902608</v>
      </c>
      <c r="O9869" s="149">
        <f t="shared" ca="1" si="320"/>
        <v>1.000173611111111</v>
      </c>
    </row>
    <row r="9870" spans="12:15" x14ac:dyDescent="0.25">
      <c r="L9870" s="147">
        <f ca="1"/>
        <v>55109</v>
      </c>
      <c r="M9870" s="92">
        <f t="shared" ca="1" si="319"/>
        <v>6.25</v>
      </c>
      <c r="N9870" s="143">
        <f ca="1">(PRODUCT($O$5:$O9870)-1)*36000/_xlfn.DAYS(L9870, $C$2)</f>
        <v>17.985577792919148</v>
      </c>
      <c r="O9870" s="149">
        <f t="shared" ca="1" si="320"/>
        <v>1.000173611111111</v>
      </c>
    </row>
    <row r="9871" spans="12:15" x14ac:dyDescent="0.25">
      <c r="L9871" s="147">
        <f ca="1"/>
        <v>55110</v>
      </c>
      <c r="M9871" s="92">
        <f t="shared" ca="1" si="319"/>
        <v>6.25</v>
      </c>
      <c r="N9871" s="143">
        <f ca="1">(PRODUCT($O$5:$O9871)-1)*36000/_xlfn.DAYS(L9871, $C$2)</f>
        <v>17.987510596118675</v>
      </c>
      <c r="O9871" s="149">
        <f t="shared" ca="1" si="320"/>
        <v>1.000173611111111</v>
      </c>
    </row>
    <row r="9872" spans="12:15" x14ac:dyDescent="0.25">
      <c r="L9872" s="147">
        <f ca="1"/>
        <v>55111</v>
      </c>
      <c r="M9872" s="92">
        <f t="shared" ca="1" si="319"/>
        <v>6.25</v>
      </c>
      <c r="N9872" s="143">
        <f ca="1">(PRODUCT($O$5:$O9872)-1)*36000/_xlfn.DAYS(L9872, $C$2)</f>
        <v>17.989443659535258</v>
      </c>
      <c r="O9872" s="149">
        <f t="shared" ca="1" si="320"/>
        <v>1.000173611111111</v>
      </c>
    </row>
    <row r="9873" spans="12:15" x14ac:dyDescent="0.25">
      <c r="L9873" s="147">
        <f ca="1"/>
        <v>55112</v>
      </c>
      <c r="M9873" s="92">
        <f t="shared" ca="1" si="319"/>
        <v>6.25</v>
      </c>
      <c r="N9873" s="143">
        <f ca="1">(PRODUCT($O$5:$O9873)-1)*36000/_xlfn.DAYS(L9873, $C$2)</f>
        <v>17.991376983202962</v>
      </c>
      <c r="O9873" s="149">
        <f t="shared" ca="1" si="320"/>
        <v>1.000173611111111</v>
      </c>
    </row>
    <row r="9874" spans="12:15" x14ac:dyDescent="0.25">
      <c r="L9874" s="147">
        <f ca="1"/>
        <v>55113</v>
      </c>
      <c r="M9874" s="92">
        <f t="shared" ca="1" si="319"/>
        <v>6.25</v>
      </c>
      <c r="N9874" s="143">
        <f ca="1">(PRODUCT($O$5:$O9874)-1)*36000/_xlfn.DAYS(L9874, $C$2)</f>
        <v>17.993310567155877</v>
      </c>
      <c r="O9874" s="149">
        <f t="shared" ca="1" si="320"/>
        <v>1.000173611111111</v>
      </c>
    </row>
    <row r="9875" spans="12:15" x14ac:dyDescent="0.25">
      <c r="L9875" s="147">
        <f ca="1"/>
        <v>55114</v>
      </c>
      <c r="M9875" s="92">
        <f t="shared" ca="1" si="319"/>
        <v>6.25</v>
      </c>
      <c r="N9875" s="143">
        <f ca="1">(PRODUCT($O$5:$O9875)-1)*36000/_xlfn.DAYS(L9875, $C$2)</f>
        <v>17.995244411428079</v>
      </c>
      <c r="O9875" s="149">
        <f t="shared" ca="1" si="320"/>
        <v>1.000173611111111</v>
      </c>
    </row>
    <row r="9876" spans="12:15" x14ac:dyDescent="0.25">
      <c r="L9876" s="147">
        <f ca="1"/>
        <v>55115</v>
      </c>
      <c r="M9876" s="92">
        <f t="shared" ca="1" si="319"/>
        <v>6.25</v>
      </c>
      <c r="N9876" s="143">
        <f ca="1">(PRODUCT($O$5:$O9876)-1)*36000/_xlfn.DAYS(L9876, $C$2)</f>
        <v>17.997178516053662</v>
      </c>
      <c r="O9876" s="149">
        <f t="shared" ca="1" si="320"/>
        <v>1.000173611111111</v>
      </c>
    </row>
    <row r="9877" spans="12:15" x14ac:dyDescent="0.25">
      <c r="L9877" s="147">
        <f ca="1"/>
        <v>55116</v>
      </c>
      <c r="M9877" s="92">
        <f t="shared" ca="1" si="319"/>
        <v>6.25</v>
      </c>
      <c r="N9877" s="143">
        <f ca="1">(PRODUCT($O$5:$O9877)-1)*36000/_xlfn.DAYS(L9877, $C$2)</f>
        <v>17.999112881066718</v>
      </c>
      <c r="O9877" s="149">
        <f t="shared" ca="1" si="320"/>
        <v>1.000173611111111</v>
      </c>
    </row>
    <row r="9878" spans="12:15" x14ac:dyDescent="0.25">
      <c r="L9878" s="147">
        <f ca="1"/>
        <v>55117</v>
      </c>
      <c r="M9878" s="92">
        <f t="shared" ca="1" si="319"/>
        <v>6.25</v>
      </c>
      <c r="N9878" s="143">
        <f ca="1">(PRODUCT($O$5:$O9878)-1)*36000/_xlfn.DAYS(L9878, $C$2)</f>
        <v>18.001047506501358</v>
      </c>
      <c r="O9878" s="149">
        <f t="shared" ca="1" si="320"/>
        <v>1.000173611111111</v>
      </c>
    </row>
    <row r="9879" spans="12:15" x14ac:dyDescent="0.25">
      <c r="L9879" s="147">
        <f ca="1"/>
        <v>55118</v>
      </c>
      <c r="M9879" s="92">
        <f t="shared" ca="1" si="319"/>
        <v>6.25</v>
      </c>
      <c r="N9879" s="143">
        <f ca="1">(PRODUCT($O$5:$O9879)-1)*36000/_xlfn.DAYS(L9879, $C$2)</f>
        <v>18.002982392391687</v>
      </c>
      <c r="O9879" s="149">
        <f t="shared" ca="1" si="320"/>
        <v>1.000173611111111</v>
      </c>
    </row>
    <row r="9880" spans="12:15" x14ac:dyDescent="0.25">
      <c r="L9880" s="147">
        <f ca="1"/>
        <v>55119</v>
      </c>
      <c r="M9880" s="92">
        <f t="shared" ca="1" si="319"/>
        <v>6.25</v>
      </c>
      <c r="N9880" s="143">
        <f ca="1">(PRODUCT($O$5:$O9880)-1)*36000/_xlfn.DAYS(L9880, $C$2)</f>
        <v>18.004917538771807</v>
      </c>
      <c r="O9880" s="149">
        <f t="shared" ca="1" si="320"/>
        <v>1.000173611111111</v>
      </c>
    </row>
    <row r="9881" spans="12:15" x14ac:dyDescent="0.25">
      <c r="L9881" s="147">
        <f ca="1"/>
        <v>55120</v>
      </c>
      <c r="M9881" s="92">
        <f t="shared" ca="1" si="319"/>
        <v>6.25</v>
      </c>
      <c r="N9881" s="143">
        <f ca="1">(PRODUCT($O$5:$O9881)-1)*36000/_xlfn.DAYS(L9881, $C$2)</f>
        <v>18.006852945675853</v>
      </c>
      <c r="O9881" s="149">
        <f t="shared" ca="1" si="320"/>
        <v>1.000173611111111</v>
      </c>
    </row>
    <row r="9882" spans="12:15" x14ac:dyDescent="0.25">
      <c r="L9882" s="147">
        <f ca="1"/>
        <v>55121</v>
      </c>
      <c r="M9882" s="92">
        <f t="shared" ca="1" si="319"/>
        <v>6.25</v>
      </c>
      <c r="N9882" s="143">
        <f ca="1">(PRODUCT($O$5:$O9882)-1)*36000/_xlfn.DAYS(L9882, $C$2)</f>
        <v>18.008788613137938</v>
      </c>
      <c r="O9882" s="149">
        <f t="shared" ca="1" si="320"/>
        <v>1.000173611111111</v>
      </c>
    </row>
    <row r="9883" spans="12:15" x14ac:dyDescent="0.25">
      <c r="L9883" s="147">
        <f ca="1"/>
        <v>55122</v>
      </c>
      <c r="M9883" s="92">
        <f t="shared" ca="1" si="319"/>
        <v>6.25</v>
      </c>
      <c r="N9883" s="143">
        <f ca="1">(PRODUCT($O$5:$O9883)-1)*36000/_xlfn.DAYS(L9883, $C$2)</f>
        <v>18.0107245411922</v>
      </c>
      <c r="O9883" s="149">
        <f t="shared" ca="1" si="320"/>
        <v>1.000173611111111</v>
      </c>
    </row>
    <row r="9884" spans="12:15" x14ac:dyDescent="0.25">
      <c r="L9884" s="147">
        <f ca="1"/>
        <v>55123</v>
      </c>
      <c r="M9884" s="92">
        <f t="shared" ca="1" si="319"/>
        <v>6.25</v>
      </c>
      <c r="N9884" s="143">
        <f ca="1">(PRODUCT($O$5:$O9884)-1)*36000/_xlfn.DAYS(L9884, $C$2)</f>
        <v>18.012660729872774</v>
      </c>
      <c r="O9884" s="149">
        <f t="shared" ca="1" si="320"/>
        <v>1.000173611111111</v>
      </c>
    </row>
    <row r="9885" spans="12:15" x14ac:dyDescent="0.25">
      <c r="L9885" s="147">
        <f ca="1"/>
        <v>55124</v>
      </c>
      <c r="M9885" s="92">
        <f t="shared" ca="1" si="319"/>
        <v>6.25</v>
      </c>
      <c r="N9885" s="143">
        <f ca="1">(PRODUCT($O$5:$O9885)-1)*36000/_xlfn.DAYS(L9885, $C$2)</f>
        <v>18.014597179213801</v>
      </c>
      <c r="O9885" s="149">
        <f t="shared" ca="1" si="320"/>
        <v>1.000173611111111</v>
      </c>
    </row>
    <row r="9886" spans="12:15" x14ac:dyDescent="0.25">
      <c r="L9886" s="147">
        <f ca="1"/>
        <v>55125</v>
      </c>
      <c r="M9886" s="92">
        <f t="shared" ca="1" si="319"/>
        <v>6.25</v>
      </c>
      <c r="N9886" s="143">
        <f ca="1">(PRODUCT($O$5:$O9886)-1)*36000/_xlfn.DAYS(L9886, $C$2)</f>
        <v>18.016533889249438</v>
      </c>
      <c r="O9886" s="149">
        <f t="shared" ca="1" si="320"/>
        <v>1.000173611111111</v>
      </c>
    </row>
    <row r="9887" spans="12:15" x14ac:dyDescent="0.25">
      <c r="L9887" s="147">
        <f ca="1"/>
        <v>55126</v>
      </c>
      <c r="M9887" s="92">
        <f t="shared" ca="1" si="319"/>
        <v>6.25</v>
      </c>
      <c r="N9887" s="143">
        <f ca="1">(PRODUCT($O$5:$O9887)-1)*36000/_xlfn.DAYS(L9887, $C$2)</f>
        <v>18.018470860013828</v>
      </c>
      <c r="O9887" s="149">
        <f t="shared" ca="1" si="320"/>
        <v>1.000173611111111</v>
      </c>
    </row>
    <row r="9888" spans="12:15" x14ac:dyDescent="0.25">
      <c r="L9888" s="147">
        <f ca="1"/>
        <v>55127</v>
      </c>
      <c r="M9888" s="92">
        <f t="shared" ca="1" si="319"/>
        <v>6.25</v>
      </c>
      <c r="N9888" s="143">
        <f ca="1">(PRODUCT($O$5:$O9888)-1)*36000/_xlfn.DAYS(L9888, $C$2)</f>
        <v>18.020408091541135</v>
      </c>
      <c r="O9888" s="149">
        <f t="shared" ca="1" si="320"/>
        <v>1.000173611111111</v>
      </c>
    </row>
    <row r="9889" spans="12:15" x14ac:dyDescent="0.25">
      <c r="L9889" s="147">
        <f ca="1"/>
        <v>55128</v>
      </c>
      <c r="M9889" s="92">
        <f t="shared" ca="1" si="319"/>
        <v>6.25</v>
      </c>
      <c r="N9889" s="143">
        <f ca="1">(PRODUCT($O$5:$O9889)-1)*36000/_xlfn.DAYS(L9889, $C$2)</f>
        <v>18.02234558386553</v>
      </c>
      <c r="O9889" s="149">
        <f t="shared" ca="1" si="320"/>
        <v>1.000173611111111</v>
      </c>
    </row>
    <row r="9890" spans="12:15" x14ac:dyDescent="0.25">
      <c r="L9890" s="147">
        <f ca="1"/>
        <v>55129</v>
      </c>
      <c r="M9890" s="92">
        <f t="shared" ca="1" si="319"/>
        <v>6.25</v>
      </c>
      <c r="N9890" s="143">
        <f ca="1">(PRODUCT($O$5:$O9890)-1)*36000/_xlfn.DAYS(L9890, $C$2)</f>
        <v>18.024283337021178</v>
      </c>
      <c r="O9890" s="149">
        <f t="shared" ca="1" si="320"/>
        <v>1.000173611111111</v>
      </c>
    </row>
    <row r="9891" spans="12:15" x14ac:dyDescent="0.25">
      <c r="L9891" s="147">
        <f ca="1"/>
        <v>55130</v>
      </c>
      <c r="M9891" s="92">
        <f t="shared" ca="1" si="319"/>
        <v>6.25</v>
      </c>
      <c r="N9891" s="143">
        <f ca="1">(PRODUCT($O$5:$O9891)-1)*36000/_xlfn.DAYS(L9891, $C$2)</f>
        <v>18.026221351042263</v>
      </c>
      <c r="O9891" s="149">
        <f t="shared" ca="1" si="320"/>
        <v>1.000173611111111</v>
      </c>
    </row>
    <row r="9892" spans="12:15" x14ac:dyDescent="0.25">
      <c r="L9892" s="147">
        <f ca="1"/>
        <v>55131</v>
      </c>
      <c r="M9892" s="92">
        <f t="shared" ca="1" si="319"/>
        <v>6.25</v>
      </c>
      <c r="N9892" s="143">
        <f ca="1">(PRODUCT($O$5:$O9892)-1)*36000/_xlfn.DAYS(L9892, $C$2)</f>
        <v>18.028159625962967</v>
      </c>
      <c r="O9892" s="149">
        <f t="shared" ca="1" si="320"/>
        <v>1.000173611111111</v>
      </c>
    </row>
    <row r="9893" spans="12:15" x14ac:dyDescent="0.25">
      <c r="L9893" s="147">
        <f ca="1"/>
        <v>55132</v>
      </c>
      <c r="M9893" s="92">
        <f t="shared" ca="1" si="319"/>
        <v>6.25</v>
      </c>
      <c r="N9893" s="143">
        <f ca="1">(PRODUCT($O$5:$O9893)-1)*36000/_xlfn.DAYS(L9893, $C$2)</f>
        <v>18.030098161817477</v>
      </c>
      <c r="O9893" s="149">
        <f t="shared" ca="1" si="320"/>
        <v>1.000173611111111</v>
      </c>
    </row>
    <row r="9894" spans="12:15" x14ac:dyDescent="0.25">
      <c r="L9894" s="147">
        <f ca="1"/>
        <v>55133</v>
      </c>
      <c r="M9894" s="92">
        <f t="shared" ca="1" si="319"/>
        <v>6.25</v>
      </c>
      <c r="N9894" s="143">
        <f ca="1">(PRODUCT($O$5:$O9894)-1)*36000/_xlfn.DAYS(L9894, $C$2)</f>
        <v>18.032036958639992</v>
      </c>
      <c r="O9894" s="149">
        <f t="shared" ca="1" si="320"/>
        <v>1.000173611111111</v>
      </c>
    </row>
    <row r="9895" spans="12:15" x14ac:dyDescent="0.25">
      <c r="L9895" s="147">
        <f ca="1"/>
        <v>55134</v>
      </c>
      <c r="M9895" s="92">
        <f t="shared" ca="1" si="319"/>
        <v>6.25</v>
      </c>
      <c r="N9895" s="143">
        <f ca="1">(PRODUCT($O$5:$O9895)-1)*36000/_xlfn.DAYS(L9895, $C$2)</f>
        <v>18.033976016464706</v>
      </c>
      <c r="O9895" s="149">
        <f t="shared" ca="1" si="320"/>
        <v>1.000173611111111</v>
      </c>
    </row>
    <row r="9896" spans="12:15" x14ac:dyDescent="0.25">
      <c r="L9896" s="147">
        <f ca="1"/>
        <v>55135</v>
      </c>
      <c r="M9896" s="92">
        <f t="shared" ca="1" si="319"/>
        <v>6.25</v>
      </c>
      <c r="N9896" s="143">
        <f ca="1">(PRODUCT($O$5:$O9896)-1)*36000/_xlfn.DAYS(L9896, $C$2)</f>
        <v>18.035915335325836</v>
      </c>
      <c r="O9896" s="149">
        <f t="shared" ca="1" si="320"/>
        <v>1.000173611111111</v>
      </c>
    </row>
    <row r="9897" spans="12:15" x14ac:dyDescent="0.25">
      <c r="L9897" s="147">
        <f ca="1"/>
        <v>55136</v>
      </c>
      <c r="M9897" s="92">
        <f t="shared" ca="1" si="319"/>
        <v>6.25</v>
      </c>
      <c r="N9897" s="143">
        <f ca="1">(PRODUCT($O$5:$O9897)-1)*36000/_xlfn.DAYS(L9897, $C$2)</f>
        <v>18.03785491525759</v>
      </c>
      <c r="O9897" s="149">
        <f t="shared" ca="1" si="320"/>
        <v>1.000173611111111</v>
      </c>
    </row>
    <row r="9898" spans="12:15" x14ac:dyDescent="0.25">
      <c r="L9898" s="147">
        <f ca="1"/>
        <v>55137</v>
      </c>
      <c r="M9898" s="92">
        <f t="shared" ca="1" si="319"/>
        <v>6.25</v>
      </c>
      <c r="N9898" s="143">
        <f ca="1">(PRODUCT($O$5:$O9898)-1)*36000/_xlfn.DAYS(L9898, $C$2)</f>
        <v>18.039794756294185</v>
      </c>
      <c r="O9898" s="149">
        <f t="shared" ca="1" si="320"/>
        <v>1.000173611111111</v>
      </c>
    </row>
    <row r="9899" spans="12:15" x14ac:dyDescent="0.25">
      <c r="L9899" s="147">
        <f ca="1"/>
        <v>55138</v>
      </c>
      <c r="M9899" s="92">
        <f t="shared" ca="1" si="319"/>
        <v>6.25</v>
      </c>
      <c r="N9899" s="143">
        <f ca="1">(PRODUCT($O$5:$O9899)-1)*36000/_xlfn.DAYS(L9899, $C$2)</f>
        <v>18.041734858469848</v>
      </c>
      <c r="O9899" s="149">
        <f t="shared" ca="1" si="320"/>
        <v>1.000173611111111</v>
      </c>
    </row>
    <row r="9900" spans="12:15" x14ac:dyDescent="0.25">
      <c r="L9900" s="147">
        <f ca="1"/>
        <v>55139</v>
      </c>
      <c r="M9900" s="92">
        <f t="shared" ca="1" si="319"/>
        <v>6.25</v>
      </c>
      <c r="N9900" s="143">
        <f ca="1">(PRODUCT($O$5:$O9900)-1)*36000/_xlfn.DAYS(L9900, $C$2)</f>
        <v>18.043675221818813</v>
      </c>
      <c r="O9900" s="149">
        <f t="shared" ca="1" si="320"/>
        <v>1.000173611111111</v>
      </c>
    </row>
    <row r="9901" spans="12:15" x14ac:dyDescent="0.25">
      <c r="L9901" s="147">
        <f ca="1"/>
        <v>55140</v>
      </c>
      <c r="M9901" s="92">
        <f t="shared" ca="1" si="319"/>
        <v>6.25</v>
      </c>
      <c r="N9901" s="143">
        <f ca="1">(PRODUCT($O$5:$O9901)-1)*36000/_xlfn.DAYS(L9901, $C$2)</f>
        <v>18.045615846375309</v>
      </c>
      <c r="O9901" s="149">
        <f t="shared" ca="1" si="320"/>
        <v>1.000173611111111</v>
      </c>
    </row>
    <row r="9902" spans="12:15" x14ac:dyDescent="0.25">
      <c r="L9902" s="147">
        <f ca="1"/>
        <v>55141</v>
      </c>
      <c r="M9902" s="92">
        <f t="shared" ca="1" si="319"/>
        <v>6.25</v>
      </c>
      <c r="N9902" s="143">
        <f ca="1">(PRODUCT($O$5:$O9902)-1)*36000/_xlfn.DAYS(L9902, $C$2)</f>
        <v>18.047556732173582</v>
      </c>
      <c r="O9902" s="149">
        <f t="shared" ca="1" si="320"/>
        <v>1.000173611111111</v>
      </c>
    </row>
    <row r="9903" spans="12:15" x14ac:dyDescent="0.25">
      <c r="L9903" s="147">
        <f ca="1"/>
        <v>55142</v>
      </c>
      <c r="M9903" s="92">
        <f t="shared" ca="1" si="319"/>
        <v>6.25</v>
      </c>
      <c r="N9903" s="143">
        <f ca="1">(PRODUCT($O$5:$O9903)-1)*36000/_xlfn.DAYS(L9903, $C$2)</f>
        <v>18.049497879247877</v>
      </c>
      <c r="O9903" s="149">
        <f t="shared" ca="1" si="320"/>
        <v>1.000173611111111</v>
      </c>
    </row>
    <row r="9904" spans="12:15" x14ac:dyDescent="0.25">
      <c r="L9904" s="147">
        <f ca="1"/>
        <v>55143</v>
      </c>
      <c r="M9904" s="92">
        <f t="shared" ca="1" si="319"/>
        <v>6.25</v>
      </c>
      <c r="N9904" s="143">
        <f ca="1">(PRODUCT($O$5:$O9904)-1)*36000/_xlfn.DAYS(L9904, $C$2)</f>
        <v>18.051439287632455</v>
      </c>
      <c r="O9904" s="149">
        <f t="shared" ca="1" si="320"/>
        <v>1.000173611111111</v>
      </c>
    </row>
    <row r="9905" spans="12:15" x14ac:dyDescent="0.25">
      <c r="L9905" s="147">
        <f ca="1"/>
        <v>55144</v>
      </c>
      <c r="M9905" s="92">
        <f t="shared" ca="1" si="319"/>
        <v>6.25</v>
      </c>
      <c r="N9905" s="143">
        <f ca="1">(PRODUCT($O$5:$O9905)-1)*36000/_xlfn.DAYS(L9905, $C$2)</f>
        <v>18.053380957361568</v>
      </c>
      <c r="O9905" s="149">
        <f t="shared" ca="1" si="320"/>
        <v>1.000173611111111</v>
      </c>
    </row>
    <row r="9906" spans="12:15" x14ac:dyDescent="0.25">
      <c r="L9906" s="147">
        <f ca="1"/>
        <v>55145</v>
      </c>
      <c r="M9906" s="92">
        <f t="shared" ca="1" si="319"/>
        <v>6.25</v>
      </c>
      <c r="N9906" s="143">
        <f ca="1">(PRODUCT($O$5:$O9906)-1)*36000/_xlfn.DAYS(L9906, $C$2)</f>
        <v>18.05532288846949</v>
      </c>
      <c r="O9906" s="149">
        <f t="shared" ca="1" si="320"/>
        <v>1.000173611111111</v>
      </c>
    </row>
    <row r="9907" spans="12:15" x14ac:dyDescent="0.25">
      <c r="L9907" s="147">
        <f ca="1"/>
        <v>55146</v>
      </c>
      <c r="M9907" s="92">
        <f t="shared" ca="1" si="319"/>
        <v>6.25</v>
      </c>
      <c r="N9907" s="143">
        <f ca="1">(PRODUCT($O$5:$O9907)-1)*36000/_xlfn.DAYS(L9907, $C$2)</f>
        <v>18.057265080990483</v>
      </c>
      <c r="O9907" s="149">
        <f t="shared" ca="1" si="320"/>
        <v>1.000173611111111</v>
      </c>
    </row>
    <row r="9908" spans="12:15" x14ac:dyDescent="0.25">
      <c r="L9908" s="147">
        <f ca="1"/>
        <v>55147</v>
      </c>
      <c r="M9908" s="92">
        <f t="shared" ca="1" si="319"/>
        <v>6.25</v>
      </c>
      <c r="N9908" s="143">
        <f ca="1">(PRODUCT($O$5:$O9908)-1)*36000/_xlfn.DAYS(L9908, $C$2)</f>
        <v>18.05920753495883</v>
      </c>
      <c r="O9908" s="149">
        <f t="shared" ca="1" si="320"/>
        <v>1.000173611111111</v>
      </c>
    </row>
    <row r="9909" spans="12:15" x14ac:dyDescent="0.25">
      <c r="L9909" s="147">
        <f ca="1"/>
        <v>55148</v>
      </c>
      <c r="M9909" s="92">
        <f t="shared" ca="1" si="319"/>
        <v>6.25</v>
      </c>
      <c r="N9909" s="143">
        <f ca="1">(PRODUCT($O$5:$O9909)-1)*36000/_xlfn.DAYS(L9909, $C$2)</f>
        <v>18.061150250408812</v>
      </c>
      <c r="O9909" s="149">
        <f t="shared" ca="1" si="320"/>
        <v>1.000173611111111</v>
      </c>
    </row>
    <row r="9910" spans="12:15" x14ac:dyDescent="0.25">
      <c r="L9910" s="147">
        <f ca="1"/>
        <v>55149</v>
      </c>
      <c r="M9910" s="92">
        <f t="shared" ca="1" si="319"/>
        <v>6.25</v>
      </c>
      <c r="N9910" s="143">
        <f ca="1">(PRODUCT($O$5:$O9910)-1)*36000/_xlfn.DAYS(L9910, $C$2)</f>
        <v>18.063093227374718</v>
      </c>
      <c r="O9910" s="149">
        <f t="shared" ca="1" si="320"/>
        <v>1.000173611111111</v>
      </c>
    </row>
    <row r="9911" spans="12:15" x14ac:dyDescent="0.25">
      <c r="L9911" s="147">
        <f ca="1"/>
        <v>55150</v>
      </c>
      <c r="M9911" s="92">
        <f t="shared" ca="1" si="319"/>
        <v>6.25</v>
      </c>
      <c r="N9911" s="143">
        <f ca="1">(PRODUCT($O$5:$O9911)-1)*36000/_xlfn.DAYS(L9911, $C$2)</f>
        <v>18.065036465890845</v>
      </c>
      <c r="O9911" s="149">
        <f t="shared" ca="1" si="320"/>
        <v>1.000173611111111</v>
      </c>
    </row>
    <row r="9912" spans="12:15" x14ac:dyDescent="0.25">
      <c r="L9912" s="147">
        <f ca="1"/>
        <v>55151</v>
      </c>
      <c r="M9912" s="92">
        <f t="shared" ca="1" si="319"/>
        <v>6.25</v>
      </c>
      <c r="N9912" s="143">
        <f ca="1">(PRODUCT($O$5:$O9912)-1)*36000/_xlfn.DAYS(L9912, $C$2)</f>
        <v>18.066979965991489</v>
      </c>
      <c r="O9912" s="149">
        <f t="shared" ca="1" si="320"/>
        <v>1.000173611111111</v>
      </c>
    </row>
    <row r="9913" spans="12:15" x14ac:dyDescent="0.25">
      <c r="L9913" s="147">
        <f ca="1"/>
        <v>55152</v>
      </c>
      <c r="M9913" s="92">
        <f t="shared" ca="1" si="319"/>
        <v>6.25</v>
      </c>
      <c r="N9913" s="143">
        <f ca="1">(PRODUCT($O$5:$O9913)-1)*36000/_xlfn.DAYS(L9913, $C$2)</f>
        <v>18.068923727710963</v>
      </c>
      <c r="O9913" s="149">
        <f t="shared" ca="1" si="320"/>
        <v>1.000173611111111</v>
      </c>
    </row>
    <row r="9914" spans="12:15" x14ac:dyDescent="0.25">
      <c r="L9914" s="147">
        <f ca="1"/>
        <v>55153</v>
      </c>
      <c r="M9914" s="92">
        <f t="shared" ca="1" si="319"/>
        <v>6.25</v>
      </c>
      <c r="N9914" s="143">
        <f ca="1">(PRODUCT($O$5:$O9914)-1)*36000/_xlfn.DAYS(L9914, $C$2)</f>
        <v>18.070867751083579</v>
      </c>
      <c r="O9914" s="149">
        <f t="shared" ca="1" si="320"/>
        <v>1.000173611111111</v>
      </c>
    </row>
    <row r="9915" spans="12:15" x14ac:dyDescent="0.25">
      <c r="L9915" s="147">
        <f ca="1"/>
        <v>55154</v>
      </c>
      <c r="M9915" s="92">
        <f t="shared" ca="1" si="319"/>
        <v>6.25</v>
      </c>
      <c r="N9915" s="143">
        <f ca="1">(PRODUCT($O$5:$O9915)-1)*36000/_xlfn.DAYS(L9915, $C$2)</f>
        <v>18.072812036143649</v>
      </c>
      <c r="O9915" s="149">
        <f t="shared" ca="1" si="320"/>
        <v>1.000173611111111</v>
      </c>
    </row>
    <row r="9916" spans="12:15" x14ac:dyDescent="0.25">
      <c r="L9916" s="147">
        <f ca="1"/>
        <v>55155</v>
      </c>
      <c r="M9916" s="92">
        <f t="shared" ca="1" si="319"/>
        <v>6.25</v>
      </c>
      <c r="N9916" s="143">
        <f ca="1">(PRODUCT($O$5:$O9916)-1)*36000/_xlfn.DAYS(L9916, $C$2)</f>
        <v>18.074756582925502</v>
      </c>
      <c r="O9916" s="149">
        <f t="shared" ca="1" si="320"/>
        <v>1.000173611111111</v>
      </c>
    </row>
    <row r="9917" spans="12:15" x14ac:dyDescent="0.25">
      <c r="L9917" s="147">
        <f ca="1"/>
        <v>55156</v>
      </c>
      <c r="M9917" s="92">
        <f t="shared" ca="1" si="319"/>
        <v>6.25</v>
      </c>
      <c r="N9917" s="143">
        <f ca="1">(PRODUCT($O$5:$O9917)-1)*36000/_xlfn.DAYS(L9917, $C$2)</f>
        <v>18.076701391463462</v>
      </c>
      <c r="O9917" s="149">
        <f t="shared" ca="1" si="320"/>
        <v>1.000173611111111</v>
      </c>
    </row>
    <row r="9918" spans="12:15" x14ac:dyDescent="0.25">
      <c r="L9918" s="147">
        <f ca="1"/>
        <v>55157</v>
      </c>
      <c r="M9918" s="92">
        <f t="shared" ca="1" si="319"/>
        <v>6.25</v>
      </c>
      <c r="N9918" s="143">
        <f ca="1">(PRODUCT($O$5:$O9918)-1)*36000/_xlfn.DAYS(L9918, $C$2)</f>
        <v>18.078646461791877</v>
      </c>
      <c r="O9918" s="149">
        <f t="shared" ca="1" si="320"/>
        <v>1.000173611111111</v>
      </c>
    </row>
    <row r="9919" spans="12:15" x14ac:dyDescent="0.25">
      <c r="L9919" s="147">
        <f ca="1"/>
        <v>55158</v>
      </c>
      <c r="M9919" s="92">
        <f t="shared" ca="1" si="319"/>
        <v>6.25</v>
      </c>
      <c r="N9919" s="143">
        <f ca="1">(PRODUCT($O$5:$O9919)-1)*36000/_xlfn.DAYS(L9919, $C$2)</f>
        <v>18.080591793945079</v>
      </c>
      <c r="O9919" s="149">
        <f t="shared" ca="1" si="320"/>
        <v>1.000173611111111</v>
      </c>
    </row>
    <row r="9920" spans="12:15" x14ac:dyDescent="0.25">
      <c r="L9920" s="147">
        <f ca="1"/>
        <v>55159</v>
      </c>
      <c r="M9920" s="92">
        <f t="shared" ca="1" si="319"/>
        <v>6.25</v>
      </c>
      <c r="N9920" s="143">
        <f ca="1">(PRODUCT($O$5:$O9920)-1)*36000/_xlfn.DAYS(L9920, $C$2)</f>
        <v>18.082537387957416</v>
      </c>
      <c r="O9920" s="149">
        <f t="shared" ca="1" si="320"/>
        <v>1.000173611111111</v>
      </c>
    </row>
    <row r="9921" spans="12:15" x14ac:dyDescent="0.25">
      <c r="L9921" s="147">
        <f ca="1"/>
        <v>55160</v>
      </c>
      <c r="M9921" s="92">
        <f t="shared" ca="1" si="319"/>
        <v>6.25</v>
      </c>
      <c r="N9921" s="143">
        <f ca="1">(PRODUCT($O$5:$O9921)-1)*36000/_xlfn.DAYS(L9921, $C$2)</f>
        <v>18.084483243863247</v>
      </c>
      <c r="O9921" s="149">
        <f t="shared" ca="1" si="320"/>
        <v>1.000173611111111</v>
      </c>
    </row>
    <row r="9922" spans="12:15" x14ac:dyDescent="0.25">
      <c r="L9922" s="147">
        <f ca="1"/>
        <v>55161</v>
      </c>
      <c r="M9922" s="92">
        <f t="shared" ca="1" si="319"/>
        <v>6.25</v>
      </c>
      <c r="N9922" s="143">
        <f ca="1">(PRODUCT($O$5:$O9922)-1)*36000/_xlfn.DAYS(L9922, $C$2)</f>
        <v>18.086429361696922</v>
      </c>
      <c r="O9922" s="149">
        <f t="shared" ca="1" si="320"/>
        <v>1.000173611111111</v>
      </c>
    </row>
    <row r="9923" spans="12:15" x14ac:dyDescent="0.25">
      <c r="L9923" s="147">
        <f ca="1"/>
        <v>55162</v>
      </c>
      <c r="M9923" s="92">
        <f t="shared" ca="1" si="319"/>
        <v>6.25</v>
      </c>
      <c r="N9923" s="143">
        <f ca="1">(PRODUCT($O$5:$O9923)-1)*36000/_xlfn.DAYS(L9923, $C$2)</f>
        <v>18.088375741492815</v>
      </c>
      <c r="O9923" s="149">
        <f t="shared" ca="1" si="320"/>
        <v>1.000173611111111</v>
      </c>
    </row>
    <row r="9924" spans="12:15" x14ac:dyDescent="0.25">
      <c r="L9924" s="147">
        <f ca="1"/>
        <v>55163</v>
      </c>
      <c r="M9924" s="92">
        <f t="shared" ca="1" si="319"/>
        <v>6.25</v>
      </c>
      <c r="N9924" s="143">
        <f ca="1">(PRODUCT($O$5:$O9924)-1)*36000/_xlfn.DAYS(L9924, $C$2)</f>
        <v>18.090322383285294</v>
      </c>
      <c r="O9924" s="149">
        <f t="shared" ca="1" si="320"/>
        <v>1.000173611111111</v>
      </c>
    </row>
    <row r="9925" spans="12:15" x14ac:dyDescent="0.25">
      <c r="L9925" s="147">
        <f ca="1"/>
        <v>55164</v>
      </c>
      <c r="M9925" s="92">
        <f t="shared" ref="M9925:M9988" ca="1" si="321">IFERROR(INDEX($E$27:$H$47, MATCH(L9925, $F$27:$F$47, 0), 4), IF(ISNUMBER(M9924), M9924, $C$5))</f>
        <v>6.25</v>
      </c>
      <c r="N9925" s="143">
        <f ca="1">(PRODUCT($O$5:$O9925)-1)*36000/_xlfn.DAYS(L9925, $C$2)</f>
        <v>18.092269287108735</v>
      </c>
      <c r="O9925" s="149">
        <f t="shared" ca="1" si="320"/>
        <v>1.000173611111111</v>
      </c>
    </row>
    <row r="9926" spans="12:15" x14ac:dyDescent="0.25">
      <c r="L9926" s="147">
        <f ca="1"/>
        <v>55165</v>
      </c>
      <c r="M9926" s="92">
        <f t="shared" ca="1" si="321"/>
        <v>6.25</v>
      </c>
      <c r="N9926" s="143">
        <f ca="1">(PRODUCT($O$5:$O9926)-1)*36000/_xlfn.DAYS(L9926, $C$2)</f>
        <v>18.094216452997522</v>
      </c>
      <c r="O9926" s="149">
        <f t="shared" ref="O9926:O9989" ca="1" si="322">1+M9926*IFERROR(_xlfn.DAYS(L9926, L9925), _xlfn.DAYS(L9926, $C$2))/36000</f>
        <v>1.000173611111111</v>
      </c>
    </row>
    <row r="9927" spans="12:15" x14ac:dyDescent="0.25">
      <c r="L9927" s="147">
        <f ca="1"/>
        <v>55166</v>
      </c>
      <c r="M9927" s="92">
        <f t="shared" ca="1" si="321"/>
        <v>6.25</v>
      </c>
      <c r="N9927" s="143">
        <f ca="1">(PRODUCT($O$5:$O9927)-1)*36000/_xlfn.DAYS(L9927, $C$2)</f>
        <v>18.09616388098604</v>
      </c>
      <c r="O9927" s="149">
        <f t="shared" ca="1" si="322"/>
        <v>1.000173611111111</v>
      </c>
    </row>
    <row r="9928" spans="12:15" x14ac:dyDescent="0.25">
      <c r="L9928" s="147">
        <f ca="1"/>
        <v>55167</v>
      </c>
      <c r="M9928" s="92">
        <f t="shared" ca="1" si="321"/>
        <v>6.25</v>
      </c>
      <c r="N9928" s="143">
        <f ca="1">(PRODUCT($O$5:$O9928)-1)*36000/_xlfn.DAYS(L9928, $C$2)</f>
        <v>18.098111571108689</v>
      </c>
      <c r="O9928" s="149">
        <f t="shared" ca="1" si="322"/>
        <v>1.000173611111111</v>
      </c>
    </row>
    <row r="9929" spans="12:15" x14ac:dyDescent="0.25">
      <c r="L9929" s="147">
        <f ca="1"/>
        <v>55168</v>
      </c>
      <c r="M9929" s="92">
        <f t="shared" ca="1" si="321"/>
        <v>6.25</v>
      </c>
      <c r="N9929" s="143">
        <f ca="1">(PRODUCT($O$5:$O9929)-1)*36000/_xlfn.DAYS(L9929, $C$2)</f>
        <v>18.100059523399864</v>
      </c>
      <c r="O9929" s="149">
        <f t="shared" ca="1" si="322"/>
        <v>1.000173611111111</v>
      </c>
    </row>
    <row r="9930" spans="12:15" x14ac:dyDescent="0.25">
      <c r="L9930" s="147">
        <f ca="1"/>
        <v>55169</v>
      </c>
      <c r="M9930" s="92">
        <f t="shared" ca="1" si="321"/>
        <v>6.25</v>
      </c>
      <c r="N9930" s="143">
        <f ca="1">(PRODUCT($O$5:$O9930)-1)*36000/_xlfn.DAYS(L9930, $C$2)</f>
        <v>18.102007737893981</v>
      </c>
      <c r="O9930" s="149">
        <f t="shared" ca="1" si="322"/>
        <v>1.000173611111111</v>
      </c>
    </row>
    <row r="9931" spans="12:15" x14ac:dyDescent="0.25">
      <c r="L9931" s="147">
        <f ca="1"/>
        <v>55170</v>
      </c>
      <c r="M9931" s="92">
        <f t="shared" ca="1" si="321"/>
        <v>6.25</v>
      </c>
      <c r="N9931" s="143">
        <f ca="1">(PRODUCT($O$5:$O9931)-1)*36000/_xlfn.DAYS(L9931, $C$2)</f>
        <v>18.103956214625438</v>
      </c>
      <c r="O9931" s="149">
        <f t="shared" ca="1" si="322"/>
        <v>1.000173611111111</v>
      </c>
    </row>
    <row r="9932" spans="12:15" x14ac:dyDescent="0.25">
      <c r="L9932" s="147">
        <f ca="1"/>
        <v>55171</v>
      </c>
      <c r="M9932" s="92">
        <f t="shared" ca="1" si="321"/>
        <v>6.25</v>
      </c>
      <c r="N9932" s="143">
        <f ca="1">(PRODUCT($O$5:$O9932)-1)*36000/_xlfn.DAYS(L9932, $C$2)</f>
        <v>18.105904953628659</v>
      </c>
      <c r="O9932" s="149">
        <f t="shared" ca="1" si="322"/>
        <v>1.000173611111111</v>
      </c>
    </row>
    <row r="9933" spans="12:15" x14ac:dyDescent="0.25">
      <c r="L9933" s="147">
        <f ca="1"/>
        <v>55172</v>
      </c>
      <c r="M9933" s="92">
        <f t="shared" ca="1" si="321"/>
        <v>6.25</v>
      </c>
      <c r="N9933" s="143">
        <f ca="1">(PRODUCT($O$5:$O9933)-1)*36000/_xlfn.DAYS(L9933, $C$2)</f>
        <v>18.107853954938072</v>
      </c>
      <c r="O9933" s="149">
        <f t="shared" ca="1" si="322"/>
        <v>1.000173611111111</v>
      </c>
    </row>
    <row r="9934" spans="12:15" x14ac:dyDescent="0.25">
      <c r="L9934" s="147">
        <f ca="1"/>
        <v>55173</v>
      </c>
      <c r="M9934" s="92">
        <f t="shared" ca="1" si="321"/>
        <v>6.25</v>
      </c>
      <c r="N9934" s="143">
        <f ca="1">(PRODUCT($O$5:$O9934)-1)*36000/_xlfn.DAYS(L9934, $C$2)</f>
        <v>18.109803218588105</v>
      </c>
      <c r="O9934" s="149">
        <f t="shared" ca="1" si="322"/>
        <v>1.000173611111111</v>
      </c>
    </row>
    <row r="9935" spans="12:15" x14ac:dyDescent="0.25">
      <c r="L9935" s="147">
        <f ca="1"/>
        <v>55174</v>
      </c>
      <c r="M9935" s="92">
        <f t="shared" ca="1" si="321"/>
        <v>6.25</v>
      </c>
      <c r="N9935" s="143">
        <f ca="1">(PRODUCT($O$5:$O9935)-1)*36000/_xlfn.DAYS(L9935, $C$2)</f>
        <v>18.111752744613188</v>
      </c>
      <c r="O9935" s="149">
        <f t="shared" ca="1" si="322"/>
        <v>1.000173611111111</v>
      </c>
    </row>
    <row r="9936" spans="12:15" x14ac:dyDescent="0.25">
      <c r="L9936" s="147">
        <f ca="1"/>
        <v>55175</v>
      </c>
      <c r="M9936" s="92">
        <f t="shared" ca="1" si="321"/>
        <v>6.25</v>
      </c>
      <c r="N9936" s="143">
        <f ca="1">(PRODUCT($O$5:$O9936)-1)*36000/_xlfn.DAYS(L9936, $C$2)</f>
        <v>18.113702533047768</v>
      </c>
      <c r="O9936" s="149">
        <f t="shared" ca="1" si="322"/>
        <v>1.000173611111111</v>
      </c>
    </row>
    <row r="9937" spans="12:15" x14ac:dyDescent="0.25">
      <c r="L9937" s="147">
        <f ca="1"/>
        <v>55176</v>
      </c>
      <c r="M9937" s="92">
        <f t="shared" ca="1" si="321"/>
        <v>6.25</v>
      </c>
      <c r="N9937" s="143">
        <f ca="1">(PRODUCT($O$5:$O9937)-1)*36000/_xlfn.DAYS(L9937, $C$2)</f>
        <v>18.115652583926288</v>
      </c>
      <c r="O9937" s="149">
        <f t="shared" ca="1" si="322"/>
        <v>1.000173611111111</v>
      </c>
    </row>
    <row r="9938" spans="12:15" x14ac:dyDescent="0.25">
      <c r="L9938" s="147">
        <f ca="1"/>
        <v>55177</v>
      </c>
      <c r="M9938" s="92">
        <f t="shared" ca="1" si="321"/>
        <v>6.25</v>
      </c>
      <c r="N9938" s="143">
        <f ca="1">(PRODUCT($O$5:$O9938)-1)*36000/_xlfn.DAYS(L9938, $C$2)</f>
        <v>18.117602897283206</v>
      </c>
      <c r="O9938" s="149">
        <f t="shared" ca="1" si="322"/>
        <v>1.000173611111111</v>
      </c>
    </row>
    <row r="9939" spans="12:15" x14ac:dyDescent="0.25">
      <c r="L9939" s="147">
        <f ca="1"/>
        <v>55178</v>
      </c>
      <c r="M9939" s="92">
        <f t="shared" ca="1" si="321"/>
        <v>6.25</v>
      </c>
      <c r="N9939" s="143">
        <f ca="1">(PRODUCT($O$5:$O9939)-1)*36000/_xlfn.DAYS(L9939, $C$2)</f>
        <v>18.119553473152976</v>
      </c>
      <c r="O9939" s="149">
        <f t="shared" ca="1" si="322"/>
        <v>1.000173611111111</v>
      </c>
    </row>
    <row r="9940" spans="12:15" x14ac:dyDescent="0.25">
      <c r="L9940" s="147">
        <f ca="1"/>
        <v>55179</v>
      </c>
      <c r="M9940" s="92">
        <f t="shared" ca="1" si="321"/>
        <v>6.25</v>
      </c>
      <c r="N9940" s="143">
        <f ca="1">(PRODUCT($O$5:$O9940)-1)*36000/_xlfn.DAYS(L9940, $C$2)</f>
        <v>18.121504311570067</v>
      </c>
      <c r="O9940" s="149">
        <f t="shared" ca="1" si="322"/>
        <v>1.000173611111111</v>
      </c>
    </row>
    <row r="9941" spans="12:15" x14ac:dyDescent="0.25">
      <c r="L9941" s="147">
        <f ca="1"/>
        <v>55180</v>
      </c>
      <c r="M9941" s="92">
        <f t="shared" ca="1" si="321"/>
        <v>6.25</v>
      </c>
      <c r="N9941" s="143">
        <f ca="1">(PRODUCT($O$5:$O9941)-1)*36000/_xlfn.DAYS(L9941, $C$2)</f>
        <v>18.123455412568948</v>
      </c>
      <c r="O9941" s="149">
        <f t="shared" ca="1" si="322"/>
        <v>1.000173611111111</v>
      </c>
    </row>
    <row r="9942" spans="12:15" x14ac:dyDescent="0.25">
      <c r="L9942" s="147">
        <f ca="1"/>
        <v>55181</v>
      </c>
      <c r="M9942" s="92">
        <f t="shared" ca="1" si="321"/>
        <v>6.25</v>
      </c>
      <c r="N9942" s="143">
        <f ca="1">(PRODUCT($O$5:$O9942)-1)*36000/_xlfn.DAYS(L9942, $C$2)</f>
        <v>18.125406776184093</v>
      </c>
      <c r="O9942" s="149">
        <f t="shared" ca="1" si="322"/>
        <v>1.000173611111111</v>
      </c>
    </row>
    <row r="9943" spans="12:15" x14ac:dyDescent="0.25">
      <c r="L9943" s="147">
        <f ca="1"/>
        <v>55182</v>
      </c>
      <c r="M9943" s="92">
        <f t="shared" ca="1" si="321"/>
        <v>6.25</v>
      </c>
      <c r="N9943" s="143">
        <f ca="1">(PRODUCT($O$5:$O9943)-1)*36000/_xlfn.DAYS(L9943, $C$2)</f>
        <v>18.127358402449989</v>
      </c>
      <c r="O9943" s="149">
        <f t="shared" ca="1" si="322"/>
        <v>1.000173611111111</v>
      </c>
    </row>
    <row r="9944" spans="12:15" x14ac:dyDescent="0.25">
      <c r="L9944" s="147">
        <f ca="1"/>
        <v>55183</v>
      </c>
      <c r="M9944" s="92">
        <f t="shared" ca="1" si="321"/>
        <v>6.25</v>
      </c>
      <c r="N9944" s="143">
        <f ca="1">(PRODUCT($O$5:$O9944)-1)*36000/_xlfn.DAYS(L9944, $C$2)</f>
        <v>18.129310291401122</v>
      </c>
      <c r="O9944" s="149">
        <f t="shared" ca="1" si="322"/>
        <v>1.000173611111111</v>
      </c>
    </row>
    <row r="9945" spans="12:15" x14ac:dyDescent="0.25">
      <c r="L9945" s="147">
        <f ca="1"/>
        <v>55184</v>
      </c>
      <c r="M9945" s="92">
        <f t="shared" ca="1" si="321"/>
        <v>6.25</v>
      </c>
      <c r="N9945" s="143">
        <f ca="1">(PRODUCT($O$5:$O9945)-1)*36000/_xlfn.DAYS(L9945, $C$2)</f>
        <v>18.131262443071982</v>
      </c>
      <c r="O9945" s="149">
        <f t="shared" ca="1" si="322"/>
        <v>1.000173611111111</v>
      </c>
    </row>
    <row r="9946" spans="12:15" x14ac:dyDescent="0.25">
      <c r="L9946" s="147">
        <f ca="1"/>
        <v>55185</v>
      </c>
      <c r="M9946" s="92">
        <f t="shared" ca="1" si="321"/>
        <v>6.25</v>
      </c>
      <c r="N9946" s="143">
        <f ca="1">(PRODUCT($O$5:$O9946)-1)*36000/_xlfn.DAYS(L9946, $C$2)</f>
        <v>18.133214857497077</v>
      </c>
      <c r="O9946" s="149">
        <f t="shared" ca="1" si="322"/>
        <v>1.000173611111111</v>
      </c>
    </row>
    <row r="9947" spans="12:15" x14ac:dyDescent="0.25">
      <c r="L9947" s="147">
        <f ca="1"/>
        <v>55186</v>
      </c>
      <c r="M9947" s="92">
        <f t="shared" ca="1" si="321"/>
        <v>6.25</v>
      </c>
      <c r="N9947" s="143">
        <f ca="1">(PRODUCT($O$5:$O9947)-1)*36000/_xlfn.DAYS(L9947, $C$2)</f>
        <v>18.135167534710909</v>
      </c>
      <c r="O9947" s="149">
        <f t="shared" ca="1" si="322"/>
        <v>1.000173611111111</v>
      </c>
    </row>
    <row r="9948" spans="12:15" x14ac:dyDescent="0.25">
      <c r="L9948" s="147">
        <f ca="1"/>
        <v>55187</v>
      </c>
      <c r="M9948" s="92">
        <f t="shared" ca="1" si="321"/>
        <v>6.25</v>
      </c>
      <c r="N9948" s="143">
        <f ca="1">(PRODUCT($O$5:$O9948)-1)*36000/_xlfn.DAYS(L9948, $C$2)</f>
        <v>18.137120474747995</v>
      </c>
      <c r="O9948" s="149">
        <f t="shared" ca="1" si="322"/>
        <v>1.000173611111111</v>
      </c>
    </row>
    <row r="9949" spans="12:15" x14ac:dyDescent="0.25">
      <c r="L9949" s="147">
        <f ca="1"/>
        <v>55188</v>
      </c>
      <c r="M9949" s="92">
        <f t="shared" ca="1" si="321"/>
        <v>6.25</v>
      </c>
      <c r="N9949" s="143">
        <f ca="1">(PRODUCT($O$5:$O9949)-1)*36000/_xlfn.DAYS(L9949, $C$2)</f>
        <v>18.139073677642845</v>
      </c>
      <c r="O9949" s="149">
        <f t="shared" ca="1" si="322"/>
        <v>1.000173611111111</v>
      </c>
    </row>
    <row r="9950" spans="12:15" x14ac:dyDescent="0.25">
      <c r="L9950" s="147">
        <f ca="1"/>
        <v>55189</v>
      </c>
      <c r="M9950" s="92">
        <f t="shared" ca="1" si="321"/>
        <v>6.25</v>
      </c>
      <c r="N9950" s="143">
        <f ca="1">(PRODUCT($O$5:$O9950)-1)*36000/_xlfn.DAYS(L9950, $C$2)</f>
        <v>18.141027143429984</v>
      </c>
      <c r="O9950" s="149">
        <f t="shared" ca="1" si="322"/>
        <v>1.000173611111111</v>
      </c>
    </row>
    <row r="9951" spans="12:15" x14ac:dyDescent="0.25">
      <c r="L9951" s="147">
        <f ca="1"/>
        <v>55190</v>
      </c>
      <c r="M9951" s="92">
        <f t="shared" ca="1" si="321"/>
        <v>6.25</v>
      </c>
      <c r="N9951" s="143">
        <f ca="1">(PRODUCT($O$5:$O9951)-1)*36000/_xlfn.DAYS(L9951, $C$2)</f>
        <v>18.142980872143941</v>
      </c>
      <c r="O9951" s="149">
        <f t="shared" ca="1" si="322"/>
        <v>1.000173611111111</v>
      </c>
    </row>
    <row r="9952" spans="12:15" x14ac:dyDescent="0.25">
      <c r="L9952" s="147">
        <f ca="1"/>
        <v>55191</v>
      </c>
      <c r="M9952" s="92">
        <f t="shared" ca="1" si="321"/>
        <v>6.25</v>
      </c>
      <c r="N9952" s="143">
        <f ca="1">(PRODUCT($O$5:$O9952)-1)*36000/_xlfn.DAYS(L9952, $C$2)</f>
        <v>18.144934863819259</v>
      </c>
      <c r="O9952" s="149">
        <f t="shared" ca="1" si="322"/>
        <v>1.000173611111111</v>
      </c>
    </row>
    <row r="9953" spans="12:15" x14ac:dyDescent="0.25">
      <c r="L9953" s="147">
        <f ca="1"/>
        <v>55192</v>
      </c>
      <c r="M9953" s="92">
        <f t="shared" ca="1" si="321"/>
        <v>6.25</v>
      </c>
      <c r="N9953" s="143">
        <f ca="1">(PRODUCT($O$5:$O9953)-1)*36000/_xlfn.DAYS(L9953, $C$2)</f>
        <v>18.146889118490467</v>
      </c>
      <c r="O9953" s="149">
        <f t="shared" ca="1" si="322"/>
        <v>1.000173611111111</v>
      </c>
    </row>
    <row r="9954" spans="12:15" x14ac:dyDescent="0.25">
      <c r="L9954" s="147">
        <f ca="1"/>
        <v>55193</v>
      </c>
      <c r="M9954" s="92">
        <f t="shared" ca="1" si="321"/>
        <v>6.25</v>
      </c>
      <c r="N9954" s="143">
        <f ca="1">(PRODUCT($O$5:$O9954)-1)*36000/_xlfn.DAYS(L9954, $C$2)</f>
        <v>18.148843636192119</v>
      </c>
      <c r="O9954" s="149">
        <f t="shared" ca="1" si="322"/>
        <v>1.000173611111111</v>
      </c>
    </row>
    <row r="9955" spans="12:15" x14ac:dyDescent="0.25">
      <c r="L9955" s="147">
        <f ca="1"/>
        <v>55194</v>
      </c>
      <c r="M9955" s="92">
        <f t="shared" ca="1" si="321"/>
        <v>6.25</v>
      </c>
      <c r="N9955" s="143">
        <f ca="1">(PRODUCT($O$5:$O9955)-1)*36000/_xlfn.DAYS(L9955, $C$2)</f>
        <v>18.150798416958775</v>
      </c>
      <c r="O9955" s="149">
        <f t="shared" ca="1" si="322"/>
        <v>1.000173611111111</v>
      </c>
    </row>
    <row r="9956" spans="12:15" x14ac:dyDescent="0.25">
      <c r="L9956" s="147">
        <f ca="1"/>
        <v>55195</v>
      </c>
      <c r="M9956" s="92">
        <f t="shared" ca="1" si="321"/>
        <v>6.25</v>
      </c>
      <c r="N9956" s="143">
        <f ca="1">(PRODUCT($O$5:$O9956)-1)*36000/_xlfn.DAYS(L9956, $C$2)</f>
        <v>18.152753460824982</v>
      </c>
      <c r="O9956" s="149">
        <f t="shared" ca="1" si="322"/>
        <v>1.000173611111111</v>
      </c>
    </row>
    <row r="9957" spans="12:15" x14ac:dyDescent="0.25">
      <c r="L9957" s="147">
        <f ca="1"/>
        <v>55196</v>
      </c>
      <c r="M9957" s="92">
        <f t="shared" ca="1" si="321"/>
        <v>6.25</v>
      </c>
      <c r="N9957" s="143">
        <f ca="1">(PRODUCT($O$5:$O9957)-1)*36000/_xlfn.DAYS(L9957, $C$2)</f>
        <v>18.154708767825305</v>
      </c>
      <c r="O9957" s="149">
        <f t="shared" ca="1" si="322"/>
        <v>1.000173611111111</v>
      </c>
    </row>
    <row r="9958" spans="12:15" x14ac:dyDescent="0.25">
      <c r="L9958" s="147">
        <f ca="1"/>
        <v>55197</v>
      </c>
      <c r="M9958" s="92">
        <f t="shared" ca="1" si="321"/>
        <v>6.25</v>
      </c>
      <c r="N9958" s="143">
        <f ca="1">(PRODUCT($O$5:$O9958)-1)*36000/_xlfn.DAYS(L9958, $C$2)</f>
        <v>18.156664337994322</v>
      </c>
      <c r="O9958" s="149">
        <f t="shared" ca="1" si="322"/>
        <v>1.000173611111111</v>
      </c>
    </row>
    <row r="9959" spans="12:15" x14ac:dyDescent="0.25">
      <c r="L9959" s="147">
        <f ca="1"/>
        <v>55198</v>
      </c>
      <c r="M9959" s="92">
        <f t="shared" ca="1" si="321"/>
        <v>6.25</v>
      </c>
      <c r="N9959" s="143">
        <f ca="1">(PRODUCT($O$5:$O9959)-1)*36000/_xlfn.DAYS(L9959, $C$2)</f>
        <v>18.158620171366607</v>
      </c>
      <c r="O9959" s="149">
        <f t="shared" ca="1" si="322"/>
        <v>1.000173611111111</v>
      </c>
    </row>
    <row r="9960" spans="12:15" x14ac:dyDescent="0.25">
      <c r="L9960" s="147">
        <f ca="1"/>
        <v>55199</v>
      </c>
      <c r="M9960" s="92">
        <f t="shared" ca="1" si="321"/>
        <v>6.25</v>
      </c>
      <c r="N9960" s="143">
        <f ca="1">(PRODUCT($O$5:$O9960)-1)*36000/_xlfn.DAYS(L9960, $C$2)</f>
        <v>18.16057626797674</v>
      </c>
      <c r="O9960" s="149">
        <f t="shared" ca="1" si="322"/>
        <v>1.000173611111111</v>
      </c>
    </row>
    <row r="9961" spans="12:15" x14ac:dyDescent="0.25">
      <c r="L9961" s="147">
        <f ca="1"/>
        <v>55200</v>
      </c>
      <c r="M9961" s="92">
        <f t="shared" ca="1" si="321"/>
        <v>6.25</v>
      </c>
      <c r="N9961" s="143">
        <f ca="1">(PRODUCT($O$5:$O9961)-1)*36000/_xlfn.DAYS(L9961, $C$2)</f>
        <v>18.16253262785931</v>
      </c>
      <c r="O9961" s="149">
        <f t="shared" ca="1" si="322"/>
        <v>1.000173611111111</v>
      </c>
    </row>
    <row r="9962" spans="12:15" x14ac:dyDescent="0.25">
      <c r="L9962" s="147">
        <f ca="1"/>
        <v>55201</v>
      </c>
      <c r="M9962" s="92">
        <f t="shared" ca="1" si="321"/>
        <v>6.25</v>
      </c>
      <c r="N9962" s="143">
        <f ca="1">(PRODUCT($O$5:$O9962)-1)*36000/_xlfn.DAYS(L9962, $C$2)</f>
        <v>18.164489251048909</v>
      </c>
      <c r="O9962" s="149">
        <f t="shared" ca="1" si="322"/>
        <v>1.000173611111111</v>
      </c>
    </row>
    <row r="9963" spans="12:15" x14ac:dyDescent="0.25">
      <c r="L9963" s="147">
        <f ca="1"/>
        <v>55202</v>
      </c>
      <c r="M9963" s="92">
        <f t="shared" ca="1" si="321"/>
        <v>6.25</v>
      </c>
      <c r="N9963" s="143">
        <f ca="1">(PRODUCT($O$5:$O9963)-1)*36000/_xlfn.DAYS(L9963, $C$2)</f>
        <v>18.166446137580142</v>
      </c>
      <c r="O9963" s="149">
        <f t="shared" ca="1" si="322"/>
        <v>1.000173611111111</v>
      </c>
    </row>
    <row r="9964" spans="12:15" x14ac:dyDescent="0.25">
      <c r="L9964" s="147">
        <f ca="1"/>
        <v>55203</v>
      </c>
      <c r="M9964" s="92">
        <f t="shared" ca="1" si="321"/>
        <v>6.25</v>
      </c>
      <c r="N9964" s="143">
        <f ca="1">(PRODUCT($O$5:$O9964)-1)*36000/_xlfn.DAYS(L9964, $C$2)</f>
        <v>18.168403287487614</v>
      </c>
      <c r="O9964" s="149">
        <f t="shared" ca="1" si="322"/>
        <v>1.000173611111111</v>
      </c>
    </row>
    <row r="9965" spans="12:15" x14ac:dyDescent="0.25">
      <c r="L9965" s="147">
        <f ca="1"/>
        <v>55204</v>
      </c>
      <c r="M9965" s="92">
        <f t="shared" ca="1" si="321"/>
        <v>6.25</v>
      </c>
      <c r="N9965" s="143">
        <f ca="1">(PRODUCT($O$5:$O9965)-1)*36000/_xlfn.DAYS(L9965, $C$2)</f>
        <v>18.170360700805933</v>
      </c>
      <c r="O9965" s="149">
        <f t="shared" ca="1" si="322"/>
        <v>1.000173611111111</v>
      </c>
    </row>
    <row r="9966" spans="12:15" x14ac:dyDescent="0.25">
      <c r="L9966" s="147">
        <f ca="1"/>
        <v>55205</v>
      </c>
      <c r="M9966" s="92">
        <f t="shared" ca="1" si="321"/>
        <v>6.25</v>
      </c>
      <c r="N9966" s="143">
        <f ca="1">(PRODUCT($O$5:$O9966)-1)*36000/_xlfn.DAYS(L9966, $C$2)</f>
        <v>18.17231837756972</v>
      </c>
      <c r="O9966" s="149">
        <f t="shared" ca="1" si="322"/>
        <v>1.000173611111111</v>
      </c>
    </row>
    <row r="9967" spans="12:15" x14ac:dyDescent="0.25">
      <c r="L9967" s="147">
        <f ca="1"/>
        <v>55206</v>
      </c>
      <c r="M9967" s="92">
        <f t="shared" ca="1" si="321"/>
        <v>6.25</v>
      </c>
      <c r="N9967" s="143">
        <f ca="1">(PRODUCT($O$5:$O9967)-1)*36000/_xlfn.DAYS(L9967, $C$2)</f>
        <v>18.174276317813597</v>
      </c>
      <c r="O9967" s="149">
        <f t="shared" ca="1" si="322"/>
        <v>1.000173611111111</v>
      </c>
    </row>
    <row r="9968" spans="12:15" x14ac:dyDescent="0.25">
      <c r="L9968" s="147">
        <f ca="1"/>
        <v>55207</v>
      </c>
      <c r="M9968" s="92">
        <f t="shared" ca="1" si="321"/>
        <v>6.25</v>
      </c>
      <c r="N9968" s="143">
        <f ca="1">(PRODUCT($O$5:$O9968)-1)*36000/_xlfn.DAYS(L9968, $C$2)</f>
        <v>18.176234521572191</v>
      </c>
      <c r="O9968" s="149">
        <f t="shared" ca="1" si="322"/>
        <v>1.000173611111111</v>
      </c>
    </row>
    <row r="9969" spans="12:15" x14ac:dyDescent="0.25">
      <c r="L9969" s="147">
        <f ca="1"/>
        <v>55208</v>
      </c>
      <c r="M9969" s="92">
        <f t="shared" ca="1" si="321"/>
        <v>6.25</v>
      </c>
      <c r="N9969" s="143">
        <f ca="1">(PRODUCT($O$5:$O9969)-1)*36000/_xlfn.DAYS(L9969, $C$2)</f>
        <v>18.178192988880141</v>
      </c>
      <c r="O9969" s="149">
        <f t="shared" ca="1" si="322"/>
        <v>1.000173611111111</v>
      </c>
    </row>
    <row r="9970" spans="12:15" x14ac:dyDescent="0.25">
      <c r="L9970" s="147">
        <f ca="1"/>
        <v>55209</v>
      </c>
      <c r="M9970" s="92">
        <f t="shared" ca="1" si="321"/>
        <v>6.25</v>
      </c>
      <c r="N9970" s="143">
        <f ca="1">(PRODUCT($O$5:$O9970)-1)*36000/_xlfn.DAYS(L9970, $C$2)</f>
        <v>18.180151719772084</v>
      </c>
      <c r="O9970" s="149">
        <f t="shared" ca="1" si="322"/>
        <v>1.000173611111111</v>
      </c>
    </row>
    <row r="9971" spans="12:15" x14ac:dyDescent="0.25">
      <c r="L9971" s="147">
        <f ca="1"/>
        <v>55210</v>
      </c>
      <c r="M9971" s="92">
        <f t="shared" ca="1" si="321"/>
        <v>6.25</v>
      </c>
      <c r="N9971" s="143">
        <f ca="1">(PRODUCT($O$5:$O9971)-1)*36000/_xlfn.DAYS(L9971, $C$2)</f>
        <v>18.182110714282668</v>
      </c>
      <c r="O9971" s="149">
        <f t="shared" ca="1" si="322"/>
        <v>1.000173611111111</v>
      </c>
    </row>
    <row r="9972" spans="12:15" x14ac:dyDescent="0.25">
      <c r="L9972" s="147">
        <f ca="1"/>
        <v>55211</v>
      </c>
      <c r="M9972" s="92">
        <f t="shared" ca="1" si="321"/>
        <v>6.25</v>
      </c>
      <c r="N9972" s="143">
        <f ca="1">(PRODUCT($O$5:$O9972)-1)*36000/_xlfn.DAYS(L9972, $C$2)</f>
        <v>18.184069972446554</v>
      </c>
      <c r="O9972" s="149">
        <f t="shared" ca="1" si="322"/>
        <v>1.000173611111111</v>
      </c>
    </row>
    <row r="9973" spans="12:15" x14ac:dyDescent="0.25">
      <c r="L9973" s="147">
        <f ca="1"/>
        <v>55212</v>
      </c>
      <c r="M9973" s="92">
        <f t="shared" ca="1" si="321"/>
        <v>6.25</v>
      </c>
      <c r="N9973" s="143">
        <f ca="1">(PRODUCT($O$5:$O9973)-1)*36000/_xlfn.DAYS(L9973, $C$2)</f>
        <v>18.186029494298392</v>
      </c>
      <c r="O9973" s="149">
        <f t="shared" ca="1" si="322"/>
        <v>1.000173611111111</v>
      </c>
    </row>
    <row r="9974" spans="12:15" x14ac:dyDescent="0.25">
      <c r="L9974" s="147">
        <f ca="1"/>
        <v>55213</v>
      </c>
      <c r="M9974" s="92">
        <f t="shared" ca="1" si="321"/>
        <v>6.25</v>
      </c>
      <c r="N9974" s="143">
        <f ca="1">(PRODUCT($O$5:$O9974)-1)*36000/_xlfn.DAYS(L9974, $C$2)</f>
        <v>18.187989279872848</v>
      </c>
      <c r="O9974" s="149">
        <f t="shared" ca="1" si="322"/>
        <v>1.000173611111111</v>
      </c>
    </row>
    <row r="9975" spans="12:15" x14ac:dyDescent="0.25">
      <c r="L9975" s="147">
        <f ca="1"/>
        <v>55214</v>
      </c>
      <c r="M9975" s="92">
        <f t="shared" ca="1" si="321"/>
        <v>6.25</v>
      </c>
      <c r="N9975" s="143">
        <f ca="1">(PRODUCT($O$5:$O9975)-1)*36000/_xlfn.DAYS(L9975, $C$2)</f>
        <v>18.189949329204591</v>
      </c>
      <c r="O9975" s="149">
        <f t="shared" ca="1" si="322"/>
        <v>1.000173611111111</v>
      </c>
    </row>
    <row r="9976" spans="12:15" x14ac:dyDescent="0.25">
      <c r="L9976" s="147">
        <f ca="1"/>
        <v>55215</v>
      </c>
      <c r="M9976" s="92">
        <f t="shared" ca="1" si="321"/>
        <v>6.25</v>
      </c>
      <c r="N9976" s="143">
        <f ca="1">(PRODUCT($O$5:$O9976)-1)*36000/_xlfn.DAYS(L9976, $C$2)</f>
        <v>18.191909642328302</v>
      </c>
      <c r="O9976" s="149">
        <f t="shared" ca="1" si="322"/>
        <v>1.000173611111111</v>
      </c>
    </row>
    <row r="9977" spans="12:15" x14ac:dyDescent="0.25">
      <c r="L9977" s="147">
        <f ca="1"/>
        <v>55216</v>
      </c>
      <c r="M9977" s="92">
        <f t="shared" ca="1" si="321"/>
        <v>6.25</v>
      </c>
      <c r="N9977" s="143">
        <f ca="1">(PRODUCT($O$5:$O9977)-1)*36000/_xlfn.DAYS(L9977, $C$2)</f>
        <v>18.193870219278661</v>
      </c>
      <c r="O9977" s="149">
        <f t="shared" ca="1" si="322"/>
        <v>1.000173611111111</v>
      </c>
    </row>
    <row r="9978" spans="12:15" x14ac:dyDescent="0.25">
      <c r="L9978" s="147">
        <f ca="1"/>
        <v>55217</v>
      </c>
      <c r="M9978" s="92">
        <f t="shared" ca="1" si="321"/>
        <v>6.25</v>
      </c>
      <c r="N9978" s="143">
        <f ca="1">(PRODUCT($O$5:$O9978)-1)*36000/_xlfn.DAYS(L9978, $C$2)</f>
        <v>18.195831060090359</v>
      </c>
      <c r="O9978" s="149">
        <f t="shared" ca="1" si="322"/>
        <v>1.000173611111111</v>
      </c>
    </row>
    <row r="9979" spans="12:15" x14ac:dyDescent="0.25">
      <c r="L9979" s="147">
        <f ca="1"/>
        <v>55218</v>
      </c>
      <c r="M9979" s="92">
        <f t="shared" ca="1" si="321"/>
        <v>6.25</v>
      </c>
      <c r="N9979" s="143">
        <f ca="1">(PRODUCT($O$5:$O9979)-1)*36000/_xlfn.DAYS(L9979, $C$2)</f>
        <v>18.197792164798084</v>
      </c>
      <c r="O9979" s="149">
        <f t="shared" ca="1" si="322"/>
        <v>1.000173611111111</v>
      </c>
    </row>
    <row r="9980" spans="12:15" x14ac:dyDescent="0.25">
      <c r="L9980" s="147">
        <f ca="1"/>
        <v>55219</v>
      </c>
      <c r="M9980" s="92">
        <f t="shared" ca="1" si="321"/>
        <v>6.25</v>
      </c>
      <c r="N9980" s="143">
        <f ca="1">(PRODUCT($O$5:$O9980)-1)*36000/_xlfn.DAYS(L9980, $C$2)</f>
        <v>18.199753533436542</v>
      </c>
      <c r="O9980" s="149">
        <f t="shared" ca="1" si="322"/>
        <v>1.000173611111111</v>
      </c>
    </row>
    <row r="9981" spans="12:15" x14ac:dyDescent="0.25">
      <c r="L9981" s="147">
        <f ca="1"/>
        <v>55220</v>
      </c>
      <c r="M9981" s="92">
        <f t="shared" ca="1" si="321"/>
        <v>6.25</v>
      </c>
      <c r="N9981" s="143">
        <f ca="1">(PRODUCT($O$5:$O9981)-1)*36000/_xlfn.DAYS(L9981, $C$2)</f>
        <v>18.201715166040433</v>
      </c>
      <c r="O9981" s="149">
        <f t="shared" ca="1" si="322"/>
        <v>1.000173611111111</v>
      </c>
    </row>
    <row r="9982" spans="12:15" x14ac:dyDescent="0.25">
      <c r="L9982" s="147">
        <f ca="1"/>
        <v>55221</v>
      </c>
      <c r="M9982" s="92">
        <f t="shared" ca="1" si="321"/>
        <v>6.25</v>
      </c>
      <c r="N9982" s="143">
        <f ca="1">(PRODUCT($O$5:$O9982)-1)*36000/_xlfn.DAYS(L9982, $C$2)</f>
        <v>18.203677062644473</v>
      </c>
      <c r="O9982" s="149">
        <f t="shared" ca="1" si="322"/>
        <v>1.000173611111111</v>
      </c>
    </row>
    <row r="9983" spans="12:15" x14ac:dyDescent="0.25">
      <c r="L9983" s="147">
        <f ca="1"/>
        <v>55222</v>
      </c>
      <c r="M9983" s="92">
        <f t="shared" ca="1" si="321"/>
        <v>6.25</v>
      </c>
      <c r="N9983" s="143">
        <f ca="1">(PRODUCT($O$5:$O9983)-1)*36000/_xlfn.DAYS(L9983, $C$2)</f>
        <v>18.205639223283381</v>
      </c>
      <c r="O9983" s="149">
        <f t="shared" ca="1" si="322"/>
        <v>1.000173611111111</v>
      </c>
    </row>
    <row r="9984" spans="12:15" x14ac:dyDescent="0.25">
      <c r="L9984" s="147">
        <f ca="1"/>
        <v>55223</v>
      </c>
      <c r="M9984" s="92">
        <f t="shared" ca="1" si="321"/>
        <v>6.25</v>
      </c>
      <c r="N9984" s="143">
        <f ca="1">(PRODUCT($O$5:$O9984)-1)*36000/_xlfn.DAYS(L9984, $C$2)</f>
        <v>18.207601647991876</v>
      </c>
      <c r="O9984" s="149">
        <f t="shared" ca="1" si="322"/>
        <v>1.000173611111111</v>
      </c>
    </row>
    <row r="9985" spans="12:15" x14ac:dyDescent="0.25">
      <c r="L9985" s="147">
        <f ca="1"/>
        <v>55224</v>
      </c>
      <c r="M9985" s="92">
        <f t="shared" ca="1" si="321"/>
        <v>6.25</v>
      </c>
      <c r="N9985" s="143">
        <f ca="1">(PRODUCT($O$5:$O9985)-1)*36000/_xlfn.DAYS(L9985, $C$2)</f>
        <v>18.209564336804693</v>
      </c>
      <c r="O9985" s="149">
        <f t="shared" ca="1" si="322"/>
        <v>1.000173611111111</v>
      </c>
    </row>
    <row r="9986" spans="12:15" x14ac:dyDescent="0.25">
      <c r="L9986" s="147">
        <f ca="1"/>
        <v>55225</v>
      </c>
      <c r="M9986" s="92">
        <f t="shared" ca="1" si="321"/>
        <v>6.25</v>
      </c>
      <c r="N9986" s="143">
        <f ca="1">(PRODUCT($O$5:$O9986)-1)*36000/_xlfn.DAYS(L9986, $C$2)</f>
        <v>18.21152728975656</v>
      </c>
      <c r="O9986" s="149">
        <f t="shared" ca="1" si="322"/>
        <v>1.000173611111111</v>
      </c>
    </row>
    <row r="9987" spans="12:15" x14ac:dyDescent="0.25">
      <c r="L9987" s="147">
        <f ca="1"/>
        <v>55226</v>
      </c>
      <c r="M9987" s="92">
        <f t="shared" ca="1" si="321"/>
        <v>6.25</v>
      </c>
      <c r="N9987" s="143">
        <f ca="1">(PRODUCT($O$5:$O9987)-1)*36000/_xlfn.DAYS(L9987, $C$2)</f>
        <v>18.213490506882223</v>
      </c>
      <c r="O9987" s="149">
        <f t="shared" ca="1" si="322"/>
        <v>1.000173611111111</v>
      </c>
    </row>
    <row r="9988" spans="12:15" x14ac:dyDescent="0.25">
      <c r="L9988" s="147">
        <f ca="1"/>
        <v>55227</v>
      </c>
      <c r="M9988" s="92">
        <f t="shared" ca="1" si="321"/>
        <v>6.25</v>
      </c>
      <c r="N9988" s="143">
        <f ca="1">(PRODUCT($O$5:$O9988)-1)*36000/_xlfn.DAYS(L9988, $C$2)</f>
        <v>18.215453988216428</v>
      </c>
      <c r="O9988" s="149">
        <f t="shared" ca="1" si="322"/>
        <v>1.000173611111111</v>
      </c>
    </row>
    <row r="9989" spans="12:15" x14ac:dyDescent="0.25">
      <c r="L9989" s="147">
        <f ca="1"/>
        <v>55228</v>
      </c>
      <c r="M9989" s="92">
        <f t="shared" ref="M9989:M10052" ca="1" si="323">IFERROR(INDEX($E$27:$H$47, MATCH(L9989, $F$27:$F$47, 0), 4), IF(ISNUMBER(M9988), M9988, $C$5))</f>
        <v>6.25</v>
      </c>
      <c r="N9989" s="143">
        <f ca="1">(PRODUCT($O$5:$O9989)-1)*36000/_xlfn.DAYS(L9989, $C$2)</f>
        <v>18.217417733793933</v>
      </c>
      <c r="O9989" s="149">
        <f t="shared" ca="1" si="322"/>
        <v>1.000173611111111</v>
      </c>
    </row>
    <row r="9990" spans="12:15" x14ac:dyDescent="0.25">
      <c r="L9990" s="147">
        <f ca="1"/>
        <v>55229</v>
      </c>
      <c r="M9990" s="92">
        <f t="shared" ca="1" si="323"/>
        <v>6.25</v>
      </c>
      <c r="N9990" s="143">
        <f ca="1">(PRODUCT($O$5:$O9990)-1)*36000/_xlfn.DAYS(L9990, $C$2)</f>
        <v>18.219381743649485</v>
      </c>
      <c r="O9990" s="149">
        <f t="shared" ref="O9990:O10053" ca="1" si="324">1+M9990*IFERROR(_xlfn.DAYS(L9990, L9989), _xlfn.DAYS(L9990, $C$2))/36000</f>
        <v>1.000173611111111</v>
      </c>
    </row>
    <row r="9991" spans="12:15" x14ac:dyDescent="0.25">
      <c r="L9991" s="147">
        <f ca="1"/>
        <v>55230</v>
      </c>
      <c r="M9991" s="92">
        <f t="shared" ca="1" si="323"/>
        <v>6.25</v>
      </c>
      <c r="N9991" s="143">
        <f ca="1">(PRODUCT($O$5:$O9991)-1)*36000/_xlfn.DAYS(L9991, $C$2)</f>
        <v>18.221346017817858</v>
      </c>
      <c r="O9991" s="149">
        <f t="shared" ca="1" si="324"/>
        <v>1.000173611111111</v>
      </c>
    </row>
    <row r="9992" spans="12:15" x14ac:dyDescent="0.25">
      <c r="L9992" s="147">
        <f ca="1"/>
        <v>55231</v>
      </c>
      <c r="M9992" s="92">
        <f t="shared" ca="1" si="323"/>
        <v>6.25</v>
      </c>
      <c r="N9992" s="143">
        <f ca="1">(PRODUCT($O$5:$O9992)-1)*36000/_xlfn.DAYS(L9992, $C$2)</f>
        <v>18.223310556333821</v>
      </c>
      <c r="O9992" s="149">
        <f t="shared" ca="1" si="324"/>
        <v>1.000173611111111</v>
      </c>
    </row>
    <row r="9993" spans="12:15" x14ac:dyDescent="0.25">
      <c r="L9993" s="147">
        <f ca="1"/>
        <v>55232</v>
      </c>
      <c r="M9993" s="92">
        <f t="shared" ca="1" si="323"/>
        <v>6.25</v>
      </c>
      <c r="N9993" s="143">
        <f ca="1">(PRODUCT($O$5:$O9993)-1)*36000/_xlfn.DAYS(L9993, $C$2)</f>
        <v>18.225275359232153</v>
      </c>
      <c r="O9993" s="149">
        <f t="shared" ca="1" si="324"/>
        <v>1.000173611111111</v>
      </c>
    </row>
    <row r="9994" spans="12:15" x14ac:dyDescent="0.25">
      <c r="L9994" s="147">
        <f ca="1"/>
        <v>55233</v>
      </c>
      <c r="M9994" s="92">
        <f t="shared" ca="1" si="323"/>
        <v>6.25</v>
      </c>
      <c r="N9994" s="143">
        <f ca="1">(PRODUCT($O$5:$O9994)-1)*36000/_xlfn.DAYS(L9994, $C$2)</f>
        <v>18.227240426547628</v>
      </c>
      <c r="O9994" s="149">
        <f t="shared" ca="1" si="324"/>
        <v>1.000173611111111</v>
      </c>
    </row>
    <row r="9995" spans="12:15" x14ac:dyDescent="0.25">
      <c r="L9995" s="147">
        <f ca="1"/>
        <v>55234</v>
      </c>
      <c r="M9995" s="92">
        <f t="shared" ca="1" si="323"/>
        <v>6.25</v>
      </c>
      <c r="N9995" s="143">
        <f ca="1">(PRODUCT($O$5:$O9995)-1)*36000/_xlfn.DAYS(L9995, $C$2)</f>
        <v>18.22920575831504</v>
      </c>
      <c r="O9995" s="149">
        <f t="shared" ca="1" si="324"/>
        <v>1.000173611111111</v>
      </c>
    </row>
    <row r="9996" spans="12:15" x14ac:dyDescent="0.25">
      <c r="L9996" s="147">
        <f ca="1"/>
        <v>55235</v>
      </c>
      <c r="M9996" s="92">
        <f t="shared" ca="1" si="323"/>
        <v>6.25</v>
      </c>
      <c r="N9996" s="143">
        <f ca="1">(PRODUCT($O$5:$O9996)-1)*36000/_xlfn.DAYS(L9996, $C$2)</f>
        <v>18.231171354569184</v>
      </c>
      <c r="O9996" s="149">
        <f t="shared" ca="1" si="324"/>
        <v>1.000173611111111</v>
      </c>
    </row>
    <row r="9997" spans="12:15" x14ac:dyDescent="0.25">
      <c r="L9997" s="147">
        <f ca="1"/>
        <v>55236</v>
      </c>
      <c r="M9997" s="92">
        <f t="shared" ca="1" si="323"/>
        <v>6.25</v>
      </c>
      <c r="N9997" s="143">
        <f ca="1">(PRODUCT($O$5:$O9997)-1)*36000/_xlfn.DAYS(L9997, $C$2)</f>
        <v>18.233137215344861</v>
      </c>
      <c r="O9997" s="149">
        <f t="shared" ca="1" si="324"/>
        <v>1.000173611111111</v>
      </c>
    </row>
    <row r="9998" spans="12:15" x14ac:dyDescent="0.25">
      <c r="L9998" s="147">
        <f ca="1"/>
        <v>55237</v>
      </c>
      <c r="M9998" s="92">
        <f t="shared" ca="1" si="323"/>
        <v>6.25</v>
      </c>
      <c r="N9998" s="143">
        <f ca="1">(PRODUCT($O$5:$O9998)-1)*36000/_xlfn.DAYS(L9998, $C$2)</f>
        <v>18.235103340676872</v>
      </c>
      <c r="O9998" s="149">
        <f t="shared" ca="1" si="324"/>
        <v>1.000173611111111</v>
      </c>
    </row>
    <row r="9999" spans="12:15" x14ac:dyDescent="0.25">
      <c r="L9999" s="147">
        <f ca="1"/>
        <v>55238</v>
      </c>
      <c r="M9999" s="92">
        <f t="shared" ca="1" si="323"/>
        <v>6.25</v>
      </c>
      <c r="N9999" s="143">
        <f ca="1">(PRODUCT($O$5:$O9999)-1)*36000/_xlfn.DAYS(L9999, $C$2)</f>
        <v>18.23706973060003</v>
      </c>
      <c r="O9999" s="149">
        <f t="shared" ca="1" si="324"/>
        <v>1.000173611111111</v>
      </c>
    </row>
    <row r="10000" spans="12:15" x14ac:dyDescent="0.25">
      <c r="L10000" s="147">
        <f ca="1"/>
        <v>55239</v>
      </c>
      <c r="M10000" s="92">
        <f t="shared" ca="1" si="323"/>
        <v>6.25</v>
      </c>
      <c r="N10000" s="143">
        <f ca="1">(PRODUCT($O$5:$O10000)-1)*36000/_xlfn.DAYS(L10000, $C$2)</f>
        <v>18.239036385149159</v>
      </c>
      <c r="O10000" s="149">
        <f t="shared" ca="1" si="324"/>
        <v>1.000173611111111</v>
      </c>
    </row>
    <row r="10001" spans="12:15" x14ac:dyDescent="0.25">
      <c r="L10001" s="147">
        <f ca="1"/>
        <v>55240</v>
      </c>
      <c r="M10001" s="92">
        <f t="shared" ca="1" si="323"/>
        <v>6.25</v>
      </c>
      <c r="N10001" s="143">
        <f ca="1">(PRODUCT($O$5:$O10001)-1)*36000/_xlfn.DAYS(L10001, $C$2)</f>
        <v>18.241003304359079</v>
      </c>
      <c r="O10001" s="149">
        <f t="shared" ca="1" si="324"/>
        <v>1.000173611111111</v>
      </c>
    </row>
    <row r="10002" spans="12:15" x14ac:dyDescent="0.25">
      <c r="L10002" s="147">
        <f ca="1"/>
        <v>55241</v>
      </c>
      <c r="M10002" s="92">
        <f t="shared" ca="1" si="323"/>
        <v>6.25</v>
      </c>
      <c r="N10002" s="143">
        <f ca="1">(PRODUCT($O$5:$O10002)-1)*36000/_xlfn.DAYS(L10002, $C$2)</f>
        <v>18.242970488264618</v>
      </c>
      <c r="O10002" s="149">
        <f t="shared" ca="1" si="324"/>
        <v>1.000173611111111</v>
      </c>
    </row>
    <row r="10003" spans="12:15" x14ac:dyDescent="0.25">
      <c r="L10003" s="147">
        <f ca="1"/>
        <v>55242</v>
      </c>
      <c r="M10003" s="92">
        <f t="shared" ca="1" si="323"/>
        <v>6.25</v>
      </c>
      <c r="N10003" s="143">
        <f ca="1">(PRODUCT($O$5:$O10003)-1)*36000/_xlfn.DAYS(L10003, $C$2)</f>
        <v>18.244937936900616</v>
      </c>
      <c r="O10003" s="149">
        <f t="shared" ca="1" si="324"/>
        <v>1.000173611111111</v>
      </c>
    </row>
    <row r="10004" spans="12:15" x14ac:dyDescent="0.25">
      <c r="L10004" s="147">
        <f ca="1"/>
        <v>55243</v>
      </c>
      <c r="M10004" s="92">
        <f t="shared" ca="1" si="323"/>
        <v>6.25</v>
      </c>
      <c r="N10004" s="143">
        <f ca="1">(PRODUCT($O$5:$O10004)-1)*36000/_xlfn.DAYS(L10004, $C$2)</f>
        <v>18.246905650301905</v>
      </c>
      <c r="O10004" s="149">
        <f t="shared" ca="1" si="324"/>
        <v>1.000173611111111</v>
      </c>
    </row>
    <row r="10005" spans="12:15" x14ac:dyDescent="0.25">
      <c r="L10005" s="147">
        <f ca="1"/>
        <v>55244</v>
      </c>
      <c r="M10005" s="92">
        <f t="shared" ca="1" si="323"/>
        <v>6.25</v>
      </c>
      <c r="N10005" s="143">
        <f ca="1">(PRODUCT($O$5:$O10005)-1)*36000/_xlfn.DAYS(L10005, $C$2)</f>
        <v>18.24887362850334</v>
      </c>
      <c r="O10005" s="149">
        <f t="shared" ca="1" si="324"/>
        <v>1.000173611111111</v>
      </c>
    </row>
    <row r="10006" spans="12:15" x14ac:dyDescent="0.25">
      <c r="L10006" s="147">
        <f ca="1"/>
        <v>55245</v>
      </c>
      <c r="M10006" s="92">
        <f t="shared" ca="1" si="323"/>
        <v>6.25</v>
      </c>
      <c r="N10006" s="143">
        <f ca="1">(PRODUCT($O$5:$O10006)-1)*36000/_xlfn.DAYS(L10006, $C$2)</f>
        <v>18.250841871539777</v>
      </c>
      <c r="O10006" s="149">
        <f t="shared" ca="1" si="324"/>
        <v>1.000173611111111</v>
      </c>
    </row>
    <row r="10007" spans="12:15" x14ac:dyDescent="0.25">
      <c r="L10007" s="147">
        <f ca="1"/>
        <v>55246</v>
      </c>
      <c r="M10007" s="92">
        <f t="shared" ca="1" si="323"/>
        <v>6.25</v>
      </c>
      <c r="N10007" s="143">
        <f ca="1">(PRODUCT($O$5:$O10007)-1)*36000/_xlfn.DAYS(L10007, $C$2)</f>
        <v>18.252810379446064</v>
      </c>
      <c r="O10007" s="149">
        <f t="shared" ca="1" si="324"/>
        <v>1.000173611111111</v>
      </c>
    </row>
    <row r="10008" spans="12:15" x14ac:dyDescent="0.25">
      <c r="L10008" s="147">
        <f ca="1"/>
        <v>55247</v>
      </c>
      <c r="M10008" s="92">
        <f t="shared" ca="1" si="323"/>
        <v>6.25</v>
      </c>
      <c r="N10008" s="143">
        <f ca="1">(PRODUCT($O$5:$O10008)-1)*36000/_xlfn.DAYS(L10008, $C$2)</f>
        <v>18.254779152257079</v>
      </c>
      <c r="O10008" s="149">
        <f t="shared" ca="1" si="324"/>
        <v>1.000173611111111</v>
      </c>
    </row>
    <row r="10009" spans="12:15" x14ac:dyDescent="0.25">
      <c r="L10009" s="147">
        <f ca="1"/>
        <v>55248</v>
      </c>
      <c r="M10009" s="92">
        <f t="shared" ca="1" si="323"/>
        <v>6.25</v>
      </c>
      <c r="N10009" s="143">
        <f ca="1">(PRODUCT($O$5:$O10009)-1)*36000/_xlfn.DAYS(L10009, $C$2)</f>
        <v>18.256748190007684</v>
      </c>
      <c r="O10009" s="149">
        <f t="shared" ca="1" si="324"/>
        <v>1.000173611111111</v>
      </c>
    </row>
    <row r="10010" spans="12:15" x14ac:dyDescent="0.25">
      <c r="L10010" s="147">
        <f ca="1"/>
        <v>55249</v>
      </c>
      <c r="M10010" s="92">
        <f t="shared" ca="1" si="323"/>
        <v>6.25</v>
      </c>
      <c r="N10010" s="143">
        <f ca="1">(PRODUCT($O$5:$O10010)-1)*36000/_xlfn.DAYS(L10010, $C$2)</f>
        <v>18.25871749273276</v>
      </c>
      <c r="O10010" s="149">
        <f t="shared" ca="1" si="324"/>
        <v>1.000173611111111</v>
      </c>
    </row>
    <row r="10011" spans="12:15" x14ac:dyDescent="0.25">
      <c r="L10011" s="147">
        <f ca="1"/>
        <v>55250</v>
      </c>
      <c r="M10011" s="92">
        <f t="shared" ca="1" si="323"/>
        <v>6.25</v>
      </c>
      <c r="N10011" s="143">
        <f ca="1">(PRODUCT($O$5:$O10011)-1)*36000/_xlfn.DAYS(L10011, $C$2)</f>
        <v>18.260687060467188</v>
      </c>
      <c r="O10011" s="149">
        <f t="shared" ca="1" si="324"/>
        <v>1.000173611111111</v>
      </c>
    </row>
    <row r="10012" spans="12:15" x14ac:dyDescent="0.25">
      <c r="L10012" s="147">
        <f ca="1"/>
        <v>55251</v>
      </c>
      <c r="M10012" s="92">
        <f t="shared" ca="1" si="323"/>
        <v>6.25</v>
      </c>
      <c r="N10012" s="143">
        <f ca="1">(PRODUCT($O$5:$O10012)-1)*36000/_xlfn.DAYS(L10012, $C$2)</f>
        <v>18.262656893245858</v>
      </c>
      <c r="O10012" s="149">
        <f t="shared" ca="1" si="324"/>
        <v>1.000173611111111</v>
      </c>
    </row>
    <row r="10013" spans="12:15" x14ac:dyDescent="0.25">
      <c r="L10013" s="147">
        <f ca="1"/>
        <v>55252</v>
      </c>
      <c r="M10013" s="92">
        <f t="shared" ca="1" si="323"/>
        <v>6.25</v>
      </c>
      <c r="N10013" s="143">
        <f ca="1">(PRODUCT($O$5:$O10013)-1)*36000/_xlfn.DAYS(L10013, $C$2)</f>
        <v>18.264626991103658</v>
      </c>
      <c r="O10013" s="149">
        <f t="shared" ca="1" si="324"/>
        <v>1.000173611111111</v>
      </c>
    </row>
    <row r="10014" spans="12:15" x14ac:dyDescent="0.25">
      <c r="L10014" s="147">
        <f ca="1"/>
        <v>55253</v>
      </c>
      <c r="M10014" s="92">
        <f t="shared" ca="1" si="323"/>
        <v>6.25</v>
      </c>
      <c r="N10014" s="143">
        <f ca="1">(PRODUCT($O$5:$O10014)-1)*36000/_xlfn.DAYS(L10014, $C$2)</f>
        <v>18.266597354075493</v>
      </c>
      <c r="O10014" s="149">
        <f t="shared" ca="1" si="324"/>
        <v>1.000173611111111</v>
      </c>
    </row>
    <row r="10015" spans="12:15" x14ac:dyDescent="0.25">
      <c r="L10015" s="147">
        <f ca="1"/>
        <v>55254</v>
      </c>
      <c r="M10015" s="92">
        <f t="shared" ca="1" si="323"/>
        <v>6.25</v>
      </c>
      <c r="N10015" s="143">
        <f ca="1">(PRODUCT($O$5:$O10015)-1)*36000/_xlfn.DAYS(L10015, $C$2)</f>
        <v>18.268567982196277</v>
      </c>
      <c r="O10015" s="149">
        <f t="shared" ca="1" si="324"/>
        <v>1.000173611111111</v>
      </c>
    </row>
    <row r="10016" spans="12:15" x14ac:dyDescent="0.25">
      <c r="L10016" s="147">
        <f ca="1"/>
        <v>55255</v>
      </c>
      <c r="M10016" s="92">
        <f t="shared" ca="1" si="323"/>
        <v>6.25</v>
      </c>
      <c r="N10016" s="143">
        <f ca="1">(PRODUCT($O$5:$O10016)-1)*36000/_xlfn.DAYS(L10016, $C$2)</f>
        <v>18.270538875500915</v>
      </c>
      <c r="O10016" s="149">
        <f t="shared" ca="1" si="324"/>
        <v>1.000173611111111</v>
      </c>
    </row>
    <row r="10017" spans="12:15" x14ac:dyDescent="0.25">
      <c r="L10017" s="147">
        <f ca="1"/>
        <v>55256</v>
      </c>
      <c r="M10017" s="92">
        <f t="shared" ca="1" si="323"/>
        <v>6.25</v>
      </c>
      <c r="N10017" s="143">
        <f ca="1">(PRODUCT($O$5:$O10017)-1)*36000/_xlfn.DAYS(L10017, $C$2)</f>
        <v>18.272510034024322</v>
      </c>
      <c r="O10017" s="149">
        <f t="shared" ca="1" si="324"/>
        <v>1.000173611111111</v>
      </c>
    </row>
    <row r="10018" spans="12:15" x14ac:dyDescent="0.25">
      <c r="L10018" s="147">
        <f ca="1"/>
        <v>55257</v>
      </c>
      <c r="M10018" s="92">
        <f t="shared" ca="1" si="323"/>
        <v>6.25</v>
      </c>
      <c r="N10018" s="143">
        <f ca="1">(PRODUCT($O$5:$O10018)-1)*36000/_xlfn.DAYS(L10018, $C$2)</f>
        <v>18.274481457801421</v>
      </c>
      <c r="O10018" s="149">
        <f t="shared" ca="1" si="324"/>
        <v>1.000173611111111</v>
      </c>
    </row>
    <row r="10019" spans="12:15" x14ac:dyDescent="0.25">
      <c r="L10019" s="147">
        <f ca="1"/>
        <v>55258</v>
      </c>
      <c r="M10019" s="92">
        <f t="shared" ca="1" si="323"/>
        <v>6.25</v>
      </c>
      <c r="N10019" s="143">
        <f ca="1">(PRODUCT($O$5:$O10019)-1)*36000/_xlfn.DAYS(L10019, $C$2)</f>
        <v>18.276453146867155</v>
      </c>
      <c r="O10019" s="149">
        <f t="shared" ca="1" si="324"/>
        <v>1.000173611111111</v>
      </c>
    </row>
    <row r="10020" spans="12:15" x14ac:dyDescent="0.25">
      <c r="L10020" s="147">
        <f ca="1"/>
        <v>55259</v>
      </c>
      <c r="M10020" s="92">
        <f t="shared" ca="1" si="323"/>
        <v>6.25</v>
      </c>
      <c r="N10020" s="143">
        <f ca="1">(PRODUCT($O$5:$O10020)-1)*36000/_xlfn.DAYS(L10020, $C$2)</f>
        <v>18.278425101256449</v>
      </c>
      <c r="O10020" s="149">
        <f t="shared" ca="1" si="324"/>
        <v>1.000173611111111</v>
      </c>
    </row>
    <row r="10021" spans="12:15" x14ac:dyDescent="0.25">
      <c r="L10021" s="147">
        <f ca="1"/>
        <v>55260</v>
      </c>
      <c r="M10021" s="92">
        <f t="shared" ca="1" si="323"/>
        <v>6.25</v>
      </c>
      <c r="N10021" s="143">
        <f ca="1">(PRODUCT($O$5:$O10021)-1)*36000/_xlfn.DAYS(L10021, $C$2)</f>
        <v>18.280397321004244</v>
      </c>
      <c r="O10021" s="149">
        <f t="shared" ca="1" si="324"/>
        <v>1.000173611111111</v>
      </c>
    </row>
    <row r="10022" spans="12:15" x14ac:dyDescent="0.25">
      <c r="L10022" s="147">
        <f ca="1"/>
        <v>55261</v>
      </c>
      <c r="M10022" s="92">
        <f t="shared" ca="1" si="323"/>
        <v>6.25</v>
      </c>
      <c r="N10022" s="143">
        <f ca="1">(PRODUCT($O$5:$O10022)-1)*36000/_xlfn.DAYS(L10022, $C$2)</f>
        <v>18.282369806145496</v>
      </c>
      <c r="O10022" s="149">
        <f t="shared" ca="1" si="324"/>
        <v>1.000173611111111</v>
      </c>
    </row>
    <row r="10023" spans="12:15" x14ac:dyDescent="0.25">
      <c r="L10023" s="147">
        <f ca="1"/>
        <v>55262</v>
      </c>
      <c r="M10023" s="92">
        <f t="shared" ca="1" si="323"/>
        <v>6.25</v>
      </c>
      <c r="N10023" s="143">
        <f ca="1">(PRODUCT($O$5:$O10023)-1)*36000/_xlfn.DAYS(L10023, $C$2)</f>
        <v>18.284342556715153</v>
      </c>
      <c r="O10023" s="149">
        <f t="shared" ca="1" si="324"/>
        <v>1.000173611111111</v>
      </c>
    </row>
    <row r="10024" spans="12:15" x14ac:dyDescent="0.25">
      <c r="L10024" s="147">
        <f ca="1"/>
        <v>55263</v>
      </c>
      <c r="M10024" s="92">
        <f t="shared" ca="1" si="323"/>
        <v>6.25</v>
      </c>
      <c r="N10024" s="143">
        <f ca="1">(PRODUCT($O$5:$O10024)-1)*36000/_xlfn.DAYS(L10024, $C$2)</f>
        <v>18.286315572748169</v>
      </c>
      <c r="O10024" s="149">
        <f t="shared" ca="1" si="324"/>
        <v>1.000173611111111</v>
      </c>
    </row>
    <row r="10025" spans="12:15" x14ac:dyDescent="0.25">
      <c r="L10025" s="147">
        <f ca="1"/>
        <v>55264</v>
      </c>
      <c r="M10025" s="92">
        <f t="shared" ca="1" si="323"/>
        <v>6.25</v>
      </c>
      <c r="N10025" s="143">
        <f ca="1">(PRODUCT($O$5:$O10025)-1)*36000/_xlfn.DAYS(L10025, $C$2)</f>
        <v>18.288288854279518</v>
      </c>
      <c r="O10025" s="149">
        <f t="shared" ca="1" si="324"/>
        <v>1.000173611111111</v>
      </c>
    </row>
    <row r="10026" spans="12:15" x14ac:dyDescent="0.25">
      <c r="L10026" s="147">
        <f ca="1"/>
        <v>55265</v>
      </c>
      <c r="M10026" s="92">
        <f t="shared" ca="1" si="323"/>
        <v>6.25</v>
      </c>
      <c r="N10026" s="143">
        <f ca="1">(PRODUCT($O$5:$O10026)-1)*36000/_xlfn.DAYS(L10026, $C$2)</f>
        <v>18.290262401344176</v>
      </c>
      <c r="O10026" s="149">
        <f t="shared" ca="1" si="324"/>
        <v>1.000173611111111</v>
      </c>
    </row>
    <row r="10027" spans="12:15" x14ac:dyDescent="0.25">
      <c r="L10027" s="147">
        <f ca="1"/>
        <v>55266</v>
      </c>
      <c r="M10027" s="92">
        <f t="shared" ca="1" si="323"/>
        <v>6.25</v>
      </c>
      <c r="N10027" s="143">
        <f ca="1">(PRODUCT($O$5:$O10027)-1)*36000/_xlfn.DAYS(L10027, $C$2)</f>
        <v>18.292236213977105</v>
      </c>
      <c r="O10027" s="149">
        <f t="shared" ca="1" si="324"/>
        <v>1.000173611111111</v>
      </c>
    </row>
    <row r="10028" spans="12:15" x14ac:dyDescent="0.25">
      <c r="L10028" s="147">
        <f ca="1"/>
        <v>55267</v>
      </c>
      <c r="M10028" s="92">
        <f t="shared" ca="1" si="323"/>
        <v>6.25</v>
      </c>
      <c r="N10028" s="143">
        <f ca="1">(PRODUCT($O$5:$O10028)-1)*36000/_xlfn.DAYS(L10028, $C$2)</f>
        <v>18.2942102922133</v>
      </c>
      <c r="O10028" s="149">
        <f t="shared" ca="1" si="324"/>
        <v>1.000173611111111</v>
      </c>
    </row>
    <row r="10029" spans="12:15" x14ac:dyDescent="0.25">
      <c r="L10029" s="147">
        <f ca="1"/>
        <v>55268</v>
      </c>
      <c r="M10029" s="92">
        <f t="shared" ca="1" si="323"/>
        <v>6.25</v>
      </c>
      <c r="N10029" s="143">
        <f ca="1">(PRODUCT($O$5:$O10029)-1)*36000/_xlfn.DAYS(L10029, $C$2)</f>
        <v>18.296184636087741</v>
      </c>
      <c r="O10029" s="149">
        <f t="shared" ca="1" si="324"/>
        <v>1.000173611111111</v>
      </c>
    </row>
    <row r="10030" spans="12:15" x14ac:dyDescent="0.25">
      <c r="L10030" s="147">
        <f ca="1"/>
        <v>55269</v>
      </c>
      <c r="M10030" s="92">
        <f t="shared" ca="1" si="323"/>
        <v>6.25</v>
      </c>
      <c r="N10030" s="143">
        <f ca="1">(PRODUCT($O$5:$O10030)-1)*36000/_xlfn.DAYS(L10030, $C$2)</f>
        <v>18.298159245635429</v>
      </c>
      <c r="O10030" s="149">
        <f t="shared" ca="1" si="324"/>
        <v>1.000173611111111</v>
      </c>
    </row>
    <row r="10031" spans="12:15" x14ac:dyDescent="0.25">
      <c r="L10031" s="147">
        <f ca="1"/>
        <v>55270</v>
      </c>
      <c r="M10031" s="92">
        <f t="shared" ca="1" si="323"/>
        <v>6.25</v>
      </c>
      <c r="N10031" s="143">
        <f ca="1">(PRODUCT($O$5:$O10031)-1)*36000/_xlfn.DAYS(L10031, $C$2)</f>
        <v>18.300134120891368</v>
      </c>
      <c r="O10031" s="149">
        <f t="shared" ca="1" si="324"/>
        <v>1.000173611111111</v>
      </c>
    </row>
    <row r="10032" spans="12:15" x14ac:dyDescent="0.25">
      <c r="L10032" s="147">
        <f ca="1"/>
        <v>55271</v>
      </c>
      <c r="M10032" s="92">
        <f t="shared" ca="1" si="323"/>
        <v>6.25</v>
      </c>
      <c r="N10032" s="143">
        <f ca="1">(PRODUCT($O$5:$O10032)-1)*36000/_xlfn.DAYS(L10032, $C$2)</f>
        <v>18.302109261890561</v>
      </c>
      <c r="O10032" s="149">
        <f t="shared" ca="1" si="324"/>
        <v>1.000173611111111</v>
      </c>
    </row>
    <row r="10033" spans="12:15" x14ac:dyDescent="0.25">
      <c r="L10033" s="147">
        <f ca="1"/>
        <v>55272</v>
      </c>
      <c r="M10033" s="92">
        <f t="shared" ca="1" si="323"/>
        <v>6.25</v>
      </c>
      <c r="N10033" s="143">
        <f ca="1">(PRODUCT($O$5:$O10033)-1)*36000/_xlfn.DAYS(L10033, $C$2)</f>
        <v>18.304084668668018</v>
      </c>
      <c r="O10033" s="149">
        <f t="shared" ca="1" si="324"/>
        <v>1.000173611111111</v>
      </c>
    </row>
    <row r="10034" spans="12:15" x14ac:dyDescent="0.25">
      <c r="L10034" s="147">
        <f ca="1"/>
        <v>55273</v>
      </c>
      <c r="M10034" s="92">
        <f t="shared" ca="1" si="323"/>
        <v>6.25</v>
      </c>
      <c r="N10034" s="143">
        <f ca="1">(PRODUCT($O$5:$O10034)-1)*36000/_xlfn.DAYS(L10034, $C$2)</f>
        <v>18.30606034125876</v>
      </c>
      <c r="O10034" s="149">
        <f t="shared" ca="1" si="324"/>
        <v>1.000173611111111</v>
      </c>
    </row>
    <row r="10035" spans="12:15" x14ac:dyDescent="0.25">
      <c r="L10035" s="147">
        <f ca="1"/>
        <v>55274</v>
      </c>
      <c r="M10035" s="92">
        <f t="shared" ca="1" si="323"/>
        <v>6.25</v>
      </c>
      <c r="N10035" s="143">
        <f ca="1">(PRODUCT($O$5:$O10035)-1)*36000/_xlfn.DAYS(L10035, $C$2)</f>
        <v>18.308036279697813</v>
      </c>
      <c r="O10035" s="149">
        <f t="shared" ca="1" si="324"/>
        <v>1.000173611111111</v>
      </c>
    </row>
    <row r="10036" spans="12:15" x14ac:dyDescent="0.25">
      <c r="L10036" s="147">
        <f ca="1"/>
        <v>55275</v>
      </c>
      <c r="M10036" s="92">
        <f t="shared" ca="1" si="323"/>
        <v>6.25</v>
      </c>
      <c r="N10036" s="143">
        <f ca="1">(PRODUCT($O$5:$O10036)-1)*36000/_xlfn.DAYS(L10036, $C$2)</f>
        <v>18.310012484020206</v>
      </c>
      <c r="O10036" s="149">
        <f t="shared" ca="1" si="324"/>
        <v>1.000173611111111</v>
      </c>
    </row>
    <row r="10037" spans="12:15" x14ac:dyDescent="0.25">
      <c r="L10037" s="147">
        <f ca="1"/>
        <v>55276</v>
      </c>
      <c r="M10037" s="92">
        <f t="shared" ca="1" si="323"/>
        <v>6.25</v>
      </c>
      <c r="N10037" s="143">
        <f ca="1">(PRODUCT($O$5:$O10037)-1)*36000/_xlfn.DAYS(L10037, $C$2)</f>
        <v>18.311988954260972</v>
      </c>
      <c r="O10037" s="149">
        <f t="shared" ca="1" si="324"/>
        <v>1.000173611111111</v>
      </c>
    </row>
    <row r="10038" spans="12:15" x14ac:dyDescent="0.25">
      <c r="L10038" s="147">
        <f ca="1"/>
        <v>55277</v>
      </c>
      <c r="M10038" s="92">
        <f t="shared" ca="1" si="323"/>
        <v>6.25</v>
      </c>
      <c r="N10038" s="143">
        <f ca="1">(PRODUCT($O$5:$O10038)-1)*36000/_xlfn.DAYS(L10038, $C$2)</f>
        <v>18.313965690455163</v>
      </c>
      <c r="O10038" s="149">
        <f t="shared" ca="1" si="324"/>
        <v>1.000173611111111</v>
      </c>
    </row>
    <row r="10039" spans="12:15" x14ac:dyDescent="0.25">
      <c r="L10039" s="147">
        <f ca="1"/>
        <v>55278</v>
      </c>
      <c r="M10039" s="92">
        <f t="shared" ca="1" si="323"/>
        <v>6.25</v>
      </c>
      <c r="N10039" s="143">
        <f ca="1">(PRODUCT($O$5:$O10039)-1)*36000/_xlfn.DAYS(L10039, $C$2)</f>
        <v>18.315942692637815</v>
      </c>
      <c r="O10039" s="149">
        <f t="shared" ca="1" si="324"/>
        <v>1.000173611111111</v>
      </c>
    </row>
    <row r="10040" spans="12:15" x14ac:dyDescent="0.25">
      <c r="L10040" s="147">
        <f ca="1"/>
        <v>55279</v>
      </c>
      <c r="M10040" s="92">
        <f t="shared" ca="1" si="323"/>
        <v>6.25</v>
      </c>
      <c r="N10040" s="143">
        <f ca="1">(PRODUCT($O$5:$O10040)-1)*36000/_xlfn.DAYS(L10040, $C$2)</f>
        <v>18.317919960843991</v>
      </c>
      <c r="O10040" s="149">
        <f t="shared" ca="1" si="324"/>
        <v>1.000173611111111</v>
      </c>
    </row>
    <row r="10041" spans="12:15" x14ac:dyDescent="0.25">
      <c r="L10041" s="147">
        <f ca="1"/>
        <v>55280</v>
      </c>
      <c r="M10041" s="92">
        <f t="shared" ca="1" si="323"/>
        <v>6.25</v>
      </c>
      <c r="N10041" s="143">
        <f ca="1">(PRODUCT($O$5:$O10041)-1)*36000/_xlfn.DAYS(L10041, $C$2)</f>
        <v>18.319897495108748</v>
      </c>
      <c r="O10041" s="149">
        <f t="shared" ca="1" si="324"/>
        <v>1.000173611111111</v>
      </c>
    </row>
    <row r="10042" spans="12:15" x14ac:dyDescent="0.25">
      <c r="L10042" s="147">
        <f ca="1"/>
        <v>55281</v>
      </c>
      <c r="M10042" s="92">
        <f t="shared" ca="1" si="323"/>
        <v>6.25</v>
      </c>
      <c r="N10042" s="143">
        <f ca="1">(PRODUCT($O$5:$O10042)-1)*36000/_xlfn.DAYS(L10042, $C$2)</f>
        <v>18.321875295467152</v>
      </c>
      <c r="O10042" s="149">
        <f t="shared" ca="1" si="324"/>
        <v>1.000173611111111</v>
      </c>
    </row>
    <row r="10043" spans="12:15" x14ac:dyDescent="0.25">
      <c r="L10043" s="147">
        <f ca="1"/>
        <v>55282</v>
      </c>
      <c r="M10043" s="92">
        <f t="shared" ca="1" si="323"/>
        <v>6.25</v>
      </c>
      <c r="N10043" s="143">
        <f ca="1">(PRODUCT($O$5:$O10043)-1)*36000/_xlfn.DAYS(L10043, $C$2)</f>
        <v>18.323853361954271</v>
      </c>
      <c r="O10043" s="149">
        <f t="shared" ca="1" si="324"/>
        <v>1.000173611111111</v>
      </c>
    </row>
    <row r="10044" spans="12:15" x14ac:dyDescent="0.25">
      <c r="L10044" s="147">
        <f ca="1"/>
        <v>55283</v>
      </c>
      <c r="M10044" s="92">
        <f t="shared" ca="1" si="323"/>
        <v>6.25</v>
      </c>
      <c r="N10044" s="143">
        <f ca="1">(PRODUCT($O$5:$O10044)-1)*36000/_xlfn.DAYS(L10044, $C$2)</f>
        <v>18.325831694605188</v>
      </c>
      <c r="O10044" s="149">
        <f t="shared" ca="1" si="324"/>
        <v>1.000173611111111</v>
      </c>
    </row>
    <row r="10045" spans="12:15" x14ac:dyDescent="0.25">
      <c r="L10045" s="147">
        <f ca="1"/>
        <v>55284</v>
      </c>
      <c r="M10045" s="92">
        <f t="shared" ca="1" si="323"/>
        <v>6.25</v>
      </c>
      <c r="N10045" s="143">
        <f ca="1">(PRODUCT($O$5:$O10045)-1)*36000/_xlfn.DAYS(L10045, $C$2)</f>
        <v>18.327810293454988</v>
      </c>
      <c r="O10045" s="149">
        <f t="shared" ca="1" si="324"/>
        <v>1.000173611111111</v>
      </c>
    </row>
    <row r="10046" spans="12:15" x14ac:dyDescent="0.25">
      <c r="L10046" s="147">
        <f ca="1"/>
        <v>55285</v>
      </c>
      <c r="M10046" s="92">
        <f t="shared" ca="1" si="323"/>
        <v>6.25</v>
      </c>
      <c r="N10046" s="143">
        <f ca="1">(PRODUCT($O$5:$O10046)-1)*36000/_xlfn.DAYS(L10046, $C$2)</f>
        <v>18.329789158538755</v>
      </c>
      <c r="O10046" s="149">
        <f t="shared" ca="1" si="324"/>
        <v>1.000173611111111</v>
      </c>
    </row>
    <row r="10047" spans="12:15" x14ac:dyDescent="0.25">
      <c r="L10047" s="147">
        <f ca="1"/>
        <v>55286</v>
      </c>
      <c r="M10047" s="92">
        <f t="shared" ca="1" si="323"/>
        <v>6.25</v>
      </c>
      <c r="N10047" s="143">
        <f ca="1">(PRODUCT($O$5:$O10047)-1)*36000/_xlfn.DAYS(L10047, $C$2)</f>
        <v>18.331768289891592</v>
      </c>
      <c r="O10047" s="149">
        <f t="shared" ca="1" si="324"/>
        <v>1.000173611111111</v>
      </c>
    </row>
    <row r="10048" spans="12:15" x14ac:dyDescent="0.25">
      <c r="L10048" s="147">
        <f ca="1"/>
        <v>55287</v>
      </c>
      <c r="M10048" s="92">
        <f t="shared" ca="1" si="323"/>
        <v>6.25</v>
      </c>
      <c r="N10048" s="143">
        <f ca="1">(PRODUCT($O$5:$O10048)-1)*36000/_xlfn.DAYS(L10048, $C$2)</f>
        <v>18.333747687548595</v>
      </c>
      <c r="O10048" s="149">
        <f t="shared" ca="1" si="324"/>
        <v>1.000173611111111</v>
      </c>
    </row>
    <row r="10049" spans="12:15" x14ac:dyDescent="0.25">
      <c r="L10049" s="147">
        <f ca="1"/>
        <v>55288</v>
      </c>
      <c r="M10049" s="92">
        <f t="shared" ca="1" si="323"/>
        <v>6.25</v>
      </c>
      <c r="N10049" s="143">
        <f ca="1">(PRODUCT($O$5:$O10049)-1)*36000/_xlfn.DAYS(L10049, $C$2)</f>
        <v>18.335727351544872</v>
      </c>
      <c r="O10049" s="149">
        <f t="shared" ca="1" si="324"/>
        <v>1.000173611111111</v>
      </c>
    </row>
    <row r="10050" spans="12:15" x14ac:dyDescent="0.25">
      <c r="L10050" s="147">
        <f ca="1"/>
        <v>55289</v>
      </c>
      <c r="M10050" s="92">
        <f t="shared" ca="1" si="323"/>
        <v>6.25</v>
      </c>
      <c r="N10050" s="143">
        <f ca="1">(PRODUCT($O$5:$O10050)-1)*36000/_xlfn.DAYS(L10050, $C$2)</f>
        <v>18.337707281915538</v>
      </c>
      <c r="O10050" s="149">
        <f t="shared" ca="1" si="324"/>
        <v>1.000173611111111</v>
      </c>
    </row>
    <row r="10051" spans="12:15" x14ac:dyDescent="0.25">
      <c r="L10051" s="147">
        <f ca="1"/>
        <v>55290</v>
      </c>
      <c r="M10051" s="92">
        <f t="shared" ca="1" si="323"/>
        <v>6.25</v>
      </c>
      <c r="N10051" s="143">
        <f ca="1">(PRODUCT($O$5:$O10051)-1)*36000/_xlfn.DAYS(L10051, $C$2)</f>
        <v>18.339687478695708</v>
      </c>
      <c r="O10051" s="149">
        <f t="shared" ca="1" si="324"/>
        <v>1.000173611111111</v>
      </c>
    </row>
    <row r="10052" spans="12:15" x14ac:dyDescent="0.25">
      <c r="L10052" s="147">
        <f ca="1"/>
        <v>55291</v>
      </c>
      <c r="M10052" s="92">
        <f t="shared" ca="1" si="323"/>
        <v>6.25</v>
      </c>
      <c r="N10052" s="143">
        <f ca="1">(PRODUCT($O$5:$O10052)-1)*36000/_xlfn.DAYS(L10052, $C$2)</f>
        <v>18.341667941920509</v>
      </c>
      <c r="O10052" s="149">
        <f t="shared" ca="1" si="324"/>
        <v>1.000173611111111</v>
      </c>
    </row>
    <row r="10053" spans="12:15" x14ac:dyDescent="0.25">
      <c r="L10053" s="147">
        <f ca="1"/>
        <v>55292</v>
      </c>
      <c r="M10053" s="92">
        <f t="shared" ref="M10053:M10116" ca="1" si="325">IFERROR(INDEX($E$27:$H$47, MATCH(L10053, $F$27:$F$47, 0), 4), IF(ISNUMBER(M10052), M10052, $C$5))</f>
        <v>6.25</v>
      </c>
      <c r="N10053" s="143">
        <f ca="1">(PRODUCT($O$5:$O10053)-1)*36000/_xlfn.DAYS(L10053, $C$2)</f>
        <v>18.343648671625076</v>
      </c>
      <c r="O10053" s="149">
        <f t="shared" ca="1" si="324"/>
        <v>1.000173611111111</v>
      </c>
    </row>
    <row r="10054" spans="12:15" x14ac:dyDescent="0.25">
      <c r="L10054" s="147">
        <f ca="1"/>
        <v>55293</v>
      </c>
      <c r="M10054" s="92">
        <f t="shared" ca="1" si="325"/>
        <v>6.25</v>
      </c>
      <c r="N10054" s="143">
        <f ca="1">(PRODUCT($O$5:$O10054)-1)*36000/_xlfn.DAYS(L10054, $C$2)</f>
        <v>18.345629667844541</v>
      </c>
      <c r="O10054" s="149">
        <f t="shared" ref="O10054:O10117" ca="1" si="326">1+M10054*IFERROR(_xlfn.DAYS(L10054, L10053), _xlfn.DAYS(L10054, $C$2))/36000</f>
        <v>1.000173611111111</v>
      </c>
    </row>
    <row r="10055" spans="12:15" x14ac:dyDescent="0.25">
      <c r="L10055" s="147">
        <f ca="1"/>
        <v>55294</v>
      </c>
      <c r="M10055" s="92">
        <f t="shared" ca="1" si="325"/>
        <v>6.25</v>
      </c>
      <c r="N10055" s="143">
        <f ca="1">(PRODUCT($O$5:$O10055)-1)*36000/_xlfn.DAYS(L10055, $C$2)</f>
        <v>18.347610930614053</v>
      </c>
      <c r="O10055" s="149">
        <f t="shared" ca="1" si="326"/>
        <v>1.000173611111111</v>
      </c>
    </row>
    <row r="10056" spans="12:15" x14ac:dyDescent="0.25">
      <c r="L10056" s="147">
        <f ca="1"/>
        <v>55295</v>
      </c>
      <c r="M10056" s="92">
        <f t="shared" ca="1" si="325"/>
        <v>6.25</v>
      </c>
      <c r="N10056" s="143">
        <f ca="1">(PRODUCT($O$5:$O10056)-1)*36000/_xlfn.DAYS(L10056, $C$2)</f>
        <v>18.349592459968754</v>
      </c>
      <c r="O10056" s="149">
        <f t="shared" ca="1" si="326"/>
        <v>1.000173611111111</v>
      </c>
    </row>
    <row r="10057" spans="12:15" x14ac:dyDescent="0.25">
      <c r="L10057" s="147">
        <f ca="1"/>
        <v>55296</v>
      </c>
      <c r="M10057" s="92">
        <f t="shared" ca="1" si="325"/>
        <v>6.25</v>
      </c>
      <c r="N10057" s="143">
        <f ca="1">(PRODUCT($O$5:$O10057)-1)*36000/_xlfn.DAYS(L10057, $C$2)</f>
        <v>18.351574255943806</v>
      </c>
      <c r="O10057" s="149">
        <f t="shared" ca="1" si="326"/>
        <v>1.000173611111111</v>
      </c>
    </row>
    <row r="10058" spans="12:15" x14ac:dyDescent="0.25">
      <c r="L10058" s="147">
        <f ca="1"/>
        <v>55297</v>
      </c>
      <c r="M10058" s="92">
        <f t="shared" ca="1" si="325"/>
        <v>6.25</v>
      </c>
      <c r="N10058" s="143">
        <f ca="1">(PRODUCT($O$5:$O10058)-1)*36000/_xlfn.DAYS(L10058, $C$2)</f>
        <v>18.353556318574359</v>
      </c>
      <c r="O10058" s="149">
        <f t="shared" ca="1" si="326"/>
        <v>1.000173611111111</v>
      </c>
    </row>
    <row r="10059" spans="12:15" x14ac:dyDescent="0.25">
      <c r="L10059" s="147">
        <f ca="1"/>
        <v>55298</v>
      </c>
      <c r="M10059" s="92">
        <f t="shared" ca="1" si="325"/>
        <v>6.25</v>
      </c>
      <c r="N10059" s="143">
        <f ca="1">(PRODUCT($O$5:$O10059)-1)*36000/_xlfn.DAYS(L10059, $C$2)</f>
        <v>18.355538647895589</v>
      </c>
      <c r="O10059" s="149">
        <f t="shared" ca="1" si="326"/>
        <v>1.000173611111111</v>
      </c>
    </row>
    <row r="10060" spans="12:15" x14ac:dyDescent="0.25">
      <c r="L10060" s="147">
        <f ca="1"/>
        <v>55299</v>
      </c>
      <c r="M10060" s="92">
        <f t="shared" ca="1" si="325"/>
        <v>6.25</v>
      </c>
      <c r="N10060" s="143">
        <f ca="1">(PRODUCT($O$5:$O10060)-1)*36000/_xlfn.DAYS(L10060, $C$2)</f>
        <v>18.357521243942664</v>
      </c>
      <c r="O10060" s="149">
        <f t="shared" ca="1" si="326"/>
        <v>1.000173611111111</v>
      </c>
    </row>
    <row r="10061" spans="12:15" x14ac:dyDescent="0.25">
      <c r="L10061" s="147">
        <f ca="1"/>
        <v>55300</v>
      </c>
      <c r="M10061" s="92">
        <f t="shared" ca="1" si="325"/>
        <v>6.25</v>
      </c>
      <c r="N10061" s="143">
        <f ca="1">(PRODUCT($O$5:$O10061)-1)*36000/_xlfn.DAYS(L10061, $C$2)</f>
        <v>18.359504106750766</v>
      </c>
      <c r="O10061" s="149">
        <f t="shared" ca="1" si="326"/>
        <v>1.000173611111111</v>
      </c>
    </row>
    <row r="10062" spans="12:15" x14ac:dyDescent="0.25">
      <c r="L10062" s="147">
        <f ca="1"/>
        <v>55301</v>
      </c>
      <c r="M10062" s="92">
        <f t="shared" ca="1" si="325"/>
        <v>6.25</v>
      </c>
      <c r="N10062" s="143">
        <f ca="1">(PRODUCT($O$5:$O10062)-1)*36000/_xlfn.DAYS(L10062, $C$2)</f>
        <v>18.361487236355078</v>
      </c>
      <c r="O10062" s="149">
        <f t="shared" ca="1" si="326"/>
        <v>1.000173611111111</v>
      </c>
    </row>
    <row r="10063" spans="12:15" x14ac:dyDescent="0.25">
      <c r="L10063" s="147">
        <f ca="1"/>
        <v>55302</v>
      </c>
      <c r="M10063" s="92">
        <f t="shared" ca="1" si="325"/>
        <v>6.25</v>
      </c>
      <c r="N10063" s="143">
        <f ca="1">(PRODUCT($O$5:$O10063)-1)*36000/_xlfn.DAYS(L10063, $C$2)</f>
        <v>18.363470632790794</v>
      </c>
      <c r="O10063" s="149">
        <f t="shared" ca="1" si="326"/>
        <v>1.000173611111111</v>
      </c>
    </row>
    <row r="10064" spans="12:15" x14ac:dyDescent="0.25">
      <c r="L10064" s="147">
        <f ca="1"/>
        <v>55303</v>
      </c>
      <c r="M10064" s="92">
        <f t="shared" ca="1" si="325"/>
        <v>6.25</v>
      </c>
      <c r="N10064" s="143">
        <f ca="1">(PRODUCT($O$5:$O10064)-1)*36000/_xlfn.DAYS(L10064, $C$2)</f>
        <v>18.365454296093102</v>
      </c>
      <c r="O10064" s="149">
        <f t="shared" ca="1" si="326"/>
        <v>1.000173611111111</v>
      </c>
    </row>
    <row r="10065" spans="12:15" x14ac:dyDescent="0.25">
      <c r="L10065" s="147">
        <f ca="1"/>
        <v>55304</v>
      </c>
      <c r="M10065" s="92">
        <f t="shared" ca="1" si="325"/>
        <v>6.25</v>
      </c>
      <c r="N10065" s="143">
        <f ca="1">(PRODUCT($O$5:$O10065)-1)*36000/_xlfn.DAYS(L10065, $C$2)</f>
        <v>18.367438226297207</v>
      </c>
      <c r="O10065" s="149">
        <f t="shared" ca="1" si="326"/>
        <v>1.000173611111111</v>
      </c>
    </row>
    <row r="10066" spans="12:15" x14ac:dyDescent="0.25">
      <c r="L10066" s="147">
        <f ca="1"/>
        <v>55305</v>
      </c>
      <c r="M10066" s="92">
        <f t="shared" ca="1" si="325"/>
        <v>6.25</v>
      </c>
      <c r="N10066" s="143">
        <f ca="1">(PRODUCT($O$5:$O10066)-1)*36000/_xlfn.DAYS(L10066, $C$2)</f>
        <v>18.369422423438319</v>
      </c>
      <c r="O10066" s="149">
        <f t="shared" ca="1" si="326"/>
        <v>1.000173611111111</v>
      </c>
    </row>
    <row r="10067" spans="12:15" x14ac:dyDescent="0.25">
      <c r="L10067" s="147">
        <f ca="1"/>
        <v>55306</v>
      </c>
      <c r="M10067" s="92">
        <f t="shared" ca="1" si="325"/>
        <v>6.25</v>
      </c>
      <c r="N10067" s="143">
        <f ca="1">(PRODUCT($O$5:$O10067)-1)*36000/_xlfn.DAYS(L10067, $C$2)</f>
        <v>18.371406887551657</v>
      </c>
      <c r="O10067" s="149">
        <f t="shared" ca="1" si="326"/>
        <v>1.000173611111111</v>
      </c>
    </row>
    <row r="10068" spans="12:15" x14ac:dyDescent="0.25">
      <c r="L10068" s="147">
        <f ca="1"/>
        <v>55307</v>
      </c>
      <c r="M10068" s="92">
        <f t="shared" ca="1" si="325"/>
        <v>6.25</v>
      </c>
      <c r="N10068" s="143">
        <f ca="1">(PRODUCT($O$5:$O10068)-1)*36000/_xlfn.DAYS(L10068, $C$2)</f>
        <v>18.373391618672432</v>
      </c>
      <c r="O10068" s="149">
        <f t="shared" ca="1" si="326"/>
        <v>1.000173611111111</v>
      </c>
    </row>
    <row r="10069" spans="12:15" x14ac:dyDescent="0.25">
      <c r="L10069" s="147">
        <f ca="1"/>
        <v>55308</v>
      </c>
      <c r="M10069" s="92">
        <f t="shared" ca="1" si="325"/>
        <v>6.25</v>
      </c>
      <c r="N10069" s="143">
        <f ca="1">(PRODUCT($O$5:$O10069)-1)*36000/_xlfn.DAYS(L10069, $C$2)</f>
        <v>18.375376616835872</v>
      </c>
      <c r="O10069" s="149">
        <f t="shared" ca="1" si="326"/>
        <v>1.000173611111111</v>
      </c>
    </row>
    <row r="10070" spans="12:15" x14ac:dyDescent="0.25">
      <c r="L10070" s="147">
        <f ca="1"/>
        <v>55309</v>
      </c>
      <c r="M10070" s="92">
        <f t="shared" ca="1" si="325"/>
        <v>6.25</v>
      </c>
      <c r="N10070" s="143">
        <f ca="1">(PRODUCT($O$5:$O10070)-1)*36000/_xlfn.DAYS(L10070, $C$2)</f>
        <v>18.377361882077217</v>
      </c>
      <c r="O10070" s="149">
        <f t="shared" ca="1" si="326"/>
        <v>1.000173611111111</v>
      </c>
    </row>
    <row r="10071" spans="12:15" x14ac:dyDescent="0.25">
      <c r="L10071" s="147">
        <f ca="1"/>
        <v>55310</v>
      </c>
      <c r="M10071" s="92">
        <f t="shared" ca="1" si="325"/>
        <v>6.25</v>
      </c>
      <c r="N10071" s="143">
        <f ca="1">(PRODUCT($O$5:$O10071)-1)*36000/_xlfn.DAYS(L10071, $C$2)</f>
        <v>18.379347414431688</v>
      </c>
      <c r="O10071" s="149">
        <f t="shared" ca="1" si="326"/>
        <v>1.000173611111111</v>
      </c>
    </row>
    <row r="10072" spans="12:15" x14ac:dyDescent="0.25">
      <c r="L10072" s="147">
        <f ca="1"/>
        <v>55311</v>
      </c>
      <c r="M10072" s="92">
        <f t="shared" ca="1" si="325"/>
        <v>6.25</v>
      </c>
      <c r="N10072" s="143">
        <f ca="1">(PRODUCT($O$5:$O10072)-1)*36000/_xlfn.DAYS(L10072, $C$2)</f>
        <v>18.381333213934546</v>
      </c>
      <c r="O10072" s="149">
        <f t="shared" ca="1" si="326"/>
        <v>1.000173611111111</v>
      </c>
    </row>
    <row r="10073" spans="12:15" x14ac:dyDescent="0.25">
      <c r="L10073" s="147">
        <f ca="1"/>
        <v>55312</v>
      </c>
      <c r="M10073" s="92">
        <f t="shared" ca="1" si="325"/>
        <v>6.25</v>
      </c>
      <c r="N10073" s="143">
        <f ca="1">(PRODUCT($O$5:$O10073)-1)*36000/_xlfn.DAYS(L10073, $C$2)</f>
        <v>18.383319280621034</v>
      </c>
      <c r="O10073" s="149">
        <f t="shared" ca="1" si="326"/>
        <v>1.000173611111111</v>
      </c>
    </row>
    <row r="10074" spans="12:15" x14ac:dyDescent="0.25">
      <c r="L10074" s="147">
        <f ca="1"/>
        <v>55313</v>
      </c>
      <c r="M10074" s="92">
        <f t="shared" ca="1" si="325"/>
        <v>6.25</v>
      </c>
      <c r="N10074" s="143">
        <f ca="1">(PRODUCT($O$5:$O10074)-1)*36000/_xlfn.DAYS(L10074, $C$2)</f>
        <v>18.385305614526406</v>
      </c>
      <c r="O10074" s="149">
        <f t="shared" ca="1" si="326"/>
        <v>1.000173611111111</v>
      </c>
    </row>
    <row r="10075" spans="12:15" x14ac:dyDescent="0.25">
      <c r="L10075" s="147">
        <f ca="1"/>
        <v>55314</v>
      </c>
      <c r="M10075" s="92">
        <f t="shared" ca="1" si="325"/>
        <v>6.25</v>
      </c>
      <c r="N10075" s="143">
        <f ca="1">(PRODUCT($O$5:$O10075)-1)*36000/_xlfn.DAYS(L10075, $C$2)</f>
        <v>18.387292215685928</v>
      </c>
      <c r="O10075" s="149">
        <f t="shared" ca="1" si="326"/>
        <v>1.000173611111111</v>
      </c>
    </row>
    <row r="10076" spans="12:15" x14ac:dyDescent="0.25">
      <c r="L10076" s="147">
        <f ca="1"/>
        <v>55315</v>
      </c>
      <c r="M10076" s="92">
        <f t="shared" ca="1" si="325"/>
        <v>6.25</v>
      </c>
      <c r="N10076" s="143">
        <f ca="1">(PRODUCT($O$5:$O10076)-1)*36000/_xlfn.DAYS(L10076, $C$2)</f>
        <v>18.389279084134859</v>
      </c>
      <c r="O10076" s="149">
        <f t="shared" ca="1" si="326"/>
        <v>1.000173611111111</v>
      </c>
    </row>
    <row r="10077" spans="12:15" x14ac:dyDescent="0.25">
      <c r="L10077" s="147">
        <f ca="1"/>
        <v>55316</v>
      </c>
      <c r="M10077" s="92">
        <f t="shared" ca="1" si="325"/>
        <v>6.25</v>
      </c>
      <c r="N10077" s="143">
        <f ca="1">(PRODUCT($O$5:$O10077)-1)*36000/_xlfn.DAYS(L10077, $C$2)</f>
        <v>18.391266219908477</v>
      </c>
      <c r="O10077" s="149">
        <f t="shared" ca="1" si="326"/>
        <v>1.000173611111111</v>
      </c>
    </row>
    <row r="10078" spans="12:15" x14ac:dyDescent="0.25">
      <c r="L10078" s="147">
        <f ca="1"/>
        <v>55317</v>
      </c>
      <c r="M10078" s="92">
        <f t="shared" ca="1" si="325"/>
        <v>6.25</v>
      </c>
      <c r="N10078" s="143">
        <f ca="1">(PRODUCT($O$5:$O10078)-1)*36000/_xlfn.DAYS(L10078, $C$2)</f>
        <v>18.393253623042067</v>
      </c>
      <c r="O10078" s="149">
        <f t="shared" ca="1" si="326"/>
        <v>1.000173611111111</v>
      </c>
    </row>
    <row r="10079" spans="12:15" x14ac:dyDescent="0.25">
      <c r="L10079" s="147">
        <f ca="1"/>
        <v>55318</v>
      </c>
      <c r="M10079" s="92">
        <f t="shared" ca="1" si="325"/>
        <v>6.25</v>
      </c>
      <c r="N10079" s="143">
        <f ca="1">(PRODUCT($O$5:$O10079)-1)*36000/_xlfn.DAYS(L10079, $C$2)</f>
        <v>18.395241293570908</v>
      </c>
      <c r="O10079" s="149">
        <f t="shared" ca="1" si="326"/>
        <v>1.000173611111111</v>
      </c>
    </row>
    <row r="10080" spans="12:15" x14ac:dyDescent="0.25">
      <c r="L10080" s="147">
        <f ca="1"/>
        <v>55319</v>
      </c>
      <c r="M10080" s="92">
        <f t="shared" ca="1" si="325"/>
        <v>6.25</v>
      </c>
      <c r="N10080" s="143">
        <f ca="1">(PRODUCT($O$5:$O10080)-1)*36000/_xlfn.DAYS(L10080, $C$2)</f>
        <v>18.397229231530293</v>
      </c>
      <c r="O10080" s="149">
        <f t="shared" ca="1" si="326"/>
        <v>1.000173611111111</v>
      </c>
    </row>
    <row r="10081" spans="12:15" x14ac:dyDescent="0.25">
      <c r="L10081" s="147">
        <f ca="1"/>
        <v>55320</v>
      </c>
      <c r="M10081" s="92">
        <f t="shared" ca="1" si="325"/>
        <v>6.25</v>
      </c>
      <c r="N10081" s="143">
        <f ca="1">(PRODUCT($O$5:$O10081)-1)*36000/_xlfn.DAYS(L10081, $C$2)</f>
        <v>18.399217436955521</v>
      </c>
      <c r="O10081" s="149">
        <f t="shared" ca="1" si="326"/>
        <v>1.000173611111111</v>
      </c>
    </row>
    <row r="10082" spans="12:15" x14ac:dyDescent="0.25">
      <c r="L10082" s="147">
        <f ca="1"/>
        <v>55321</v>
      </c>
      <c r="M10082" s="92">
        <f t="shared" ca="1" si="325"/>
        <v>6.25</v>
      </c>
      <c r="N10082" s="143">
        <f ca="1">(PRODUCT($O$5:$O10082)-1)*36000/_xlfn.DAYS(L10082, $C$2)</f>
        <v>18.401205909881892</v>
      </c>
      <c r="O10082" s="149">
        <f t="shared" ca="1" si="326"/>
        <v>1.000173611111111</v>
      </c>
    </row>
    <row r="10083" spans="12:15" x14ac:dyDescent="0.25">
      <c r="L10083" s="147">
        <f ca="1"/>
        <v>55322</v>
      </c>
      <c r="M10083" s="92">
        <f t="shared" ca="1" si="325"/>
        <v>6.25</v>
      </c>
      <c r="N10083" s="143">
        <f ca="1">(PRODUCT($O$5:$O10083)-1)*36000/_xlfn.DAYS(L10083, $C$2)</f>
        <v>18.403194650344712</v>
      </c>
      <c r="O10083" s="149">
        <f t="shared" ca="1" si="326"/>
        <v>1.000173611111111</v>
      </c>
    </row>
    <row r="10084" spans="12:15" x14ac:dyDescent="0.25">
      <c r="L10084" s="147">
        <f ca="1"/>
        <v>55323</v>
      </c>
      <c r="M10084" s="92">
        <f t="shared" ca="1" si="325"/>
        <v>6.25</v>
      </c>
      <c r="N10084" s="143">
        <f ca="1">(PRODUCT($O$5:$O10084)-1)*36000/_xlfn.DAYS(L10084, $C$2)</f>
        <v>18.405183658379304</v>
      </c>
      <c r="O10084" s="149">
        <f t="shared" ca="1" si="326"/>
        <v>1.000173611111111</v>
      </c>
    </row>
    <row r="10085" spans="12:15" x14ac:dyDescent="0.25">
      <c r="L10085" s="147">
        <f ca="1"/>
        <v>55324</v>
      </c>
      <c r="M10085" s="92">
        <f t="shared" ca="1" si="325"/>
        <v>6.25</v>
      </c>
      <c r="N10085" s="143">
        <f ca="1">(PRODUCT($O$5:$O10085)-1)*36000/_xlfn.DAYS(L10085, $C$2)</f>
        <v>18.407172934020981</v>
      </c>
      <c r="O10085" s="149">
        <f t="shared" ca="1" si="326"/>
        <v>1.000173611111111</v>
      </c>
    </row>
    <row r="10086" spans="12:15" x14ac:dyDescent="0.25">
      <c r="L10086" s="147">
        <f ca="1"/>
        <v>55325</v>
      </c>
      <c r="M10086" s="92">
        <f t="shared" ca="1" si="325"/>
        <v>6.25</v>
      </c>
      <c r="N10086" s="143">
        <f ca="1">(PRODUCT($O$5:$O10086)-1)*36000/_xlfn.DAYS(L10086, $C$2)</f>
        <v>18.409162477305074</v>
      </c>
      <c r="O10086" s="149">
        <f t="shared" ca="1" si="326"/>
        <v>1.000173611111111</v>
      </c>
    </row>
    <row r="10087" spans="12:15" x14ac:dyDescent="0.25">
      <c r="L10087" s="147">
        <f ca="1"/>
        <v>55326</v>
      </c>
      <c r="M10087" s="92">
        <f t="shared" ca="1" si="325"/>
        <v>6.25</v>
      </c>
      <c r="N10087" s="143">
        <f ca="1">(PRODUCT($O$5:$O10087)-1)*36000/_xlfn.DAYS(L10087, $C$2)</f>
        <v>18.411152288266916</v>
      </c>
      <c r="O10087" s="149">
        <f t="shared" ca="1" si="326"/>
        <v>1.000173611111111</v>
      </c>
    </row>
    <row r="10088" spans="12:15" x14ac:dyDescent="0.25">
      <c r="L10088" s="147">
        <f ca="1"/>
        <v>55327</v>
      </c>
      <c r="M10088" s="92">
        <f t="shared" ca="1" si="325"/>
        <v>6.25</v>
      </c>
      <c r="N10088" s="143">
        <f ca="1">(PRODUCT($O$5:$O10088)-1)*36000/_xlfn.DAYS(L10088, $C$2)</f>
        <v>18.413142366941845</v>
      </c>
      <c r="O10088" s="149">
        <f t="shared" ca="1" si="326"/>
        <v>1.000173611111111</v>
      </c>
    </row>
    <row r="10089" spans="12:15" x14ac:dyDescent="0.25">
      <c r="L10089" s="147">
        <f ca="1"/>
        <v>55328</v>
      </c>
      <c r="M10089" s="92">
        <f t="shared" ca="1" si="325"/>
        <v>6.25</v>
      </c>
      <c r="N10089" s="143">
        <f ca="1">(PRODUCT($O$5:$O10089)-1)*36000/_xlfn.DAYS(L10089, $C$2)</f>
        <v>18.41513271336521</v>
      </c>
      <c r="O10089" s="149">
        <f t="shared" ca="1" si="326"/>
        <v>1.000173611111111</v>
      </c>
    </row>
    <row r="10090" spans="12:15" x14ac:dyDescent="0.25">
      <c r="L10090" s="147">
        <f ca="1"/>
        <v>55329</v>
      </c>
      <c r="M10090" s="92">
        <f t="shared" ca="1" si="325"/>
        <v>6.25</v>
      </c>
      <c r="N10090" s="143">
        <f ca="1">(PRODUCT($O$5:$O10090)-1)*36000/_xlfn.DAYS(L10090, $C$2)</f>
        <v>18.417123327572355</v>
      </c>
      <c r="O10090" s="149">
        <f t="shared" ca="1" si="326"/>
        <v>1.000173611111111</v>
      </c>
    </row>
    <row r="10091" spans="12:15" x14ac:dyDescent="0.25">
      <c r="L10091" s="147">
        <f ca="1"/>
        <v>55330</v>
      </c>
      <c r="M10091" s="92">
        <f t="shared" ca="1" si="325"/>
        <v>6.25</v>
      </c>
      <c r="N10091" s="143">
        <f ca="1">(PRODUCT($O$5:$O10091)-1)*36000/_xlfn.DAYS(L10091, $C$2)</f>
        <v>18.419114209598636</v>
      </c>
      <c r="O10091" s="149">
        <f t="shared" ca="1" si="326"/>
        <v>1.000173611111111</v>
      </c>
    </row>
    <row r="10092" spans="12:15" x14ac:dyDescent="0.25">
      <c r="L10092" s="147">
        <f ca="1"/>
        <v>55331</v>
      </c>
      <c r="M10092" s="92">
        <f t="shared" ca="1" si="325"/>
        <v>6.25</v>
      </c>
      <c r="N10092" s="143">
        <f ca="1">(PRODUCT($O$5:$O10092)-1)*36000/_xlfn.DAYS(L10092, $C$2)</f>
        <v>18.421105359479423</v>
      </c>
      <c r="O10092" s="149">
        <f t="shared" ca="1" si="326"/>
        <v>1.000173611111111</v>
      </c>
    </row>
    <row r="10093" spans="12:15" x14ac:dyDescent="0.25">
      <c r="L10093" s="147">
        <f ca="1"/>
        <v>55332</v>
      </c>
      <c r="M10093" s="92">
        <f t="shared" ca="1" si="325"/>
        <v>6.25</v>
      </c>
      <c r="N10093" s="143">
        <f ca="1">(PRODUCT($O$5:$O10093)-1)*36000/_xlfn.DAYS(L10093, $C$2)</f>
        <v>18.423096777250077</v>
      </c>
      <c r="O10093" s="149">
        <f t="shared" ca="1" si="326"/>
        <v>1.000173611111111</v>
      </c>
    </row>
    <row r="10094" spans="12:15" x14ac:dyDescent="0.25">
      <c r="L10094" s="147">
        <f ca="1"/>
        <v>55333</v>
      </c>
      <c r="M10094" s="92">
        <f t="shared" ca="1" si="325"/>
        <v>6.25</v>
      </c>
      <c r="N10094" s="143">
        <f ca="1">(PRODUCT($O$5:$O10094)-1)*36000/_xlfn.DAYS(L10094, $C$2)</f>
        <v>18.425088462945975</v>
      </c>
      <c r="O10094" s="149">
        <f t="shared" ca="1" si="326"/>
        <v>1.000173611111111</v>
      </c>
    </row>
    <row r="10095" spans="12:15" x14ac:dyDescent="0.25">
      <c r="L10095" s="147">
        <f ca="1"/>
        <v>55334</v>
      </c>
      <c r="M10095" s="92">
        <f t="shared" ca="1" si="325"/>
        <v>6.25</v>
      </c>
      <c r="N10095" s="143">
        <f ca="1">(PRODUCT($O$5:$O10095)-1)*36000/_xlfn.DAYS(L10095, $C$2)</f>
        <v>18.427080416602504</v>
      </c>
      <c r="O10095" s="149">
        <f t="shared" ca="1" si="326"/>
        <v>1.000173611111111</v>
      </c>
    </row>
    <row r="10096" spans="12:15" x14ac:dyDescent="0.25">
      <c r="L10096" s="147">
        <f ca="1"/>
        <v>55335</v>
      </c>
      <c r="M10096" s="92">
        <f t="shared" ca="1" si="325"/>
        <v>6.25</v>
      </c>
      <c r="N10096" s="143">
        <f ca="1">(PRODUCT($O$5:$O10096)-1)*36000/_xlfn.DAYS(L10096, $C$2)</f>
        <v>18.42907263825504</v>
      </c>
      <c r="O10096" s="149">
        <f t="shared" ca="1" si="326"/>
        <v>1.000173611111111</v>
      </c>
    </row>
    <row r="10097" spans="12:15" x14ac:dyDescent="0.25">
      <c r="L10097" s="147">
        <f ca="1"/>
        <v>55336</v>
      </c>
      <c r="M10097" s="92">
        <f t="shared" ca="1" si="325"/>
        <v>6.25</v>
      </c>
      <c r="N10097" s="143">
        <f ca="1">(PRODUCT($O$5:$O10097)-1)*36000/_xlfn.DAYS(L10097, $C$2)</f>
        <v>18.431065127938979</v>
      </c>
      <c r="O10097" s="149">
        <f t="shared" ca="1" si="326"/>
        <v>1.000173611111111</v>
      </c>
    </row>
    <row r="10098" spans="12:15" x14ac:dyDescent="0.25">
      <c r="L10098" s="147">
        <f ca="1"/>
        <v>55337</v>
      </c>
      <c r="M10098" s="92">
        <f t="shared" ca="1" si="325"/>
        <v>6.25</v>
      </c>
      <c r="N10098" s="143">
        <f ca="1">(PRODUCT($O$5:$O10098)-1)*36000/_xlfn.DAYS(L10098, $C$2)</f>
        <v>18.433057885689724</v>
      </c>
      <c r="O10098" s="149">
        <f t="shared" ca="1" si="326"/>
        <v>1.000173611111111</v>
      </c>
    </row>
    <row r="10099" spans="12:15" x14ac:dyDescent="0.25">
      <c r="L10099" s="147">
        <f ca="1"/>
        <v>55338</v>
      </c>
      <c r="M10099" s="92">
        <f t="shared" ca="1" si="325"/>
        <v>6.25</v>
      </c>
      <c r="N10099" s="143">
        <f ca="1">(PRODUCT($O$5:$O10099)-1)*36000/_xlfn.DAYS(L10099, $C$2)</f>
        <v>18.435050911542671</v>
      </c>
      <c r="O10099" s="149">
        <f t="shared" ca="1" si="326"/>
        <v>1.000173611111111</v>
      </c>
    </row>
    <row r="10100" spans="12:15" x14ac:dyDescent="0.25">
      <c r="L10100" s="147">
        <f ca="1"/>
        <v>55339</v>
      </c>
      <c r="M10100" s="92">
        <f t="shared" ca="1" si="325"/>
        <v>6.25</v>
      </c>
      <c r="N10100" s="143">
        <f ca="1">(PRODUCT($O$5:$O10100)-1)*36000/_xlfn.DAYS(L10100, $C$2)</f>
        <v>18.437044205533233</v>
      </c>
      <c r="O10100" s="149">
        <f t="shared" ca="1" si="326"/>
        <v>1.000173611111111</v>
      </c>
    </row>
    <row r="10101" spans="12:15" x14ac:dyDescent="0.25">
      <c r="L10101" s="147">
        <f ca="1"/>
        <v>55340</v>
      </c>
      <c r="M10101" s="92">
        <f t="shared" ca="1" si="325"/>
        <v>6.25</v>
      </c>
      <c r="N10101" s="143">
        <f ca="1">(PRODUCT($O$5:$O10101)-1)*36000/_xlfn.DAYS(L10101, $C$2)</f>
        <v>18.439037767696824</v>
      </c>
      <c r="O10101" s="149">
        <f t="shared" ca="1" si="326"/>
        <v>1.000173611111111</v>
      </c>
    </row>
    <row r="10102" spans="12:15" x14ac:dyDescent="0.25">
      <c r="L10102" s="147">
        <f ca="1"/>
        <v>55341</v>
      </c>
      <c r="M10102" s="92">
        <f t="shared" ca="1" si="325"/>
        <v>6.25</v>
      </c>
      <c r="N10102" s="143">
        <f ca="1">(PRODUCT($O$5:$O10102)-1)*36000/_xlfn.DAYS(L10102, $C$2)</f>
        <v>18.441031598068875</v>
      </c>
      <c r="O10102" s="149">
        <f t="shared" ca="1" si="326"/>
        <v>1.000173611111111</v>
      </c>
    </row>
    <row r="10103" spans="12:15" x14ac:dyDescent="0.25">
      <c r="L10103" s="147">
        <f ca="1"/>
        <v>55342</v>
      </c>
      <c r="M10103" s="92">
        <f t="shared" ca="1" si="325"/>
        <v>6.25</v>
      </c>
      <c r="N10103" s="143">
        <f ca="1">(PRODUCT($O$5:$O10103)-1)*36000/_xlfn.DAYS(L10103, $C$2)</f>
        <v>18.443025696684806</v>
      </c>
      <c r="O10103" s="149">
        <f t="shared" ca="1" si="326"/>
        <v>1.000173611111111</v>
      </c>
    </row>
    <row r="10104" spans="12:15" x14ac:dyDescent="0.25">
      <c r="L10104" s="147">
        <f ca="1"/>
        <v>55343</v>
      </c>
      <c r="M10104" s="92">
        <f t="shared" ca="1" si="325"/>
        <v>6.25</v>
      </c>
      <c r="N10104" s="143">
        <f ca="1">(PRODUCT($O$5:$O10104)-1)*36000/_xlfn.DAYS(L10104, $C$2)</f>
        <v>18.445020063580053</v>
      </c>
      <c r="O10104" s="149">
        <f t="shared" ca="1" si="326"/>
        <v>1.000173611111111</v>
      </c>
    </row>
    <row r="10105" spans="12:15" x14ac:dyDescent="0.25">
      <c r="L10105" s="147">
        <f ca="1"/>
        <v>55344</v>
      </c>
      <c r="M10105" s="92">
        <f t="shared" ca="1" si="325"/>
        <v>6.25</v>
      </c>
      <c r="N10105" s="143">
        <f ca="1">(PRODUCT($O$5:$O10105)-1)*36000/_xlfn.DAYS(L10105, $C$2)</f>
        <v>18.447014698790053</v>
      </c>
      <c r="O10105" s="149">
        <f t="shared" ca="1" si="326"/>
        <v>1.000173611111111</v>
      </c>
    </row>
    <row r="10106" spans="12:15" x14ac:dyDescent="0.25">
      <c r="L10106" s="147">
        <f ca="1"/>
        <v>55345</v>
      </c>
      <c r="M10106" s="92">
        <f t="shared" ca="1" si="325"/>
        <v>6.25</v>
      </c>
      <c r="N10106" s="143">
        <f ca="1">(PRODUCT($O$5:$O10106)-1)*36000/_xlfn.DAYS(L10106, $C$2)</f>
        <v>18.449009602350255</v>
      </c>
      <c r="O10106" s="149">
        <f t="shared" ca="1" si="326"/>
        <v>1.000173611111111</v>
      </c>
    </row>
    <row r="10107" spans="12:15" x14ac:dyDescent="0.25">
      <c r="L10107" s="147">
        <f ca="1"/>
        <v>55346</v>
      </c>
      <c r="M10107" s="92">
        <f t="shared" ca="1" si="325"/>
        <v>6.25</v>
      </c>
      <c r="N10107" s="143">
        <f ca="1">(PRODUCT($O$5:$O10107)-1)*36000/_xlfn.DAYS(L10107, $C$2)</f>
        <v>18.451004774296113</v>
      </c>
      <c r="O10107" s="149">
        <f t="shared" ca="1" si="326"/>
        <v>1.000173611111111</v>
      </c>
    </row>
    <row r="10108" spans="12:15" x14ac:dyDescent="0.25">
      <c r="L10108" s="147">
        <f ca="1"/>
        <v>55347</v>
      </c>
      <c r="M10108" s="92">
        <f t="shared" ca="1" si="325"/>
        <v>6.25</v>
      </c>
      <c r="N10108" s="143">
        <f ca="1">(PRODUCT($O$5:$O10108)-1)*36000/_xlfn.DAYS(L10108, $C$2)</f>
        <v>18.453000214663074</v>
      </c>
      <c r="O10108" s="149">
        <f t="shared" ca="1" si="326"/>
        <v>1.000173611111111</v>
      </c>
    </row>
    <row r="10109" spans="12:15" x14ac:dyDescent="0.25">
      <c r="L10109" s="147">
        <f ca="1"/>
        <v>55348</v>
      </c>
      <c r="M10109" s="92">
        <f t="shared" ca="1" si="325"/>
        <v>6.25</v>
      </c>
      <c r="N10109" s="143">
        <f ca="1">(PRODUCT($O$5:$O10109)-1)*36000/_xlfn.DAYS(L10109, $C$2)</f>
        <v>18.454995923486617</v>
      </c>
      <c r="O10109" s="149">
        <f t="shared" ca="1" si="326"/>
        <v>1.000173611111111</v>
      </c>
    </row>
    <row r="10110" spans="12:15" x14ac:dyDescent="0.25">
      <c r="L10110" s="147">
        <f ca="1"/>
        <v>55349</v>
      </c>
      <c r="M10110" s="92">
        <f t="shared" ca="1" si="325"/>
        <v>6.25</v>
      </c>
      <c r="N10110" s="143">
        <f ca="1">(PRODUCT($O$5:$O10110)-1)*36000/_xlfn.DAYS(L10110, $C$2)</f>
        <v>18.456991900802201</v>
      </c>
      <c r="O10110" s="149">
        <f t="shared" ca="1" si="326"/>
        <v>1.000173611111111</v>
      </c>
    </row>
    <row r="10111" spans="12:15" x14ac:dyDescent="0.25">
      <c r="L10111" s="147">
        <f ca="1"/>
        <v>55350</v>
      </c>
      <c r="M10111" s="92">
        <f t="shared" ca="1" si="325"/>
        <v>6.25</v>
      </c>
      <c r="N10111" s="143">
        <f ca="1">(PRODUCT($O$5:$O10111)-1)*36000/_xlfn.DAYS(L10111, $C$2)</f>
        <v>18.458988146645304</v>
      </c>
      <c r="O10111" s="149">
        <f t="shared" ca="1" si="326"/>
        <v>1.000173611111111</v>
      </c>
    </row>
    <row r="10112" spans="12:15" x14ac:dyDescent="0.25">
      <c r="L10112" s="147">
        <f ca="1"/>
        <v>55351</v>
      </c>
      <c r="M10112" s="92">
        <f t="shared" ca="1" si="325"/>
        <v>6.25</v>
      </c>
      <c r="N10112" s="143">
        <f ca="1">(PRODUCT($O$5:$O10112)-1)*36000/_xlfn.DAYS(L10112, $C$2)</f>
        <v>18.460984661051409</v>
      </c>
      <c r="O10112" s="149">
        <f t="shared" ca="1" si="326"/>
        <v>1.000173611111111</v>
      </c>
    </row>
    <row r="10113" spans="12:15" x14ac:dyDescent="0.25">
      <c r="L10113" s="147">
        <f ca="1"/>
        <v>55352</v>
      </c>
      <c r="M10113" s="92">
        <f t="shared" ca="1" si="325"/>
        <v>6.25</v>
      </c>
      <c r="N10113" s="143">
        <f ca="1">(PRODUCT($O$5:$O10113)-1)*36000/_xlfn.DAYS(L10113, $C$2)</f>
        <v>18.462981444055998</v>
      </c>
      <c r="O10113" s="149">
        <f t="shared" ca="1" si="326"/>
        <v>1.000173611111111</v>
      </c>
    </row>
    <row r="10114" spans="12:15" x14ac:dyDescent="0.25">
      <c r="L10114" s="147">
        <f ca="1"/>
        <v>55353</v>
      </c>
      <c r="M10114" s="92">
        <f t="shared" ca="1" si="325"/>
        <v>6.25</v>
      </c>
      <c r="N10114" s="143">
        <f ca="1">(PRODUCT($O$5:$O10114)-1)*36000/_xlfn.DAYS(L10114, $C$2)</f>
        <v>18.464978495694577</v>
      </c>
      <c r="O10114" s="149">
        <f t="shared" ca="1" si="326"/>
        <v>1.000173611111111</v>
      </c>
    </row>
    <row r="10115" spans="12:15" x14ac:dyDescent="0.25">
      <c r="L10115" s="147">
        <f ca="1"/>
        <v>55354</v>
      </c>
      <c r="M10115" s="92">
        <f t="shared" ca="1" si="325"/>
        <v>6.25</v>
      </c>
      <c r="N10115" s="143">
        <f ca="1">(PRODUCT($O$5:$O10115)-1)*36000/_xlfn.DAYS(L10115, $C$2)</f>
        <v>18.46697581600263</v>
      </c>
      <c r="O10115" s="149">
        <f t="shared" ca="1" si="326"/>
        <v>1.000173611111111</v>
      </c>
    </row>
    <row r="10116" spans="12:15" x14ac:dyDescent="0.25">
      <c r="L10116" s="147">
        <f ca="1"/>
        <v>55355</v>
      </c>
      <c r="M10116" s="92">
        <f t="shared" ca="1" si="325"/>
        <v>6.25</v>
      </c>
      <c r="N10116" s="143">
        <f ca="1">(PRODUCT($O$5:$O10116)-1)*36000/_xlfn.DAYS(L10116, $C$2)</f>
        <v>18.468973405015674</v>
      </c>
      <c r="O10116" s="149">
        <f t="shared" ca="1" si="326"/>
        <v>1.000173611111111</v>
      </c>
    </row>
    <row r="10117" spans="12:15" x14ac:dyDescent="0.25">
      <c r="L10117" s="147">
        <f ca="1"/>
        <v>55356</v>
      </c>
      <c r="M10117" s="92">
        <f t="shared" ref="M10117:M10180" ca="1" si="327">IFERROR(INDEX($E$27:$H$47, MATCH(L10117, $F$27:$F$47, 0), 4), IF(ISNUMBER(M10116), M10116, $C$5))</f>
        <v>6.25</v>
      </c>
      <c r="N10117" s="143">
        <f ca="1">(PRODUCT($O$5:$O10117)-1)*36000/_xlfn.DAYS(L10117, $C$2)</f>
        <v>18.470971262769215</v>
      </c>
      <c r="O10117" s="149">
        <f t="shared" ca="1" si="326"/>
        <v>1.000173611111111</v>
      </c>
    </row>
    <row r="10118" spans="12:15" x14ac:dyDescent="0.25">
      <c r="L10118" s="147">
        <f ca="1"/>
        <v>55357</v>
      </c>
      <c r="M10118" s="92">
        <f t="shared" ca="1" si="327"/>
        <v>6.25</v>
      </c>
      <c r="N10118" s="143">
        <f ca="1">(PRODUCT($O$5:$O10118)-1)*36000/_xlfn.DAYS(L10118, $C$2)</f>
        <v>18.472969389298772</v>
      </c>
      <c r="O10118" s="149">
        <f t="shared" ref="O10118:O10181" ca="1" si="328">1+M10118*IFERROR(_xlfn.DAYS(L10118, L10117), _xlfn.DAYS(L10118, $C$2))/36000</f>
        <v>1.000173611111111</v>
      </c>
    </row>
    <row r="10119" spans="12:15" x14ac:dyDescent="0.25">
      <c r="L10119" s="147">
        <f ca="1"/>
        <v>55358</v>
      </c>
      <c r="M10119" s="92">
        <f t="shared" ca="1" si="327"/>
        <v>6.25</v>
      </c>
      <c r="N10119" s="143">
        <f ca="1">(PRODUCT($O$5:$O10119)-1)*36000/_xlfn.DAYS(L10119, $C$2)</f>
        <v>18.474967784639862</v>
      </c>
      <c r="O10119" s="149">
        <f t="shared" ca="1" si="328"/>
        <v>1.000173611111111</v>
      </c>
    </row>
    <row r="10120" spans="12:15" x14ac:dyDescent="0.25">
      <c r="L10120" s="147">
        <f ca="1"/>
        <v>55359</v>
      </c>
      <c r="M10120" s="92">
        <f t="shared" ca="1" si="327"/>
        <v>6.25</v>
      </c>
      <c r="N10120" s="143">
        <f ca="1">(PRODUCT($O$5:$O10120)-1)*36000/_xlfn.DAYS(L10120, $C$2)</f>
        <v>18.476966448828023</v>
      </c>
      <c r="O10120" s="149">
        <f t="shared" ca="1" si="328"/>
        <v>1.000173611111111</v>
      </c>
    </row>
    <row r="10121" spans="12:15" x14ac:dyDescent="0.25">
      <c r="L10121" s="147">
        <f ca="1"/>
        <v>55360</v>
      </c>
      <c r="M10121" s="92">
        <f t="shared" ca="1" si="327"/>
        <v>6.25</v>
      </c>
      <c r="N10121" s="143">
        <f ca="1">(PRODUCT($O$5:$O10121)-1)*36000/_xlfn.DAYS(L10121, $C$2)</f>
        <v>18.478965381898789</v>
      </c>
      <c r="O10121" s="149">
        <f t="shared" ca="1" si="328"/>
        <v>1.000173611111111</v>
      </c>
    </row>
    <row r="10122" spans="12:15" x14ac:dyDescent="0.25">
      <c r="L10122" s="147">
        <f ca="1"/>
        <v>55361</v>
      </c>
      <c r="M10122" s="92">
        <f t="shared" ca="1" si="327"/>
        <v>6.25</v>
      </c>
      <c r="N10122" s="143">
        <f ca="1">(PRODUCT($O$5:$O10122)-1)*36000/_xlfn.DAYS(L10122, $C$2)</f>
        <v>18.480964583887694</v>
      </c>
      <c r="O10122" s="149">
        <f t="shared" ca="1" si="328"/>
        <v>1.000173611111111</v>
      </c>
    </row>
    <row r="10123" spans="12:15" x14ac:dyDescent="0.25">
      <c r="L10123" s="147">
        <f ca="1"/>
        <v>55362</v>
      </c>
      <c r="M10123" s="92">
        <f t="shared" ca="1" si="327"/>
        <v>6.25</v>
      </c>
      <c r="N10123" s="143">
        <f ca="1">(PRODUCT($O$5:$O10123)-1)*36000/_xlfn.DAYS(L10123, $C$2)</f>
        <v>18.48296405483029</v>
      </c>
      <c r="O10123" s="149">
        <f t="shared" ca="1" si="328"/>
        <v>1.000173611111111</v>
      </c>
    </row>
    <row r="10124" spans="12:15" x14ac:dyDescent="0.25">
      <c r="L10124" s="147">
        <f ca="1"/>
        <v>55363</v>
      </c>
      <c r="M10124" s="92">
        <f t="shared" ca="1" si="327"/>
        <v>6.25</v>
      </c>
      <c r="N10124" s="143">
        <f ca="1">(PRODUCT($O$5:$O10124)-1)*36000/_xlfn.DAYS(L10124, $C$2)</f>
        <v>18.48496379476213</v>
      </c>
      <c r="O10124" s="149">
        <f t="shared" ca="1" si="328"/>
        <v>1.000173611111111</v>
      </c>
    </row>
    <row r="10125" spans="12:15" x14ac:dyDescent="0.25">
      <c r="L10125" s="147">
        <f ca="1"/>
        <v>55364</v>
      </c>
      <c r="M10125" s="92">
        <f t="shared" ca="1" si="327"/>
        <v>6.25</v>
      </c>
      <c r="N10125" s="143">
        <f ca="1">(PRODUCT($O$5:$O10125)-1)*36000/_xlfn.DAYS(L10125, $C$2)</f>
        <v>18.486963803718773</v>
      </c>
      <c r="O10125" s="149">
        <f t="shared" ca="1" si="328"/>
        <v>1.000173611111111</v>
      </c>
    </row>
    <row r="10126" spans="12:15" x14ac:dyDescent="0.25">
      <c r="L10126" s="147">
        <f ca="1"/>
        <v>55365</v>
      </c>
      <c r="M10126" s="92">
        <f t="shared" ca="1" si="327"/>
        <v>6.25</v>
      </c>
      <c r="N10126" s="143">
        <f ca="1">(PRODUCT($O$5:$O10126)-1)*36000/_xlfn.DAYS(L10126, $C$2)</f>
        <v>18.488964081735784</v>
      </c>
      <c r="O10126" s="149">
        <f t="shared" ca="1" si="328"/>
        <v>1.000173611111111</v>
      </c>
    </row>
    <row r="10127" spans="12:15" x14ac:dyDescent="0.25">
      <c r="L10127" s="147">
        <f ca="1"/>
        <v>55366</v>
      </c>
      <c r="M10127" s="92">
        <f t="shared" ca="1" si="327"/>
        <v>6.25</v>
      </c>
      <c r="N10127" s="143">
        <f ca="1">(PRODUCT($O$5:$O10127)-1)*36000/_xlfn.DAYS(L10127, $C$2)</f>
        <v>18.490964628848733</v>
      </c>
      <c r="O10127" s="149">
        <f t="shared" ca="1" si="328"/>
        <v>1.000173611111111</v>
      </c>
    </row>
    <row r="10128" spans="12:15" x14ac:dyDescent="0.25">
      <c r="L10128" s="147">
        <f ca="1"/>
        <v>55367</v>
      </c>
      <c r="M10128" s="92">
        <f t="shared" ca="1" si="327"/>
        <v>6.25</v>
      </c>
      <c r="N10128" s="143">
        <f ca="1">(PRODUCT($O$5:$O10128)-1)*36000/_xlfn.DAYS(L10128, $C$2)</f>
        <v>18.492965445093198</v>
      </c>
      <c r="O10128" s="149">
        <f t="shared" ca="1" si="328"/>
        <v>1.000173611111111</v>
      </c>
    </row>
    <row r="10129" spans="12:15" x14ac:dyDescent="0.25">
      <c r="L10129" s="147">
        <f ca="1"/>
        <v>55368</v>
      </c>
      <c r="M10129" s="92">
        <f t="shared" ca="1" si="327"/>
        <v>6.25</v>
      </c>
      <c r="N10129" s="143">
        <f ca="1">(PRODUCT($O$5:$O10129)-1)*36000/_xlfn.DAYS(L10129, $C$2)</f>
        <v>18.494966530504762</v>
      </c>
      <c r="O10129" s="149">
        <f t="shared" ca="1" si="328"/>
        <v>1.000173611111111</v>
      </c>
    </row>
    <row r="10130" spans="12:15" x14ac:dyDescent="0.25">
      <c r="L10130" s="147">
        <f ca="1"/>
        <v>55369</v>
      </c>
      <c r="M10130" s="92">
        <f t="shared" ca="1" si="327"/>
        <v>6.25</v>
      </c>
      <c r="N10130" s="143">
        <f ca="1">(PRODUCT($O$5:$O10130)-1)*36000/_xlfn.DAYS(L10130, $C$2)</f>
        <v>18.496967885119005</v>
      </c>
      <c r="O10130" s="149">
        <f t="shared" ca="1" si="328"/>
        <v>1.000173611111111</v>
      </c>
    </row>
    <row r="10131" spans="12:15" x14ac:dyDescent="0.25">
      <c r="L10131" s="147">
        <f ca="1"/>
        <v>55370</v>
      </c>
      <c r="M10131" s="92">
        <f t="shared" ca="1" si="327"/>
        <v>6.25</v>
      </c>
      <c r="N10131" s="143">
        <f ca="1">(PRODUCT($O$5:$O10131)-1)*36000/_xlfn.DAYS(L10131, $C$2)</f>
        <v>18.498969508971538</v>
      </c>
      <c r="O10131" s="149">
        <f t="shared" ca="1" si="328"/>
        <v>1.000173611111111</v>
      </c>
    </row>
    <row r="10132" spans="12:15" x14ac:dyDescent="0.25">
      <c r="L10132" s="147">
        <f ca="1"/>
        <v>55371</v>
      </c>
      <c r="M10132" s="92">
        <f t="shared" ca="1" si="327"/>
        <v>6.25</v>
      </c>
      <c r="N10132" s="143">
        <f ca="1">(PRODUCT($O$5:$O10132)-1)*36000/_xlfn.DAYS(L10132, $C$2)</f>
        <v>18.500971402097949</v>
      </c>
      <c r="O10132" s="149">
        <f t="shared" ca="1" si="328"/>
        <v>1.000173611111111</v>
      </c>
    </row>
    <row r="10133" spans="12:15" x14ac:dyDescent="0.25">
      <c r="L10133" s="147">
        <f ca="1"/>
        <v>55372</v>
      </c>
      <c r="M10133" s="92">
        <f t="shared" ca="1" si="327"/>
        <v>6.25</v>
      </c>
      <c r="N10133" s="143">
        <f ca="1">(PRODUCT($O$5:$O10133)-1)*36000/_xlfn.DAYS(L10133, $C$2)</f>
        <v>18.50297356453385</v>
      </c>
      <c r="O10133" s="149">
        <f t="shared" ca="1" si="328"/>
        <v>1.000173611111111</v>
      </c>
    </row>
    <row r="10134" spans="12:15" x14ac:dyDescent="0.25">
      <c r="L10134" s="147">
        <f ca="1"/>
        <v>55373</v>
      </c>
      <c r="M10134" s="92">
        <f t="shared" ca="1" si="327"/>
        <v>6.25</v>
      </c>
      <c r="N10134" s="143">
        <f ca="1">(PRODUCT($O$5:$O10134)-1)*36000/_xlfn.DAYS(L10134, $C$2)</f>
        <v>18.504975996314855</v>
      </c>
      <c r="O10134" s="149">
        <f t="shared" ca="1" si="328"/>
        <v>1.000173611111111</v>
      </c>
    </row>
    <row r="10135" spans="12:15" x14ac:dyDescent="0.25">
      <c r="L10135" s="147">
        <f ca="1"/>
        <v>55374</v>
      </c>
      <c r="M10135" s="92">
        <f t="shared" ca="1" si="327"/>
        <v>6.25</v>
      </c>
      <c r="N10135" s="143">
        <f ca="1">(PRODUCT($O$5:$O10135)-1)*36000/_xlfn.DAYS(L10135, $C$2)</f>
        <v>18.506978697476576</v>
      </c>
      <c r="O10135" s="149">
        <f t="shared" ca="1" si="328"/>
        <v>1.000173611111111</v>
      </c>
    </row>
    <row r="10136" spans="12:15" x14ac:dyDescent="0.25">
      <c r="L10136" s="147">
        <f ca="1"/>
        <v>55375</v>
      </c>
      <c r="M10136" s="92">
        <f t="shared" ca="1" si="327"/>
        <v>6.25</v>
      </c>
      <c r="N10136" s="143">
        <f ca="1">(PRODUCT($O$5:$O10136)-1)*36000/_xlfn.DAYS(L10136, $C$2)</f>
        <v>18.508981668054641</v>
      </c>
      <c r="O10136" s="149">
        <f t="shared" ca="1" si="328"/>
        <v>1.000173611111111</v>
      </c>
    </row>
    <row r="10137" spans="12:15" x14ac:dyDescent="0.25">
      <c r="L10137" s="147">
        <f ca="1"/>
        <v>55376</v>
      </c>
      <c r="M10137" s="92">
        <f t="shared" ca="1" si="327"/>
        <v>6.25</v>
      </c>
      <c r="N10137" s="143">
        <f ca="1">(PRODUCT($O$5:$O10137)-1)*36000/_xlfn.DAYS(L10137, $C$2)</f>
        <v>18.510984908084687</v>
      </c>
      <c r="O10137" s="149">
        <f t="shared" ca="1" si="328"/>
        <v>1.000173611111111</v>
      </c>
    </row>
    <row r="10138" spans="12:15" x14ac:dyDescent="0.25">
      <c r="L10138" s="147">
        <f ca="1"/>
        <v>55377</v>
      </c>
      <c r="M10138" s="92">
        <f t="shared" ca="1" si="327"/>
        <v>6.25</v>
      </c>
      <c r="N10138" s="143">
        <f ca="1">(PRODUCT($O$5:$O10138)-1)*36000/_xlfn.DAYS(L10138, $C$2)</f>
        <v>18.51298841760234</v>
      </c>
      <c r="O10138" s="149">
        <f t="shared" ca="1" si="328"/>
        <v>1.000173611111111</v>
      </c>
    </row>
    <row r="10139" spans="12:15" x14ac:dyDescent="0.25">
      <c r="L10139" s="147">
        <f ca="1"/>
        <v>55378</v>
      </c>
      <c r="M10139" s="92">
        <f t="shared" ca="1" si="327"/>
        <v>6.25</v>
      </c>
      <c r="N10139" s="143">
        <f ca="1">(PRODUCT($O$5:$O10139)-1)*36000/_xlfn.DAYS(L10139, $C$2)</f>
        <v>18.514992196643249</v>
      </c>
      <c r="O10139" s="149">
        <f t="shared" ca="1" si="328"/>
        <v>1.000173611111111</v>
      </c>
    </row>
    <row r="10140" spans="12:15" x14ac:dyDescent="0.25">
      <c r="L10140" s="147">
        <f ca="1"/>
        <v>55379</v>
      </c>
      <c r="M10140" s="92">
        <f t="shared" ca="1" si="327"/>
        <v>6.25</v>
      </c>
      <c r="N10140" s="143">
        <f ca="1">(PRODUCT($O$5:$O10140)-1)*36000/_xlfn.DAYS(L10140, $C$2)</f>
        <v>18.51699624524306</v>
      </c>
      <c r="O10140" s="149">
        <f t="shared" ca="1" si="328"/>
        <v>1.000173611111111</v>
      </c>
    </row>
    <row r="10141" spans="12:15" x14ac:dyDescent="0.25">
      <c r="L10141" s="147">
        <f ca="1"/>
        <v>55380</v>
      </c>
      <c r="M10141" s="92">
        <f t="shared" ca="1" si="327"/>
        <v>6.25</v>
      </c>
      <c r="N10141" s="143">
        <f ca="1">(PRODUCT($O$5:$O10141)-1)*36000/_xlfn.DAYS(L10141, $C$2)</f>
        <v>18.519000563437423</v>
      </c>
      <c r="O10141" s="149">
        <f t="shared" ca="1" si="328"/>
        <v>1.000173611111111</v>
      </c>
    </row>
    <row r="10142" spans="12:15" x14ac:dyDescent="0.25">
      <c r="L10142" s="147">
        <f ca="1"/>
        <v>55381</v>
      </c>
      <c r="M10142" s="92">
        <f t="shared" ca="1" si="327"/>
        <v>6.25</v>
      </c>
      <c r="N10142" s="143">
        <f ca="1">(PRODUCT($O$5:$O10142)-1)*36000/_xlfn.DAYS(L10142, $C$2)</f>
        <v>18.521005151262006</v>
      </c>
      <c r="O10142" s="149">
        <f t="shared" ca="1" si="328"/>
        <v>1.000173611111111</v>
      </c>
    </row>
    <row r="10143" spans="12:15" x14ac:dyDescent="0.25">
      <c r="L10143" s="147">
        <f ca="1"/>
        <v>55382</v>
      </c>
      <c r="M10143" s="92">
        <f t="shared" ca="1" si="327"/>
        <v>6.25</v>
      </c>
      <c r="N10143" s="143">
        <f ca="1">(PRODUCT($O$5:$O10143)-1)*36000/_xlfn.DAYS(L10143, $C$2)</f>
        <v>18.523010008752479</v>
      </c>
      <c r="O10143" s="149">
        <f t="shared" ca="1" si="328"/>
        <v>1.000173611111111</v>
      </c>
    </row>
    <row r="10144" spans="12:15" x14ac:dyDescent="0.25">
      <c r="L10144" s="147">
        <f ca="1"/>
        <v>55383</v>
      </c>
      <c r="M10144" s="92">
        <f t="shared" ca="1" si="327"/>
        <v>6.25</v>
      </c>
      <c r="N10144" s="143">
        <f ca="1">(PRODUCT($O$5:$O10144)-1)*36000/_xlfn.DAYS(L10144, $C$2)</f>
        <v>18.5250151359445</v>
      </c>
      <c r="O10144" s="149">
        <f t="shared" ca="1" si="328"/>
        <v>1.000173611111111</v>
      </c>
    </row>
    <row r="10145" spans="12:15" x14ac:dyDescent="0.25">
      <c r="L10145" s="147">
        <f ca="1"/>
        <v>55384</v>
      </c>
      <c r="M10145" s="92">
        <f t="shared" ca="1" si="327"/>
        <v>6.25</v>
      </c>
      <c r="N10145" s="143">
        <f ca="1">(PRODUCT($O$5:$O10145)-1)*36000/_xlfn.DAYS(L10145, $C$2)</f>
        <v>18.52702053287376</v>
      </c>
      <c r="O10145" s="149">
        <f t="shared" ca="1" si="328"/>
        <v>1.000173611111111</v>
      </c>
    </row>
    <row r="10146" spans="12:15" x14ac:dyDescent="0.25">
      <c r="L10146" s="147">
        <f ca="1"/>
        <v>55385</v>
      </c>
      <c r="M10146" s="92">
        <f t="shared" ca="1" si="327"/>
        <v>6.25</v>
      </c>
      <c r="N10146" s="143">
        <f ca="1">(PRODUCT($O$5:$O10146)-1)*36000/_xlfn.DAYS(L10146, $C$2)</f>
        <v>18.529026199575934</v>
      </c>
      <c r="O10146" s="149">
        <f t="shared" ca="1" si="328"/>
        <v>1.000173611111111</v>
      </c>
    </row>
    <row r="10147" spans="12:15" x14ac:dyDescent="0.25">
      <c r="L10147" s="147">
        <f ca="1"/>
        <v>55386</v>
      </c>
      <c r="M10147" s="92">
        <f t="shared" ca="1" si="327"/>
        <v>6.25</v>
      </c>
      <c r="N10147" s="143">
        <f ca="1">(PRODUCT($O$5:$O10147)-1)*36000/_xlfn.DAYS(L10147, $C$2)</f>
        <v>18.531032136086719</v>
      </c>
      <c r="O10147" s="149">
        <f t="shared" ca="1" si="328"/>
        <v>1.000173611111111</v>
      </c>
    </row>
    <row r="10148" spans="12:15" x14ac:dyDescent="0.25">
      <c r="L10148" s="147">
        <f ca="1"/>
        <v>55387</v>
      </c>
      <c r="M10148" s="92">
        <f t="shared" ca="1" si="327"/>
        <v>6.25</v>
      </c>
      <c r="N10148" s="143">
        <f ca="1">(PRODUCT($O$5:$O10148)-1)*36000/_xlfn.DAYS(L10148, $C$2)</f>
        <v>18.533038342441809</v>
      </c>
      <c r="O10148" s="149">
        <f t="shared" ca="1" si="328"/>
        <v>1.000173611111111</v>
      </c>
    </row>
    <row r="10149" spans="12:15" x14ac:dyDescent="0.25">
      <c r="L10149" s="147">
        <f ca="1"/>
        <v>55388</v>
      </c>
      <c r="M10149" s="92">
        <f t="shared" ca="1" si="327"/>
        <v>6.25</v>
      </c>
      <c r="N10149" s="143">
        <f ca="1">(PRODUCT($O$5:$O10149)-1)*36000/_xlfn.DAYS(L10149, $C$2)</f>
        <v>18.535044818676909</v>
      </c>
      <c r="O10149" s="149">
        <f t="shared" ca="1" si="328"/>
        <v>1.000173611111111</v>
      </c>
    </row>
    <row r="10150" spans="12:15" x14ac:dyDescent="0.25">
      <c r="L10150" s="147">
        <f ca="1"/>
        <v>55389</v>
      </c>
      <c r="M10150" s="92">
        <f t="shared" ca="1" si="327"/>
        <v>6.25</v>
      </c>
      <c r="N10150" s="143">
        <f ca="1">(PRODUCT($O$5:$O10150)-1)*36000/_xlfn.DAYS(L10150, $C$2)</f>
        <v>18.537051564827721</v>
      </c>
      <c r="O10150" s="149">
        <f t="shared" ca="1" si="328"/>
        <v>1.000173611111111</v>
      </c>
    </row>
    <row r="10151" spans="12:15" x14ac:dyDescent="0.25">
      <c r="L10151" s="147">
        <f ca="1"/>
        <v>55390</v>
      </c>
      <c r="M10151" s="92">
        <f t="shared" ca="1" si="327"/>
        <v>6.25</v>
      </c>
      <c r="N10151" s="143">
        <f ca="1">(PRODUCT($O$5:$O10151)-1)*36000/_xlfn.DAYS(L10151, $C$2)</f>
        <v>18.539058580929961</v>
      </c>
      <c r="O10151" s="149">
        <f t="shared" ca="1" si="328"/>
        <v>1.000173611111111</v>
      </c>
    </row>
    <row r="10152" spans="12:15" x14ac:dyDescent="0.25">
      <c r="L10152" s="147">
        <f ca="1"/>
        <v>55391</v>
      </c>
      <c r="M10152" s="92">
        <f t="shared" ca="1" si="327"/>
        <v>6.25</v>
      </c>
      <c r="N10152" s="143">
        <f ca="1">(PRODUCT($O$5:$O10152)-1)*36000/_xlfn.DAYS(L10152, $C$2)</f>
        <v>18.541065867019352</v>
      </c>
      <c r="O10152" s="149">
        <f t="shared" ca="1" si="328"/>
        <v>1.000173611111111</v>
      </c>
    </row>
    <row r="10153" spans="12:15" x14ac:dyDescent="0.25">
      <c r="L10153" s="147">
        <f ca="1"/>
        <v>55392</v>
      </c>
      <c r="M10153" s="92">
        <f t="shared" ca="1" si="327"/>
        <v>6.25</v>
      </c>
      <c r="N10153" s="143">
        <f ca="1">(PRODUCT($O$5:$O10153)-1)*36000/_xlfn.DAYS(L10153, $C$2)</f>
        <v>18.54307342313162</v>
      </c>
      <c r="O10153" s="149">
        <f t="shared" ca="1" si="328"/>
        <v>1.000173611111111</v>
      </c>
    </row>
    <row r="10154" spans="12:15" x14ac:dyDescent="0.25">
      <c r="L10154" s="147">
        <f ca="1"/>
        <v>55393</v>
      </c>
      <c r="M10154" s="92">
        <f t="shared" ca="1" si="327"/>
        <v>6.25</v>
      </c>
      <c r="N10154" s="143">
        <f ca="1">(PRODUCT($O$5:$O10154)-1)*36000/_xlfn.DAYS(L10154, $C$2)</f>
        <v>18.545081249302495</v>
      </c>
      <c r="O10154" s="149">
        <f t="shared" ca="1" si="328"/>
        <v>1.000173611111111</v>
      </c>
    </row>
    <row r="10155" spans="12:15" x14ac:dyDescent="0.25">
      <c r="L10155" s="147">
        <f ca="1"/>
        <v>55394</v>
      </c>
      <c r="M10155" s="92">
        <f t="shared" ca="1" si="327"/>
        <v>6.25</v>
      </c>
      <c r="N10155" s="143">
        <f ca="1">(PRODUCT($O$5:$O10155)-1)*36000/_xlfn.DAYS(L10155, $C$2)</f>
        <v>18.547089345567716</v>
      </c>
      <c r="O10155" s="149">
        <f t="shared" ca="1" si="328"/>
        <v>1.000173611111111</v>
      </c>
    </row>
    <row r="10156" spans="12:15" x14ac:dyDescent="0.25">
      <c r="L10156" s="147">
        <f ca="1"/>
        <v>55395</v>
      </c>
      <c r="M10156" s="92">
        <f t="shared" ca="1" si="327"/>
        <v>6.25</v>
      </c>
      <c r="N10156" s="143">
        <f ca="1">(PRODUCT($O$5:$O10156)-1)*36000/_xlfn.DAYS(L10156, $C$2)</f>
        <v>18.549097711963025</v>
      </c>
      <c r="O10156" s="149">
        <f t="shared" ca="1" si="328"/>
        <v>1.000173611111111</v>
      </c>
    </row>
    <row r="10157" spans="12:15" x14ac:dyDescent="0.25">
      <c r="L10157" s="147">
        <f ca="1"/>
        <v>55396</v>
      </c>
      <c r="M10157" s="92">
        <f t="shared" ca="1" si="327"/>
        <v>6.25</v>
      </c>
      <c r="N10157" s="143">
        <f ca="1">(PRODUCT($O$5:$O10157)-1)*36000/_xlfn.DAYS(L10157, $C$2)</f>
        <v>18.551106348524176</v>
      </c>
      <c r="O10157" s="149">
        <f t="shared" ca="1" si="328"/>
        <v>1.000173611111111</v>
      </c>
    </row>
    <row r="10158" spans="12:15" x14ac:dyDescent="0.25">
      <c r="L10158" s="147">
        <f ca="1"/>
        <v>55397</v>
      </c>
      <c r="M10158" s="92">
        <f t="shared" ca="1" si="327"/>
        <v>6.25</v>
      </c>
      <c r="N10158" s="143">
        <f ca="1">(PRODUCT($O$5:$O10158)-1)*36000/_xlfn.DAYS(L10158, $C$2)</f>
        <v>18.553115255286922</v>
      </c>
      <c r="O10158" s="149">
        <f t="shared" ca="1" si="328"/>
        <v>1.000173611111111</v>
      </c>
    </row>
    <row r="10159" spans="12:15" x14ac:dyDescent="0.25">
      <c r="L10159" s="147">
        <f ca="1"/>
        <v>55398</v>
      </c>
      <c r="M10159" s="92">
        <f t="shared" ca="1" si="327"/>
        <v>6.25</v>
      </c>
      <c r="N10159" s="143">
        <f ca="1">(PRODUCT($O$5:$O10159)-1)*36000/_xlfn.DAYS(L10159, $C$2)</f>
        <v>18.555124432287027</v>
      </c>
      <c r="O10159" s="149">
        <f t="shared" ca="1" si="328"/>
        <v>1.000173611111111</v>
      </c>
    </row>
    <row r="10160" spans="12:15" x14ac:dyDescent="0.25">
      <c r="L10160" s="147">
        <f ca="1"/>
        <v>55399</v>
      </c>
      <c r="M10160" s="92">
        <f t="shared" ca="1" si="327"/>
        <v>6.25</v>
      </c>
      <c r="N10160" s="143">
        <f ca="1">(PRODUCT($O$5:$O10160)-1)*36000/_xlfn.DAYS(L10160, $C$2)</f>
        <v>18.557133879560254</v>
      </c>
      <c r="O10160" s="149">
        <f t="shared" ca="1" si="328"/>
        <v>1.000173611111111</v>
      </c>
    </row>
    <row r="10161" spans="12:15" x14ac:dyDescent="0.25">
      <c r="L10161" s="147">
        <f ca="1"/>
        <v>55400</v>
      </c>
      <c r="M10161" s="92">
        <f t="shared" ca="1" si="327"/>
        <v>6.25</v>
      </c>
      <c r="N10161" s="143">
        <f ca="1">(PRODUCT($O$5:$O10161)-1)*36000/_xlfn.DAYS(L10161, $C$2)</f>
        <v>18.559143597142381</v>
      </c>
      <c r="O10161" s="149">
        <f t="shared" ca="1" si="328"/>
        <v>1.000173611111111</v>
      </c>
    </row>
    <row r="10162" spans="12:15" x14ac:dyDescent="0.25">
      <c r="L10162" s="147">
        <f ca="1"/>
        <v>55401</v>
      </c>
      <c r="M10162" s="92">
        <f t="shared" ca="1" si="327"/>
        <v>6.25</v>
      </c>
      <c r="N10162" s="143">
        <f ca="1">(PRODUCT($O$5:$O10162)-1)*36000/_xlfn.DAYS(L10162, $C$2)</f>
        <v>18.561153585069189</v>
      </c>
      <c r="O10162" s="149">
        <f t="shared" ca="1" si="328"/>
        <v>1.000173611111111</v>
      </c>
    </row>
    <row r="10163" spans="12:15" x14ac:dyDescent="0.25">
      <c r="L10163" s="147">
        <f ca="1"/>
        <v>55402</v>
      </c>
      <c r="M10163" s="92">
        <f t="shared" ca="1" si="327"/>
        <v>6.25</v>
      </c>
      <c r="N10163" s="143">
        <f ca="1">(PRODUCT($O$5:$O10163)-1)*36000/_xlfn.DAYS(L10163, $C$2)</f>
        <v>18.563163843376461</v>
      </c>
      <c r="O10163" s="149">
        <f t="shared" ca="1" si="328"/>
        <v>1.000173611111111</v>
      </c>
    </row>
    <row r="10164" spans="12:15" x14ac:dyDescent="0.25">
      <c r="L10164" s="147">
        <f ca="1"/>
        <v>55403</v>
      </c>
      <c r="M10164" s="92">
        <f t="shared" ca="1" si="327"/>
        <v>6.25</v>
      </c>
      <c r="N10164" s="143">
        <f ca="1">(PRODUCT($O$5:$O10164)-1)*36000/_xlfn.DAYS(L10164, $C$2)</f>
        <v>18.565174372099992</v>
      </c>
      <c r="O10164" s="149">
        <f t="shared" ca="1" si="328"/>
        <v>1.000173611111111</v>
      </c>
    </row>
    <row r="10165" spans="12:15" x14ac:dyDescent="0.25">
      <c r="L10165" s="147">
        <f ca="1"/>
        <v>55404</v>
      </c>
      <c r="M10165" s="92">
        <f t="shared" ca="1" si="327"/>
        <v>6.25</v>
      </c>
      <c r="N10165" s="143">
        <f ca="1">(PRODUCT($O$5:$O10165)-1)*36000/_xlfn.DAYS(L10165, $C$2)</f>
        <v>18.567185171275575</v>
      </c>
      <c r="O10165" s="149">
        <f t="shared" ca="1" si="328"/>
        <v>1.000173611111111</v>
      </c>
    </row>
    <row r="10166" spans="12:15" x14ac:dyDescent="0.25">
      <c r="L10166" s="147">
        <f ca="1"/>
        <v>55405</v>
      </c>
      <c r="M10166" s="92">
        <f t="shared" ca="1" si="327"/>
        <v>6.25</v>
      </c>
      <c r="N10166" s="143">
        <f ca="1">(PRODUCT($O$5:$O10166)-1)*36000/_xlfn.DAYS(L10166, $C$2)</f>
        <v>18.569196240939021</v>
      </c>
      <c r="O10166" s="149">
        <f t="shared" ca="1" si="328"/>
        <v>1.000173611111111</v>
      </c>
    </row>
    <row r="10167" spans="12:15" x14ac:dyDescent="0.25">
      <c r="L10167" s="147">
        <f ca="1"/>
        <v>55406</v>
      </c>
      <c r="M10167" s="92">
        <f t="shared" ca="1" si="327"/>
        <v>6.25</v>
      </c>
      <c r="N10167" s="143">
        <f ca="1">(PRODUCT($O$5:$O10167)-1)*36000/_xlfn.DAYS(L10167, $C$2)</f>
        <v>18.571207581126131</v>
      </c>
      <c r="O10167" s="149">
        <f t="shared" ca="1" si="328"/>
        <v>1.000173611111111</v>
      </c>
    </row>
    <row r="10168" spans="12:15" x14ac:dyDescent="0.25">
      <c r="L10168" s="147">
        <f ca="1"/>
        <v>55407</v>
      </c>
      <c r="M10168" s="92">
        <f t="shared" ca="1" si="327"/>
        <v>6.25</v>
      </c>
      <c r="N10168" s="143">
        <f ca="1">(PRODUCT($O$5:$O10168)-1)*36000/_xlfn.DAYS(L10168, $C$2)</f>
        <v>18.573219191872727</v>
      </c>
      <c r="O10168" s="149">
        <f t="shared" ca="1" si="328"/>
        <v>1.000173611111111</v>
      </c>
    </row>
    <row r="10169" spans="12:15" x14ac:dyDescent="0.25">
      <c r="L10169" s="147">
        <f ca="1"/>
        <v>55408</v>
      </c>
      <c r="M10169" s="92">
        <f t="shared" ca="1" si="327"/>
        <v>6.25</v>
      </c>
      <c r="N10169" s="143">
        <f ca="1">(PRODUCT($O$5:$O10169)-1)*36000/_xlfn.DAYS(L10169, $C$2)</f>
        <v>18.575231073214631</v>
      </c>
      <c r="O10169" s="149">
        <f t="shared" ca="1" si="328"/>
        <v>1.000173611111111</v>
      </c>
    </row>
    <row r="10170" spans="12:15" x14ac:dyDescent="0.25">
      <c r="L10170" s="147">
        <f ca="1"/>
        <v>55409</v>
      </c>
      <c r="M10170" s="92">
        <f t="shared" ca="1" si="327"/>
        <v>6.25</v>
      </c>
      <c r="N10170" s="143">
        <f ca="1">(PRODUCT($O$5:$O10170)-1)*36000/_xlfn.DAYS(L10170, $C$2)</f>
        <v>18.577243225187665</v>
      </c>
      <c r="O10170" s="149">
        <f t="shared" ca="1" si="328"/>
        <v>1.000173611111111</v>
      </c>
    </row>
    <row r="10171" spans="12:15" x14ac:dyDescent="0.25">
      <c r="L10171" s="147">
        <f ca="1"/>
        <v>55410</v>
      </c>
      <c r="M10171" s="92">
        <f t="shared" ca="1" si="327"/>
        <v>6.25</v>
      </c>
      <c r="N10171" s="143">
        <f ca="1">(PRODUCT($O$5:$O10171)-1)*36000/_xlfn.DAYS(L10171, $C$2)</f>
        <v>18.579255647827669</v>
      </c>
      <c r="O10171" s="149">
        <f t="shared" ca="1" si="328"/>
        <v>1.000173611111111</v>
      </c>
    </row>
    <row r="10172" spans="12:15" x14ac:dyDescent="0.25">
      <c r="L10172" s="147">
        <f ca="1"/>
        <v>55411</v>
      </c>
      <c r="M10172" s="92">
        <f t="shared" ca="1" si="327"/>
        <v>6.25</v>
      </c>
      <c r="N10172" s="143">
        <f ca="1">(PRODUCT($O$5:$O10172)-1)*36000/_xlfn.DAYS(L10172, $C$2)</f>
        <v>18.581268341170475</v>
      </c>
      <c r="O10172" s="149">
        <f t="shared" ca="1" si="328"/>
        <v>1.000173611111111</v>
      </c>
    </row>
    <row r="10173" spans="12:15" x14ac:dyDescent="0.25">
      <c r="L10173" s="147">
        <f ca="1"/>
        <v>55412</v>
      </c>
      <c r="M10173" s="92">
        <f t="shared" ca="1" si="327"/>
        <v>6.25</v>
      </c>
      <c r="N10173" s="143">
        <f ca="1">(PRODUCT($O$5:$O10173)-1)*36000/_xlfn.DAYS(L10173, $C$2)</f>
        <v>18.583281305251941</v>
      </c>
      <c r="O10173" s="149">
        <f t="shared" ca="1" si="328"/>
        <v>1.000173611111111</v>
      </c>
    </row>
    <row r="10174" spans="12:15" x14ac:dyDescent="0.25">
      <c r="L10174" s="147">
        <f ca="1"/>
        <v>55413</v>
      </c>
      <c r="M10174" s="92">
        <f t="shared" ca="1" si="327"/>
        <v>6.25</v>
      </c>
      <c r="N10174" s="143">
        <f ca="1">(PRODUCT($O$5:$O10174)-1)*36000/_xlfn.DAYS(L10174, $C$2)</f>
        <v>18.58529454010791</v>
      </c>
      <c r="O10174" s="149">
        <f t="shared" ca="1" si="328"/>
        <v>1.000173611111111</v>
      </c>
    </row>
    <row r="10175" spans="12:15" x14ac:dyDescent="0.25">
      <c r="L10175" s="147">
        <f ca="1"/>
        <v>55414</v>
      </c>
      <c r="M10175" s="92">
        <f t="shared" ca="1" si="327"/>
        <v>6.25</v>
      </c>
      <c r="N10175" s="143">
        <f ca="1">(PRODUCT($O$5:$O10175)-1)*36000/_xlfn.DAYS(L10175, $C$2)</f>
        <v>18.58730804577424</v>
      </c>
      <c r="O10175" s="149">
        <f t="shared" ca="1" si="328"/>
        <v>1.000173611111111</v>
      </c>
    </row>
    <row r="10176" spans="12:15" x14ac:dyDescent="0.25">
      <c r="L10176" s="147">
        <f ca="1"/>
        <v>55415</v>
      </c>
      <c r="M10176" s="92">
        <f t="shared" ca="1" si="327"/>
        <v>6.25</v>
      </c>
      <c r="N10176" s="143">
        <f ca="1">(PRODUCT($O$5:$O10176)-1)*36000/_xlfn.DAYS(L10176, $C$2)</f>
        <v>18.589321822286795</v>
      </c>
      <c r="O10176" s="149">
        <f t="shared" ca="1" si="328"/>
        <v>1.000173611111111</v>
      </c>
    </row>
    <row r="10177" spans="12:15" x14ac:dyDescent="0.25">
      <c r="L10177" s="147">
        <f ca="1"/>
        <v>55416</v>
      </c>
      <c r="M10177" s="92">
        <f t="shared" ca="1" si="327"/>
        <v>6.25</v>
      </c>
      <c r="N10177" s="143">
        <f ca="1">(PRODUCT($O$5:$O10177)-1)*36000/_xlfn.DAYS(L10177, $C$2)</f>
        <v>18.591335869681448</v>
      </c>
      <c r="O10177" s="149">
        <f t="shared" ca="1" si="328"/>
        <v>1.000173611111111</v>
      </c>
    </row>
    <row r="10178" spans="12:15" x14ac:dyDescent="0.25">
      <c r="L10178" s="147">
        <f ca="1"/>
        <v>55417</v>
      </c>
      <c r="M10178" s="92">
        <f t="shared" ca="1" si="327"/>
        <v>6.25</v>
      </c>
      <c r="N10178" s="143">
        <f ca="1">(PRODUCT($O$5:$O10178)-1)*36000/_xlfn.DAYS(L10178, $C$2)</f>
        <v>18.593350187994073</v>
      </c>
      <c r="O10178" s="149">
        <f t="shared" ca="1" si="328"/>
        <v>1.000173611111111</v>
      </c>
    </row>
    <row r="10179" spans="12:15" x14ac:dyDescent="0.25">
      <c r="L10179" s="147">
        <f ca="1"/>
        <v>55418</v>
      </c>
      <c r="M10179" s="92">
        <f t="shared" ca="1" si="327"/>
        <v>6.25</v>
      </c>
      <c r="N10179" s="143">
        <f ca="1">(PRODUCT($O$5:$O10179)-1)*36000/_xlfn.DAYS(L10179, $C$2)</f>
        <v>18.595364777260549</v>
      </c>
      <c r="O10179" s="149">
        <f t="shared" ca="1" si="328"/>
        <v>1.000173611111111</v>
      </c>
    </row>
    <row r="10180" spans="12:15" x14ac:dyDescent="0.25">
      <c r="L10180" s="147">
        <f ca="1"/>
        <v>55419</v>
      </c>
      <c r="M10180" s="92">
        <f t="shared" ca="1" si="327"/>
        <v>6.25</v>
      </c>
      <c r="N10180" s="143">
        <f ca="1">(PRODUCT($O$5:$O10180)-1)*36000/_xlfn.DAYS(L10180, $C$2)</f>
        <v>18.597379637516767</v>
      </c>
      <c r="O10180" s="149">
        <f t="shared" ca="1" si="328"/>
        <v>1.000173611111111</v>
      </c>
    </row>
    <row r="10181" spans="12:15" x14ac:dyDescent="0.25">
      <c r="L10181" s="147">
        <f ca="1"/>
        <v>55420</v>
      </c>
      <c r="M10181" s="92">
        <f t="shared" ref="M10181:M10244" ca="1" si="329">IFERROR(INDEX($E$27:$H$47, MATCH(L10181, $F$27:$F$47, 0), 4), IF(ISNUMBER(M10180), M10180, $C$5))</f>
        <v>6.25</v>
      </c>
      <c r="N10181" s="143">
        <f ca="1">(PRODUCT($O$5:$O10181)-1)*36000/_xlfn.DAYS(L10181, $C$2)</f>
        <v>18.599394768798618</v>
      </c>
      <c r="O10181" s="149">
        <f t="shared" ca="1" si="328"/>
        <v>1.000173611111111</v>
      </c>
    </row>
    <row r="10182" spans="12:15" x14ac:dyDescent="0.25">
      <c r="L10182" s="147">
        <f ca="1"/>
        <v>55421</v>
      </c>
      <c r="M10182" s="92">
        <f t="shared" ca="1" si="329"/>
        <v>6.25</v>
      </c>
      <c r="N10182" s="143">
        <f ca="1">(PRODUCT($O$5:$O10182)-1)*36000/_xlfn.DAYS(L10182, $C$2)</f>
        <v>18.601410171142003</v>
      </c>
      <c r="O10182" s="149">
        <f t="shared" ref="O10182:O10245" ca="1" si="330">1+M10182*IFERROR(_xlfn.DAYS(L10182, L10181), _xlfn.DAYS(L10182, $C$2))/36000</f>
        <v>1.000173611111111</v>
      </c>
    </row>
    <row r="10183" spans="12:15" x14ac:dyDescent="0.25">
      <c r="L10183" s="147">
        <f ca="1"/>
        <v>55422</v>
      </c>
      <c r="M10183" s="92">
        <f t="shared" ca="1" si="329"/>
        <v>6.25</v>
      </c>
      <c r="N10183" s="143">
        <f ca="1">(PRODUCT($O$5:$O10183)-1)*36000/_xlfn.DAYS(L10183, $C$2)</f>
        <v>18.603425844582834</v>
      </c>
      <c r="O10183" s="149">
        <f t="shared" ca="1" si="330"/>
        <v>1.000173611111111</v>
      </c>
    </row>
    <row r="10184" spans="12:15" x14ac:dyDescent="0.25">
      <c r="L10184" s="147">
        <f ca="1"/>
        <v>55423</v>
      </c>
      <c r="M10184" s="92">
        <f t="shared" ca="1" si="329"/>
        <v>6.25</v>
      </c>
      <c r="N10184" s="143">
        <f ca="1">(PRODUCT($O$5:$O10184)-1)*36000/_xlfn.DAYS(L10184, $C$2)</f>
        <v>18.605441789157009</v>
      </c>
      <c r="O10184" s="149">
        <f t="shared" ca="1" si="330"/>
        <v>1.000173611111111</v>
      </c>
    </row>
    <row r="10185" spans="12:15" x14ac:dyDescent="0.25">
      <c r="L10185" s="147">
        <f ca="1"/>
        <v>55424</v>
      </c>
      <c r="M10185" s="92">
        <f t="shared" ca="1" si="329"/>
        <v>6.25</v>
      </c>
      <c r="N10185" s="143">
        <f ca="1">(PRODUCT($O$5:$O10185)-1)*36000/_xlfn.DAYS(L10185, $C$2)</f>
        <v>18.607458004900455</v>
      </c>
      <c r="O10185" s="149">
        <f t="shared" ca="1" si="330"/>
        <v>1.000173611111111</v>
      </c>
    </row>
    <row r="10186" spans="12:15" x14ac:dyDescent="0.25">
      <c r="L10186" s="147">
        <f ca="1"/>
        <v>55425</v>
      </c>
      <c r="M10186" s="92">
        <f t="shared" ca="1" si="329"/>
        <v>6.25</v>
      </c>
      <c r="N10186" s="143">
        <f ca="1">(PRODUCT($O$5:$O10186)-1)*36000/_xlfn.DAYS(L10186, $C$2)</f>
        <v>18.609474491849095</v>
      </c>
      <c r="O10186" s="149">
        <f t="shared" ca="1" si="330"/>
        <v>1.000173611111111</v>
      </c>
    </row>
    <row r="10187" spans="12:15" x14ac:dyDescent="0.25">
      <c r="L10187" s="147">
        <f ca="1"/>
        <v>55426</v>
      </c>
      <c r="M10187" s="92">
        <f t="shared" ca="1" si="329"/>
        <v>6.25</v>
      </c>
      <c r="N10187" s="143">
        <f ca="1">(PRODUCT($O$5:$O10187)-1)*36000/_xlfn.DAYS(L10187, $C$2)</f>
        <v>18.611491250038853</v>
      </c>
      <c r="O10187" s="149">
        <f t="shared" ca="1" si="330"/>
        <v>1.000173611111111</v>
      </c>
    </row>
    <row r="10188" spans="12:15" x14ac:dyDescent="0.25">
      <c r="L10188" s="147">
        <f ca="1"/>
        <v>55427</v>
      </c>
      <c r="M10188" s="92">
        <f t="shared" ca="1" si="329"/>
        <v>6.25</v>
      </c>
      <c r="N10188" s="143">
        <f ca="1">(PRODUCT($O$5:$O10188)-1)*36000/_xlfn.DAYS(L10188, $C$2)</f>
        <v>18.613508279505673</v>
      </c>
      <c r="O10188" s="149">
        <f t="shared" ca="1" si="330"/>
        <v>1.000173611111111</v>
      </c>
    </row>
    <row r="10189" spans="12:15" x14ac:dyDescent="0.25">
      <c r="L10189" s="147">
        <f ca="1"/>
        <v>55428</v>
      </c>
      <c r="M10189" s="92">
        <f t="shared" ca="1" si="329"/>
        <v>6.25</v>
      </c>
      <c r="N10189" s="143">
        <f ca="1">(PRODUCT($O$5:$O10189)-1)*36000/_xlfn.DAYS(L10189, $C$2)</f>
        <v>18.615525580285489</v>
      </c>
      <c r="O10189" s="149">
        <f t="shared" ca="1" si="330"/>
        <v>1.000173611111111</v>
      </c>
    </row>
    <row r="10190" spans="12:15" x14ac:dyDescent="0.25">
      <c r="L10190" s="147">
        <f ca="1"/>
        <v>55429</v>
      </c>
      <c r="M10190" s="92">
        <f t="shared" ca="1" si="329"/>
        <v>6.25</v>
      </c>
      <c r="N10190" s="143">
        <f ca="1">(PRODUCT($O$5:$O10190)-1)*36000/_xlfn.DAYS(L10190, $C$2)</f>
        <v>18.617543152414257</v>
      </c>
      <c r="O10190" s="149">
        <f t="shared" ca="1" si="330"/>
        <v>1.000173611111111</v>
      </c>
    </row>
    <row r="10191" spans="12:15" x14ac:dyDescent="0.25">
      <c r="L10191" s="147">
        <f ca="1"/>
        <v>55430</v>
      </c>
      <c r="M10191" s="92">
        <f t="shared" ca="1" si="329"/>
        <v>6.25</v>
      </c>
      <c r="N10191" s="143">
        <f ca="1">(PRODUCT($O$5:$O10191)-1)*36000/_xlfn.DAYS(L10191, $C$2)</f>
        <v>18.619560995927923</v>
      </c>
      <c r="O10191" s="149">
        <f t="shared" ca="1" si="330"/>
        <v>1.000173611111111</v>
      </c>
    </row>
    <row r="10192" spans="12:15" x14ac:dyDescent="0.25">
      <c r="L10192" s="147">
        <f ca="1"/>
        <v>55431</v>
      </c>
      <c r="M10192" s="92">
        <f t="shared" ca="1" si="329"/>
        <v>6.25</v>
      </c>
      <c r="N10192" s="143">
        <f ca="1">(PRODUCT($O$5:$O10192)-1)*36000/_xlfn.DAYS(L10192, $C$2)</f>
        <v>18.621579110862445</v>
      </c>
      <c r="O10192" s="149">
        <f t="shared" ca="1" si="330"/>
        <v>1.000173611111111</v>
      </c>
    </row>
    <row r="10193" spans="12:15" x14ac:dyDescent="0.25">
      <c r="L10193" s="147">
        <f ca="1"/>
        <v>55432</v>
      </c>
      <c r="M10193" s="92">
        <f t="shared" ca="1" si="329"/>
        <v>6.25</v>
      </c>
      <c r="N10193" s="143">
        <f ca="1">(PRODUCT($O$5:$O10193)-1)*36000/_xlfn.DAYS(L10193, $C$2)</f>
        <v>18.623597497253794</v>
      </c>
      <c r="O10193" s="149">
        <f t="shared" ca="1" si="330"/>
        <v>1.000173611111111</v>
      </c>
    </row>
    <row r="10194" spans="12:15" x14ac:dyDescent="0.25">
      <c r="L10194" s="147">
        <f ca="1"/>
        <v>55433</v>
      </c>
      <c r="M10194" s="92">
        <f t="shared" ca="1" si="329"/>
        <v>6.25</v>
      </c>
      <c r="N10194" s="143">
        <f ca="1">(PRODUCT($O$5:$O10194)-1)*36000/_xlfn.DAYS(L10194, $C$2)</f>
        <v>18.625616155137941</v>
      </c>
      <c r="O10194" s="149">
        <f t="shared" ca="1" si="330"/>
        <v>1.000173611111111</v>
      </c>
    </row>
    <row r="10195" spans="12:15" x14ac:dyDescent="0.25">
      <c r="L10195" s="147">
        <f ca="1"/>
        <v>55434</v>
      </c>
      <c r="M10195" s="92">
        <f t="shared" ca="1" si="329"/>
        <v>6.25</v>
      </c>
      <c r="N10195" s="143">
        <f ca="1">(PRODUCT($O$5:$O10195)-1)*36000/_xlfn.DAYS(L10195, $C$2)</f>
        <v>18.62763508455086</v>
      </c>
      <c r="O10195" s="149">
        <f t="shared" ca="1" si="330"/>
        <v>1.000173611111111</v>
      </c>
    </row>
    <row r="10196" spans="12:15" x14ac:dyDescent="0.25">
      <c r="L10196" s="147">
        <f ca="1"/>
        <v>55435</v>
      </c>
      <c r="M10196" s="92">
        <f t="shared" ca="1" si="329"/>
        <v>6.25</v>
      </c>
      <c r="N10196" s="143">
        <f ca="1">(PRODUCT($O$5:$O10196)-1)*36000/_xlfn.DAYS(L10196, $C$2)</f>
        <v>18.629654285528542</v>
      </c>
      <c r="O10196" s="149">
        <f t="shared" ca="1" si="330"/>
        <v>1.000173611111111</v>
      </c>
    </row>
    <row r="10197" spans="12:15" x14ac:dyDescent="0.25">
      <c r="L10197" s="147">
        <f ca="1"/>
        <v>55436</v>
      </c>
      <c r="M10197" s="92">
        <f t="shared" ca="1" si="329"/>
        <v>6.25</v>
      </c>
      <c r="N10197" s="143">
        <f ca="1">(PRODUCT($O$5:$O10197)-1)*36000/_xlfn.DAYS(L10197, $C$2)</f>
        <v>18.631673758106967</v>
      </c>
      <c r="O10197" s="149">
        <f t="shared" ca="1" si="330"/>
        <v>1.000173611111111</v>
      </c>
    </row>
    <row r="10198" spans="12:15" x14ac:dyDescent="0.25">
      <c r="L10198" s="147">
        <f ca="1"/>
        <v>55437</v>
      </c>
      <c r="M10198" s="92">
        <f t="shared" ca="1" si="329"/>
        <v>6.25</v>
      </c>
      <c r="N10198" s="143">
        <f ca="1">(PRODUCT($O$5:$O10198)-1)*36000/_xlfn.DAYS(L10198, $C$2)</f>
        <v>18.633693502322139</v>
      </c>
      <c r="O10198" s="149">
        <f t="shared" ca="1" si="330"/>
        <v>1.000173611111111</v>
      </c>
    </row>
    <row r="10199" spans="12:15" x14ac:dyDescent="0.25">
      <c r="L10199" s="147">
        <f ca="1"/>
        <v>55438</v>
      </c>
      <c r="M10199" s="92">
        <f t="shared" ca="1" si="329"/>
        <v>6.25</v>
      </c>
      <c r="N10199" s="143">
        <f ca="1">(PRODUCT($O$5:$O10199)-1)*36000/_xlfn.DAYS(L10199, $C$2)</f>
        <v>18.635713518210054</v>
      </c>
      <c r="O10199" s="149">
        <f t="shared" ca="1" si="330"/>
        <v>1.000173611111111</v>
      </c>
    </row>
    <row r="10200" spans="12:15" x14ac:dyDescent="0.25">
      <c r="L10200" s="147">
        <f ca="1"/>
        <v>55439</v>
      </c>
      <c r="M10200" s="92">
        <f t="shared" ca="1" si="329"/>
        <v>6.25</v>
      </c>
      <c r="N10200" s="143">
        <f ca="1">(PRODUCT($O$5:$O10200)-1)*36000/_xlfn.DAYS(L10200, $C$2)</f>
        <v>18.637733805806722</v>
      </c>
      <c r="O10200" s="149">
        <f t="shared" ca="1" si="330"/>
        <v>1.000173611111111</v>
      </c>
    </row>
    <row r="10201" spans="12:15" x14ac:dyDescent="0.25">
      <c r="L10201" s="147">
        <f ca="1"/>
        <v>55440</v>
      </c>
      <c r="M10201" s="92">
        <f t="shared" ca="1" si="329"/>
        <v>6.25</v>
      </c>
      <c r="N10201" s="143">
        <f ca="1">(PRODUCT($O$5:$O10201)-1)*36000/_xlfn.DAYS(L10201, $C$2)</f>
        <v>18.639754365148153</v>
      </c>
      <c r="O10201" s="149">
        <f t="shared" ca="1" si="330"/>
        <v>1.000173611111111</v>
      </c>
    </row>
    <row r="10202" spans="12:15" x14ac:dyDescent="0.25">
      <c r="L10202" s="147">
        <f ca="1"/>
        <v>55441</v>
      </c>
      <c r="M10202" s="92">
        <f t="shared" ca="1" si="329"/>
        <v>6.25</v>
      </c>
      <c r="N10202" s="143">
        <f ca="1">(PRODUCT($O$5:$O10202)-1)*36000/_xlfn.DAYS(L10202, $C$2)</f>
        <v>18.64177519627037</v>
      </c>
      <c r="O10202" s="149">
        <f t="shared" ca="1" si="330"/>
        <v>1.000173611111111</v>
      </c>
    </row>
    <row r="10203" spans="12:15" x14ac:dyDescent="0.25">
      <c r="L10203" s="147">
        <f ca="1"/>
        <v>55442</v>
      </c>
      <c r="M10203" s="92">
        <f t="shared" ca="1" si="329"/>
        <v>6.25</v>
      </c>
      <c r="N10203" s="143">
        <f ca="1">(PRODUCT($O$5:$O10203)-1)*36000/_xlfn.DAYS(L10203, $C$2)</f>
        <v>18.643796299209402</v>
      </c>
      <c r="O10203" s="149">
        <f t="shared" ca="1" si="330"/>
        <v>1.000173611111111</v>
      </c>
    </row>
    <row r="10204" spans="12:15" x14ac:dyDescent="0.25">
      <c r="L10204" s="147">
        <f ca="1"/>
        <v>55443</v>
      </c>
      <c r="M10204" s="92">
        <f t="shared" ca="1" si="329"/>
        <v>6.25</v>
      </c>
      <c r="N10204" s="143">
        <f ca="1">(PRODUCT($O$5:$O10204)-1)*36000/_xlfn.DAYS(L10204, $C$2)</f>
        <v>18.645817674001275</v>
      </c>
      <c r="O10204" s="149">
        <f t="shared" ca="1" si="330"/>
        <v>1.000173611111111</v>
      </c>
    </row>
    <row r="10205" spans="12:15" x14ac:dyDescent="0.25">
      <c r="L10205" s="147">
        <f ca="1"/>
        <v>55444</v>
      </c>
      <c r="M10205" s="92">
        <f t="shared" ca="1" si="329"/>
        <v>6.25</v>
      </c>
      <c r="N10205" s="143">
        <f ca="1">(PRODUCT($O$5:$O10205)-1)*36000/_xlfn.DAYS(L10205, $C$2)</f>
        <v>18.647839320682024</v>
      </c>
      <c r="O10205" s="149">
        <f t="shared" ca="1" si="330"/>
        <v>1.000173611111111</v>
      </c>
    </row>
    <row r="10206" spans="12:15" x14ac:dyDescent="0.25">
      <c r="L10206" s="147">
        <f ca="1"/>
        <v>55445</v>
      </c>
      <c r="M10206" s="92">
        <f t="shared" ca="1" si="329"/>
        <v>6.25</v>
      </c>
      <c r="N10206" s="143">
        <f ca="1">(PRODUCT($O$5:$O10206)-1)*36000/_xlfn.DAYS(L10206, $C$2)</f>
        <v>18.649861239287702</v>
      </c>
      <c r="O10206" s="149">
        <f t="shared" ca="1" si="330"/>
        <v>1.000173611111111</v>
      </c>
    </row>
    <row r="10207" spans="12:15" x14ac:dyDescent="0.25">
      <c r="L10207" s="147">
        <f ca="1"/>
        <v>55446</v>
      </c>
      <c r="M10207" s="92">
        <f t="shared" ca="1" si="329"/>
        <v>6.25</v>
      </c>
      <c r="N10207" s="143">
        <f ca="1">(PRODUCT($O$5:$O10207)-1)*36000/_xlfn.DAYS(L10207, $C$2)</f>
        <v>18.651883429854351</v>
      </c>
      <c r="O10207" s="149">
        <f t="shared" ca="1" si="330"/>
        <v>1.000173611111111</v>
      </c>
    </row>
    <row r="10208" spans="12:15" x14ac:dyDescent="0.25">
      <c r="L10208" s="147">
        <f ca="1"/>
        <v>55447</v>
      </c>
      <c r="M10208" s="92">
        <f t="shared" ca="1" si="329"/>
        <v>6.25</v>
      </c>
      <c r="N10208" s="143">
        <f ca="1">(PRODUCT($O$5:$O10208)-1)*36000/_xlfn.DAYS(L10208, $C$2)</f>
        <v>18.653905892418031</v>
      </c>
      <c r="O10208" s="149">
        <f t="shared" ca="1" si="330"/>
        <v>1.000173611111111</v>
      </c>
    </row>
    <row r="10209" spans="12:15" x14ac:dyDescent="0.25">
      <c r="L10209" s="147">
        <f ca="1"/>
        <v>55448</v>
      </c>
      <c r="M10209" s="92">
        <f t="shared" ca="1" si="329"/>
        <v>6.25</v>
      </c>
      <c r="N10209" s="143">
        <f ca="1">(PRODUCT($O$5:$O10209)-1)*36000/_xlfn.DAYS(L10209, $C$2)</f>
        <v>18.655928627014802</v>
      </c>
      <c r="O10209" s="149">
        <f t="shared" ca="1" si="330"/>
        <v>1.000173611111111</v>
      </c>
    </row>
    <row r="10210" spans="12:15" x14ac:dyDescent="0.25">
      <c r="L10210" s="147">
        <f ca="1"/>
        <v>55449</v>
      </c>
      <c r="M10210" s="92">
        <f t="shared" ca="1" si="329"/>
        <v>6.25</v>
      </c>
      <c r="N10210" s="143">
        <f ca="1">(PRODUCT($O$5:$O10210)-1)*36000/_xlfn.DAYS(L10210, $C$2)</f>
        <v>18.657951633680728</v>
      </c>
      <c r="O10210" s="149">
        <f t="shared" ca="1" si="330"/>
        <v>1.000173611111111</v>
      </c>
    </row>
    <row r="10211" spans="12:15" x14ac:dyDescent="0.25">
      <c r="L10211" s="147">
        <f ca="1"/>
        <v>55450</v>
      </c>
      <c r="M10211" s="92">
        <f t="shared" ca="1" si="329"/>
        <v>6.25</v>
      </c>
      <c r="N10211" s="143">
        <f ca="1">(PRODUCT($O$5:$O10211)-1)*36000/_xlfn.DAYS(L10211, $C$2)</f>
        <v>18.659974912451887</v>
      </c>
      <c r="O10211" s="149">
        <f t="shared" ca="1" si="330"/>
        <v>1.000173611111111</v>
      </c>
    </row>
    <row r="10212" spans="12:15" x14ac:dyDescent="0.25">
      <c r="L10212" s="147">
        <f ca="1"/>
        <v>55451</v>
      </c>
      <c r="M10212" s="92">
        <f t="shared" ca="1" si="329"/>
        <v>6.25</v>
      </c>
      <c r="N10212" s="143">
        <f ca="1">(PRODUCT($O$5:$O10212)-1)*36000/_xlfn.DAYS(L10212, $C$2)</f>
        <v>18.661998463364363</v>
      </c>
      <c r="O10212" s="149">
        <f t="shared" ca="1" si="330"/>
        <v>1.000173611111111</v>
      </c>
    </row>
    <row r="10213" spans="12:15" x14ac:dyDescent="0.25">
      <c r="L10213" s="147">
        <f ca="1"/>
        <v>55452</v>
      </c>
      <c r="M10213" s="92">
        <f t="shared" ca="1" si="329"/>
        <v>6.25</v>
      </c>
      <c r="N10213" s="143">
        <f ca="1">(PRODUCT($O$5:$O10213)-1)*36000/_xlfn.DAYS(L10213, $C$2)</f>
        <v>18.66402228645423</v>
      </c>
      <c r="O10213" s="149">
        <f t="shared" ca="1" si="330"/>
        <v>1.000173611111111</v>
      </c>
    </row>
    <row r="10214" spans="12:15" x14ac:dyDescent="0.25">
      <c r="L10214" s="147">
        <f ca="1"/>
        <v>55453</v>
      </c>
      <c r="M10214" s="92">
        <f t="shared" ca="1" si="329"/>
        <v>6.25</v>
      </c>
      <c r="N10214" s="143">
        <f ca="1">(PRODUCT($O$5:$O10214)-1)*36000/_xlfn.DAYS(L10214, $C$2)</f>
        <v>18.666046381757589</v>
      </c>
      <c r="O10214" s="149">
        <f t="shared" ca="1" si="330"/>
        <v>1.000173611111111</v>
      </c>
    </row>
    <row r="10215" spans="12:15" x14ac:dyDescent="0.25">
      <c r="L10215" s="147">
        <f ca="1"/>
        <v>55454</v>
      </c>
      <c r="M10215" s="92">
        <f t="shared" ca="1" si="329"/>
        <v>6.25</v>
      </c>
      <c r="N10215" s="143">
        <f ca="1">(PRODUCT($O$5:$O10215)-1)*36000/_xlfn.DAYS(L10215, $C$2)</f>
        <v>18.668070749310534</v>
      </c>
      <c r="O10215" s="149">
        <f t="shared" ca="1" si="330"/>
        <v>1.000173611111111</v>
      </c>
    </row>
    <row r="10216" spans="12:15" x14ac:dyDescent="0.25">
      <c r="L10216" s="147">
        <f ca="1"/>
        <v>55455</v>
      </c>
      <c r="M10216" s="92">
        <f t="shared" ca="1" si="329"/>
        <v>6.25</v>
      </c>
      <c r="N10216" s="143">
        <f ca="1">(PRODUCT($O$5:$O10216)-1)*36000/_xlfn.DAYS(L10216, $C$2)</f>
        <v>18.670095389149168</v>
      </c>
      <c r="O10216" s="149">
        <f t="shared" ca="1" si="330"/>
        <v>1.000173611111111</v>
      </c>
    </row>
    <row r="10217" spans="12:15" x14ac:dyDescent="0.25">
      <c r="L10217" s="147">
        <f ca="1"/>
        <v>55456</v>
      </c>
      <c r="M10217" s="92">
        <f t="shared" ca="1" si="329"/>
        <v>6.25</v>
      </c>
      <c r="N10217" s="143">
        <f ca="1">(PRODUCT($O$5:$O10217)-1)*36000/_xlfn.DAYS(L10217, $C$2)</f>
        <v>18.672120301309601</v>
      </c>
      <c r="O10217" s="149">
        <f t="shared" ca="1" si="330"/>
        <v>1.000173611111111</v>
      </c>
    </row>
    <row r="10218" spans="12:15" x14ac:dyDescent="0.25">
      <c r="L10218" s="147">
        <f ca="1"/>
        <v>55457</v>
      </c>
      <c r="M10218" s="92">
        <f t="shared" ca="1" si="329"/>
        <v>6.25</v>
      </c>
      <c r="N10218" s="143">
        <f ca="1">(PRODUCT($O$5:$O10218)-1)*36000/_xlfn.DAYS(L10218, $C$2)</f>
        <v>18.674145485827953</v>
      </c>
      <c r="O10218" s="149">
        <f t="shared" ca="1" si="330"/>
        <v>1.000173611111111</v>
      </c>
    </row>
    <row r="10219" spans="12:15" x14ac:dyDescent="0.25">
      <c r="L10219" s="147">
        <f ca="1"/>
        <v>55458</v>
      </c>
      <c r="M10219" s="92">
        <f t="shared" ca="1" si="329"/>
        <v>6.25</v>
      </c>
      <c r="N10219" s="143">
        <f ca="1">(PRODUCT($O$5:$O10219)-1)*36000/_xlfn.DAYS(L10219, $C$2)</f>
        <v>18.676170942740338</v>
      </c>
      <c r="O10219" s="149">
        <f t="shared" ca="1" si="330"/>
        <v>1.000173611111111</v>
      </c>
    </row>
    <row r="10220" spans="12:15" x14ac:dyDescent="0.25">
      <c r="L10220" s="147">
        <f ca="1"/>
        <v>55459</v>
      </c>
      <c r="M10220" s="92">
        <f t="shared" ca="1" si="329"/>
        <v>6.25</v>
      </c>
      <c r="N10220" s="143">
        <f ca="1">(PRODUCT($O$5:$O10220)-1)*36000/_xlfn.DAYS(L10220, $C$2)</f>
        <v>18.67819667208289</v>
      </c>
      <c r="O10220" s="149">
        <f t="shared" ca="1" si="330"/>
        <v>1.000173611111111</v>
      </c>
    </row>
    <row r="10221" spans="12:15" x14ac:dyDescent="0.25">
      <c r="L10221" s="147">
        <f ca="1"/>
        <v>55460</v>
      </c>
      <c r="M10221" s="92">
        <f t="shared" ca="1" si="329"/>
        <v>6.25</v>
      </c>
      <c r="N10221" s="143">
        <f ca="1">(PRODUCT($O$5:$O10221)-1)*36000/_xlfn.DAYS(L10221, $C$2)</f>
        <v>18.680222673891738</v>
      </c>
      <c r="O10221" s="149">
        <f t="shared" ca="1" si="330"/>
        <v>1.000173611111111</v>
      </c>
    </row>
    <row r="10222" spans="12:15" x14ac:dyDescent="0.25">
      <c r="L10222" s="147">
        <f ca="1"/>
        <v>55461</v>
      </c>
      <c r="M10222" s="92">
        <f t="shared" ca="1" si="329"/>
        <v>6.25</v>
      </c>
      <c r="N10222" s="143">
        <f ca="1">(PRODUCT($O$5:$O10222)-1)*36000/_xlfn.DAYS(L10222, $C$2)</f>
        <v>18.682248948203025</v>
      </c>
      <c r="O10222" s="149">
        <f t="shared" ca="1" si="330"/>
        <v>1.000173611111111</v>
      </c>
    </row>
    <row r="10223" spans="12:15" x14ac:dyDescent="0.25">
      <c r="L10223" s="147">
        <f ca="1"/>
        <v>55462</v>
      </c>
      <c r="M10223" s="92">
        <f t="shared" ca="1" si="329"/>
        <v>6.25</v>
      </c>
      <c r="N10223" s="143">
        <f ca="1">(PRODUCT($O$5:$O10223)-1)*36000/_xlfn.DAYS(L10223, $C$2)</f>
        <v>18.684275495052901</v>
      </c>
      <c r="O10223" s="149">
        <f t="shared" ca="1" si="330"/>
        <v>1.000173611111111</v>
      </c>
    </row>
    <row r="10224" spans="12:15" x14ac:dyDescent="0.25">
      <c r="L10224" s="147">
        <f ca="1"/>
        <v>55463</v>
      </c>
      <c r="M10224" s="92">
        <f t="shared" ca="1" si="329"/>
        <v>6.25</v>
      </c>
      <c r="N10224" s="143">
        <f ca="1">(PRODUCT($O$5:$O10224)-1)*36000/_xlfn.DAYS(L10224, $C$2)</f>
        <v>18.686302314477508</v>
      </c>
      <c r="O10224" s="149">
        <f t="shared" ca="1" si="330"/>
        <v>1.000173611111111</v>
      </c>
    </row>
    <row r="10225" spans="12:15" x14ac:dyDescent="0.25">
      <c r="L10225" s="147">
        <f ca="1"/>
        <v>55464</v>
      </c>
      <c r="M10225" s="92">
        <f t="shared" ca="1" si="329"/>
        <v>6.25</v>
      </c>
      <c r="N10225" s="143">
        <f ca="1">(PRODUCT($O$5:$O10225)-1)*36000/_xlfn.DAYS(L10225, $C$2)</f>
        <v>18.688329406513013</v>
      </c>
      <c r="O10225" s="149">
        <f t="shared" ca="1" si="330"/>
        <v>1.000173611111111</v>
      </c>
    </row>
    <row r="10226" spans="12:15" x14ac:dyDescent="0.25">
      <c r="L10226" s="147">
        <f ca="1"/>
        <v>55465</v>
      </c>
      <c r="M10226" s="92">
        <f t="shared" ca="1" si="329"/>
        <v>6.25</v>
      </c>
      <c r="N10226" s="143">
        <f ca="1">(PRODUCT($O$5:$O10226)-1)*36000/_xlfn.DAYS(L10226, $C$2)</f>
        <v>18.690356771195571</v>
      </c>
      <c r="O10226" s="149">
        <f t="shared" ca="1" si="330"/>
        <v>1.000173611111111</v>
      </c>
    </row>
    <row r="10227" spans="12:15" x14ac:dyDescent="0.25">
      <c r="L10227" s="147">
        <f ca="1"/>
        <v>55466</v>
      </c>
      <c r="M10227" s="92">
        <f t="shared" ca="1" si="329"/>
        <v>6.25</v>
      </c>
      <c r="N10227" s="143">
        <f ca="1">(PRODUCT($O$5:$O10227)-1)*36000/_xlfn.DAYS(L10227, $C$2)</f>
        <v>18.69238440856136</v>
      </c>
      <c r="O10227" s="149">
        <f t="shared" ca="1" si="330"/>
        <v>1.000173611111111</v>
      </c>
    </row>
    <row r="10228" spans="12:15" x14ac:dyDescent="0.25">
      <c r="L10228" s="147">
        <f ca="1"/>
        <v>55467</v>
      </c>
      <c r="M10228" s="92">
        <f t="shared" ca="1" si="329"/>
        <v>6.25</v>
      </c>
      <c r="N10228" s="143">
        <f ca="1">(PRODUCT($O$5:$O10228)-1)*36000/_xlfn.DAYS(L10228, $C$2)</f>
        <v>18.694412318646553</v>
      </c>
      <c r="O10228" s="149">
        <f t="shared" ca="1" si="330"/>
        <v>1.000173611111111</v>
      </c>
    </row>
    <row r="10229" spans="12:15" x14ac:dyDescent="0.25">
      <c r="L10229" s="147">
        <f ca="1"/>
        <v>55468</v>
      </c>
      <c r="M10229" s="92">
        <f t="shared" ca="1" si="329"/>
        <v>6.25</v>
      </c>
      <c r="N10229" s="143">
        <f ca="1">(PRODUCT($O$5:$O10229)-1)*36000/_xlfn.DAYS(L10229, $C$2)</f>
        <v>18.696440501487327</v>
      </c>
      <c r="O10229" s="149">
        <f t="shared" ca="1" si="330"/>
        <v>1.000173611111111</v>
      </c>
    </row>
    <row r="10230" spans="12:15" x14ac:dyDescent="0.25">
      <c r="L10230" s="147">
        <f ca="1"/>
        <v>55469</v>
      </c>
      <c r="M10230" s="92">
        <f t="shared" ca="1" si="329"/>
        <v>6.25</v>
      </c>
      <c r="N10230" s="143">
        <f ca="1">(PRODUCT($O$5:$O10230)-1)*36000/_xlfn.DAYS(L10230, $C$2)</f>
        <v>18.698468957119875</v>
      </c>
      <c r="O10230" s="149">
        <f t="shared" ca="1" si="330"/>
        <v>1.000173611111111</v>
      </c>
    </row>
    <row r="10231" spans="12:15" x14ac:dyDescent="0.25">
      <c r="L10231" s="147">
        <f ca="1"/>
        <v>55470</v>
      </c>
      <c r="M10231" s="92">
        <f t="shared" ca="1" si="329"/>
        <v>6.25</v>
      </c>
      <c r="N10231" s="143">
        <f ca="1">(PRODUCT($O$5:$O10231)-1)*36000/_xlfn.DAYS(L10231, $C$2)</f>
        <v>18.700497685580391</v>
      </c>
      <c r="O10231" s="149">
        <f t="shared" ca="1" si="330"/>
        <v>1.000173611111111</v>
      </c>
    </row>
    <row r="10232" spans="12:15" x14ac:dyDescent="0.25">
      <c r="L10232" s="147">
        <f ca="1"/>
        <v>55471</v>
      </c>
      <c r="M10232" s="92">
        <f t="shared" ca="1" si="329"/>
        <v>6.25</v>
      </c>
      <c r="N10232" s="143">
        <f ca="1">(PRODUCT($O$5:$O10232)-1)*36000/_xlfn.DAYS(L10232, $C$2)</f>
        <v>18.702526686905074</v>
      </c>
      <c r="O10232" s="149">
        <f t="shared" ca="1" si="330"/>
        <v>1.000173611111111</v>
      </c>
    </row>
    <row r="10233" spans="12:15" x14ac:dyDescent="0.25">
      <c r="L10233" s="147">
        <f ca="1"/>
        <v>55472</v>
      </c>
      <c r="M10233" s="92">
        <f t="shared" ca="1" si="329"/>
        <v>6.25</v>
      </c>
      <c r="N10233" s="143">
        <f ca="1">(PRODUCT($O$5:$O10233)-1)*36000/_xlfn.DAYS(L10233, $C$2)</f>
        <v>18.704555961130126</v>
      </c>
      <c r="O10233" s="149">
        <f t="shared" ca="1" si="330"/>
        <v>1.000173611111111</v>
      </c>
    </row>
    <row r="10234" spans="12:15" x14ac:dyDescent="0.25">
      <c r="L10234" s="147">
        <f ca="1"/>
        <v>55473</v>
      </c>
      <c r="M10234" s="92">
        <f t="shared" ca="1" si="329"/>
        <v>6.25</v>
      </c>
      <c r="N10234" s="143">
        <f ca="1">(PRODUCT($O$5:$O10234)-1)*36000/_xlfn.DAYS(L10234, $C$2)</f>
        <v>18.706585508291766</v>
      </c>
      <c r="O10234" s="149">
        <f t="shared" ca="1" si="330"/>
        <v>1.000173611111111</v>
      </c>
    </row>
    <row r="10235" spans="12:15" x14ac:dyDescent="0.25">
      <c r="L10235" s="147">
        <f ca="1"/>
        <v>55474</v>
      </c>
      <c r="M10235" s="92">
        <f t="shared" ca="1" si="329"/>
        <v>6.25</v>
      </c>
      <c r="N10235" s="143">
        <f ca="1">(PRODUCT($O$5:$O10235)-1)*36000/_xlfn.DAYS(L10235, $C$2)</f>
        <v>18.708615328426209</v>
      </c>
      <c r="O10235" s="149">
        <f t="shared" ca="1" si="330"/>
        <v>1.000173611111111</v>
      </c>
    </row>
    <row r="10236" spans="12:15" x14ac:dyDescent="0.25">
      <c r="L10236" s="147">
        <f ca="1"/>
        <v>55475</v>
      </c>
      <c r="M10236" s="92">
        <f t="shared" ca="1" si="329"/>
        <v>6.25</v>
      </c>
      <c r="N10236" s="143">
        <f ca="1">(PRODUCT($O$5:$O10236)-1)*36000/_xlfn.DAYS(L10236, $C$2)</f>
        <v>18.71064542156968</v>
      </c>
      <c r="O10236" s="149">
        <f t="shared" ca="1" si="330"/>
        <v>1.000173611111111</v>
      </c>
    </row>
    <row r="10237" spans="12:15" x14ac:dyDescent="0.25">
      <c r="L10237" s="147">
        <f ca="1"/>
        <v>55476</v>
      </c>
      <c r="M10237" s="92">
        <f t="shared" ca="1" si="329"/>
        <v>6.25</v>
      </c>
      <c r="N10237" s="143">
        <f ca="1">(PRODUCT($O$5:$O10237)-1)*36000/_xlfn.DAYS(L10237, $C$2)</f>
        <v>18.712675787758403</v>
      </c>
      <c r="O10237" s="149">
        <f t="shared" ca="1" si="330"/>
        <v>1.000173611111111</v>
      </c>
    </row>
    <row r="10238" spans="12:15" x14ac:dyDescent="0.25">
      <c r="L10238" s="147">
        <f ca="1"/>
        <v>55477</v>
      </c>
      <c r="M10238" s="92">
        <f t="shared" ca="1" si="329"/>
        <v>6.25</v>
      </c>
      <c r="N10238" s="143">
        <f ca="1">(PRODUCT($O$5:$O10238)-1)*36000/_xlfn.DAYS(L10238, $C$2)</f>
        <v>18.71470642702862</v>
      </c>
      <c r="O10238" s="149">
        <f t="shared" ca="1" si="330"/>
        <v>1.000173611111111</v>
      </c>
    </row>
    <row r="10239" spans="12:15" x14ac:dyDescent="0.25">
      <c r="L10239" s="147">
        <f ca="1"/>
        <v>55478</v>
      </c>
      <c r="M10239" s="92">
        <f t="shared" ca="1" si="329"/>
        <v>6.25</v>
      </c>
      <c r="N10239" s="143">
        <f ca="1">(PRODUCT($O$5:$O10239)-1)*36000/_xlfn.DAYS(L10239, $C$2)</f>
        <v>18.716737339416575</v>
      </c>
      <c r="O10239" s="149">
        <f t="shared" ca="1" si="330"/>
        <v>1.000173611111111</v>
      </c>
    </row>
    <row r="10240" spans="12:15" x14ac:dyDescent="0.25">
      <c r="L10240" s="147">
        <f ca="1"/>
        <v>55479</v>
      </c>
      <c r="M10240" s="92">
        <f t="shared" ca="1" si="329"/>
        <v>6.25</v>
      </c>
      <c r="N10240" s="143">
        <f ca="1">(PRODUCT($O$5:$O10240)-1)*36000/_xlfn.DAYS(L10240, $C$2)</f>
        <v>18.718768524958513</v>
      </c>
      <c r="O10240" s="149">
        <f t="shared" ca="1" si="330"/>
        <v>1.000173611111111</v>
      </c>
    </row>
    <row r="10241" spans="12:15" x14ac:dyDescent="0.25">
      <c r="L10241" s="147">
        <f ca="1"/>
        <v>55480</v>
      </c>
      <c r="M10241" s="92">
        <f t="shared" ca="1" si="329"/>
        <v>6.25</v>
      </c>
      <c r="N10241" s="143">
        <f ca="1">(PRODUCT($O$5:$O10241)-1)*36000/_xlfn.DAYS(L10241, $C$2)</f>
        <v>18.720799983690686</v>
      </c>
      <c r="O10241" s="149">
        <f t="shared" ca="1" si="330"/>
        <v>1.000173611111111</v>
      </c>
    </row>
    <row r="10242" spans="12:15" x14ac:dyDescent="0.25">
      <c r="L10242" s="147">
        <f ca="1"/>
        <v>55481</v>
      </c>
      <c r="M10242" s="92">
        <f t="shared" ca="1" si="329"/>
        <v>6.25</v>
      </c>
      <c r="N10242" s="143">
        <f ca="1">(PRODUCT($O$5:$O10242)-1)*36000/_xlfn.DAYS(L10242, $C$2)</f>
        <v>18.722831715649352</v>
      </c>
      <c r="O10242" s="149">
        <f t="shared" ca="1" si="330"/>
        <v>1.000173611111111</v>
      </c>
    </row>
    <row r="10243" spans="12:15" x14ac:dyDescent="0.25">
      <c r="L10243" s="147">
        <f ca="1"/>
        <v>55482</v>
      </c>
      <c r="M10243" s="92">
        <f t="shared" ca="1" si="329"/>
        <v>6.25</v>
      </c>
      <c r="N10243" s="143">
        <f ca="1">(PRODUCT($O$5:$O10243)-1)*36000/_xlfn.DAYS(L10243, $C$2)</f>
        <v>18.724863720870786</v>
      </c>
      <c r="O10243" s="149">
        <f t="shared" ca="1" si="330"/>
        <v>1.000173611111111</v>
      </c>
    </row>
    <row r="10244" spans="12:15" x14ac:dyDescent="0.25">
      <c r="L10244" s="147">
        <f ca="1"/>
        <v>55483</v>
      </c>
      <c r="M10244" s="92">
        <f t="shared" ca="1" si="329"/>
        <v>6.25</v>
      </c>
      <c r="N10244" s="143">
        <f ca="1">(PRODUCT($O$5:$O10244)-1)*36000/_xlfn.DAYS(L10244, $C$2)</f>
        <v>18.726895999391253</v>
      </c>
      <c r="O10244" s="149">
        <f t="shared" ca="1" si="330"/>
        <v>1.000173611111111</v>
      </c>
    </row>
    <row r="10245" spans="12:15" x14ac:dyDescent="0.25">
      <c r="L10245" s="147">
        <f ca="1"/>
        <v>55484</v>
      </c>
      <c r="M10245" s="92">
        <f t="shared" ref="M10245:M10308" ca="1" si="331">IFERROR(INDEX($E$27:$H$47, MATCH(L10245, $F$27:$F$47, 0), 4), IF(ISNUMBER(M10244), M10244, $C$5))</f>
        <v>6.25</v>
      </c>
      <c r="N10245" s="143">
        <f ca="1">(PRODUCT($O$5:$O10245)-1)*36000/_xlfn.DAYS(L10245, $C$2)</f>
        <v>18.728928551247037</v>
      </c>
      <c r="O10245" s="149">
        <f t="shared" ca="1" si="330"/>
        <v>1.000173611111111</v>
      </c>
    </row>
    <row r="10246" spans="12:15" x14ac:dyDescent="0.25">
      <c r="L10246" s="147">
        <f ca="1"/>
        <v>55485</v>
      </c>
      <c r="M10246" s="92">
        <f t="shared" ca="1" si="331"/>
        <v>6.25</v>
      </c>
      <c r="N10246" s="143">
        <f ca="1">(PRODUCT($O$5:$O10246)-1)*36000/_xlfn.DAYS(L10246, $C$2)</f>
        <v>18.730961376474419</v>
      </c>
      <c r="O10246" s="149">
        <f t="shared" ref="O10246:O10309" ca="1" si="332">1+M10246*IFERROR(_xlfn.DAYS(L10246, L10245), _xlfn.DAYS(L10246, $C$2))/36000</f>
        <v>1.000173611111111</v>
      </c>
    </row>
    <row r="10247" spans="12:15" x14ac:dyDescent="0.25">
      <c r="L10247" s="147">
        <f ca="1"/>
        <v>55486</v>
      </c>
      <c r="M10247" s="92">
        <f t="shared" ca="1" si="331"/>
        <v>6.25</v>
      </c>
      <c r="N10247" s="143">
        <f ca="1">(PRODUCT($O$5:$O10247)-1)*36000/_xlfn.DAYS(L10247, $C$2)</f>
        <v>18.732994475109685</v>
      </c>
      <c r="O10247" s="149">
        <f t="shared" ca="1" si="332"/>
        <v>1.000173611111111</v>
      </c>
    </row>
    <row r="10248" spans="12:15" x14ac:dyDescent="0.25">
      <c r="L10248" s="147">
        <f ca="1"/>
        <v>55487</v>
      </c>
      <c r="M10248" s="92">
        <f t="shared" ca="1" si="331"/>
        <v>6.25</v>
      </c>
      <c r="N10248" s="143">
        <f ca="1">(PRODUCT($O$5:$O10248)-1)*36000/_xlfn.DAYS(L10248, $C$2)</f>
        <v>18.735027847189137</v>
      </c>
      <c r="O10248" s="149">
        <f t="shared" ca="1" si="332"/>
        <v>1.000173611111111</v>
      </c>
    </row>
    <row r="10249" spans="12:15" x14ac:dyDescent="0.25">
      <c r="L10249" s="147">
        <f ca="1"/>
        <v>55488</v>
      </c>
      <c r="M10249" s="92">
        <f t="shared" ca="1" si="331"/>
        <v>6.25</v>
      </c>
      <c r="N10249" s="143">
        <f ca="1">(PRODUCT($O$5:$O10249)-1)*36000/_xlfn.DAYS(L10249, $C$2)</f>
        <v>18.737061492749074</v>
      </c>
      <c r="O10249" s="149">
        <f t="shared" ca="1" si="332"/>
        <v>1.000173611111111</v>
      </c>
    </row>
    <row r="10250" spans="12:15" x14ac:dyDescent="0.25">
      <c r="L10250" s="147">
        <f ca="1"/>
        <v>55489</v>
      </c>
      <c r="M10250" s="92">
        <f t="shared" ca="1" si="331"/>
        <v>6.25</v>
      </c>
      <c r="N10250" s="143">
        <f ca="1">(PRODUCT($O$5:$O10250)-1)*36000/_xlfn.DAYS(L10250, $C$2)</f>
        <v>18.739095411825812</v>
      </c>
      <c r="O10250" s="149">
        <f t="shared" ca="1" si="332"/>
        <v>1.000173611111111</v>
      </c>
    </row>
    <row r="10251" spans="12:15" x14ac:dyDescent="0.25">
      <c r="L10251" s="147">
        <f ca="1"/>
        <v>55490</v>
      </c>
      <c r="M10251" s="92">
        <f t="shared" ca="1" si="331"/>
        <v>6.25</v>
      </c>
      <c r="N10251" s="143">
        <f ca="1">(PRODUCT($O$5:$O10251)-1)*36000/_xlfn.DAYS(L10251, $C$2)</f>
        <v>18.741129604455654</v>
      </c>
      <c r="O10251" s="149">
        <f t="shared" ca="1" si="332"/>
        <v>1.000173611111111</v>
      </c>
    </row>
    <row r="10252" spans="12:15" x14ac:dyDescent="0.25">
      <c r="L10252" s="147">
        <f ca="1"/>
        <v>55491</v>
      </c>
      <c r="M10252" s="92">
        <f t="shared" ca="1" si="331"/>
        <v>6.25</v>
      </c>
      <c r="N10252" s="143">
        <f ca="1">(PRODUCT($O$5:$O10252)-1)*36000/_xlfn.DAYS(L10252, $C$2)</f>
        <v>18.743164070674929</v>
      </c>
      <c r="O10252" s="149">
        <f t="shared" ca="1" si="332"/>
        <v>1.000173611111111</v>
      </c>
    </row>
    <row r="10253" spans="12:15" x14ac:dyDescent="0.25">
      <c r="L10253" s="147">
        <f ca="1"/>
        <v>55492</v>
      </c>
      <c r="M10253" s="92">
        <f t="shared" ca="1" si="331"/>
        <v>6.25</v>
      </c>
      <c r="N10253" s="143">
        <f ca="1">(PRODUCT($O$5:$O10253)-1)*36000/_xlfn.DAYS(L10253, $C$2)</f>
        <v>18.745198810519959</v>
      </c>
      <c r="O10253" s="149">
        <f t="shared" ca="1" si="332"/>
        <v>1.000173611111111</v>
      </c>
    </row>
    <row r="10254" spans="12:15" x14ac:dyDescent="0.25">
      <c r="L10254" s="147">
        <f ca="1"/>
        <v>55493</v>
      </c>
      <c r="M10254" s="92">
        <f t="shared" ca="1" si="331"/>
        <v>6.25</v>
      </c>
      <c r="N10254" s="143">
        <f ca="1">(PRODUCT($O$5:$O10254)-1)*36000/_xlfn.DAYS(L10254, $C$2)</f>
        <v>18.747233824027077</v>
      </c>
      <c r="O10254" s="149">
        <f t="shared" ca="1" si="332"/>
        <v>1.000173611111111</v>
      </c>
    </row>
    <row r="10255" spans="12:15" x14ac:dyDescent="0.25">
      <c r="L10255" s="147">
        <f ca="1"/>
        <v>55494</v>
      </c>
      <c r="M10255" s="92">
        <f t="shared" ca="1" si="331"/>
        <v>6.25</v>
      </c>
      <c r="N10255" s="143">
        <f ca="1">(PRODUCT($O$5:$O10255)-1)*36000/_xlfn.DAYS(L10255, $C$2)</f>
        <v>18.749269111232625</v>
      </c>
      <c r="O10255" s="149">
        <f t="shared" ca="1" si="332"/>
        <v>1.000173611111111</v>
      </c>
    </row>
    <row r="10256" spans="12:15" x14ac:dyDescent="0.25">
      <c r="L10256" s="147">
        <f ca="1"/>
        <v>55495</v>
      </c>
      <c r="M10256" s="92">
        <f t="shared" ca="1" si="331"/>
        <v>6.25</v>
      </c>
      <c r="N10256" s="143">
        <f ca="1">(PRODUCT($O$5:$O10256)-1)*36000/_xlfn.DAYS(L10256, $C$2)</f>
        <v>18.751304672172939</v>
      </c>
      <c r="O10256" s="149">
        <f t="shared" ca="1" si="332"/>
        <v>1.000173611111111</v>
      </c>
    </row>
    <row r="10257" spans="12:15" x14ac:dyDescent="0.25">
      <c r="L10257" s="147">
        <f ca="1"/>
        <v>55496</v>
      </c>
      <c r="M10257" s="92">
        <f t="shared" ca="1" si="331"/>
        <v>6.25</v>
      </c>
      <c r="N10257" s="143">
        <f ca="1">(PRODUCT($O$5:$O10257)-1)*36000/_xlfn.DAYS(L10257, $C$2)</f>
        <v>18.753340506884381</v>
      </c>
      <c r="O10257" s="149">
        <f t="shared" ca="1" si="332"/>
        <v>1.000173611111111</v>
      </c>
    </row>
    <row r="10258" spans="12:15" x14ac:dyDescent="0.25">
      <c r="L10258" s="147">
        <f ca="1"/>
        <v>55497</v>
      </c>
      <c r="M10258" s="92">
        <f t="shared" ca="1" si="331"/>
        <v>6.25</v>
      </c>
      <c r="N10258" s="143">
        <f ca="1">(PRODUCT($O$5:$O10258)-1)*36000/_xlfn.DAYS(L10258, $C$2)</f>
        <v>18.7553766154033</v>
      </c>
      <c r="O10258" s="149">
        <f t="shared" ca="1" si="332"/>
        <v>1.000173611111111</v>
      </c>
    </row>
    <row r="10259" spans="12:15" x14ac:dyDescent="0.25">
      <c r="L10259" s="147">
        <f ca="1"/>
        <v>55498</v>
      </c>
      <c r="M10259" s="92">
        <f t="shared" ca="1" si="331"/>
        <v>6.25</v>
      </c>
      <c r="N10259" s="143">
        <f ca="1">(PRODUCT($O$5:$O10259)-1)*36000/_xlfn.DAYS(L10259, $C$2)</f>
        <v>18.757412997766064</v>
      </c>
      <c r="O10259" s="149">
        <f t="shared" ca="1" si="332"/>
        <v>1.000173611111111</v>
      </c>
    </row>
    <row r="10260" spans="12:15" x14ac:dyDescent="0.25">
      <c r="L10260" s="147">
        <f ca="1"/>
        <v>55499</v>
      </c>
      <c r="M10260" s="92">
        <f t="shared" ca="1" si="331"/>
        <v>6.25</v>
      </c>
      <c r="N10260" s="143">
        <f ca="1">(PRODUCT($O$5:$O10260)-1)*36000/_xlfn.DAYS(L10260, $C$2)</f>
        <v>18.759449654009035</v>
      </c>
      <c r="O10260" s="149">
        <f t="shared" ca="1" si="332"/>
        <v>1.000173611111111</v>
      </c>
    </row>
    <row r="10261" spans="12:15" x14ac:dyDescent="0.25">
      <c r="L10261" s="147">
        <f ca="1"/>
        <v>55500</v>
      </c>
      <c r="M10261" s="92">
        <f t="shared" ca="1" si="331"/>
        <v>6.25</v>
      </c>
      <c r="N10261" s="143">
        <f ca="1">(PRODUCT($O$5:$O10261)-1)*36000/_xlfn.DAYS(L10261, $C$2)</f>
        <v>18.761486584168598</v>
      </c>
      <c r="O10261" s="149">
        <f t="shared" ca="1" si="332"/>
        <v>1.000173611111111</v>
      </c>
    </row>
    <row r="10262" spans="12:15" x14ac:dyDescent="0.25">
      <c r="L10262" s="147">
        <f ca="1"/>
        <v>55501</v>
      </c>
      <c r="M10262" s="92">
        <f t="shared" ca="1" si="331"/>
        <v>6.25</v>
      </c>
      <c r="N10262" s="143">
        <f ca="1">(PRODUCT($O$5:$O10262)-1)*36000/_xlfn.DAYS(L10262, $C$2)</f>
        <v>18.76352378828112</v>
      </c>
      <c r="O10262" s="149">
        <f t="shared" ca="1" si="332"/>
        <v>1.000173611111111</v>
      </c>
    </row>
    <row r="10263" spans="12:15" x14ac:dyDescent="0.25">
      <c r="L10263" s="147">
        <f ca="1"/>
        <v>55502</v>
      </c>
      <c r="M10263" s="92">
        <f t="shared" ca="1" si="331"/>
        <v>6.25</v>
      </c>
      <c r="N10263" s="143">
        <f ca="1">(PRODUCT($O$5:$O10263)-1)*36000/_xlfn.DAYS(L10263, $C$2)</f>
        <v>18.765561266382992</v>
      </c>
      <c r="O10263" s="149">
        <f t="shared" ca="1" si="332"/>
        <v>1.000173611111111</v>
      </c>
    </row>
    <row r="10264" spans="12:15" x14ac:dyDescent="0.25">
      <c r="L10264" s="147">
        <f ca="1"/>
        <v>55503</v>
      </c>
      <c r="M10264" s="92">
        <f t="shared" ca="1" si="331"/>
        <v>6.25</v>
      </c>
      <c r="N10264" s="143">
        <f ca="1">(PRODUCT($O$5:$O10264)-1)*36000/_xlfn.DAYS(L10264, $C$2)</f>
        <v>18.767599018510616</v>
      </c>
      <c r="O10264" s="149">
        <f t="shared" ca="1" si="332"/>
        <v>1.000173611111111</v>
      </c>
    </row>
    <row r="10265" spans="12:15" x14ac:dyDescent="0.25">
      <c r="L10265" s="147">
        <f ca="1"/>
        <v>55504</v>
      </c>
      <c r="M10265" s="92">
        <f t="shared" ca="1" si="331"/>
        <v>6.25</v>
      </c>
      <c r="N10265" s="143">
        <f ca="1">(PRODUCT($O$5:$O10265)-1)*36000/_xlfn.DAYS(L10265, $C$2)</f>
        <v>18.769637044700385</v>
      </c>
      <c r="O10265" s="149">
        <f t="shared" ca="1" si="332"/>
        <v>1.000173611111111</v>
      </c>
    </row>
    <row r="10266" spans="12:15" x14ac:dyDescent="0.25">
      <c r="L10266" s="147">
        <f ca="1"/>
        <v>55505</v>
      </c>
      <c r="M10266" s="92">
        <f t="shared" ca="1" si="331"/>
        <v>6.25</v>
      </c>
      <c r="N10266" s="143">
        <f ca="1">(PRODUCT($O$5:$O10266)-1)*36000/_xlfn.DAYS(L10266, $C$2)</f>
        <v>18.771675344988701</v>
      </c>
      <c r="O10266" s="149">
        <f t="shared" ca="1" si="332"/>
        <v>1.000173611111111</v>
      </c>
    </row>
    <row r="10267" spans="12:15" x14ac:dyDescent="0.25">
      <c r="L10267" s="147">
        <f ca="1"/>
        <v>55506</v>
      </c>
      <c r="M10267" s="92">
        <f t="shared" ca="1" si="331"/>
        <v>6.25</v>
      </c>
      <c r="N10267" s="143">
        <f ca="1">(PRODUCT($O$5:$O10267)-1)*36000/_xlfn.DAYS(L10267, $C$2)</f>
        <v>18.773713919411975</v>
      </c>
      <c r="O10267" s="149">
        <f t="shared" ca="1" si="332"/>
        <v>1.000173611111111</v>
      </c>
    </row>
    <row r="10268" spans="12:15" x14ac:dyDescent="0.25">
      <c r="L10268" s="147">
        <f ca="1"/>
        <v>55507</v>
      </c>
      <c r="M10268" s="92">
        <f t="shared" ca="1" si="331"/>
        <v>6.25</v>
      </c>
      <c r="N10268" s="143">
        <f ca="1">(PRODUCT($O$5:$O10268)-1)*36000/_xlfn.DAYS(L10268, $C$2)</f>
        <v>18.77575276800663</v>
      </c>
      <c r="O10268" s="149">
        <f t="shared" ca="1" si="332"/>
        <v>1.000173611111111</v>
      </c>
    </row>
    <row r="10269" spans="12:15" x14ac:dyDescent="0.25">
      <c r="L10269" s="147">
        <f ca="1"/>
        <v>55508</v>
      </c>
      <c r="M10269" s="92">
        <f t="shared" ca="1" si="331"/>
        <v>6.25</v>
      </c>
      <c r="N10269" s="143">
        <f ca="1">(PRODUCT($O$5:$O10269)-1)*36000/_xlfn.DAYS(L10269, $C$2)</f>
        <v>18.77779189080908</v>
      </c>
      <c r="O10269" s="149">
        <f t="shared" ca="1" si="332"/>
        <v>1.000173611111111</v>
      </c>
    </row>
    <row r="10270" spans="12:15" x14ac:dyDescent="0.25">
      <c r="L10270" s="147">
        <f ca="1"/>
        <v>55509</v>
      </c>
      <c r="M10270" s="92">
        <f t="shared" ca="1" si="331"/>
        <v>6.25</v>
      </c>
      <c r="N10270" s="143">
        <f ca="1">(PRODUCT($O$5:$O10270)-1)*36000/_xlfn.DAYS(L10270, $C$2)</f>
        <v>18.779831287855764</v>
      </c>
      <c r="O10270" s="149">
        <f t="shared" ca="1" si="332"/>
        <v>1.000173611111111</v>
      </c>
    </row>
    <row r="10271" spans="12:15" x14ac:dyDescent="0.25">
      <c r="L10271" s="147">
        <f ca="1"/>
        <v>55510</v>
      </c>
      <c r="M10271" s="92">
        <f t="shared" ca="1" si="331"/>
        <v>6.25</v>
      </c>
      <c r="N10271" s="143">
        <f ca="1">(PRODUCT($O$5:$O10271)-1)*36000/_xlfn.DAYS(L10271, $C$2)</f>
        <v>18.781870959183113</v>
      </c>
      <c r="O10271" s="149">
        <f t="shared" ca="1" si="332"/>
        <v>1.000173611111111</v>
      </c>
    </row>
    <row r="10272" spans="12:15" x14ac:dyDescent="0.25">
      <c r="L10272" s="147">
        <f ca="1"/>
        <v>55511</v>
      </c>
      <c r="M10272" s="92">
        <f t="shared" ca="1" si="331"/>
        <v>6.25</v>
      </c>
      <c r="N10272" s="143">
        <f ca="1">(PRODUCT($O$5:$O10272)-1)*36000/_xlfn.DAYS(L10272, $C$2)</f>
        <v>18.783910904827565</v>
      </c>
      <c r="O10272" s="149">
        <f t="shared" ca="1" si="332"/>
        <v>1.000173611111111</v>
      </c>
    </row>
    <row r="10273" spans="12:15" x14ac:dyDescent="0.25">
      <c r="L10273" s="147">
        <f ca="1"/>
        <v>55512</v>
      </c>
      <c r="M10273" s="92">
        <f t="shared" ca="1" si="331"/>
        <v>6.25</v>
      </c>
      <c r="N10273" s="143">
        <f ca="1">(PRODUCT($O$5:$O10273)-1)*36000/_xlfn.DAYS(L10273, $C$2)</f>
        <v>18.785951124825569</v>
      </c>
      <c r="O10273" s="149">
        <f t="shared" ca="1" si="332"/>
        <v>1.000173611111111</v>
      </c>
    </row>
    <row r="10274" spans="12:15" x14ac:dyDescent="0.25">
      <c r="L10274" s="147">
        <f ca="1"/>
        <v>55513</v>
      </c>
      <c r="M10274" s="92">
        <f t="shared" ca="1" si="331"/>
        <v>6.25</v>
      </c>
      <c r="N10274" s="143">
        <f ca="1">(PRODUCT($O$5:$O10274)-1)*36000/_xlfn.DAYS(L10274, $C$2)</f>
        <v>18.787991619213582</v>
      </c>
      <c r="O10274" s="149">
        <f t="shared" ca="1" si="332"/>
        <v>1.000173611111111</v>
      </c>
    </row>
    <row r="10275" spans="12:15" x14ac:dyDescent="0.25">
      <c r="L10275" s="147">
        <f ca="1"/>
        <v>55514</v>
      </c>
      <c r="M10275" s="92">
        <f t="shared" ca="1" si="331"/>
        <v>6.25</v>
      </c>
      <c r="N10275" s="143">
        <f ca="1">(PRODUCT($O$5:$O10275)-1)*36000/_xlfn.DAYS(L10275, $C$2)</f>
        <v>18.790032388028063</v>
      </c>
      <c r="O10275" s="149">
        <f t="shared" ca="1" si="332"/>
        <v>1.000173611111111</v>
      </c>
    </row>
    <row r="10276" spans="12:15" x14ac:dyDescent="0.25">
      <c r="L10276" s="147">
        <f ca="1"/>
        <v>55515</v>
      </c>
      <c r="M10276" s="92">
        <f t="shared" ca="1" si="331"/>
        <v>6.25</v>
      </c>
      <c r="N10276" s="143">
        <f ca="1">(PRODUCT($O$5:$O10276)-1)*36000/_xlfn.DAYS(L10276, $C$2)</f>
        <v>18.792073431305468</v>
      </c>
      <c r="O10276" s="149">
        <f t="shared" ca="1" si="332"/>
        <v>1.000173611111111</v>
      </c>
    </row>
    <row r="10277" spans="12:15" x14ac:dyDescent="0.25">
      <c r="L10277" s="147">
        <f ca="1"/>
        <v>55516</v>
      </c>
      <c r="M10277" s="92">
        <f t="shared" ca="1" si="331"/>
        <v>6.25</v>
      </c>
      <c r="N10277" s="143">
        <f ca="1">(PRODUCT($O$5:$O10277)-1)*36000/_xlfn.DAYS(L10277, $C$2)</f>
        <v>18.794114749082276</v>
      </c>
      <c r="O10277" s="149">
        <f t="shared" ca="1" si="332"/>
        <v>1.000173611111111</v>
      </c>
    </row>
    <row r="10278" spans="12:15" x14ac:dyDescent="0.25">
      <c r="L10278" s="147">
        <f ca="1"/>
        <v>55517</v>
      </c>
      <c r="M10278" s="92">
        <f t="shared" ca="1" si="331"/>
        <v>6.25</v>
      </c>
      <c r="N10278" s="143">
        <f ca="1">(PRODUCT($O$5:$O10278)-1)*36000/_xlfn.DAYS(L10278, $C$2)</f>
        <v>18.796156341394969</v>
      </c>
      <c r="O10278" s="149">
        <f t="shared" ca="1" si="332"/>
        <v>1.000173611111111</v>
      </c>
    </row>
    <row r="10279" spans="12:15" x14ac:dyDescent="0.25">
      <c r="L10279" s="147">
        <f ca="1"/>
        <v>55518</v>
      </c>
      <c r="M10279" s="92">
        <f t="shared" ca="1" si="331"/>
        <v>6.25</v>
      </c>
      <c r="N10279" s="143">
        <f ca="1">(PRODUCT($O$5:$O10279)-1)*36000/_xlfn.DAYS(L10279, $C$2)</f>
        <v>18.79819820828002</v>
      </c>
      <c r="O10279" s="149">
        <f t="shared" ca="1" si="332"/>
        <v>1.000173611111111</v>
      </c>
    </row>
    <row r="10280" spans="12:15" x14ac:dyDescent="0.25">
      <c r="L10280" s="147">
        <f ca="1"/>
        <v>55519</v>
      </c>
      <c r="M10280" s="92">
        <f t="shared" ca="1" si="331"/>
        <v>6.25</v>
      </c>
      <c r="N10280" s="143">
        <f ca="1">(PRODUCT($O$5:$O10280)-1)*36000/_xlfn.DAYS(L10280, $C$2)</f>
        <v>18.800240349773922</v>
      </c>
      <c r="O10280" s="149">
        <f t="shared" ca="1" si="332"/>
        <v>1.000173611111111</v>
      </c>
    </row>
    <row r="10281" spans="12:15" x14ac:dyDescent="0.25">
      <c r="L10281" s="147">
        <f ca="1"/>
        <v>55520</v>
      </c>
      <c r="M10281" s="92">
        <f t="shared" ca="1" si="331"/>
        <v>6.25</v>
      </c>
      <c r="N10281" s="143">
        <f ca="1">(PRODUCT($O$5:$O10281)-1)*36000/_xlfn.DAYS(L10281, $C$2)</f>
        <v>18.802282765913176</v>
      </c>
      <c r="O10281" s="149">
        <f t="shared" ca="1" si="332"/>
        <v>1.000173611111111</v>
      </c>
    </row>
    <row r="10282" spans="12:15" x14ac:dyDescent="0.25">
      <c r="L10282" s="147">
        <f ca="1"/>
        <v>55521</v>
      </c>
      <c r="M10282" s="92">
        <f t="shared" ca="1" si="331"/>
        <v>6.25</v>
      </c>
      <c r="N10282" s="143">
        <f ca="1">(PRODUCT($O$5:$O10282)-1)*36000/_xlfn.DAYS(L10282, $C$2)</f>
        <v>18.804325456734279</v>
      </c>
      <c r="O10282" s="149">
        <f t="shared" ca="1" si="332"/>
        <v>1.000173611111111</v>
      </c>
    </row>
    <row r="10283" spans="12:15" x14ac:dyDescent="0.25">
      <c r="L10283" s="147">
        <f ca="1"/>
        <v>55522</v>
      </c>
      <c r="M10283" s="92">
        <f t="shared" ca="1" si="331"/>
        <v>6.25</v>
      </c>
      <c r="N10283" s="143">
        <f ca="1">(PRODUCT($O$5:$O10283)-1)*36000/_xlfn.DAYS(L10283, $C$2)</f>
        <v>18.806368422273739</v>
      </c>
      <c r="O10283" s="149">
        <f t="shared" ca="1" si="332"/>
        <v>1.000173611111111</v>
      </c>
    </row>
    <row r="10284" spans="12:15" x14ac:dyDescent="0.25">
      <c r="L10284" s="147">
        <f ca="1"/>
        <v>55523</v>
      </c>
      <c r="M10284" s="92">
        <f t="shared" ca="1" si="331"/>
        <v>6.25</v>
      </c>
      <c r="N10284" s="143">
        <f ca="1">(PRODUCT($O$5:$O10284)-1)*36000/_xlfn.DAYS(L10284, $C$2)</f>
        <v>18.808411662568069</v>
      </c>
      <c r="O10284" s="149">
        <f t="shared" ca="1" si="332"/>
        <v>1.000173611111111</v>
      </c>
    </row>
    <row r="10285" spans="12:15" x14ac:dyDescent="0.25">
      <c r="L10285" s="147">
        <f ca="1"/>
        <v>55524</v>
      </c>
      <c r="M10285" s="92">
        <f t="shared" ca="1" si="331"/>
        <v>6.25</v>
      </c>
      <c r="N10285" s="143">
        <f ca="1">(PRODUCT($O$5:$O10285)-1)*36000/_xlfn.DAYS(L10285, $C$2)</f>
        <v>18.81045517765379</v>
      </c>
      <c r="O10285" s="149">
        <f t="shared" ca="1" si="332"/>
        <v>1.000173611111111</v>
      </c>
    </row>
    <row r="10286" spans="12:15" x14ac:dyDescent="0.25">
      <c r="L10286" s="147">
        <f ca="1"/>
        <v>55525</v>
      </c>
      <c r="M10286" s="92">
        <f t="shared" ca="1" si="331"/>
        <v>6.25</v>
      </c>
      <c r="N10286" s="143">
        <f ca="1">(PRODUCT($O$5:$O10286)-1)*36000/_xlfn.DAYS(L10286, $C$2)</f>
        <v>18.812498967567429</v>
      </c>
      <c r="O10286" s="149">
        <f t="shared" ca="1" si="332"/>
        <v>1.000173611111111</v>
      </c>
    </row>
    <row r="10287" spans="12:15" x14ac:dyDescent="0.25">
      <c r="L10287" s="147">
        <f ca="1"/>
        <v>55526</v>
      </c>
      <c r="M10287" s="92">
        <f t="shared" ca="1" si="331"/>
        <v>6.25</v>
      </c>
      <c r="N10287" s="143">
        <f ca="1">(PRODUCT($O$5:$O10287)-1)*36000/_xlfn.DAYS(L10287, $C$2)</f>
        <v>18.814543032345512</v>
      </c>
      <c r="O10287" s="149">
        <f t="shared" ca="1" si="332"/>
        <v>1.000173611111111</v>
      </c>
    </row>
    <row r="10288" spans="12:15" x14ac:dyDescent="0.25">
      <c r="L10288" s="147">
        <f ca="1"/>
        <v>55527</v>
      </c>
      <c r="M10288" s="92">
        <f t="shared" ca="1" si="331"/>
        <v>6.25</v>
      </c>
      <c r="N10288" s="143">
        <f ca="1">(PRODUCT($O$5:$O10288)-1)*36000/_xlfn.DAYS(L10288, $C$2)</f>
        <v>18.816587372024586</v>
      </c>
      <c r="O10288" s="149">
        <f t="shared" ca="1" si="332"/>
        <v>1.000173611111111</v>
      </c>
    </row>
    <row r="10289" spans="12:15" x14ac:dyDescent="0.25">
      <c r="L10289" s="147">
        <f ca="1"/>
        <v>55528</v>
      </c>
      <c r="M10289" s="92">
        <f t="shared" ca="1" si="331"/>
        <v>6.25</v>
      </c>
      <c r="N10289" s="143">
        <f ca="1">(PRODUCT($O$5:$O10289)-1)*36000/_xlfn.DAYS(L10289, $C$2)</f>
        <v>18.818631986641194</v>
      </c>
      <c r="O10289" s="149">
        <f t="shared" ca="1" si="332"/>
        <v>1.000173611111111</v>
      </c>
    </row>
    <row r="10290" spans="12:15" x14ac:dyDescent="0.25">
      <c r="L10290" s="147">
        <f ca="1"/>
        <v>55529</v>
      </c>
      <c r="M10290" s="92">
        <f t="shared" ca="1" si="331"/>
        <v>6.25</v>
      </c>
      <c r="N10290" s="143">
        <f ca="1">(PRODUCT($O$5:$O10290)-1)*36000/_xlfn.DAYS(L10290, $C$2)</f>
        <v>18.820676876231872</v>
      </c>
      <c r="O10290" s="149">
        <f t="shared" ca="1" si="332"/>
        <v>1.000173611111111</v>
      </c>
    </row>
    <row r="10291" spans="12:15" x14ac:dyDescent="0.25">
      <c r="L10291" s="147">
        <f ca="1"/>
        <v>55530</v>
      </c>
      <c r="M10291" s="92">
        <f t="shared" ca="1" si="331"/>
        <v>6.25</v>
      </c>
      <c r="N10291" s="143">
        <f ca="1">(PRODUCT($O$5:$O10291)-1)*36000/_xlfn.DAYS(L10291, $C$2)</f>
        <v>18.822722040833192</v>
      </c>
      <c r="O10291" s="149">
        <f t="shared" ca="1" si="332"/>
        <v>1.000173611111111</v>
      </c>
    </row>
    <row r="10292" spans="12:15" x14ac:dyDescent="0.25">
      <c r="L10292" s="147">
        <f ca="1"/>
        <v>55531</v>
      </c>
      <c r="M10292" s="92">
        <f t="shared" ca="1" si="331"/>
        <v>6.25</v>
      </c>
      <c r="N10292" s="143">
        <f ca="1">(PRODUCT($O$5:$O10292)-1)*36000/_xlfn.DAYS(L10292, $C$2)</f>
        <v>18.824767480481711</v>
      </c>
      <c r="O10292" s="149">
        <f t="shared" ca="1" si="332"/>
        <v>1.000173611111111</v>
      </c>
    </row>
    <row r="10293" spans="12:15" x14ac:dyDescent="0.25">
      <c r="L10293" s="147">
        <f ca="1"/>
        <v>55532</v>
      </c>
      <c r="M10293" s="92">
        <f t="shared" ca="1" si="331"/>
        <v>6.25</v>
      </c>
      <c r="N10293" s="143">
        <f ca="1">(PRODUCT($O$5:$O10293)-1)*36000/_xlfn.DAYS(L10293, $C$2)</f>
        <v>18.826813195213994</v>
      </c>
      <c r="O10293" s="149">
        <f t="shared" ca="1" si="332"/>
        <v>1.000173611111111</v>
      </c>
    </row>
    <row r="10294" spans="12:15" x14ac:dyDescent="0.25">
      <c r="L10294" s="147">
        <f ca="1"/>
        <v>55533</v>
      </c>
      <c r="M10294" s="92">
        <f t="shared" ca="1" si="331"/>
        <v>6.25</v>
      </c>
      <c r="N10294" s="143">
        <f ca="1">(PRODUCT($O$5:$O10294)-1)*36000/_xlfn.DAYS(L10294, $C$2)</f>
        <v>18.828859185066623</v>
      </c>
      <c r="O10294" s="149">
        <f t="shared" ca="1" si="332"/>
        <v>1.000173611111111</v>
      </c>
    </row>
    <row r="10295" spans="12:15" x14ac:dyDescent="0.25">
      <c r="L10295" s="147">
        <f ca="1"/>
        <v>55534</v>
      </c>
      <c r="M10295" s="92">
        <f t="shared" ca="1" si="331"/>
        <v>6.25</v>
      </c>
      <c r="N10295" s="143">
        <f ca="1">(PRODUCT($O$5:$O10295)-1)*36000/_xlfn.DAYS(L10295, $C$2)</f>
        <v>18.830905450076166</v>
      </c>
      <c r="O10295" s="149">
        <f t="shared" ca="1" si="332"/>
        <v>1.000173611111111</v>
      </c>
    </row>
    <row r="10296" spans="12:15" x14ac:dyDescent="0.25">
      <c r="L10296" s="147">
        <f ca="1"/>
        <v>55535</v>
      </c>
      <c r="M10296" s="92">
        <f t="shared" ca="1" si="331"/>
        <v>6.25</v>
      </c>
      <c r="N10296" s="143">
        <f ca="1">(PRODUCT($O$5:$O10296)-1)*36000/_xlfn.DAYS(L10296, $C$2)</f>
        <v>18.83295199027922</v>
      </c>
      <c r="O10296" s="149">
        <f t="shared" ca="1" si="332"/>
        <v>1.000173611111111</v>
      </c>
    </row>
    <row r="10297" spans="12:15" x14ac:dyDescent="0.25">
      <c r="L10297" s="147">
        <f ca="1"/>
        <v>55536</v>
      </c>
      <c r="M10297" s="92">
        <f t="shared" ca="1" si="331"/>
        <v>6.25</v>
      </c>
      <c r="N10297" s="143">
        <f ca="1">(PRODUCT($O$5:$O10297)-1)*36000/_xlfn.DAYS(L10297, $C$2)</f>
        <v>18.834998805712374</v>
      </c>
      <c r="O10297" s="149">
        <f t="shared" ca="1" si="332"/>
        <v>1.000173611111111</v>
      </c>
    </row>
    <row r="10298" spans="12:15" x14ac:dyDescent="0.25">
      <c r="L10298" s="147">
        <f ca="1"/>
        <v>55537</v>
      </c>
      <c r="M10298" s="92">
        <f t="shared" ca="1" si="331"/>
        <v>6.25</v>
      </c>
      <c r="N10298" s="143">
        <f ca="1">(PRODUCT($O$5:$O10298)-1)*36000/_xlfn.DAYS(L10298, $C$2)</f>
        <v>18.837045896412224</v>
      </c>
      <c r="O10298" s="149">
        <f t="shared" ca="1" si="332"/>
        <v>1.000173611111111</v>
      </c>
    </row>
    <row r="10299" spans="12:15" x14ac:dyDescent="0.25">
      <c r="L10299" s="147">
        <f ca="1"/>
        <v>55538</v>
      </c>
      <c r="M10299" s="92">
        <f t="shared" ca="1" si="331"/>
        <v>6.25</v>
      </c>
      <c r="N10299" s="143">
        <f ca="1">(PRODUCT($O$5:$O10299)-1)*36000/_xlfn.DAYS(L10299, $C$2)</f>
        <v>18.839093262415378</v>
      </c>
      <c r="O10299" s="149">
        <f t="shared" ca="1" si="332"/>
        <v>1.000173611111111</v>
      </c>
    </row>
    <row r="10300" spans="12:15" x14ac:dyDescent="0.25">
      <c r="L10300" s="147">
        <f ca="1"/>
        <v>55539</v>
      </c>
      <c r="M10300" s="92">
        <f t="shared" ca="1" si="331"/>
        <v>6.25</v>
      </c>
      <c r="N10300" s="143">
        <f ca="1">(PRODUCT($O$5:$O10300)-1)*36000/_xlfn.DAYS(L10300, $C$2)</f>
        <v>18.841140903758443</v>
      </c>
      <c r="O10300" s="149">
        <f t="shared" ca="1" si="332"/>
        <v>1.000173611111111</v>
      </c>
    </row>
    <row r="10301" spans="12:15" x14ac:dyDescent="0.25">
      <c r="L10301" s="147">
        <f ca="1"/>
        <v>55540</v>
      </c>
      <c r="M10301" s="92">
        <f t="shared" ca="1" si="331"/>
        <v>6.25</v>
      </c>
      <c r="N10301" s="143">
        <f ca="1">(PRODUCT($O$5:$O10301)-1)*36000/_xlfn.DAYS(L10301, $C$2)</f>
        <v>18.843188820478041</v>
      </c>
      <c r="O10301" s="149">
        <f t="shared" ca="1" si="332"/>
        <v>1.000173611111111</v>
      </c>
    </row>
    <row r="10302" spans="12:15" x14ac:dyDescent="0.25">
      <c r="L10302" s="147">
        <f ca="1"/>
        <v>55541</v>
      </c>
      <c r="M10302" s="92">
        <f t="shared" ca="1" si="331"/>
        <v>6.25</v>
      </c>
      <c r="N10302" s="143">
        <f ca="1">(PRODUCT($O$5:$O10302)-1)*36000/_xlfn.DAYS(L10302, $C$2)</f>
        <v>18.845237012610788</v>
      </c>
      <c r="O10302" s="149">
        <f t="shared" ca="1" si="332"/>
        <v>1.000173611111111</v>
      </c>
    </row>
    <row r="10303" spans="12:15" x14ac:dyDescent="0.25">
      <c r="L10303" s="147">
        <f ca="1"/>
        <v>55542</v>
      </c>
      <c r="M10303" s="92">
        <f t="shared" ca="1" si="331"/>
        <v>6.25</v>
      </c>
      <c r="N10303" s="143">
        <f ca="1">(PRODUCT($O$5:$O10303)-1)*36000/_xlfn.DAYS(L10303, $C$2)</f>
        <v>18.847285480193321</v>
      </c>
      <c r="O10303" s="149">
        <f t="shared" ca="1" si="332"/>
        <v>1.000173611111111</v>
      </c>
    </row>
    <row r="10304" spans="12:15" x14ac:dyDescent="0.25">
      <c r="L10304" s="147">
        <f ca="1"/>
        <v>55543</v>
      </c>
      <c r="M10304" s="92">
        <f t="shared" ca="1" si="331"/>
        <v>6.25</v>
      </c>
      <c r="N10304" s="143">
        <f ca="1">(PRODUCT($O$5:$O10304)-1)*36000/_xlfn.DAYS(L10304, $C$2)</f>
        <v>18.849334223262268</v>
      </c>
      <c r="O10304" s="149">
        <f t="shared" ca="1" si="332"/>
        <v>1.000173611111111</v>
      </c>
    </row>
    <row r="10305" spans="12:15" x14ac:dyDescent="0.25">
      <c r="L10305" s="147">
        <f ca="1"/>
        <v>55544</v>
      </c>
      <c r="M10305" s="92">
        <f t="shared" ca="1" si="331"/>
        <v>6.25</v>
      </c>
      <c r="N10305" s="143">
        <f ca="1">(PRODUCT($O$5:$O10305)-1)*36000/_xlfn.DAYS(L10305, $C$2)</f>
        <v>18.851383241854275</v>
      </c>
      <c r="O10305" s="149">
        <f t="shared" ca="1" si="332"/>
        <v>1.000173611111111</v>
      </c>
    </row>
    <row r="10306" spans="12:15" x14ac:dyDescent="0.25">
      <c r="L10306" s="147">
        <f ca="1"/>
        <v>55545</v>
      </c>
      <c r="M10306" s="92">
        <f t="shared" ca="1" si="331"/>
        <v>6.25</v>
      </c>
      <c r="N10306" s="143">
        <f ca="1">(PRODUCT($O$5:$O10306)-1)*36000/_xlfn.DAYS(L10306, $C$2)</f>
        <v>18.853432536005979</v>
      </c>
      <c r="O10306" s="149">
        <f t="shared" ca="1" si="332"/>
        <v>1.000173611111111</v>
      </c>
    </row>
    <row r="10307" spans="12:15" x14ac:dyDescent="0.25">
      <c r="L10307" s="147">
        <f ca="1"/>
        <v>55546</v>
      </c>
      <c r="M10307" s="92">
        <f t="shared" ca="1" si="331"/>
        <v>6.25</v>
      </c>
      <c r="N10307" s="143">
        <f ca="1">(PRODUCT($O$5:$O10307)-1)*36000/_xlfn.DAYS(L10307, $C$2)</f>
        <v>18.855482105754046</v>
      </c>
      <c r="O10307" s="149">
        <f t="shared" ca="1" si="332"/>
        <v>1.000173611111111</v>
      </c>
    </row>
    <row r="10308" spans="12:15" x14ac:dyDescent="0.25">
      <c r="L10308" s="147">
        <f ca="1"/>
        <v>55547</v>
      </c>
      <c r="M10308" s="92">
        <f t="shared" ca="1" si="331"/>
        <v>6.25</v>
      </c>
      <c r="N10308" s="143">
        <f ca="1">(PRODUCT($O$5:$O10308)-1)*36000/_xlfn.DAYS(L10308, $C$2)</f>
        <v>18.857531951135126</v>
      </c>
      <c r="O10308" s="149">
        <f t="shared" ca="1" si="332"/>
        <v>1.000173611111111</v>
      </c>
    </row>
    <row r="10309" spans="12:15" x14ac:dyDescent="0.25">
      <c r="L10309" s="147">
        <f ca="1"/>
        <v>55548</v>
      </c>
      <c r="M10309" s="92">
        <f t="shared" ref="M10309:M10372" ca="1" si="333">IFERROR(INDEX($E$27:$H$47, MATCH(L10309, $F$27:$F$47, 0), 4), IF(ISNUMBER(M10308), M10308, $C$5))</f>
        <v>6.25</v>
      </c>
      <c r="N10309" s="143">
        <f ca="1">(PRODUCT($O$5:$O10309)-1)*36000/_xlfn.DAYS(L10309, $C$2)</f>
        <v>18.859582072185891</v>
      </c>
      <c r="O10309" s="149">
        <f t="shared" ca="1" si="332"/>
        <v>1.000173611111111</v>
      </c>
    </row>
    <row r="10310" spans="12:15" x14ac:dyDescent="0.25">
      <c r="L10310" s="147">
        <f ca="1"/>
        <v>55549</v>
      </c>
      <c r="M10310" s="92">
        <f t="shared" ca="1" si="333"/>
        <v>6.25</v>
      </c>
      <c r="N10310" s="143">
        <f ca="1">(PRODUCT($O$5:$O10310)-1)*36000/_xlfn.DAYS(L10310, $C$2)</f>
        <v>18.861632468943004</v>
      </c>
      <c r="O10310" s="149">
        <f t="shared" ref="O10310:O10373" ca="1" si="334">1+M10310*IFERROR(_xlfn.DAYS(L10310, L10309), _xlfn.DAYS(L10310, $C$2))/36000</f>
        <v>1.000173611111111</v>
      </c>
    </row>
    <row r="10311" spans="12:15" x14ac:dyDescent="0.25">
      <c r="L10311" s="147">
        <f ca="1"/>
        <v>55550</v>
      </c>
      <c r="M10311" s="92">
        <f t="shared" ca="1" si="333"/>
        <v>6.25</v>
      </c>
      <c r="N10311" s="143">
        <f ca="1">(PRODUCT($O$5:$O10311)-1)*36000/_xlfn.DAYS(L10311, $C$2)</f>
        <v>18.863683141443147</v>
      </c>
      <c r="O10311" s="149">
        <f t="shared" ca="1" si="334"/>
        <v>1.000173611111111</v>
      </c>
    </row>
    <row r="10312" spans="12:15" x14ac:dyDescent="0.25">
      <c r="L10312" s="147">
        <f ca="1"/>
        <v>55551</v>
      </c>
      <c r="M10312" s="92">
        <f t="shared" ca="1" si="333"/>
        <v>6.25</v>
      </c>
      <c r="N10312" s="143">
        <f ca="1">(PRODUCT($O$5:$O10312)-1)*36000/_xlfn.DAYS(L10312, $C$2)</f>
        <v>18.865734089723002</v>
      </c>
      <c r="O10312" s="149">
        <f t="shared" ca="1" si="334"/>
        <v>1.000173611111111</v>
      </c>
    </row>
    <row r="10313" spans="12:15" x14ac:dyDescent="0.25">
      <c r="L10313" s="147">
        <f ca="1"/>
        <v>55552</v>
      </c>
      <c r="M10313" s="92">
        <f t="shared" ca="1" si="333"/>
        <v>6.25</v>
      </c>
      <c r="N10313" s="143">
        <f ca="1">(PRODUCT($O$5:$O10313)-1)*36000/_xlfn.DAYS(L10313, $C$2)</f>
        <v>18.867785313819258</v>
      </c>
      <c r="O10313" s="149">
        <f t="shared" ca="1" si="334"/>
        <v>1.000173611111111</v>
      </c>
    </row>
    <row r="10314" spans="12:15" x14ac:dyDescent="0.25">
      <c r="L10314" s="147">
        <f ca="1"/>
        <v>55553</v>
      </c>
      <c r="M10314" s="92">
        <f t="shared" ca="1" si="333"/>
        <v>6.25</v>
      </c>
      <c r="N10314" s="143">
        <f ca="1">(PRODUCT($O$5:$O10314)-1)*36000/_xlfn.DAYS(L10314, $C$2)</f>
        <v>18.869836813768618</v>
      </c>
      <c r="O10314" s="149">
        <f t="shared" ca="1" si="334"/>
        <v>1.000173611111111</v>
      </c>
    </row>
    <row r="10315" spans="12:15" x14ac:dyDescent="0.25">
      <c r="L10315" s="147">
        <f ca="1"/>
        <v>55554</v>
      </c>
      <c r="M10315" s="92">
        <f t="shared" ca="1" si="333"/>
        <v>6.25</v>
      </c>
      <c r="N10315" s="143">
        <f ca="1">(PRODUCT($O$5:$O10315)-1)*36000/_xlfn.DAYS(L10315, $C$2)</f>
        <v>18.871888589607771</v>
      </c>
      <c r="O10315" s="149">
        <f t="shared" ca="1" si="334"/>
        <v>1.000173611111111</v>
      </c>
    </row>
    <row r="10316" spans="12:15" x14ac:dyDescent="0.25">
      <c r="L10316" s="147">
        <f ca="1"/>
        <v>55555</v>
      </c>
      <c r="M10316" s="92">
        <f t="shared" ca="1" si="333"/>
        <v>6.25</v>
      </c>
      <c r="N10316" s="143">
        <f ca="1">(PRODUCT($O$5:$O10316)-1)*36000/_xlfn.DAYS(L10316, $C$2)</f>
        <v>18.87394064137343</v>
      </c>
      <c r="O10316" s="149">
        <f t="shared" ca="1" si="334"/>
        <v>1.000173611111111</v>
      </c>
    </row>
    <row r="10317" spans="12:15" x14ac:dyDescent="0.25">
      <c r="L10317" s="147">
        <f ca="1"/>
        <v>55556</v>
      </c>
      <c r="M10317" s="92">
        <f t="shared" ca="1" si="333"/>
        <v>6.25</v>
      </c>
      <c r="N10317" s="143">
        <f ca="1">(PRODUCT($O$5:$O10317)-1)*36000/_xlfn.DAYS(L10317, $C$2)</f>
        <v>18.875992969102317</v>
      </c>
      <c r="O10317" s="149">
        <f t="shared" ca="1" si="334"/>
        <v>1.000173611111111</v>
      </c>
    </row>
    <row r="10318" spans="12:15" x14ac:dyDescent="0.25">
      <c r="L10318" s="147">
        <f ca="1"/>
        <v>55557</v>
      </c>
      <c r="M10318" s="92">
        <f t="shared" ca="1" si="333"/>
        <v>6.25</v>
      </c>
      <c r="N10318" s="143">
        <f ca="1">(PRODUCT($O$5:$O10318)-1)*36000/_xlfn.DAYS(L10318, $C$2)</f>
        <v>18.878045572831137</v>
      </c>
      <c r="O10318" s="149">
        <f t="shared" ca="1" si="334"/>
        <v>1.000173611111111</v>
      </c>
    </row>
    <row r="10319" spans="12:15" x14ac:dyDescent="0.25">
      <c r="L10319" s="147">
        <f ca="1"/>
        <v>55558</v>
      </c>
      <c r="M10319" s="92">
        <f t="shared" ca="1" si="333"/>
        <v>6.25</v>
      </c>
      <c r="N10319" s="143">
        <f ca="1">(PRODUCT($O$5:$O10319)-1)*36000/_xlfn.DAYS(L10319, $C$2)</f>
        <v>18.880098452596624</v>
      </c>
      <c r="O10319" s="149">
        <f t="shared" ca="1" si="334"/>
        <v>1.000173611111111</v>
      </c>
    </row>
    <row r="10320" spans="12:15" x14ac:dyDescent="0.25">
      <c r="L10320" s="147">
        <f ca="1"/>
        <v>55559</v>
      </c>
      <c r="M10320" s="92">
        <f t="shared" ca="1" si="333"/>
        <v>6.25</v>
      </c>
      <c r="N10320" s="143">
        <f ca="1">(PRODUCT($O$5:$O10320)-1)*36000/_xlfn.DAYS(L10320, $C$2)</f>
        <v>18.882151608435507</v>
      </c>
      <c r="O10320" s="149">
        <f t="shared" ca="1" si="334"/>
        <v>1.000173611111111</v>
      </c>
    </row>
    <row r="10321" spans="12:15" x14ac:dyDescent="0.25">
      <c r="L10321" s="147">
        <f ca="1"/>
        <v>55560</v>
      </c>
      <c r="M10321" s="92">
        <f t="shared" ca="1" si="333"/>
        <v>6.25</v>
      </c>
      <c r="N10321" s="143">
        <f ca="1">(PRODUCT($O$5:$O10321)-1)*36000/_xlfn.DAYS(L10321, $C$2)</f>
        <v>18.884205040384526</v>
      </c>
      <c r="O10321" s="149">
        <f t="shared" ca="1" si="334"/>
        <v>1.000173611111111</v>
      </c>
    </row>
    <row r="10322" spans="12:15" x14ac:dyDescent="0.25">
      <c r="L10322" s="147">
        <f ca="1"/>
        <v>55561</v>
      </c>
      <c r="M10322" s="92">
        <f t="shared" ca="1" si="333"/>
        <v>6.25</v>
      </c>
      <c r="N10322" s="143">
        <f ca="1">(PRODUCT($O$5:$O10322)-1)*36000/_xlfn.DAYS(L10322, $C$2)</f>
        <v>18.886258748480426</v>
      </c>
      <c r="O10322" s="149">
        <f t="shared" ca="1" si="334"/>
        <v>1.000173611111111</v>
      </c>
    </row>
    <row r="10323" spans="12:15" x14ac:dyDescent="0.25">
      <c r="L10323" s="147">
        <f ca="1"/>
        <v>55562</v>
      </c>
      <c r="M10323" s="92">
        <f t="shared" ca="1" si="333"/>
        <v>6.25</v>
      </c>
      <c r="N10323" s="143">
        <f ca="1">(PRODUCT($O$5:$O10323)-1)*36000/_xlfn.DAYS(L10323, $C$2)</f>
        <v>18.888312732759953</v>
      </c>
      <c r="O10323" s="149">
        <f t="shared" ca="1" si="334"/>
        <v>1.000173611111111</v>
      </c>
    </row>
    <row r="10324" spans="12:15" x14ac:dyDescent="0.25">
      <c r="L10324" s="147">
        <f ca="1"/>
        <v>55563</v>
      </c>
      <c r="M10324" s="92">
        <f t="shared" ca="1" si="333"/>
        <v>6.25</v>
      </c>
      <c r="N10324" s="143">
        <f ca="1">(PRODUCT($O$5:$O10324)-1)*36000/_xlfn.DAYS(L10324, $C$2)</f>
        <v>18.890366993259867</v>
      </c>
      <c r="O10324" s="149">
        <f t="shared" ca="1" si="334"/>
        <v>1.000173611111111</v>
      </c>
    </row>
    <row r="10325" spans="12:15" x14ac:dyDescent="0.25">
      <c r="L10325" s="147">
        <f ca="1"/>
        <v>55564</v>
      </c>
      <c r="M10325" s="92">
        <f t="shared" ca="1" si="333"/>
        <v>6.25</v>
      </c>
      <c r="N10325" s="143">
        <f ca="1">(PRODUCT($O$5:$O10325)-1)*36000/_xlfn.DAYS(L10325, $C$2)</f>
        <v>18.892421530016932</v>
      </c>
      <c r="O10325" s="149">
        <f t="shared" ca="1" si="334"/>
        <v>1.000173611111111</v>
      </c>
    </row>
    <row r="10326" spans="12:15" x14ac:dyDescent="0.25">
      <c r="L10326" s="147">
        <f ca="1"/>
        <v>55565</v>
      </c>
      <c r="M10326" s="92">
        <f t="shared" ca="1" si="333"/>
        <v>6.25</v>
      </c>
      <c r="N10326" s="143">
        <f ca="1">(PRODUCT($O$5:$O10326)-1)*36000/_xlfn.DAYS(L10326, $C$2)</f>
        <v>18.894476343067911</v>
      </c>
      <c r="O10326" s="149">
        <f t="shared" ca="1" si="334"/>
        <v>1.000173611111111</v>
      </c>
    </row>
    <row r="10327" spans="12:15" x14ac:dyDescent="0.25">
      <c r="L10327" s="147">
        <f ca="1"/>
        <v>55566</v>
      </c>
      <c r="M10327" s="92">
        <f t="shared" ca="1" si="333"/>
        <v>6.25</v>
      </c>
      <c r="N10327" s="143">
        <f ca="1">(PRODUCT($O$5:$O10327)-1)*36000/_xlfn.DAYS(L10327, $C$2)</f>
        <v>18.896531432449581</v>
      </c>
      <c r="O10327" s="149">
        <f t="shared" ca="1" si="334"/>
        <v>1.000173611111111</v>
      </c>
    </row>
    <row r="10328" spans="12:15" x14ac:dyDescent="0.25">
      <c r="L10328" s="147">
        <f ca="1"/>
        <v>55567</v>
      </c>
      <c r="M10328" s="92">
        <f t="shared" ca="1" si="333"/>
        <v>6.25</v>
      </c>
      <c r="N10328" s="143">
        <f ca="1">(PRODUCT($O$5:$O10328)-1)*36000/_xlfn.DAYS(L10328, $C$2)</f>
        <v>18.898586798198721</v>
      </c>
      <c r="O10328" s="149">
        <f t="shared" ca="1" si="334"/>
        <v>1.000173611111111</v>
      </c>
    </row>
    <row r="10329" spans="12:15" x14ac:dyDescent="0.25">
      <c r="L10329" s="147">
        <f ca="1"/>
        <v>55568</v>
      </c>
      <c r="M10329" s="92">
        <f t="shared" ca="1" si="333"/>
        <v>6.25</v>
      </c>
      <c r="N10329" s="143">
        <f ca="1">(PRODUCT($O$5:$O10329)-1)*36000/_xlfn.DAYS(L10329, $C$2)</f>
        <v>18.900642440352119</v>
      </c>
      <c r="O10329" s="149">
        <f t="shared" ca="1" si="334"/>
        <v>1.000173611111111</v>
      </c>
    </row>
    <row r="10330" spans="12:15" x14ac:dyDescent="0.25">
      <c r="L10330" s="147">
        <f ca="1"/>
        <v>55569</v>
      </c>
      <c r="M10330" s="92">
        <f t="shared" ca="1" si="333"/>
        <v>6.25</v>
      </c>
      <c r="N10330" s="143">
        <f ca="1">(PRODUCT($O$5:$O10330)-1)*36000/_xlfn.DAYS(L10330, $C$2)</f>
        <v>18.902698358946566</v>
      </c>
      <c r="O10330" s="149">
        <f t="shared" ca="1" si="334"/>
        <v>1.000173611111111</v>
      </c>
    </row>
    <row r="10331" spans="12:15" x14ac:dyDescent="0.25">
      <c r="L10331" s="147">
        <f ca="1"/>
        <v>55570</v>
      </c>
      <c r="M10331" s="92">
        <f t="shared" ca="1" si="333"/>
        <v>6.25</v>
      </c>
      <c r="N10331" s="143">
        <f ca="1">(PRODUCT($O$5:$O10331)-1)*36000/_xlfn.DAYS(L10331, $C$2)</f>
        <v>18.904754554018862</v>
      </c>
      <c r="O10331" s="149">
        <f t="shared" ca="1" si="334"/>
        <v>1.000173611111111</v>
      </c>
    </row>
    <row r="10332" spans="12:15" x14ac:dyDescent="0.25">
      <c r="L10332" s="147">
        <f ca="1"/>
        <v>55571</v>
      </c>
      <c r="M10332" s="92">
        <f t="shared" ca="1" si="333"/>
        <v>6.25</v>
      </c>
      <c r="N10332" s="143">
        <f ca="1">(PRODUCT($O$5:$O10332)-1)*36000/_xlfn.DAYS(L10332, $C$2)</f>
        <v>18.906811025605812</v>
      </c>
      <c r="O10332" s="149">
        <f t="shared" ca="1" si="334"/>
        <v>1.000173611111111</v>
      </c>
    </row>
    <row r="10333" spans="12:15" x14ac:dyDescent="0.25">
      <c r="L10333" s="147">
        <f ca="1"/>
        <v>55572</v>
      </c>
      <c r="M10333" s="92">
        <f t="shared" ca="1" si="333"/>
        <v>6.25</v>
      </c>
      <c r="N10333" s="143">
        <f ca="1">(PRODUCT($O$5:$O10333)-1)*36000/_xlfn.DAYS(L10333, $C$2)</f>
        <v>18.908867773744223</v>
      </c>
      <c r="O10333" s="149">
        <f t="shared" ca="1" si="334"/>
        <v>1.000173611111111</v>
      </c>
    </row>
    <row r="10334" spans="12:15" x14ac:dyDescent="0.25">
      <c r="L10334" s="147">
        <f ca="1"/>
        <v>55573</v>
      </c>
      <c r="M10334" s="92">
        <f t="shared" ca="1" si="333"/>
        <v>6.25</v>
      </c>
      <c r="N10334" s="143">
        <f ca="1">(PRODUCT($O$5:$O10334)-1)*36000/_xlfn.DAYS(L10334, $C$2)</f>
        <v>18.910924798470919</v>
      </c>
      <c r="O10334" s="149">
        <f t="shared" ca="1" si="334"/>
        <v>1.000173611111111</v>
      </c>
    </row>
    <row r="10335" spans="12:15" x14ac:dyDescent="0.25">
      <c r="L10335" s="147">
        <f ca="1"/>
        <v>55574</v>
      </c>
      <c r="M10335" s="92">
        <f t="shared" ca="1" si="333"/>
        <v>6.25</v>
      </c>
      <c r="N10335" s="143">
        <f ca="1">(PRODUCT($O$5:$O10335)-1)*36000/_xlfn.DAYS(L10335, $C$2)</f>
        <v>18.91298209982272</v>
      </c>
      <c r="O10335" s="149">
        <f t="shared" ca="1" si="334"/>
        <v>1.000173611111111</v>
      </c>
    </row>
    <row r="10336" spans="12:15" x14ac:dyDescent="0.25">
      <c r="L10336" s="147">
        <f ca="1"/>
        <v>55575</v>
      </c>
      <c r="M10336" s="92">
        <f t="shared" ca="1" si="333"/>
        <v>6.25</v>
      </c>
      <c r="N10336" s="143">
        <f ca="1">(PRODUCT($O$5:$O10336)-1)*36000/_xlfn.DAYS(L10336, $C$2)</f>
        <v>18.915039677836454</v>
      </c>
      <c r="O10336" s="149">
        <f t="shared" ca="1" si="334"/>
        <v>1.000173611111111</v>
      </c>
    </row>
    <row r="10337" spans="12:15" x14ac:dyDescent="0.25">
      <c r="L10337" s="147">
        <f ca="1"/>
        <v>55576</v>
      </c>
      <c r="M10337" s="92">
        <f t="shared" ca="1" si="333"/>
        <v>6.25</v>
      </c>
      <c r="N10337" s="143">
        <f ca="1">(PRODUCT($O$5:$O10337)-1)*36000/_xlfn.DAYS(L10337, $C$2)</f>
        <v>18.917097532548951</v>
      </c>
      <c r="O10337" s="149">
        <f t="shared" ca="1" si="334"/>
        <v>1.000173611111111</v>
      </c>
    </row>
    <row r="10338" spans="12:15" x14ac:dyDescent="0.25">
      <c r="L10338" s="147">
        <f ca="1"/>
        <v>55577</v>
      </c>
      <c r="M10338" s="92">
        <f t="shared" ca="1" si="333"/>
        <v>6.25</v>
      </c>
      <c r="N10338" s="143">
        <f ca="1">(PRODUCT($O$5:$O10338)-1)*36000/_xlfn.DAYS(L10338, $C$2)</f>
        <v>18.919155663997063</v>
      </c>
      <c r="O10338" s="149">
        <f t="shared" ca="1" si="334"/>
        <v>1.000173611111111</v>
      </c>
    </row>
    <row r="10339" spans="12:15" x14ac:dyDescent="0.25">
      <c r="L10339" s="147">
        <f ca="1"/>
        <v>55578</v>
      </c>
      <c r="M10339" s="92">
        <f t="shared" ca="1" si="333"/>
        <v>6.25</v>
      </c>
      <c r="N10339" s="143">
        <f ca="1">(PRODUCT($O$5:$O10339)-1)*36000/_xlfn.DAYS(L10339, $C$2)</f>
        <v>18.921214072217627</v>
      </c>
      <c r="O10339" s="149">
        <f t="shared" ca="1" si="334"/>
        <v>1.000173611111111</v>
      </c>
    </row>
    <row r="10340" spans="12:15" x14ac:dyDescent="0.25">
      <c r="L10340" s="147">
        <f ca="1"/>
        <v>55579</v>
      </c>
      <c r="M10340" s="92">
        <f t="shared" ca="1" si="333"/>
        <v>6.25</v>
      </c>
      <c r="N10340" s="143">
        <f ca="1">(PRODUCT($O$5:$O10340)-1)*36000/_xlfn.DAYS(L10340, $C$2)</f>
        <v>18.923272757247506</v>
      </c>
      <c r="O10340" s="149">
        <f t="shared" ca="1" si="334"/>
        <v>1.000173611111111</v>
      </c>
    </row>
    <row r="10341" spans="12:15" x14ac:dyDescent="0.25">
      <c r="L10341" s="147">
        <f ca="1"/>
        <v>55580</v>
      </c>
      <c r="M10341" s="92">
        <f t="shared" ca="1" si="333"/>
        <v>6.25</v>
      </c>
      <c r="N10341" s="143">
        <f ca="1">(PRODUCT($O$5:$O10341)-1)*36000/_xlfn.DAYS(L10341, $C$2)</f>
        <v>18.925331719123548</v>
      </c>
      <c r="O10341" s="149">
        <f t="shared" ca="1" si="334"/>
        <v>1.000173611111111</v>
      </c>
    </row>
    <row r="10342" spans="12:15" x14ac:dyDescent="0.25">
      <c r="L10342" s="147">
        <f ca="1"/>
        <v>55581</v>
      </c>
      <c r="M10342" s="92">
        <f t="shared" ca="1" si="333"/>
        <v>6.25</v>
      </c>
      <c r="N10342" s="143">
        <f ca="1">(PRODUCT($O$5:$O10342)-1)*36000/_xlfn.DAYS(L10342, $C$2)</f>
        <v>18.927390957882629</v>
      </c>
      <c r="O10342" s="149">
        <f t="shared" ca="1" si="334"/>
        <v>1.000173611111111</v>
      </c>
    </row>
    <row r="10343" spans="12:15" x14ac:dyDescent="0.25">
      <c r="L10343" s="147">
        <f ca="1"/>
        <v>55582</v>
      </c>
      <c r="M10343" s="92">
        <f t="shared" ca="1" si="333"/>
        <v>6.25</v>
      </c>
      <c r="N10343" s="143">
        <f ca="1">(PRODUCT($O$5:$O10343)-1)*36000/_xlfn.DAYS(L10343, $C$2)</f>
        <v>18.929450473561616</v>
      </c>
      <c r="O10343" s="149">
        <f t="shared" ca="1" si="334"/>
        <v>1.000173611111111</v>
      </c>
    </row>
    <row r="10344" spans="12:15" x14ac:dyDescent="0.25">
      <c r="L10344" s="147">
        <f ca="1"/>
        <v>55583</v>
      </c>
      <c r="M10344" s="92">
        <f t="shared" ca="1" si="333"/>
        <v>6.25</v>
      </c>
      <c r="N10344" s="143">
        <f ca="1">(PRODUCT($O$5:$O10344)-1)*36000/_xlfn.DAYS(L10344, $C$2)</f>
        <v>18.931510266197389</v>
      </c>
      <c r="O10344" s="149">
        <f t="shared" ca="1" si="334"/>
        <v>1.000173611111111</v>
      </c>
    </row>
    <row r="10345" spans="12:15" x14ac:dyDescent="0.25">
      <c r="L10345" s="147">
        <f ca="1"/>
        <v>55584</v>
      </c>
      <c r="M10345" s="92">
        <f t="shared" ca="1" si="333"/>
        <v>6.25</v>
      </c>
      <c r="N10345" s="143">
        <f ca="1">(PRODUCT($O$5:$O10345)-1)*36000/_xlfn.DAYS(L10345, $C$2)</f>
        <v>18.933570335826825</v>
      </c>
      <c r="O10345" s="149">
        <f t="shared" ca="1" si="334"/>
        <v>1.000173611111111</v>
      </c>
    </row>
    <row r="10346" spans="12:15" x14ac:dyDescent="0.25">
      <c r="L10346" s="147">
        <f ca="1"/>
        <v>55585</v>
      </c>
      <c r="M10346" s="92">
        <f t="shared" ca="1" si="333"/>
        <v>6.25</v>
      </c>
      <c r="N10346" s="143">
        <f ca="1">(PRODUCT($O$5:$O10346)-1)*36000/_xlfn.DAYS(L10346, $C$2)</f>
        <v>18.935630682486821</v>
      </c>
      <c r="O10346" s="149">
        <f t="shared" ca="1" si="334"/>
        <v>1.000173611111111</v>
      </c>
    </row>
    <row r="10347" spans="12:15" x14ac:dyDescent="0.25">
      <c r="L10347" s="147">
        <f ca="1"/>
        <v>55586</v>
      </c>
      <c r="M10347" s="92">
        <f t="shared" ca="1" si="333"/>
        <v>6.25</v>
      </c>
      <c r="N10347" s="143">
        <f ca="1">(PRODUCT($O$5:$O10347)-1)*36000/_xlfn.DAYS(L10347, $C$2)</f>
        <v>18.937691306214276</v>
      </c>
      <c r="O10347" s="149">
        <f t="shared" ca="1" si="334"/>
        <v>1.000173611111111</v>
      </c>
    </row>
    <row r="10348" spans="12:15" x14ac:dyDescent="0.25">
      <c r="L10348" s="147">
        <f ca="1"/>
        <v>55587</v>
      </c>
      <c r="M10348" s="92">
        <f t="shared" ca="1" si="333"/>
        <v>6.25</v>
      </c>
      <c r="N10348" s="143">
        <f ca="1">(PRODUCT($O$5:$O10348)-1)*36000/_xlfn.DAYS(L10348, $C$2)</f>
        <v>18.93975220704608</v>
      </c>
      <c r="O10348" s="149">
        <f t="shared" ca="1" si="334"/>
        <v>1.000173611111111</v>
      </c>
    </row>
    <row r="10349" spans="12:15" x14ac:dyDescent="0.25">
      <c r="L10349" s="147">
        <f ca="1"/>
        <v>55588</v>
      </c>
      <c r="M10349" s="92">
        <f t="shared" ca="1" si="333"/>
        <v>6.25</v>
      </c>
      <c r="N10349" s="143">
        <f ca="1">(PRODUCT($O$5:$O10349)-1)*36000/_xlfn.DAYS(L10349, $C$2)</f>
        <v>18.941813385019156</v>
      </c>
      <c r="O10349" s="149">
        <f t="shared" ca="1" si="334"/>
        <v>1.000173611111111</v>
      </c>
    </row>
    <row r="10350" spans="12:15" x14ac:dyDescent="0.25">
      <c r="L10350" s="147">
        <f ca="1"/>
        <v>55589</v>
      </c>
      <c r="M10350" s="92">
        <f t="shared" ca="1" si="333"/>
        <v>6.25</v>
      </c>
      <c r="N10350" s="143">
        <f ca="1">(PRODUCT($O$5:$O10350)-1)*36000/_xlfn.DAYS(L10350, $C$2)</f>
        <v>18.943874840170405</v>
      </c>
      <c r="O10350" s="149">
        <f t="shared" ca="1" si="334"/>
        <v>1.000173611111111</v>
      </c>
    </row>
    <row r="10351" spans="12:15" x14ac:dyDescent="0.25">
      <c r="L10351" s="147">
        <f ca="1"/>
        <v>55590</v>
      </c>
      <c r="M10351" s="92">
        <f t="shared" ca="1" si="333"/>
        <v>6.25</v>
      </c>
      <c r="N10351" s="143">
        <f ca="1">(PRODUCT($O$5:$O10351)-1)*36000/_xlfn.DAYS(L10351, $C$2)</f>
        <v>18.945936572536755</v>
      </c>
      <c r="O10351" s="149">
        <f t="shared" ca="1" si="334"/>
        <v>1.000173611111111</v>
      </c>
    </row>
    <row r="10352" spans="12:15" x14ac:dyDescent="0.25">
      <c r="L10352" s="147">
        <f ca="1"/>
        <v>55591</v>
      </c>
      <c r="M10352" s="92">
        <f t="shared" ca="1" si="333"/>
        <v>6.25</v>
      </c>
      <c r="N10352" s="143">
        <f ca="1">(PRODUCT($O$5:$O10352)-1)*36000/_xlfn.DAYS(L10352, $C$2)</f>
        <v>18.947998582155126</v>
      </c>
      <c r="O10352" s="149">
        <f t="shared" ca="1" si="334"/>
        <v>1.000173611111111</v>
      </c>
    </row>
    <row r="10353" spans="12:15" x14ac:dyDescent="0.25">
      <c r="L10353" s="147">
        <f ca="1"/>
        <v>55592</v>
      </c>
      <c r="M10353" s="92">
        <f t="shared" ca="1" si="333"/>
        <v>6.25</v>
      </c>
      <c r="N10353" s="143">
        <f ca="1">(PRODUCT($O$5:$O10353)-1)*36000/_xlfn.DAYS(L10353, $C$2)</f>
        <v>18.950060869062462</v>
      </c>
      <c r="O10353" s="149">
        <f t="shared" ca="1" si="334"/>
        <v>1.000173611111111</v>
      </c>
    </row>
    <row r="10354" spans="12:15" x14ac:dyDescent="0.25">
      <c r="L10354" s="147">
        <f ca="1"/>
        <v>55593</v>
      </c>
      <c r="M10354" s="92">
        <f t="shared" ca="1" si="333"/>
        <v>6.25</v>
      </c>
      <c r="N10354" s="143">
        <f ca="1">(PRODUCT($O$5:$O10354)-1)*36000/_xlfn.DAYS(L10354, $C$2)</f>
        <v>18.952123433295686</v>
      </c>
      <c r="O10354" s="149">
        <f t="shared" ca="1" si="334"/>
        <v>1.000173611111111</v>
      </c>
    </row>
    <row r="10355" spans="12:15" x14ac:dyDescent="0.25">
      <c r="L10355" s="147">
        <f ca="1"/>
        <v>55594</v>
      </c>
      <c r="M10355" s="92">
        <f t="shared" ca="1" si="333"/>
        <v>6.25</v>
      </c>
      <c r="N10355" s="143">
        <f ca="1">(PRODUCT($O$5:$O10355)-1)*36000/_xlfn.DAYS(L10355, $C$2)</f>
        <v>18.954186274891754</v>
      </c>
      <c r="O10355" s="149">
        <f t="shared" ca="1" si="334"/>
        <v>1.000173611111111</v>
      </c>
    </row>
    <row r="10356" spans="12:15" x14ac:dyDescent="0.25">
      <c r="L10356" s="147">
        <f ca="1"/>
        <v>55595</v>
      </c>
      <c r="M10356" s="92">
        <f t="shared" ca="1" si="333"/>
        <v>6.25</v>
      </c>
      <c r="N10356" s="143">
        <f ca="1">(PRODUCT($O$5:$O10356)-1)*36000/_xlfn.DAYS(L10356, $C$2)</f>
        <v>18.95624939388761</v>
      </c>
      <c r="O10356" s="149">
        <f t="shared" ca="1" si="334"/>
        <v>1.000173611111111</v>
      </c>
    </row>
    <row r="10357" spans="12:15" x14ac:dyDescent="0.25">
      <c r="L10357" s="147">
        <f ca="1"/>
        <v>55596</v>
      </c>
      <c r="M10357" s="92">
        <f t="shared" ca="1" si="333"/>
        <v>6.25</v>
      </c>
      <c r="N10357" s="143">
        <f ca="1">(PRODUCT($O$5:$O10357)-1)*36000/_xlfn.DAYS(L10357, $C$2)</f>
        <v>18.958312790320221</v>
      </c>
      <c r="O10357" s="149">
        <f t="shared" ca="1" si="334"/>
        <v>1.000173611111111</v>
      </c>
    </row>
    <row r="10358" spans="12:15" x14ac:dyDescent="0.25">
      <c r="L10358" s="147">
        <f ca="1"/>
        <v>55597</v>
      </c>
      <c r="M10358" s="92">
        <f t="shared" ca="1" si="333"/>
        <v>6.25</v>
      </c>
      <c r="N10358" s="143">
        <f ca="1">(PRODUCT($O$5:$O10358)-1)*36000/_xlfn.DAYS(L10358, $C$2)</f>
        <v>18.960376464226538</v>
      </c>
      <c r="O10358" s="149">
        <f t="shared" ca="1" si="334"/>
        <v>1.000173611111111</v>
      </c>
    </row>
    <row r="10359" spans="12:15" x14ac:dyDescent="0.25">
      <c r="L10359" s="147">
        <f ca="1"/>
        <v>55598</v>
      </c>
      <c r="M10359" s="92">
        <f t="shared" ca="1" si="333"/>
        <v>6.25</v>
      </c>
      <c r="N10359" s="143">
        <f ca="1">(PRODUCT($O$5:$O10359)-1)*36000/_xlfn.DAYS(L10359, $C$2)</f>
        <v>18.962440415643535</v>
      </c>
      <c r="O10359" s="149">
        <f t="shared" ca="1" si="334"/>
        <v>1.000173611111111</v>
      </c>
    </row>
    <row r="10360" spans="12:15" x14ac:dyDescent="0.25">
      <c r="L10360" s="147">
        <f ca="1"/>
        <v>55599</v>
      </c>
      <c r="M10360" s="92">
        <f t="shared" ca="1" si="333"/>
        <v>6.25</v>
      </c>
      <c r="N10360" s="143">
        <f ca="1">(PRODUCT($O$5:$O10360)-1)*36000/_xlfn.DAYS(L10360, $C$2)</f>
        <v>18.964504644608187</v>
      </c>
      <c r="O10360" s="149">
        <f t="shared" ca="1" si="334"/>
        <v>1.000173611111111</v>
      </c>
    </row>
    <row r="10361" spans="12:15" x14ac:dyDescent="0.25">
      <c r="L10361" s="147">
        <f ca="1"/>
        <v>55600</v>
      </c>
      <c r="M10361" s="92">
        <f t="shared" ca="1" si="333"/>
        <v>6.25</v>
      </c>
      <c r="N10361" s="143">
        <f ca="1">(PRODUCT($O$5:$O10361)-1)*36000/_xlfn.DAYS(L10361, $C$2)</f>
        <v>18.966569151157479</v>
      </c>
      <c r="O10361" s="149">
        <f t="shared" ca="1" si="334"/>
        <v>1.000173611111111</v>
      </c>
    </row>
    <row r="10362" spans="12:15" x14ac:dyDescent="0.25">
      <c r="L10362" s="147">
        <f ca="1"/>
        <v>55601</v>
      </c>
      <c r="M10362" s="92">
        <f t="shared" ca="1" si="333"/>
        <v>6.25</v>
      </c>
      <c r="N10362" s="143">
        <f ca="1">(PRODUCT($O$5:$O10362)-1)*36000/_xlfn.DAYS(L10362, $C$2)</f>
        <v>18.968633935328391</v>
      </c>
      <c r="O10362" s="149">
        <f t="shared" ca="1" si="334"/>
        <v>1.000173611111111</v>
      </c>
    </row>
    <row r="10363" spans="12:15" x14ac:dyDescent="0.25">
      <c r="L10363" s="147">
        <f ca="1"/>
        <v>55602</v>
      </c>
      <c r="M10363" s="92">
        <f t="shared" ca="1" si="333"/>
        <v>6.25</v>
      </c>
      <c r="N10363" s="143">
        <f ca="1">(PRODUCT($O$5:$O10363)-1)*36000/_xlfn.DAYS(L10363, $C$2)</f>
        <v>18.970698997157921</v>
      </c>
      <c r="O10363" s="149">
        <f t="shared" ca="1" si="334"/>
        <v>1.000173611111111</v>
      </c>
    </row>
    <row r="10364" spans="12:15" x14ac:dyDescent="0.25">
      <c r="L10364" s="147">
        <f ca="1"/>
        <v>55603</v>
      </c>
      <c r="M10364" s="92">
        <f t="shared" ca="1" si="333"/>
        <v>6.25</v>
      </c>
      <c r="N10364" s="143">
        <f ca="1">(PRODUCT($O$5:$O10364)-1)*36000/_xlfn.DAYS(L10364, $C$2)</f>
        <v>18.97276433668307</v>
      </c>
      <c r="O10364" s="149">
        <f t="shared" ca="1" si="334"/>
        <v>1.000173611111111</v>
      </c>
    </row>
    <row r="10365" spans="12:15" x14ac:dyDescent="0.25">
      <c r="L10365" s="147">
        <f ca="1"/>
        <v>55604</v>
      </c>
      <c r="M10365" s="92">
        <f t="shared" ca="1" si="333"/>
        <v>6.25</v>
      </c>
      <c r="N10365" s="143">
        <f ca="1">(PRODUCT($O$5:$O10365)-1)*36000/_xlfn.DAYS(L10365, $C$2)</f>
        <v>18.974829953940837</v>
      </c>
      <c r="O10365" s="149">
        <f t="shared" ca="1" si="334"/>
        <v>1.000173611111111</v>
      </c>
    </row>
    <row r="10366" spans="12:15" x14ac:dyDescent="0.25">
      <c r="L10366" s="147">
        <f ca="1"/>
        <v>55605</v>
      </c>
      <c r="M10366" s="92">
        <f t="shared" ca="1" si="333"/>
        <v>6.25</v>
      </c>
      <c r="N10366" s="143">
        <f ca="1">(PRODUCT($O$5:$O10366)-1)*36000/_xlfn.DAYS(L10366, $C$2)</f>
        <v>18.97689584896824</v>
      </c>
      <c r="O10366" s="149">
        <f t="shared" ca="1" si="334"/>
        <v>1.000173611111111</v>
      </c>
    </row>
    <row r="10367" spans="12:15" x14ac:dyDescent="0.25">
      <c r="L10367" s="147">
        <f ca="1"/>
        <v>55606</v>
      </c>
      <c r="M10367" s="92">
        <f t="shared" ca="1" si="333"/>
        <v>6.25</v>
      </c>
      <c r="N10367" s="143">
        <f ca="1">(PRODUCT($O$5:$O10367)-1)*36000/_xlfn.DAYS(L10367, $C$2)</f>
        <v>18.978962021802296</v>
      </c>
      <c r="O10367" s="149">
        <f t="shared" ca="1" si="334"/>
        <v>1.000173611111111</v>
      </c>
    </row>
    <row r="10368" spans="12:15" x14ac:dyDescent="0.25">
      <c r="L10368" s="147">
        <f ca="1"/>
        <v>55607</v>
      </c>
      <c r="M10368" s="92">
        <f t="shared" ca="1" si="333"/>
        <v>6.25</v>
      </c>
      <c r="N10368" s="143">
        <f ca="1">(PRODUCT($O$5:$O10368)-1)*36000/_xlfn.DAYS(L10368, $C$2)</f>
        <v>18.981028472480027</v>
      </c>
      <c r="O10368" s="149">
        <f t="shared" ca="1" si="334"/>
        <v>1.000173611111111</v>
      </c>
    </row>
    <row r="10369" spans="12:15" x14ac:dyDescent="0.25">
      <c r="L10369" s="147">
        <f ca="1"/>
        <v>55608</v>
      </c>
      <c r="M10369" s="92">
        <f t="shared" ca="1" si="333"/>
        <v>6.25</v>
      </c>
      <c r="N10369" s="143">
        <f ca="1">(PRODUCT($O$5:$O10369)-1)*36000/_xlfn.DAYS(L10369, $C$2)</f>
        <v>18.983095201038463</v>
      </c>
      <c r="O10369" s="149">
        <f t="shared" ca="1" si="334"/>
        <v>1.000173611111111</v>
      </c>
    </row>
    <row r="10370" spans="12:15" x14ac:dyDescent="0.25">
      <c r="L10370" s="147">
        <f ca="1"/>
        <v>55609</v>
      </c>
      <c r="M10370" s="92">
        <f t="shared" ca="1" si="333"/>
        <v>6.25</v>
      </c>
      <c r="N10370" s="143">
        <f ca="1">(PRODUCT($O$5:$O10370)-1)*36000/_xlfn.DAYS(L10370, $C$2)</f>
        <v>18.985162207514637</v>
      </c>
      <c r="O10370" s="149">
        <f t="shared" ca="1" si="334"/>
        <v>1.000173611111111</v>
      </c>
    </row>
    <row r="10371" spans="12:15" x14ac:dyDescent="0.25">
      <c r="L10371" s="147">
        <f ca="1"/>
        <v>55610</v>
      </c>
      <c r="M10371" s="92">
        <f t="shared" ca="1" si="333"/>
        <v>6.25</v>
      </c>
      <c r="N10371" s="143">
        <f ca="1">(PRODUCT($O$5:$O10371)-1)*36000/_xlfn.DAYS(L10371, $C$2)</f>
        <v>18.987229491945598</v>
      </c>
      <c r="O10371" s="149">
        <f t="shared" ca="1" si="334"/>
        <v>1.000173611111111</v>
      </c>
    </row>
    <row r="10372" spans="12:15" x14ac:dyDescent="0.25">
      <c r="L10372" s="147">
        <f ca="1"/>
        <v>55611</v>
      </c>
      <c r="M10372" s="92">
        <f t="shared" ca="1" si="333"/>
        <v>6.25</v>
      </c>
      <c r="N10372" s="143">
        <f ca="1">(PRODUCT($O$5:$O10372)-1)*36000/_xlfn.DAYS(L10372, $C$2)</f>
        <v>18.989297054368393</v>
      </c>
      <c r="O10372" s="149">
        <f t="shared" ca="1" si="334"/>
        <v>1.000173611111111</v>
      </c>
    </row>
    <row r="10373" spans="12:15" x14ac:dyDescent="0.25">
      <c r="L10373" s="147">
        <f ca="1"/>
        <v>55612</v>
      </c>
      <c r="M10373" s="92">
        <f t="shared" ref="M10373:M10436" ca="1" si="335">IFERROR(INDEX($E$27:$H$47, MATCH(L10373, $F$27:$F$47, 0), 4), IF(ISNUMBER(M10372), M10372, $C$5))</f>
        <v>6.25</v>
      </c>
      <c r="N10373" s="143">
        <f ca="1">(PRODUCT($O$5:$O10373)-1)*36000/_xlfn.DAYS(L10373, $C$2)</f>
        <v>18.991364894820073</v>
      </c>
      <c r="O10373" s="149">
        <f t="shared" ca="1" si="334"/>
        <v>1.000173611111111</v>
      </c>
    </row>
    <row r="10374" spans="12:15" x14ac:dyDescent="0.25">
      <c r="L10374" s="147">
        <f ca="1"/>
        <v>55613</v>
      </c>
      <c r="M10374" s="92">
        <f t="shared" ca="1" si="335"/>
        <v>6.25</v>
      </c>
      <c r="N10374" s="143">
        <f ca="1">(PRODUCT($O$5:$O10374)-1)*36000/_xlfn.DAYS(L10374, $C$2)</f>
        <v>18.9934330133377</v>
      </c>
      <c r="O10374" s="149">
        <f t="shared" ref="O10374:O10437" ca="1" si="336">1+M10374*IFERROR(_xlfn.DAYS(L10374, L10373), _xlfn.DAYS(L10374, $C$2))/36000</f>
        <v>1.000173611111111</v>
      </c>
    </row>
    <row r="10375" spans="12:15" x14ac:dyDescent="0.25">
      <c r="L10375" s="147">
        <f ca="1"/>
        <v>55614</v>
      </c>
      <c r="M10375" s="92">
        <f t="shared" ca="1" si="335"/>
        <v>6.25</v>
      </c>
      <c r="N10375" s="143">
        <f ca="1">(PRODUCT($O$5:$O10375)-1)*36000/_xlfn.DAYS(L10375, $C$2)</f>
        <v>18.995501409958344</v>
      </c>
      <c r="O10375" s="149">
        <f t="shared" ca="1" si="336"/>
        <v>1.000173611111111</v>
      </c>
    </row>
    <row r="10376" spans="12:15" x14ac:dyDescent="0.25">
      <c r="L10376" s="147">
        <f ca="1"/>
        <v>55615</v>
      </c>
      <c r="M10376" s="92">
        <f t="shared" ca="1" si="335"/>
        <v>6.25</v>
      </c>
      <c r="N10376" s="143">
        <f ca="1">(PRODUCT($O$5:$O10376)-1)*36000/_xlfn.DAYS(L10376, $C$2)</f>
        <v>18.997570084719069</v>
      </c>
      <c r="O10376" s="149">
        <f t="shared" ca="1" si="336"/>
        <v>1.000173611111111</v>
      </c>
    </row>
    <row r="10377" spans="12:15" x14ac:dyDescent="0.25">
      <c r="L10377" s="147">
        <f ca="1"/>
        <v>55616</v>
      </c>
      <c r="M10377" s="92">
        <f t="shared" ca="1" si="335"/>
        <v>6.25</v>
      </c>
      <c r="N10377" s="143">
        <f ca="1">(PRODUCT($O$5:$O10377)-1)*36000/_xlfn.DAYS(L10377, $C$2)</f>
        <v>18.999639037656962</v>
      </c>
      <c r="O10377" s="149">
        <f t="shared" ca="1" si="336"/>
        <v>1.000173611111111</v>
      </c>
    </row>
    <row r="10378" spans="12:15" x14ac:dyDescent="0.25">
      <c r="L10378" s="147">
        <f ca="1"/>
        <v>55617</v>
      </c>
      <c r="M10378" s="92">
        <f t="shared" ca="1" si="335"/>
        <v>6.25</v>
      </c>
      <c r="N10378" s="143">
        <f ca="1">(PRODUCT($O$5:$O10378)-1)*36000/_xlfn.DAYS(L10378, $C$2)</f>
        <v>19.001708268809104</v>
      </c>
      <c r="O10378" s="149">
        <f t="shared" ca="1" si="336"/>
        <v>1.000173611111111</v>
      </c>
    </row>
    <row r="10379" spans="12:15" x14ac:dyDescent="0.25">
      <c r="L10379" s="147">
        <f ca="1"/>
        <v>55618</v>
      </c>
      <c r="M10379" s="92">
        <f t="shared" ca="1" si="335"/>
        <v>6.25</v>
      </c>
      <c r="N10379" s="143">
        <f ca="1">(PRODUCT($O$5:$O10379)-1)*36000/_xlfn.DAYS(L10379, $C$2)</f>
        <v>19.003777778212587</v>
      </c>
      <c r="O10379" s="149">
        <f t="shared" ca="1" si="336"/>
        <v>1.000173611111111</v>
      </c>
    </row>
    <row r="10380" spans="12:15" x14ac:dyDescent="0.25">
      <c r="L10380" s="147">
        <f ca="1"/>
        <v>55619</v>
      </c>
      <c r="M10380" s="92">
        <f t="shared" ca="1" si="335"/>
        <v>6.25</v>
      </c>
      <c r="N10380" s="143">
        <f ca="1">(PRODUCT($O$5:$O10380)-1)*36000/_xlfn.DAYS(L10380, $C$2)</f>
        <v>19.005847565904507</v>
      </c>
      <c r="O10380" s="149">
        <f t="shared" ca="1" si="336"/>
        <v>1.000173611111111</v>
      </c>
    </row>
    <row r="10381" spans="12:15" x14ac:dyDescent="0.25">
      <c r="L10381" s="147">
        <f ca="1"/>
        <v>55620</v>
      </c>
      <c r="M10381" s="92">
        <f t="shared" ca="1" si="335"/>
        <v>6.25</v>
      </c>
      <c r="N10381" s="143">
        <f ca="1">(PRODUCT($O$5:$O10381)-1)*36000/_xlfn.DAYS(L10381, $C$2)</f>
        <v>19.00791763192197</v>
      </c>
      <c r="O10381" s="149">
        <f t="shared" ca="1" si="336"/>
        <v>1.000173611111111</v>
      </c>
    </row>
    <row r="10382" spans="12:15" x14ac:dyDescent="0.25">
      <c r="L10382" s="147">
        <f ca="1"/>
        <v>55621</v>
      </c>
      <c r="M10382" s="92">
        <f t="shared" ca="1" si="335"/>
        <v>6.25</v>
      </c>
      <c r="N10382" s="143">
        <f ca="1">(PRODUCT($O$5:$O10382)-1)*36000/_xlfn.DAYS(L10382, $C$2)</f>
        <v>19.009987976302082</v>
      </c>
      <c r="O10382" s="149">
        <f t="shared" ca="1" si="336"/>
        <v>1.000173611111111</v>
      </c>
    </row>
    <row r="10383" spans="12:15" x14ac:dyDescent="0.25">
      <c r="L10383" s="147">
        <f ca="1"/>
        <v>55622</v>
      </c>
      <c r="M10383" s="92">
        <f t="shared" ca="1" si="335"/>
        <v>6.25</v>
      </c>
      <c r="N10383" s="143">
        <f ca="1">(PRODUCT($O$5:$O10383)-1)*36000/_xlfn.DAYS(L10383, $C$2)</f>
        <v>19.012058599081961</v>
      </c>
      <c r="O10383" s="149">
        <f t="shared" ca="1" si="336"/>
        <v>1.000173611111111</v>
      </c>
    </row>
    <row r="10384" spans="12:15" x14ac:dyDescent="0.25">
      <c r="L10384" s="147">
        <f ca="1"/>
        <v>55623</v>
      </c>
      <c r="M10384" s="92">
        <f t="shared" ca="1" si="335"/>
        <v>6.25</v>
      </c>
      <c r="N10384" s="143">
        <f ca="1">(PRODUCT($O$5:$O10384)-1)*36000/_xlfn.DAYS(L10384, $C$2)</f>
        <v>19.014129500298729</v>
      </c>
      <c r="O10384" s="149">
        <f t="shared" ca="1" si="336"/>
        <v>1.000173611111111</v>
      </c>
    </row>
    <row r="10385" spans="12:15" x14ac:dyDescent="0.25">
      <c r="L10385" s="147">
        <f ca="1"/>
        <v>55624</v>
      </c>
      <c r="M10385" s="92">
        <f t="shared" ca="1" si="335"/>
        <v>6.25</v>
      </c>
      <c r="N10385" s="143">
        <f ca="1">(PRODUCT($O$5:$O10385)-1)*36000/_xlfn.DAYS(L10385, $C$2)</f>
        <v>19.016200679989513</v>
      </c>
      <c r="O10385" s="149">
        <f t="shared" ca="1" si="336"/>
        <v>1.000173611111111</v>
      </c>
    </row>
    <row r="10386" spans="12:15" x14ac:dyDescent="0.25">
      <c r="L10386" s="147">
        <f ca="1"/>
        <v>55625</v>
      </c>
      <c r="M10386" s="92">
        <f t="shared" ca="1" si="335"/>
        <v>6.25</v>
      </c>
      <c r="N10386" s="143">
        <f ca="1">(PRODUCT($O$5:$O10386)-1)*36000/_xlfn.DAYS(L10386, $C$2)</f>
        <v>19.018272138191445</v>
      </c>
      <c r="O10386" s="149">
        <f t="shared" ca="1" si="336"/>
        <v>1.000173611111111</v>
      </c>
    </row>
    <row r="10387" spans="12:15" x14ac:dyDescent="0.25">
      <c r="L10387" s="147">
        <f ca="1"/>
        <v>55626</v>
      </c>
      <c r="M10387" s="92">
        <f t="shared" ca="1" si="335"/>
        <v>6.25</v>
      </c>
      <c r="N10387" s="143">
        <f ca="1">(PRODUCT($O$5:$O10387)-1)*36000/_xlfn.DAYS(L10387, $C$2)</f>
        <v>19.020343874941663</v>
      </c>
      <c r="O10387" s="149">
        <f t="shared" ca="1" si="336"/>
        <v>1.000173611111111</v>
      </c>
    </row>
    <row r="10388" spans="12:15" x14ac:dyDescent="0.25">
      <c r="L10388" s="147">
        <f ca="1"/>
        <v>55627</v>
      </c>
      <c r="M10388" s="92">
        <f t="shared" ca="1" si="335"/>
        <v>6.25</v>
      </c>
      <c r="N10388" s="143">
        <f ca="1">(PRODUCT($O$5:$O10388)-1)*36000/_xlfn.DAYS(L10388, $C$2)</f>
        <v>19.022415890277315</v>
      </c>
      <c r="O10388" s="149">
        <f t="shared" ca="1" si="336"/>
        <v>1.000173611111111</v>
      </c>
    </row>
    <row r="10389" spans="12:15" x14ac:dyDescent="0.25">
      <c r="L10389" s="147">
        <f ca="1"/>
        <v>55628</v>
      </c>
      <c r="M10389" s="92">
        <f t="shared" ca="1" si="335"/>
        <v>6.25</v>
      </c>
      <c r="N10389" s="143">
        <f ca="1">(PRODUCT($O$5:$O10389)-1)*36000/_xlfn.DAYS(L10389, $C$2)</f>
        <v>19.024488184235558</v>
      </c>
      <c r="O10389" s="149">
        <f t="shared" ca="1" si="336"/>
        <v>1.000173611111111</v>
      </c>
    </row>
    <row r="10390" spans="12:15" x14ac:dyDescent="0.25">
      <c r="L10390" s="147">
        <f ca="1"/>
        <v>55629</v>
      </c>
      <c r="M10390" s="92">
        <f t="shared" ca="1" si="335"/>
        <v>6.25</v>
      </c>
      <c r="N10390" s="143">
        <f ca="1">(PRODUCT($O$5:$O10390)-1)*36000/_xlfn.DAYS(L10390, $C$2)</f>
        <v>19.026560756853545</v>
      </c>
      <c r="O10390" s="149">
        <f t="shared" ca="1" si="336"/>
        <v>1.000173611111111</v>
      </c>
    </row>
    <row r="10391" spans="12:15" x14ac:dyDescent="0.25">
      <c r="L10391" s="147">
        <f ca="1"/>
        <v>55630</v>
      </c>
      <c r="M10391" s="92">
        <f t="shared" ca="1" si="335"/>
        <v>6.25</v>
      </c>
      <c r="N10391" s="143">
        <f ca="1">(PRODUCT($O$5:$O10391)-1)*36000/_xlfn.DAYS(L10391, $C$2)</f>
        <v>19.028633608168441</v>
      </c>
      <c r="O10391" s="149">
        <f t="shared" ca="1" si="336"/>
        <v>1.000173611111111</v>
      </c>
    </row>
    <row r="10392" spans="12:15" x14ac:dyDescent="0.25">
      <c r="L10392" s="147">
        <f ca="1"/>
        <v>55631</v>
      </c>
      <c r="M10392" s="92">
        <f t="shared" ca="1" si="335"/>
        <v>6.25</v>
      </c>
      <c r="N10392" s="143">
        <f ca="1">(PRODUCT($O$5:$O10392)-1)*36000/_xlfn.DAYS(L10392, $C$2)</f>
        <v>19.030706738217418</v>
      </c>
      <c r="O10392" s="149">
        <f t="shared" ca="1" si="336"/>
        <v>1.000173611111111</v>
      </c>
    </row>
    <row r="10393" spans="12:15" x14ac:dyDescent="0.25">
      <c r="L10393" s="147">
        <f ca="1"/>
        <v>55632</v>
      </c>
      <c r="M10393" s="92">
        <f t="shared" ca="1" si="335"/>
        <v>6.25</v>
      </c>
      <c r="N10393" s="143">
        <f ca="1">(PRODUCT($O$5:$O10393)-1)*36000/_xlfn.DAYS(L10393, $C$2)</f>
        <v>19.032780147037652</v>
      </c>
      <c r="O10393" s="149">
        <f t="shared" ca="1" si="336"/>
        <v>1.000173611111111</v>
      </c>
    </row>
    <row r="10394" spans="12:15" x14ac:dyDescent="0.25">
      <c r="L10394" s="147">
        <f ca="1"/>
        <v>55633</v>
      </c>
      <c r="M10394" s="92">
        <f t="shared" ca="1" si="335"/>
        <v>6.25</v>
      </c>
      <c r="N10394" s="143">
        <f ca="1">(PRODUCT($O$5:$O10394)-1)*36000/_xlfn.DAYS(L10394, $C$2)</f>
        <v>19.034853834666325</v>
      </c>
      <c r="O10394" s="149">
        <f t="shared" ca="1" si="336"/>
        <v>1.000173611111111</v>
      </c>
    </row>
    <row r="10395" spans="12:15" x14ac:dyDescent="0.25">
      <c r="L10395" s="147">
        <f ca="1"/>
        <v>55634</v>
      </c>
      <c r="M10395" s="92">
        <f t="shared" ca="1" si="335"/>
        <v>6.25</v>
      </c>
      <c r="N10395" s="143">
        <f ca="1">(PRODUCT($O$5:$O10395)-1)*36000/_xlfn.DAYS(L10395, $C$2)</f>
        <v>19.036927801140624</v>
      </c>
      <c r="O10395" s="149">
        <f t="shared" ca="1" si="336"/>
        <v>1.000173611111111</v>
      </c>
    </row>
    <row r="10396" spans="12:15" x14ac:dyDescent="0.25">
      <c r="L10396" s="147">
        <f ca="1"/>
        <v>55635</v>
      </c>
      <c r="M10396" s="92">
        <f t="shared" ca="1" si="335"/>
        <v>6.25</v>
      </c>
      <c r="N10396" s="143">
        <f ca="1">(PRODUCT($O$5:$O10396)-1)*36000/_xlfn.DAYS(L10396, $C$2)</f>
        <v>19.039002046497746</v>
      </c>
      <c r="O10396" s="149">
        <f t="shared" ca="1" si="336"/>
        <v>1.000173611111111</v>
      </c>
    </row>
    <row r="10397" spans="12:15" x14ac:dyDescent="0.25">
      <c r="L10397" s="147">
        <f ca="1"/>
        <v>55636</v>
      </c>
      <c r="M10397" s="92">
        <f t="shared" ca="1" si="335"/>
        <v>6.25</v>
      </c>
      <c r="N10397" s="143">
        <f ca="1">(PRODUCT($O$5:$O10397)-1)*36000/_xlfn.DAYS(L10397, $C$2)</f>
        <v>19.041076570774891</v>
      </c>
      <c r="O10397" s="149">
        <f t="shared" ca="1" si="336"/>
        <v>1.000173611111111</v>
      </c>
    </row>
    <row r="10398" spans="12:15" x14ac:dyDescent="0.25">
      <c r="L10398" s="147">
        <f ca="1"/>
        <v>55637</v>
      </c>
      <c r="M10398" s="92">
        <f t="shared" ca="1" si="335"/>
        <v>6.25</v>
      </c>
      <c r="N10398" s="143">
        <f ca="1">(PRODUCT($O$5:$O10398)-1)*36000/_xlfn.DAYS(L10398, $C$2)</f>
        <v>19.043151374009266</v>
      </c>
      <c r="O10398" s="149">
        <f t="shared" ca="1" si="336"/>
        <v>1.000173611111111</v>
      </c>
    </row>
    <row r="10399" spans="12:15" x14ac:dyDescent="0.25">
      <c r="L10399" s="147">
        <f ca="1"/>
        <v>55638</v>
      </c>
      <c r="M10399" s="92">
        <f t="shared" ca="1" si="335"/>
        <v>6.25</v>
      </c>
      <c r="N10399" s="143">
        <f ca="1">(PRODUCT($O$5:$O10399)-1)*36000/_xlfn.DAYS(L10399, $C$2)</f>
        <v>19.045226456238087</v>
      </c>
      <c r="O10399" s="149">
        <f t="shared" ca="1" si="336"/>
        <v>1.000173611111111</v>
      </c>
    </row>
    <row r="10400" spans="12:15" x14ac:dyDescent="0.25">
      <c r="L10400" s="147">
        <f ca="1"/>
        <v>55639</v>
      </c>
      <c r="M10400" s="92">
        <f t="shared" ca="1" si="335"/>
        <v>6.25</v>
      </c>
      <c r="N10400" s="143">
        <f ca="1">(PRODUCT($O$5:$O10400)-1)*36000/_xlfn.DAYS(L10400, $C$2)</f>
        <v>19.047301817498575</v>
      </c>
      <c r="O10400" s="149">
        <f t="shared" ca="1" si="336"/>
        <v>1.000173611111111</v>
      </c>
    </row>
    <row r="10401" spans="12:15" x14ac:dyDescent="0.25">
      <c r="L10401" s="147">
        <f ca="1"/>
        <v>55640</v>
      </c>
      <c r="M10401" s="92">
        <f t="shared" ca="1" si="335"/>
        <v>6.25</v>
      </c>
      <c r="N10401" s="143">
        <f ca="1">(PRODUCT($O$5:$O10401)-1)*36000/_xlfn.DAYS(L10401, $C$2)</f>
        <v>19.049377457827944</v>
      </c>
      <c r="O10401" s="149">
        <f t="shared" ca="1" si="336"/>
        <v>1.000173611111111</v>
      </c>
    </row>
    <row r="10402" spans="12:15" x14ac:dyDescent="0.25">
      <c r="L10402" s="147">
        <f ca="1"/>
        <v>55641</v>
      </c>
      <c r="M10402" s="92">
        <f t="shared" ca="1" si="335"/>
        <v>6.25</v>
      </c>
      <c r="N10402" s="143">
        <f ca="1">(PRODUCT($O$5:$O10402)-1)*36000/_xlfn.DAYS(L10402, $C$2)</f>
        <v>19.051453377263435</v>
      </c>
      <c r="O10402" s="149">
        <f t="shared" ca="1" si="336"/>
        <v>1.000173611111111</v>
      </c>
    </row>
    <row r="10403" spans="12:15" x14ac:dyDescent="0.25">
      <c r="L10403" s="147">
        <f ca="1"/>
        <v>55642</v>
      </c>
      <c r="M10403" s="92">
        <f t="shared" ca="1" si="335"/>
        <v>6.25</v>
      </c>
      <c r="N10403" s="143">
        <f ca="1">(PRODUCT($O$5:$O10403)-1)*36000/_xlfn.DAYS(L10403, $C$2)</f>
        <v>19.053529575842287</v>
      </c>
      <c r="O10403" s="149">
        <f t="shared" ca="1" si="336"/>
        <v>1.000173611111111</v>
      </c>
    </row>
    <row r="10404" spans="12:15" x14ac:dyDescent="0.25">
      <c r="L10404" s="147">
        <f ca="1"/>
        <v>55643</v>
      </c>
      <c r="M10404" s="92">
        <f t="shared" ca="1" si="335"/>
        <v>6.25</v>
      </c>
      <c r="N10404" s="143">
        <f ca="1">(PRODUCT($O$5:$O10404)-1)*36000/_xlfn.DAYS(L10404, $C$2)</f>
        <v>19.055606053601739</v>
      </c>
      <c r="O10404" s="149">
        <f t="shared" ca="1" si="336"/>
        <v>1.000173611111111</v>
      </c>
    </row>
    <row r="10405" spans="12:15" x14ac:dyDescent="0.25">
      <c r="L10405" s="147">
        <f ca="1"/>
        <v>55644</v>
      </c>
      <c r="M10405" s="92">
        <f t="shared" ca="1" si="335"/>
        <v>6.25</v>
      </c>
      <c r="N10405" s="143">
        <f ca="1">(PRODUCT($O$5:$O10405)-1)*36000/_xlfn.DAYS(L10405, $C$2)</f>
        <v>19.057682810579042</v>
      </c>
      <c r="O10405" s="149">
        <f t="shared" ca="1" si="336"/>
        <v>1.000173611111111</v>
      </c>
    </row>
    <row r="10406" spans="12:15" x14ac:dyDescent="0.25">
      <c r="L10406" s="147">
        <f ca="1"/>
        <v>55645</v>
      </c>
      <c r="M10406" s="92">
        <f t="shared" ca="1" si="335"/>
        <v>6.25</v>
      </c>
      <c r="N10406" s="143">
        <f ca="1">(PRODUCT($O$5:$O10406)-1)*36000/_xlfn.DAYS(L10406, $C$2)</f>
        <v>19.059759846811456</v>
      </c>
      <c r="O10406" s="149">
        <f t="shared" ca="1" si="336"/>
        <v>1.000173611111111</v>
      </c>
    </row>
    <row r="10407" spans="12:15" x14ac:dyDescent="0.25">
      <c r="L10407" s="147">
        <f ca="1"/>
        <v>55646</v>
      </c>
      <c r="M10407" s="92">
        <f t="shared" ca="1" si="335"/>
        <v>6.25</v>
      </c>
      <c r="N10407" s="143">
        <f ca="1">(PRODUCT($O$5:$O10407)-1)*36000/_xlfn.DAYS(L10407, $C$2)</f>
        <v>19.061837162336236</v>
      </c>
      <c r="O10407" s="149">
        <f t="shared" ca="1" si="336"/>
        <v>1.000173611111111</v>
      </c>
    </row>
    <row r="10408" spans="12:15" x14ac:dyDescent="0.25">
      <c r="L10408" s="147">
        <f ca="1"/>
        <v>55647</v>
      </c>
      <c r="M10408" s="92">
        <f t="shared" ca="1" si="335"/>
        <v>6.25</v>
      </c>
      <c r="N10408" s="143">
        <f ca="1">(PRODUCT($O$5:$O10408)-1)*36000/_xlfn.DAYS(L10408, $C$2)</f>
        <v>19.063914757190656</v>
      </c>
      <c r="O10408" s="149">
        <f t="shared" ca="1" si="336"/>
        <v>1.000173611111111</v>
      </c>
    </row>
    <row r="10409" spans="12:15" x14ac:dyDescent="0.25">
      <c r="L10409" s="147">
        <f ca="1"/>
        <v>55648</v>
      </c>
      <c r="M10409" s="92">
        <f t="shared" ca="1" si="335"/>
        <v>6.25</v>
      </c>
      <c r="N10409" s="143">
        <f ca="1">(PRODUCT($O$5:$O10409)-1)*36000/_xlfn.DAYS(L10409, $C$2)</f>
        <v>19.065992631411987</v>
      </c>
      <c r="O10409" s="149">
        <f t="shared" ca="1" si="336"/>
        <v>1.000173611111111</v>
      </c>
    </row>
    <row r="10410" spans="12:15" x14ac:dyDescent="0.25">
      <c r="L10410" s="147">
        <f ca="1"/>
        <v>55649</v>
      </c>
      <c r="M10410" s="92">
        <f t="shared" ca="1" si="335"/>
        <v>6.25</v>
      </c>
      <c r="N10410" s="143">
        <f ca="1">(PRODUCT($O$5:$O10410)-1)*36000/_xlfn.DAYS(L10410, $C$2)</f>
        <v>19.068070785037513</v>
      </c>
      <c r="O10410" s="149">
        <f t="shared" ca="1" si="336"/>
        <v>1.000173611111111</v>
      </c>
    </row>
    <row r="10411" spans="12:15" x14ac:dyDescent="0.25">
      <c r="L10411" s="147">
        <f ca="1"/>
        <v>55650</v>
      </c>
      <c r="M10411" s="92">
        <f t="shared" ca="1" si="335"/>
        <v>6.25</v>
      </c>
      <c r="N10411" s="143">
        <f ca="1">(PRODUCT($O$5:$O10411)-1)*36000/_xlfn.DAYS(L10411, $C$2)</f>
        <v>19.070149218104518</v>
      </c>
      <c r="O10411" s="149">
        <f t="shared" ca="1" si="336"/>
        <v>1.000173611111111</v>
      </c>
    </row>
    <row r="10412" spans="12:15" x14ac:dyDescent="0.25">
      <c r="L10412" s="147">
        <f ca="1"/>
        <v>55651</v>
      </c>
      <c r="M10412" s="92">
        <f t="shared" ca="1" si="335"/>
        <v>6.25</v>
      </c>
      <c r="N10412" s="143">
        <f ca="1">(PRODUCT($O$5:$O10412)-1)*36000/_xlfn.DAYS(L10412, $C$2)</f>
        <v>19.0722279306503</v>
      </c>
      <c r="O10412" s="149">
        <f t="shared" ca="1" si="336"/>
        <v>1.000173611111111</v>
      </c>
    </row>
    <row r="10413" spans="12:15" x14ac:dyDescent="0.25">
      <c r="L10413" s="147">
        <f ca="1"/>
        <v>55652</v>
      </c>
      <c r="M10413" s="92">
        <f t="shared" ca="1" si="335"/>
        <v>6.25</v>
      </c>
      <c r="N10413" s="143">
        <f ca="1">(PRODUCT($O$5:$O10413)-1)*36000/_xlfn.DAYS(L10413, $C$2)</f>
        <v>19.074306922712147</v>
      </c>
      <c r="O10413" s="149">
        <f t="shared" ca="1" si="336"/>
        <v>1.000173611111111</v>
      </c>
    </row>
    <row r="10414" spans="12:15" x14ac:dyDescent="0.25">
      <c r="L10414" s="147">
        <f ca="1"/>
        <v>55653</v>
      </c>
      <c r="M10414" s="92">
        <f t="shared" ca="1" si="335"/>
        <v>6.25</v>
      </c>
      <c r="N10414" s="143">
        <f ca="1">(PRODUCT($O$5:$O10414)-1)*36000/_xlfn.DAYS(L10414, $C$2)</f>
        <v>19.076386194327377</v>
      </c>
      <c r="O10414" s="149">
        <f t="shared" ca="1" si="336"/>
        <v>1.000173611111111</v>
      </c>
    </row>
    <row r="10415" spans="12:15" x14ac:dyDescent="0.25">
      <c r="L10415" s="147">
        <f ca="1"/>
        <v>55654</v>
      </c>
      <c r="M10415" s="92">
        <f t="shared" ca="1" si="335"/>
        <v>6.25</v>
      </c>
      <c r="N10415" s="143">
        <f ca="1">(PRODUCT($O$5:$O10415)-1)*36000/_xlfn.DAYS(L10415, $C$2)</f>
        <v>19.07846574553329</v>
      </c>
      <c r="O10415" s="149">
        <f t="shared" ca="1" si="336"/>
        <v>1.000173611111111</v>
      </c>
    </row>
    <row r="10416" spans="12:15" x14ac:dyDescent="0.25">
      <c r="L10416" s="147">
        <f ca="1"/>
        <v>55655</v>
      </c>
      <c r="M10416" s="92">
        <f t="shared" ca="1" si="335"/>
        <v>6.25</v>
      </c>
      <c r="N10416" s="143">
        <f ca="1">(PRODUCT($O$5:$O10416)-1)*36000/_xlfn.DAYS(L10416, $C$2)</f>
        <v>19.080545576367214</v>
      </c>
      <c r="O10416" s="149">
        <f t="shared" ca="1" si="336"/>
        <v>1.000173611111111</v>
      </c>
    </row>
    <row r="10417" spans="12:15" x14ac:dyDescent="0.25">
      <c r="L10417" s="147">
        <f ca="1"/>
        <v>55656</v>
      </c>
      <c r="M10417" s="92">
        <f t="shared" ca="1" si="335"/>
        <v>6.25</v>
      </c>
      <c r="N10417" s="143">
        <f ca="1">(PRODUCT($O$5:$O10417)-1)*36000/_xlfn.DAYS(L10417, $C$2)</f>
        <v>19.082625686866461</v>
      </c>
      <c r="O10417" s="149">
        <f t="shared" ca="1" si="336"/>
        <v>1.000173611111111</v>
      </c>
    </row>
    <row r="10418" spans="12:15" x14ac:dyDescent="0.25">
      <c r="L10418" s="147">
        <f ca="1"/>
        <v>55657</v>
      </c>
      <c r="M10418" s="92">
        <f t="shared" ca="1" si="335"/>
        <v>6.25</v>
      </c>
      <c r="N10418" s="143">
        <f ca="1">(PRODUCT($O$5:$O10418)-1)*36000/_xlfn.DAYS(L10418, $C$2)</f>
        <v>19.084706077068365</v>
      </c>
      <c r="O10418" s="149">
        <f t="shared" ca="1" si="336"/>
        <v>1.000173611111111</v>
      </c>
    </row>
    <row r="10419" spans="12:15" x14ac:dyDescent="0.25">
      <c r="L10419" s="147">
        <f ca="1"/>
        <v>55658</v>
      </c>
      <c r="M10419" s="92">
        <f t="shared" ca="1" si="335"/>
        <v>6.25</v>
      </c>
      <c r="N10419" s="143">
        <f ca="1">(PRODUCT($O$5:$O10419)-1)*36000/_xlfn.DAYS(L10419, $C$2)</f>
        <v>19.086786747010265</v>
      </c>
      <c r="O10419" s="149">
        <f t="shared" ca="1" si="336"/>
        <v>1.000173611111111</v>
      </c>
    </row>
    <row r="10420" spans="12:15" x14ac:dyDescent="0.25">
      <c r="L10420" s="147">
        <f ca="1"/>
        <v>55659</v>
      </c>
      <c r="M10420" s="92">
        <f t="shared" ca="1" si="335"/>
        <v>6.25</v>
      </c>
      <c r="N10420" s="143">
        <f ca="1">(PRODUCT($O$5:$O10420)-1)*36000/_xlfn.DAYS(L10420, $C$2)</f>
        <v>19.088867696729505</v>
      </c>
      <c r="O10420" s="149">
        <f t="shared" ca="1" si="336"/>
        <v>1.000173611111111</v>
      </c>
    </row>
    <row r="10421" spans="12:15" x14ac:dyDescent="0.25">
      <c r="L10421" s="147">
        <f ca="1"/>
        <v>55660</v>
      </c>
      <c r="M10421" s="92">
        <f t="shared" ca="1" si="335"/>
        <v>6.25</v>
      </c>
      <c r="N10421" s="143">
        <f ca="1">(PRODUCT($O$5:$O10421)-1)*36000/_xlfn.DAYS(L10421, $C$2)</f>
        <v>19.090948926263426</v>
      </c>
      <c r="O10421" s="149">
        <f t="shared" ca="1" si="336"/>
        <v>1.000173611111111</v>
      </c>
    </row>
    <row r="10422" spans="12:15" x14ac:dyDescent="0.25">
      <c r="L10422" s="147">
        <f ca="1"/>
        <v>55661</v>
      </c>
      <c r="M10422" s="92">
        <f t="shared" ca="1" si="335"/>
        <v>6.25</v>
      </c>
      <c r="N10422" s="143">
        <f ca="1">(PRODUCT($O$5:$O10422)-1)*36000/_xlfn.DAYS(L10422, $C$2)</f>
        <v>19.093030435649379</v>
      </c>
      <c r="O10422" s="149">
        <f t="shared" ca="1" si="336"/>
        <v>1.000173611111111</v>
      </c>
    </row>
    <row r="10423" spans="12:15" x14ac:dyDescent="0.25">
      <c r="L10423" s="147">
        <f ca="1"/>
        <v>55662</v>
      </c>
      <c r="M10423" s="92">
        <f t="shared" ca="1" si="335"/>
        <v>6.25</v>
      </c>
      <c r="N10423" s="143">
        <f ca="1">(PRODUCT($O$5:$O10423)-1)*36000/_xlfn.DAYS(L10423, $C$2)</f>
        <v>19.095112224924733</v>
      </c>
      <c r="O10423" s="149">
        <f t="shared" ca="1" si="336"/>
        <v>1.000173611111111</v>
      </c>
    </row>
    <row r="10424" spans="12:15" x14ac:dyDescent="0.25">
      <c r="L10424" s="147">
        <f ca="1"/>
        <v>55663</v>
      </c>
      <c r="M10424" s="92">
        <f t="shared" ca="1" si="335"/>
        <v>6.25</v>
      </c>
      <c r="N10424" s="143">
        <f ca="1">(PRODUCT($O$5:$O10424)-1)*36000/_xlfn.DAYS(L10424, $C$2)</f>
        <v>19.097194294126851</v>
      </c>
      <c r="O10424" s="149">
        <f t="shared" ca="1" si="336"/>
        <v>1.000173611111111</v>
      </c>
    </row>
    <row r="10425" spans="12:15" x14ac:dyDescent="0.25">
      <c r="L10425" s="147">
        <f ca="1"/>
        <v>55664</v>
      </c>
      <c r="M10425" s="92">
        <f t="shared" ca="1" si="335"/>
        <v>6.25</v>
      </c>
      <c r="N10425" s="143">
        <f ca="1">(PRODUCT($O$5:$O10425)-1)*36000/_xlfn.DAYS(L10425, $C$2)</f>
        <v>19.099276643293106</v>
      </c>
      <c r="O10425" s="149">
        <f t="shared" ca="1" si="336"/>
        <v>1.000173611111111</v>
      </c>
    </row>
    <row r="10426" spans="12:15" x14ac:dyDescent="0.25">
      <c r="L10426" s="147">
        <f ca="1"/>
        <v>55665</v>
      </c>
      <c r="M10426" s="92">
        <f t="shared" ca="1" si="335"/>
        <v>6.25</v>
      </c>
      <c r="N10426" s="143">
        <f ca="1">(PRODUCT($O$5:$O10426)-1)*36000/_xlfn.DAYS(L10426, $C$2)</f>
        <v>19.101359272460876</v>
      </c>
      <c r="O10426" s="149">
        <f t="shared" ca="1" si="336"/>
        <v>1.000173611111111</v>
      </c>
    </row>
    <row r="10427" spans="12:15" x14ac:dyDescent="0.25">
      <c r="L10427" s="147">
        <f ca="1"/>
        <v>55666</v>
      </c>
      <c r="M10427" s="92">
        <f t="shared" ca="1" si="335"/>
        <v>6.25</v>
      </c>
      <c r="N10427" s="143">
        <f ca="1">(PRODUCT($O$5:$O10427)-1)*36000/_xlfn.DAYS(L10427, $C$2)</f>
        <v>19.103442181667546</v>
      </c>
      <c r="O10427" s="149">
        <f t="shared" ca="1" si="336"/>
        <v>1.000173611111111</v>
      </c>
    </row>
    <row r="10428" spans="12:15" x14ac:dyDescent="0.25">
      <c r="L10428" s="147">
        <f ca="1"/>
        <v>55667</v>
      </c>
      <c r="M10428" s="92">
        <f t="shared" ca="1" si="335"/>
        <v>6.25</v>
      </c>
      <c r="N10428" s="143">
        <f ca="1">(PRODUCT($O$5:$O10428)-1)*36000/_xlfn.DAYS(L10428, $C$2)</f>
        <v>19.105525370950506</v>
      </c>
      <c r="O10428" s="149">
        <f t="shared" ca="1" si="336"/>
        <v>1.000173611111111</v>
      </c>
    </row>
    <row r="10429" spans="12:15" x14ac:dyDescent="0.25">
      <c r="L10429" s="147">
        <f ca="1"/>
        <v>55668</v>
      </c>
      <c r="M10429" s="92">
        <f t="shared" ca="1" si="335"/>
        <v>6.25</v>
      </c>
      <c r="N10429" s="143">
        <f ca="1">(PRODUCT($O$5:$O10429)-1)*36000/_xlfn.DAYS(L10429, $C$2)</f>
        <v>19.107608840347158</v>
      </c>
      <c r="O10429" s="149">
        <f t="shared" ca="1" si="336"/>
        <v>1.000173611111111</v>
      </c>
    </row>
    <row r="10430" spans="12:15" x14ac:dyDescent="0.25">
      <c r="L10430" s="147">
        <f ca="1"/>
        <v>55669</v>
      </c>
      <c r="M10430" s="92">
        <f t="shared" ca="1" si="335"/>
        <v>6.25</v>
      </c>
      <c r="N10430" s="143">
        <f ca="1">(PRODUCT($O$5:$O10430)-1)*36000/_xlfn.DAYS(L10430, $C$2)</f>
        <v>19.109692589894895</v>
      </c>
      <c r="O10430" s="149">
        <f t="shared" ca="1" si="336"/>
        <v>1.000173611111111</v>
      </c>
    </row>
    <row r="10431" spans="12:15" x14ac:dyDescent="0.25">
      <c r="L10431" s="147">
        <f ca="1"/>
        <v>55670</v>
      </c>
      <c r="M10431" s="92">
        <f t="shared" ca="1" si="335"/>
        <v>6.25</v>
      </c>
      <c r="N10431" s="143">
        <f ca="1">(PRODUCT($O$5:$O10431)-1)*36000/_xlfn.DAYS(L10431, $C$2)</f>
        <v>19.111776619631136</v>
      </c>
      <c r="O10431" s="149">
        <f t="shared" ca="1" si="336"/>
        <v>1.000173611111111</v>
      </c>
    </row>
    <row r="10432" spans="12:15" x14ac:dyDescent="0.25">
      <c r="L10432" s="147">
        <f ca="1"/>
        <v>55671</v>
      </c>
      <c r="M10432" s="92">
        <f t="shared" ca="1" si="335"/>
        <v>6.25</v>
      </c>
      <c r="N10432" s="143">
        <f ca="1">(PRODUCT($O$5:$O10432)-1)*36000/_xlfn.DAYS(L10432, $C$2)</f>
        <v>19.113860929593294</v>
      </c>
      <c r="O10432" s="149">
        <f t="shared" ca="1" si="336"/>
        <v>1.000173611111111</v>
      </c>
    </row>
    <row r="10433" spans="12:15" x14ac:dyDescent="0.25">
      <c r="L10433" s="147">
        <f ca="1"/>
        <v>55672</v>
      </c>
      <c r="M10433" s="92">
        <f t="shared" ca="1" si="335"/>
        <v>6.25</v>
      </c>
      <c r="N10433" s="143">
        <f ca="1">(PRODUCT($O$5:$O10433)-1)*36000/_xlfn.DAYS(L10433, $C$2)</f>
        <v>19.115945519818787</v>
      </c>
      <c r="O10433" s="149">
        <f t="shared" ca="1" si="336"/>
        <v>1.000173611111111</v>
      </c>
    </row>
    <row r="10434" spans="12:15" x14ac:dyDescent="0.25">
      <c r="L10434" s="147">
        <f ca="1"/>
        <v>55673</v>
      </c>
      <c r="M10434" s="92">
        <f t="shared" ca="1" si="335"/>
        <v>6.25</v>
      </c>
      <c r="N10434" s="143">
        <f ca="1">(PRODUCT($O$5:$O10434)-1)*36000/_xlfn.DAYS(L10434, $C$2)</f>
        <v>19.118030390345044</v>
      </c>
      <c r="O10434" s="149">
        <f t="shared" ca="1" si="336"/>
        <v>1.000173611111111</v>
      </c>
    </row>
    <row r="10435" spans="12:15" x14ac:dyDescent="0.25">
      <c r="L10435" s="147">
        <f ca="1"/>
        <v>55674</v>
      </c>
      <c r="M10435" s="92">
        <f t="shared" ca="1" si="335"/>
        <v>6.25</v>
      </c>
      <c r="N10435" s="143">
        <f ca="1">(PRODUCT($O$5:$O10435)-1)*36000/_xlfn.DAYS(L10435, $C$2)</f>
        <v>19.120115541209504</v>
      </c>
      <c r="O10435" s="149">
        <f t="shared" ca="1" si="336"/>
        <v>1.000173611111111</v>
      </c>
    </row>
    <row r="10436" spans="12:15" x14ac:dyDescent="0.25">
      <c r="L10436" s="147">
        <f ca="1"/>
        <v>55675</v>
      </c>
      <c r="M10436" s="92">
        <f t="shared" ca="1" si="335"/>
        <v>6.25</v>
      </c>
      <c r="N10436" s="143">
        <f ca="1">(PRODUCT($O$5:$O10436)-1)*36000/_xlfn.DAYS(L10436, $C$2)</f>
        <v>19.122200972449598</v>
      </c>
      <c r="O10436" s="149">
        <f t="shared" ca="1" si="336"/>
        <v>1.000173611111111</v>
      </c>
    </row>
    <row r="10437" spans="12:15" x14ac:dyDescent="0.25">
      <c r="L10437" s="147">
        <f ca="1"/>
        <v>55676</v>
      </c>
      <c r="M10437" s="92">
        <f t="shared" ref="M10437:M10500" ca="1" si="337">IFERROR(INDEX($E$27:$H$47, MATCH(L10437, $F$27:$F$47, 0), 4), IF(ISNUMBER(M10436), M10436, $C$5))</f>
        <v>6.25</v>
      </c>
      <c r="N10437" s="143">
        <f ca="1">(PRODUCT($O$5:$O10437)-1)*36000/_xlfn.DAYS(L10437, $C$2)</f>
        <v>19.124286684102781</v>
      </c>
      <c r="O10437" s="149">
        <f t="shared" ca="1" si="336"/>
        <v>1.000173611111111</v>
      </c>
    </row>
    <row r="10438" spans="12:15" x14ac:dyDescent="0.25">
      <c r="L10438" s="147">
        <f ca="1"/>
        <v>55677</v>
      </c>
      <c r="M10438" s="92">
        <f t="shared" ca="1" si="337"/>
        <v>6.25</v>
      </c>
      <c r="N10438" s="143">
        <f ca="1">(PRODUCT($O$5:$O10438)-1)*36000/_xlfn.DAYS(L10438, $C$2)</f>
        <v>19.126372676206497</v>
      </c>
      <c r="O10438" s="149">
        <f t="shared" ref="O10438:O10501" ca="1" si="338">1+M10438*IFERROR(_xlfn.DAYS(L10438, L10437), _xlfn.DAYS(L10438, $C$2))/36000</f>
        <v>1.000173611111111</v>
      </c>
    </row>
    <row r="10439" spans="12:15" x14ac:dyDescent="0.25">
      <c r="L10439" s="147">
        <f ca="1"/>
        <v>55678</v>
      </c>
      <c r="M10439" s="92">
        <f t="shared" ca="1" si="337"/>
        <v>6.25</v>
      </c>
      <c r="N10439" s="143">
        <f ca="1">(PRODUCT($O$5:$O10439)-1)*36000/_xlfn.DAYS(L10439, $C$2)</f>
        <v>19.128458948798212</v>
      </c>
      <c r="O10439" s="149">
        <f t="shared" ca="1" si="338"/>
        <v>1.000173611111111</v>
      </c>
    </row>
    <row r="10440" spans="12:15" x14ac:dyDescent="0.25">
      <c r="L10440" s="147">
        <f ca="1"/>
        <v>55679</v>
      </c>
      <c r="M10440" s="92">
        <f t="shared" ca="1" si="337"/>
        <v>6.25</v>
      </c>
      <c r="N10440" s="143">
        <f ca="1">(PRODUCT($O$5:$O10440)-1)*36000/_xlfn.DAYS(L10440, $C$2)</f>
        <v>19.130545501915382</v>
      </c>
      <c r="O10440" s="149">
        <f t="shared" ca="1" si="338"/>
        <v>1.000173611111111</v>
      </c>
    </row>
    <row r="10441" spans="12:15" x14ac:dyDescent="0.25">
      <c r="L10441" s="147">
        <f ca="1"/>
        <v>55680</v>
      </c>
      <c r="M10441" s="92">
        <f t="shared" ca="1" si="337"/>
        <v>6.25</v>
      </c>
      <c r="N10441" s="143">
        <f ca="1">(PRODUCT($O$5:$O10441)-1)*36000/_xlfn.DAYS(L10441, $C$2)</f>
        <v>19.132632335595488</v>
      </c>
      <c r="O10441" s="149">
        <f t="shared" ca="1" si="338"/>
        <v>1.000173611111111</v>
      </c>
    </row>
    <row r="10442" spans="12:15" x14ac:dyDescent="0.25">
      <c r="L10442" s="147">
        <f ca="1"/>
        <v>55681</v>
      </c>
      <c r="M10442" s="92">
        <f t="shared" ca="1" si="337"/>
        <v>6.25</v>
      </c>
      <c r="N10442" s="143">
        <f ca="1">(PRODUCT($O$5:$O10442)-1)*36000/_xlfn.DAYS(L10442, $C$2)</f>
        <v>19.134719449876002</v>
      </c>
      <c r="O10442" s="149">
        <f t="shared" ca="1" si="338"/>
        <v>1.000173611111111</v>
      </c>
    </row>
    <row r="10443" spans="12:15" x14ac:dyDescent="0.25">
      <c r="L10443" s="147">
        <f ca="1"/>
        <v>55682</v>
      </c>
      <c r="M10443" s="92">
        <f t="shared" ca="1" si="337"/>
        <v>6.25</v>
      </c>
      <c r="N10443" s="143">
        <f ca="1">(PRODUCT($O$5:$O10443)-1)*36000/_xlfn.DAYS(L10443, $C$2)</f>
        <v>19.1368068447944</v>
      </c>
      <c r="O10443" s="149">
        <f t="shared" ca="1" si="338"/>
        <v>1.000173611111111</v>
      </c>
    </row>
    <row r="10444" spans="12:15" x14ac:dyDescent="0.25">
      <c r="L10444" s="147">
        <f ca="1"/>
        <v>55683</v>
      </c>
      <c r="M10444" s="92">
        <f t="shared" ca="1" si="337"/>
        <v>6.25</v>
      </c>
      <c r="N10444" s="143">
        <f ca="1">(PRODUCT($O$5:$O10444)-1)*36000/_xlfn.DAYS(L10444, $C$2)</f>
        <v>19.138894520388181</v>
      </c>
      <c r="O10444" s="149">
        <f t="shared" ca="1" si="338"/>
        <v>1.000173611111111</v>
      </c>
    </row>
    <row r="10445" spans="12:15" x14ac:dyDescent="0.25">
      <c r="L10445" s="147">
        <f ca="1"/>
        <v>55684</v>
      </c>
      <c r="M10445" s="92">
        <f t="shared" ca="1" si="337"/>
        <v>6.25</v>
      </c>
      <c r="N10445" s="143">
        <f ca="1">(PRODUCT($O$5:$O10445)-1)*36000/_xlfn.DAYS(L10445, $C$2)</f>
        <v>19.140982476694841</v>
      </c>
      <c r="O10445" s="149">
        <f t="shared" ca="1" si="338"/>
        <v>1.000173611111111</v>
      </c>
    </row>
    <row r="10446" spans="12:15" x14ac:dyDescent="0.25">
      <c r="L10446" s="147">
        <f ca="1"/>
        <v>55685</v>
      </c>
      <c r="M10446" s="92">
        <f t="shared" ca="1" si="337"/>
        <v>6.25</v>
      </c>
      <c r="N10446" s="143">
        <f ca="1">(PRODUCT($O$5:$O10446)-1)*36000/_xlfn.DAYS(L10446, $C$2)</f>
        <v>19.143070713751872</v>
      </c>
      <c r="O10446" s="149">
        <f t="shared" ca="1" si="338"/>
        <v>1.000173611111111</v>
      </c>
    </row>
    <row r="10447" spans="12:15" x14ac:dyDescent="0.25">
      <c r="L10447" s="147">
        <f ca="1"/>
        <v>55686</v>
      </c>
      <c r="M10447" s="92">
        <f t="shared" ca="1" si="337"/>
        <v>6.25</v>
      </c>
      <c r="N10447" s="143">
        <f ca="1">(PRODUCT($O$5:$O10447)-1)*36000/_xlfn.DAYS(L10447, $C$2)</f>
        <v>19.145159231596786</v>
      </c>
      <c r="O10447" s="149">
        <f t="shared" ca="1" si="338"/>
        <v>1.000173611111111</v>
      </c>
    </row>
    <row r="10448" spans="12:15" x14ac:dyDescent="0.25">
      <c r="L10448" s="147">
        <f ca="1"/>
        <v>55687</v>
      </c>
      <c r="M10448" s="92">
        <f t="shared" ca="1" si="337"/>
        <v>6.25</v>
      </c>
      <c r="N10448" s="143">
        <f ca="1">(PRODUCT($O$5:$O10448)-1)*36000/_xlfn.DAYS(L10448, $C$2)</f>
        <v>19.1472480302671</v>
      </c>
      <c r="O10448" s="149">
        <f t="shared" ca="1" si="338"/>
        <v>1.000173611111111</v>
      </c>
    </row>
    <row r="10449" spans="12:15" x14ac:dyDescent="0.25">
      <c r="L10449" s="147">
        <f ca="1"/>
        <v>55688</v>
      </c>
      <c r="M10449" s="92">
        <f t="shared" ca="1" si="337"/>
        <v>6.25</v>
      </c>
      <c r="N10449" s="143">
        <f ca="1">(PRODUCT($O$5:$O10449)-1)*36000/_xlfn.DAYS(L10449, $C$2)</f>
        <v>19.149337109800332</v>
      </c>
      <c r="O10449" s="149">
        <f t="shared" ca="1" si="338"/>
        <v>1.000173611111111</v>
      </c>
    </row>
    <row r="10450" spans="12:15" x14ac:dyDescent="0.25">
      <c r="L10450" s="147">
        <f ca="1"/>
        <v>55689</v>
      </c>
      <c r="M10450" s="92">
        <f t="shared" ca="1" si="337"/>
        <v>6.25</v>
      </c>
      <c r="N10450" s="143">
        <f ca="1">(PRODUCT($O$5:$O10450)-1)*36000/_xlfn.DAYS(L10450, $C$2)</f>
        <v>19.151426470234007</v>
      </c>
      <c r="O10450" s="149">
        <f t="shared" ca="1" si="338"/>
        <v>1.000173611111111</v>
      </c>
    </row>
    <row r="10451" spans="12:15" x14ac:dyDescent="0.25">
      <c r="L10451" s="147">
        <f ca="1"/>
        <v>55690</v>
      </c>
      <c r="M10451" s="92">
        <f t="shared" ca="1" si="337"/>
        <v>6.25</v>
      </c>
      <c r="N10451" s="143">
        <f ca="1">(PRODUCT($O$5:$O10451)-1)*36000/_xlfn.DAYS(L10451, $C$2)</f>
        <v>19.153516111605654</v>
      </c>
      <c r="O10451" s="149">
        <f t="shared" ca="1" si="338"/>
        <v>1.000173611111111</v>
      </c>
    </row>
    <row r="10452" spans="12:15" x14ac:dyDescent="0.25">
      <c r="L10452" s="147">
        <f ca="1"/>
        <v>55691</v>
      </c>
      <c r="M10452" s="92">
        <f t="shared" ca="1" si="337"/>
        <v>6.25</v>
      </c>
      <c r="N10452" s="143">
        <f ca="1">(PRODUCT($O$5:$O10452)-1)*36000/_xlfn.DAYS(L10452, $C$2)</f>
        <v>19.155606033952818</v>
      </c>
      <c r="O10452" s="149">
        <f t="shared" ca="1" si="338"/>
        <v>1.000173611111111</v>
      </c>
    </row>
    <row r="10453" spans="12:15" x14ac:dyDescent="0.25">
      <c r="L10453" s="147">
        <f ca="1"/>
        <v>55692</v>
      </c>
      <c r="M10453" s="92">
        <f t="shared" ca="1" si="337"/>
        <v>6.25</v>
      </c>
      <c r="N10453" s="143">
        <f ca="1">(PRODUCT($O$5:$O10453)-1)*36000/_xlfn.DAYS(L10453, $C$2)</f>
        <v>19.15769623731304</v>
      </c>
      <c r="O10453" s="149">
        <f t="shared" ca="1" si="338"/>
        <v>1.000173611111111</v>
      </c>
    </row>
    <row r="10454" spans="12:15" x14ac:dyDescent="0.25">
      <c r="L10454" s="147">
        <f ca="1"/>
        <v>55693</v>
      </c>
      <c r="M10454" s="92">
        <f t="shared" ca="1" si="337"/>
        <v>6.25</v>
      </c>
      <c r="N10454" s="143">
        <f ca="1">(PRODUCT($O$5:$O10454)-1)*36000/_xlfn.DAYS(L10454, $C$2)</f>
        <v>19.159786721723869</v>
      </c>
      <c r="O10454" s="149">
        <f t="shared" ca="1" si="338"/>
        <v>1.000173611111111</v>
      </c>
    </row>
    <row r="10455" spans="12:15" x14ac:dyDescent="0.25">
      <c r="L10455" s="147">
        <f ca="1"/>
        <v>55694</v>
      </c>
      <c r="M10455" s="92">
        <f t="shared" ca="1" si="337"/>
        <v>6.25</v>
      </c>
      <c r="N10455" s="143">
        <f ca="1">(PRODUCT($O$5:$O10455)-1)*36000/_xlfn.DAYS(L10455, $C$2)</f>
        <v>19.161877487222863</v>
      </c>
      <c r="O10455" s="149">
        <f t="shared" ca="1" si="338"/>
        <v>1.000173611111111</v>
      </c>
    </row>
    <row r="10456" spans="12:15" x14ac:dyDescent="0.25">
      <c r="L10456" s="147">
        <f ca="1"/>
        <v>55695</v>
      </c>
      <c r="M10456" s="92">
        <f t="shared" ca="1" si="337"/>
        <v>6.25</v>
      </c>
      <c r="N10456" s="143">
        <f ca="1">(PRODUCT($O$5:$O10456)-1)*36000/_xlfn.DAYS(L10456, $C$2)</f>
        <v>19.163968533847584</v>
      </c>
      <c r="O10456" s="149">
        <f t="shared" ca="1" si="338"/>
        <v>1.000173611111111</v>
      </c>
    </row>
    <row r="10457" spans="12:15" x14ac:dyDescent="0.25">
      <c r="L10457" s="147">
        <f ca="1"/>
        <v>55696</v>
      </c>
      <c r="M10457" s="92">
        <f t="shared" ca="1" si="337"/>
        <v>6.25</v>
      </c>
      <c r="N10457" s="143">
        <f ca="1">(PRODUCT($O$5:$O10457)-1)*36000/_xlfn.DAYS(L10457, $C$2)</f>
        <v>19.166059861635606</v>
      </c>
      <c r="O10457" s="149">
        <f t="shared" ca="1" si="338"/>
        <v>1.000173611111111</v>
      </c>
    </row>
    <row r="10458" spans="12:15" x14ac:dyDescent="0.25">
      <c r="L10458" s="147">
        <f ca="1"/>
        <v>55697</v>
      </c>
      <c r="M10458" s="92">
        <f t="shared" ca="1" si="337"/>
        <v>6.25</v>
      </c>
      <c r="N10458" s="143">
        <f ca="1">(PRODUCT($O$5:$O10458)-1)*36000/_xlfn.DAYS(L10458, $C$2)</f>
        <v>19.168151470624498</v>
      </c>
      <c r="O10458" s="149">
        <f t="shared" ca="1" si="338"/>
        <v>1.000173611111111</v>
      </c>
    </row>
    <row r="10459" spans="12:15" x14ac:dyDescent="0.25">
      <c r="L10459" s="147">
        <f ca="1"/>
        <v>55698</v>
      </c>
      <c r="M10459" s="92">
        <f t="shared" ca="1" si="337"/>
        <v>6.25</v>
      </c>
      <c r="N10459" s="143">
        <f ca="1">(PRODUCT($O$5:$O10459)-1)*36000/_xlfn.DAYS(L10459, $C$2)</f>
        <v>19.170243360851845</v>
      </c>
      <c r="O10459" s="149">
        <f t="shared" ca="1" si="338"/>
        <v>1.000173611111111</v>
      </c>
    </row>
    <row r="10460" spans="12:15" x14ac:dyDescent="0.25">
      <c r="L10460" s="147">
        <f ca="1"/>
        <v>55699</v>
      </c>
      <c r="M10460" s="92">
        <f t="shared" ca="1" si="337"/>
        <v>6.25</v>
      </c>
      <c r="N10460" s="143">
        <f ca="1">(PRODUCT($O$5:$O10460)-1)*36000/_xlfn.DAYS(L10460, $C$2)</f>
        <v>19.17233553235523</v>
      </c>
      <c r="O10460" s="149">
        <f t="shared" ca="1" si="338"/>
        <v>1.000173611111111</v>
      </c>
    </row>
    <row r="10461" spans="12:15" x14ac:dyDescent="0.25">
      <c r="L10461" s="147">
        <f ca="1"/>
        <v>55700</v>
      </c>
      <c r="M10461" s="92">
        <f t="shared" ca="1" si="337"/>
        <v>6.25</v>
      </c>
      <c r="N10461" s="143">
        <f ca="1">(PRODUCT($O$5:$O10461)-1)*36000/_xlfn.DAYS(L10461, $C$2)</f>
        <v>19.174427985172258</v>
      </c>
      <c r="O10461" s="149">
        <f t="shared" ca="1" si="338"/>
        <v>1.000173611111111</v>
      </c>
    </row>
    <row r="10462" spans="12:15" x14ac:dyDescent="0.25">
      <c r="L10462" s="147">
        <f ca="1"/>
        <v>55701</v>
      </c>
      <c r="M10462" s="92">
        <f t="shared" ca="1" si="337"/>
        <v>6.25</v>
      </c>
      <c r="N10462" s="143">
        <f ca="1">(PRODUCT($O$5:$O10462)-1)*36000/_xlfn.DAYS(L10462, $C$2)</f>
        <v>19.176520719340512</v>
      </c>
      <c r="O10462" s="149">
        <f t="shared" ca="1" si="338"/>
        <v>1.000173611111111</v>
      </c>
    </row>
    <row r="10463" spans="12:15" x14ac:dyDescent="0.25">
      <c r="L10463" s="147">
        <f ca="1"/>
        <v>55702</v>
      </c>
      <c r="M10463" s="92">
        <f t="shared" ca="1" si="337"/>
        <v>6.25</v>
      </c>
      <c r="N10463" s="143">
        <f ca="1">(PRODUCT($O$5:$O10463)-1)*36000/_xlfn.DAYS(L10463, $C$2)</f>
        <v>19.17861373489761</v>
      </c>
      <c r="O10463" s="149">
        <f t="shared" ca="1" si="338"/>
        <v>1.000173611111111</v>
      </c>
    </row>
    <row r="10464" spans="12:15" x14ac:dyDescent="0.25">
      <c r="L10464" s="147">
        <f ca="1"/>
        <v>55703</v>
      </c>
      <c r="M10464" s="92">
        <f t="shared" ca="1" si="337"/>
        <v>6.25</v>
      </c>
      <c r="N10464" s="143">
        <f ca="1">(PRODUCT($O$5:$O10464)-1)*36000/_xlfn.DAYS(L10464, $C$2)</f>
        <v>19.180707031881163</v>
      </c>
      <c r="O10464" s="149">
        <f t="shared" ca="1" si="338"/>
        <v>1.000173611111111</v>
      </c>
    </row>
    <row r="10465" spans="12:15" x14ac:dyDescent="0.25">
      <c r="L10465" s="147">
        <f ca="1"/>
        <v>55704</v>
      </c>
      <c r="M10465" s="92">
        <f t="shared" ca="1" si="337"/>
        <v>6.25</v>
      </c>
      <c r="N10465" s="143">
        <f ca="1">(PRODUCT($O$5:$O10465)-1)*36000/_xlfn.DAYS(L10465, $C$2)</f>
        <v>19.182800610328787</v>
      </c>
      <c r="O10465" s="149">
        <f t="shared" ca="1" si="338"/>
        <v>1.000173611111111</v>
      </c>
    </row>
    <row r="10466" spans="12:15" x14ac:dyDescent="0.25">
      <c r="L10466" s="147">
        <f ca="1"/>
        <v>55705</v>
      </c>
      <c r="M10466" s="92">
        <f t="shared" ca="1" si="337"/>
        <v>6.25</v>
      </c>
      <c r="N10466" s="143">
        <f ca="1">(PRODUCT($O$5:$O10466)-1)*36000/_xlfn.DAYS(L10466, $C$2)</f>
        <v>19.184894470278103</v>
      </c>
      <c r="O10466" s="149">
        <f t="shared" ca="1" si="338"/>
        <v>1.000173611111111</v>
      </c>
    </row>
    <row r="10467" spans="12:15" x14ac:dyDescent="0.25">
      <c r="L10467" s="147">
        <f ca="1"/>
        <v>55706</v>
      </c>
      <c r="M10467" s="92">
        <f t="shared" ca="1" si="337"/>
        <v>6.25</v>
      </c>
      <c r="N10467" s="143">
        <f ca="1">(PRODUCT($O$5:$O10467)-1)*36000/_xlfn.DAYS(L10467, $C$2)</f>
        <v>19.186988611766751</v>
      </c>
      <c r="O10467" s="149">
        <f t="shared" ca="1" si="338"/>
        <v>1.000173611111111</v>
      </c>
    </row>
    <row r="10468" spans="12:15" x14ac:dyDescent="0.25">
      <c r="L10468" s="147">
        <f ca="1"/>
        <v>55707</v>
      </c>
      <c r="M10468" s="92">
        <f t="shared" ca="1" si="337"/>
        <v>6.25</v>
      </c>
      <c r="N10468" s="143">
        <f ca="1">(PRODUCT($O$5:$O10468)-1)*36000/_xlfn.DAYS(L10468, $C$2)</f>
        <v>19.189083034832354</v>
      </c>
      <c r="O10468" s="149">
        <f t="shared" ca="1" si="338"/>
        <v>1.000173611111111</v>
      </c>
    </row>
    <row r="10469" spans="12:15" x14ac:dyDescent="0.25">
      <c r="L10469" s="147">
        <f ca="1"/>
        <v>55708</v>
      </c>
      <c r="M10469" s="92">
        <f t="shared" ca="1" si="337"/>
        <v>6.25</v>
      </c>
      <c r="N10469" s="143">
        <f ca="1">(PRODUCT($O$5:$O10469)-1)*36000/_xlfn.DAYS(L10469, $C$2)</f>
        <v>19.191177739512568</v>
      </c>
      <c r="O10469" s="149">
        <f t="shared" ca="1" si="338"/>
        <v>1.000173611111111</v>
      </c>
    </row>
    <row r="10470" spans="12:15" x14ac:dyDescent="0.25">
      <c r="L10470" s="147">
        <f ca="1"/>
        <v>55709</v>
      </c>
      <c r="M10470" s="92">
        <f t="shared" ca="1" si="337"/>
        <v>6.25</v>
      </c>
      <c r="N10470" s="143">
        <f ca="1">(PRODUCT($O$5:$O10470)-1)*36000/_xlfn.DAYS(L10470, $C$2)</f>
        <v>19.193272725845034</v>
      </c>
      <c r="O10470" s="149">
        <f t="shared" ca="1" si="338"/>
        <v>1.000173611111111</v>
      </c>
    </row>
    <row r="10471" spans="12:15" x14ac:dyDescent="0.25">
      <c r="L10471" s="147">
        <f ca="1"/>
        <v>55710</v>
      </c>
      <c r="M10471" s="92">
        <f t="shared" ca="1" si="337"/>
        <v>6.25</v>
      </c>
      <c r="N10471" s="143">
        <f ca="1">(PRODUCT($O$5:$O10471)-1)*36000/_xlfn.DAYS(L10471, $C$2)</f>
        <v>19.195367993867411</v>
      </c>
      <c r="O10471" s="149">
        <f t="shared" ca="1" si="338"/>
        <v>1.000173611111111</v>
      </c>
    </row>
    <row r="10472" spans="12:15" x14ac:dyDescent="0.25">
      <c r="L10472" s="147">
        <f ca="1"/>
        <v>55711</v>
      </c>
      <c r="M10472" s="92">
        <f t="shared" ca="1" si="337"/>
        <v>6.25</v>
      </c>
      <c r="N10472" s="143">
        <f ca="1">(PRODUCT($O$5:$O10472)-1)*36000/_xlfn.DAYS(L10472, $C$2)</f>
        <v>19.19746354361736</v>
      </c>
      <c r="O10472" s="149">
        <f t="shared" ca="1" si="338"/>
        <v>1.000173611111111</v>
      </c>
    </row>
    <row r="10473" spans="12:15" x14ac:dyDescent="0.25">
      <c r="L10473" s="147">
        <f ca="1"/>
        <v>55712</v>
      </c>
      <c r="M10473" s="92">
        <f t="shared" ca="1" si="337"/>
        <v>6.25</v>
      </c>
      <c r="N10473" s="143">
        <f ca="1">(PRODUCT($O$5:$O10473)-1)*36000/_xlfn.DAYS(L10473, $C$2)</f>
        <v>19.199559375132548</v>
      </c>
      <c r="O10473" s="149">
        <f t="shared" ca="1" si="338"/>
        <v>1.000173611111111</v>
      </c>
    </row>
    <row r="10474" spans="12:15" x14ac:dyDescent="0.25">
      <c r="L10474" s="147">
        <f ca="1"/>
        <v>55713</v>
      </c>
      <c r="M10474" s="92">
        <f t="shared" ca="1" si="337"/>
        <v>6.25</v>
      </c>
      <c r="N10474" s="143">
        <f ca="1">(PRODUCT($O$5:$O10474)-1)*36000/_xlfn.DAYS(L10474, $C$2)</f>
        <v>19.201655488450651</v>
      </c>
      <c r="O10474" s="149">
        <f t="shared" ca="1" si="338"/>
        <v>1.000173611111111</v>
      </c>
    </row>
    <row r="10475" spans="12:15" x14ac:dyDescent="0.25">
      <c r="L10475" s="147">
        <f ca="1"/>
        <v>55714</v>
      </c>
      <c r="M10475" s="92">
        <f t="shared" ca="1" si="337"/>
        <v>6.25</v>
      </c>
      <c r="N10475" s="143">
        <f ca="1">(PRODUCT($O$5:$O10475)-1)*36000/_xlfn.DAYS(L10475, $C$2)</f>
        <v>19.203751883609343</v>
      </c>
      <c r="O10475" s="149">
        <f t="shared" ca="1" si="338"/>
        <v>1.000173611111111</v>
      </c>
    </row>
    <row r="10476" spans="12:15" x14ac:dyDescent="0.25">
      <c r="L10476" s="147">
        <f ca="1"/>
        <v>55715</v>
      </c>
      <c r="M10476" s="92">
        <f t="shared" ca="1" si="337"/>
        <v>6.25</v>
      </c>
      <c r="N10476" s="143">
        <f ca="1">(PRODUCT($O$5:$O10476)-1)*36000/_xlfn.DAYS(L10476, $C$2)</f>
        <v>19.205848560646317</v>
      </c>
      <c r="O10476" s="149">
        <f t="shared" ca="1" si="338"/>
        <v>1.000173611111111</v>
      </c>
    </row>
    <row r="10477" spans="12:15" x14ac:dyDescent="0.25">
      <c r="L10477" s="147">
        <f ca="1"/>
        <v>55716</v>
      </c>
      <c r="M10477" s="92">
        <f t="shared" ca="1" si="337"/>
        <v>6.25</v>
      </c>
      <c r="N10477" s="143">
        <f ca="1">(PRODUCT($O$5:$O10477)-1)*36000/_xlfn.DAYS(L10477, $C$2)</f>
        <v>19.20794551959926</v>
      </c>
      <c r="O10477" s="149">
        <f t="shared" ca="1" si="338"/>
        <v>1.000173611111111</v>
      </c>
    </row>
    <row r="10478" spans="12:15" x14ac:dyDescent="0.25">
      <c r="L10478" s="147">
        <f ca="1"/>
        <v>55717</v>
      </c>
      <c r="M10478" s="92">
        <f t="shared" ca="1" si="337"/>
        <v>6.25</v>
      </c>
      <c r="N10478" s="143">
        <f ca="1">(PRODUCT($O$5:$O10478)-1)*36000/_xlfn.DAYS(L10478, $C$2)</f>
        <v>19.210042760505871</v>
      </c>
      <c r="O10478" s="149">
        <f t="shared" ca="1" si="338"/>
        <v>1.000173611111111</v>
      </c>
    </row>
    <row r="10479" spans="12:15" x14ac:dyDescent="0.25">
      <c r="L10479" s="147">
        <f ca="1"/>
        <v>55718</v>
      </c>
      <c r="M10479" s="92">
        <f t="shared" ca="1" si="337"/>
        <v>6.25</v>
      </c>
      <c r="N10479" s="143">
        <f ca="1">(PRODUCT($O$5:$O10479)-1)*36000/_xlfn.DAYS(L10479, $C$2)</f>
        <v>19.212140283403858</v>
      </c>
      <c r="O10479" s="149">
        <f t="shared" ca="1" si="338"/>
        <v>1.000173611111111</v>
      </c>
    </row>
    <row r="10480" spans="12:15" x14ac:dyDescent="0.25">
      <c r="L10480" s="147">
        <f ca="1"/>
        <v>55719</v>
      </c>
      <c r="M10480" s="92">
        <f t="shared" ca="1" si="337"/>
        <v>6.25</v>
      </c>
      <c r="N10480" s="143">
        <f ca="1">(PRODUCT($O$5:$O10480)-1)*36000/_xlfn.DAYS(L10480, $C$2)</f>
        <v>19.214238088330927</v>
      </c>
      <c r="O10480" s="149">
        <f t="shared" ca="1" si="338"/>
        <v>1.000173611111111</v>
      </c>
    </row>
    <row r="10481" spans="12:15" x14ac:dyDescent="0.25">
      <c r="L10481" s="147">
        <f ca="1"/>
        <v>55720</v>
      </c>
      <c r="M10481" s="92">
        <f t="shared" ca="1" si="337"/>
        <v>6.25</v>
      </c>
      <c r="N10481" s="143">
        <f ca="1">(PRODUCT($O$5:$O10481)-1)*36000/_xlfn.DAYS(L10481, $C$2)</f>
        <v>19.216336175324798</v>
      </c>
      <c r="O10481" s="149">
        <f t="shared" ca="1" si="338"/>
        <v>1.000173611111111</v>
      </c>
    </row>
    <row r="10482" spans="12:15" x14ac:dyDescent="0.25">
      <c r="L10482" s="147">
        <f ca="1"/>
        <v>55721</v>
      </c>
      <c r="M10482" s="92">
        <f t="shared" ca="1" si="337"/>
        <v>6.25</v>
      </c>
      <c r="N10482" s="143">
        <f ca="1">(PRODUCT($O$5:$O10482)-1)*36000/_xlfn.DAYS(L10482, $C$2)</f>
        <v>19.2184345444232</v>
      </c>
      <c r="O10482" s="149">
        <f t="shared" ca="1" si="338"/>
        <v>1.000173611111111</v>
      </c>
    </row>
    <row r="10483" spans="12:15" x14ac:dyDescent="0.25">
      <c r="L10483" s="147">
        <f ca="1"/>
        <v>55722</v>
      </c>
      <c r="M10483" s="92">
        <f t="shared" ca="1" si="337"/>
        <v>6.25</v>
      </c>
      <c r="N10483" s="143">
        <f ca="1">(PRODUCT($O$5:$O10483)-1)*36000/_xlfn.DAYS(L10483, $C$2)</f>
        <v>19.220533195663851</v>
      </c>
      <c r="O10483" s="149">
        <f t="shared" ca="1" si="338"/>
        <v>1.000173611111111</v>
      </c>
    </row>
    <row r="10484" spans="12:15" x14ac:dyDescent="0.25">
      <c r="L10484" s="147">
        <f ca="1"/>
        <v>55723</v>
      </c>
      <c r="M10484" s="92">
        <f t="shared" ca="1" si="337"/>
        <v>6.25</v>
      </c>
      <c r="N10484" s="143">
        <f ca="1">(PRODUCT($O$5:$O10484)-1)*36000/_xlfn.DAYS(L10484, $C$2)</f>
        <v>19.222632129084491</v>
      </c>
      <c r="O10484" s="149">
        <f t="shared" ca="1" si="338"/>
        <v>1.000173611111111</v>
      </c>
    </row>
    <row r="10485" spans="12:15" x14ac:dyDescent="0.25">
      <c r="L10485" s="147">
        <f ca="1"/>
        <v>55724</v>
      </c>
      <c r="M10485" s="92">
        <f t="shared" ca="1" si="337"/>
        <v>6.25</v>
      </c>
      <c r="N10485" s="143">
        <f ca="1">(PRODUCT($O$5:$O10485)-1)*36000/_xlfn.DAYS(L10485, $C$2)</f>
        <v>19.224731344722862</v>
      </c>
      <c r="O10485" s="149">
        <f t="shared" ca="1" si="338"/>
        <v>1.000173611111111</v>
      </c>
    </row>
    <row r="10486" spans="12:15" x14ac:dyDescent="0.25">
      <c r="L10486" s="147">
        <f ca="1"/>
        <v>55725</v>
      </c>
      <c r="M10486" s="92">
        <f t="shared" ca="1" si="337"/>
        <v>6.25</v>
      </c>
      <c r="N10486" s="143">
        <f ca="1">(PRODUCT($O$5:$O10486)-1)*36000/_xlfn.DAYS(L10486, $C$2)</f>
        <v>19.226830842616714</v>
      </c>
      <c r="O10486" s="149">
        <f t="shared" ca="1" si="338"/>
        <v>1.000173611111111</v>
      </c>
    </row>
    <row r="10487" spans="12:15" x14ac:dyDescent="0.25">
      <c r="L10487" s="147">
        <f ca="1"/>
        <v>55726</v>
      </c>
      <c r="M10487" s="92">
        <f t="shared" ca="1" si="337"/>
        <v>6.25</v>
      </c>
      <c r="N10487" s="143">
        <f ca="1">(PRODUCT($O$5:$O10487)-1)*36000/_xlfn.DAYS(L10487, $C$2)</f>
        <v>19.228930622803791</v>
      </c>
      <c r="O10487" s="149">
        <f t="shared" ca="1" si="338"/>
        <v>1.000173611111111</v>
      </c>
    </row>
    <row r="10488" spans="12:15" x14ac:dyDescent="0.25">
      <c r="L10488" s="147">
        <f ca="1"/>
        <v>55727</v>
      </c>
      <c r="M10488" s="92">
        <f t="shared" ca="1" si="337"/>
        <v>6.25</v>
      </c>
      <c r="N10488" s="143">
        <f ca="1">(PRODUCT($O$5:$O10488)-1)*36000/_xlfn.DAYS(L10488, $C$2)</f>
        <v>19.231030685321862</v>
      </c>
      <c r="O10488" s="149">
        <f t="shared" ca="1" si="338"/>
        <v>1.000173611111111</v>
      </c>
    </row>
    <row r="10489" spans="12:15" x14ac:dyDescent="0.25">
      <c r="L10489" s="147">
        <f ca="1"/>
        <v>55728</v>
      </c>
      <c r="M10489" s="92">
        <f t="shared" ca="1" si="337"/>
        <v>6.25</v>
      </c>
      <c r="N10489" s="143">
        <f ca="1">(PRODUCT($O$5:$O10489)-1)*36000/_xlfn.DAYS(L10489, $C$2)</f>
        <v>19.233131030208696</v>
      </c>
      <c r="O10489" s="149">
        <f t="shared" ca="1" si="338"/>
        <v>1.000173611111111</v>
      </c>
    </row>
    <row r="10490" spans="12:15" x14ac:dyDescent="0.25">
      <c r="L10490" s="147">
        <f ca="1"/>
        <v>55729</v>
      </c>
      <c r="M10490" s="92">
        <f t="shared" ca="1" si="337"/>
        <v>6.25</v>
      </c>
      <c r="N10490" s="143">
        <f ca="1">(PRODUCT($O$5:$O10490)-1)*36000/_xlfn.DAYS(L10490, $C$2)</f>
        <v>19.235231657502059</v>
      </c>
      <c r="O10490" s="149">
        <f t="shared" ca="1" si="338"/>
        <v>1.000173611111111</v>
      </c>
    </row>
    <row r="10491" spans="12:15" x14ac:dyDescent="0.25">
      <c r="L10491" s="147">
        <f ca="1"/>
        <v>55730</v>
      </c>
      <c r="M10491" s="92">
        <f t="shared" ca="1" si="337"/>
        <v>6.25</v>
      </c>
      <c r="N10491" s="143">
        <f ca="1">(PRODUCT($O$5:$O10491)-1)*36000/_xlfn.DAYS(L10491, $C$2)</f>
        <v>19.237332567239729</v>
      </c>
      <c r="O10491" s="149">
        <f t="shared" ca="1" si="338"/>
        <v>1.000173611111111</v>
      </c>
    </row>
    <row r="10492" spans="12:15" x14ac:dyDescent="0.25">
      <c r="L10492" s="147">
        <f ca="1"/>
        <v>55731</v>
      </c>
      <c r="M10492" s="92">
        <f t="shared" ca="1" si="337"/>
        <v>6.25</v>
      </c>
      <c r="N10492" s="143">
        <f ca="1">(PRODUCT($O$5:$O10492)-1)*36000/_xlfn.DAYS(L10492, $C$2)</f>
        <v>19.239433759459494</v>
      </c>
      <c r="O10492" s="149">
        <f t="shared" ca="1" si="338"/>
        <v>1.000173611111111</v>
      </c>
    </row>
    <row r="10493" spans="12:15" x14ac:dyDescent="0.25">
      <c r="L10493" s="147">
        <f ca="1"/>
        <v>55732</v>
      </c>
      <c r="M10493" s="92">
        <f t="shared" ca="1" si="337"/>
        <v>6.25</v>
      </c>
      <c r="N10493" s="143">
        <f ca="1">(PRODUCT($O$5:$O10493)-1)*36000/_xlfn.DAYS(L10493, $C$2)</f>
        <v>19.241535234199148</v>
      </c>
      <c r="O10493" s="149">
        <f t="shared" ca="1" si="338"/>
        <v>1.000173611111111</v>
      </c>
    </row>
    <row r="10494" spans="12:15" x14ac:dyDescent="0.25">
      <c r="L10494" s="147">
        <f ca="1"/>
        <v>55733</v>
      </c>
      <c r="M10494" s="92">
        <f t="shared" ca="1" si="337"/>
        <v>6.25</v>
      </c>
      <c r="N10494" s="143">
        <f ca="1">(PRODUCT($O$5:$O10494)-1)*36000/_xlfn.DAYS(L10494, $C$2)</f>
        <v>19.24363699149648</v>
      </c>
      <c r="O10494" s="149">
        <f t="shared" ca="1" si="338"/>
        <v>1.000173611111111</v>
      </c>
    </row>
    <row r="10495" spans="12:15" x14ac:dyDescent="0.25">
      <c r="L10495" s="147">
        <f ca="1"/>
        <v>55734</v>
      </c>
      <c r="M10495" s="92">
        <f t="shared" ca="1" si="337"/>
        <v>6.25</v>
      </c>
      <c r="N10495" s="143">
        <f ca="1">(PRODUCT($O$5:$O10495)-1)*36000/_xlfn.DAYS(L10495, $C$2)</f>
        <v>19.245739031389299</v>
      </c>
      <c r="O10495" s="149">
        <f t="shared" ca="1" si="338"/>
        <v>1.000173611111111</v>
      </c>
    </row>
    <row r="10496" spans="12:15" x14ac:dyDescent="0.25">
      <c r="L10496" s="147">
        <f ca="1"/>
        <v>55735</v>
      </c>
      <c r="M10496" s="92">
        <f t="shared" ca="1" si="337"/>
        <v>6.25</v>
      </c>
      <c r="N10496" s="143">
        <f ca="1">(PRODUCT($O$5:$O10496)-1)*36000/_xlfn.DAYS(L10496, $C$2)</f>
        <v>19.247841353915412</v>
      </c>
      <c r="O10496" s="149">
        <f t="shared" ca="1" si="338"/>
        <v>1.000173611111111</v>
      </c>
    </row>
    <row r="10497" spans="12:15" x14ac:dyDescent="0.25">
      <c r="L10497" s="147">
        <f ca="1"/>
        <v>55736</v>
      </c>
      <c r="M10497" s="92">
        <f t="shared" ca="1" si="337"/>
        <v>6.25</v>
      </c>
      <c r="N10497" s="143">
        <f ca="1">(PRODUCT($O$5:$O10497)-1)*36000/_xlfn.DAYS(L10497, $C$2)</f>
        <v>19.249943959112635</v>
      </c>
      <c r="O10497" s="149">
        <f t="shared" ca="1" si="338"/>
        <v>1.000173611111111</v>
      </c>
    </row>
    <row r="10498" spans="12:15" x14ac:dyDescent="0.25">
      <c r="L10498" s="147">
        <f ca="1"/>
        <v>55737</v>
      </c>
      <c r="M10498" s="92">
        <f t="shared" ca="1" si="337"/>
        <v>6.25</v>
      </c>
      <c r="N10498" s="143">
        <f ca="1">(PRODUCT($O$5:$O10498)-1)*36000/_xlfn.DAYS(L10498, $C$2)</f>
        <v>19.252046847018793</v>
      </c>
      <c r="O10498" s="149">
        <f t="shared" ca="1" si="338"/>
        <v>1.000173611111111</v>
      </c>
    </row>
    <row r="10499" spans="12:15" x14ac:dyDescent="0.25">
      <c r="L10499" s="147">
        <f ca="1"/>
        <v>55738</v>
      </c>
      <c r="M10499" s="92">
        <f t="shared" ca="1" si="337"/>
        <v>6.25</v>
      </c>
      <c r="N10499" s="143">
        <f ca="1">(PRODUCT($O$5:$O10499)-1)*36000/_xlfn.DAYS(L10499, $C$2)</f>
        <v>19.254150017671709</v>
      </c>
      <c r="O10499" s="149">
        <f t="shared" ca="1" si="338"/>
        <v>1.000173611111111</v>
      </c>
    </row>
    <row r="10500" spans="12:15" x14ac:dyDescent="0.25">
      <c r="L10500" s="147">
        <f ca="1"/>
        <v>55739</v>
      </c>
      <c r="M10500" s="92">
        <f t="shared" ca="1" si="337"/>
        <v>6.25</v>
      </c>
      <c r="N10500" s="143">
        <f ca="1">(PRODUCT($O$5:$O10500)-1)*36000/_xlfn.DAYS(L10500, $C$2)</f>
        <v>19.256253471109222</v>
      </c>
      <c r="O10500" s="149">
        <f t="shared" ca="1" si="338"/>
        <v>1.000173611111111</v>
      </c>
    </row>
    <row r="10501" spans="12:15" x14ac:dyDescent="0.25">
      <c r="L10501" s="147">
        <f ca="1"/>
        <v>55740</v>
      </c>
      <c r="M10501" s="92">
        <f t="shared" ref="M10501:M10564" ca="1" si="339">IFERROR(INDEX($E$27:$H$47, MATCH(L10501, $F$27:$F$47, 0), 4), IF(ISNUMBER(M10500), M10500, $C$5))</f>
        <v>6.25</v>
      </c>
      <c r="N10501" s="143">
        <f ca="1">(PRODUCT($O$5:$O10501)-1)*36000/_xlfn.DAYS(L10501, $C$2)</f>
        <v>19.258357207369169</v>
      </c>
      <c r="O10501" s="149">
        <f t="shared" ca="1" si="338"/>
        <v>1.000173611111111</v>
      </c>
    </row>
    <row r="10502" spans="12:15" x14ac:dyDescent="0.25">
      <c r="L10502" s="147">
        <f ca="1"/>
        <v>55741</v>
      </c>
      <c r="M10502" s="92">
        <f t="shared" ca="1" si="339"/>
        <v>6.25</v>
      </c>
      <c r="N10502" s="143">
        <f ca="1">(PRODUCT($O$5:$O10502)-1)*36000/_xlfn.DAYS(L10502, $C$2)</f>
        <v>19.260461226489397</v>
      </c>
      <c r="O10502" s="149">
        <f t="shared" ref="O10502:O10565" ca="1" si="340">1+M10502*IFERROR(_xlfn.DAYS(L10502, L10501), _xlfn.DAYS(L10502, $C$2))/36000</f>
        <v>1.000173611111111</v>
      </c>
    </row>
    <row r="10503" spans="12:15" x14ac:dyDescent="0.25">
      <c r="L10503" s="147">
        <f ca="1"/>
        <v>55742</v>
      </c>
      <c r="M10503" s="92">
        <f t="shared" ca="1" si="339"/>
        <v>6.25</v>
      </c>
      <c r="N10503" s="143">
        <f ca="1">(PRODUCT($O$5:$O10503)-1)*36000/_xlfn.DAYS(L10503, $C$2)</f>
        <v>19.262565528507764</v>
      </c>
      <c r="O10503" s="149">
        <f t="shared" ca="1" si="340"/>
        <v>1.000173611111111</v>
      </c>
    </row>
    <row r="10504" spans="12:15" x14ac:dyDescent="0.25">
      <c r="L10504" s="147">
        <f ca="1"/>
        <v>55743</v>
      </c>
      <c r="M10504" s="92">
        <f t="shared" ca="1" si="339"/>
        <v>6.25</v>
      </c>
      <c r="N10504" s="143">
        <f ca="1">(PRODUCT($O$5:$O10504)-1)*36000/_xlfn.DAYS(L10504, $C$2)</f>
        <v>19.26467011346212</v>
      </c>
      <c r="O10504" s="149">
        <f t="shared" ca="1" si="340"/>
        <v>1.000173611111111</v>
      </c>
    </row>
    <row r="10505" spans="12:15" x14ac:dyDescent="0.25">
      <c r="L10505" s="147">
        <f ca="1"/>
        <v>55744</v>
      </c>
      <c r="M10505" s="92">
        <f t="shared" ca="1" si="339"/>
        <v>6.25</v>
      </c>
      <c r="N10505" s="143">
        <f ca="1">(PRODUCT($O$5:$O10505)-1)*36000/_xlfn.DAYS(L10505, $C$2)</f>
        <v>19.266774981390338</v>
      </c>
      <c r="O10505" s="149">
        <f t="shared" ca="1" si="340"/>
        <v>1.000173611111111</v>
      </c>
    </row>
    <row r="10506" spans="12:15" x14ac:dyDescent="0.25">
      <c r="L10506" s="147">
        <f ca="1"/>
        <v>55745</v>
      </c>
      <c r="M10506" s="92">
        <f t="shared" ca="1" si="339"/>
        <v>6.25</v>
      </c>
      <c r="N10506" s="143">
        <f ca="1">(PRODUCT($O$5:$O10506)-1)*36000/_xlfn.DAYS(L10506, $C$2)</f>
        <v>19.268880132330281</v>
      </c>
      <c r="O10506" s="149">
        <f t="shared" ca="1" si="340"/>
        <v>1.000173611111111</v>
      </c>
    </row>
    <row r="10507" spans="12:15" x14ac:dyDescent="0.25">
      <c r="L10507" s="147">
        <f ca="1"/>
        <v>55746</v>
      </c>
      <c r="M10507" s="92">
        <f t="shared" ca="1" si="339"/>
        <v>6.25</v>
      </c>
      <c r="N10507" s="143">
        <f ca="1">(PRODUCT($O$5:$O10507)-1)*36000/_xlfn.DAYS(L10507, $C$2)</f>
        <v>19.27098556631983</v>
      </c>
      <c r="O10507" s="149">
        <f t="shared" ca="1" si="340"/>
        <v>1.000173611111111</v>
      </c>
    </row>
    <row r="10508" spans="12:15" x14ac:dyDescent="0.25">
      <c r="L10508" s="147">
        <f ca="1"/>
        <v>55747</v>
      </c>
      <c r="M10508" s="92">
        <f t="shared" ca="1" si="339"/>
        <v>6.25</v>
      </c>
      <c r="N10508" s="143">
        <f ca="1">(PRODUCT($O$5:$O10508)-1)*36000/_xlfn.DAYS(L10508, $C$2)</f>
        <v>19.273091283396873</v>
      </c>
      <c r="O10508" s="149">
        <f t="shared" ca="1" si="340"/>
        <v>1.000173611111111</v>
      </c>
    </row>
    <row r="10509" spans="12:15" x14ac:dyDescent="0.25">
      <c r="L10509" s="147">
        <f ca="1"/>
        <v>55748</v>
      </c>
      <c r="M10509" s="92">
        <f t="shared" ca="1" si="339"/>
        <v>6.25</v>
      </c>
      <c r="N10509" s="143">
        <f ca="1">(PRODUCT($O$5:$O10509)-1)*36000/_xlfn.DAYS(L10509, $C$2)</f>
        <v>19.275197283599294</v>
      </c>
      <c r="O10509" s="149">
        <f t="shared" ca="1" si="340"/>
        <v>1.000173611111111</v>
      </c>
    </row>
    <row r="10510" spans="12:15" x14ac:dyDescent="0.25">
      <c r="L10510" s="147">
        <f ca="1"/>
        <v>55749</v>
      </c>
      <c r="M10510" s="92">
        <f t="shared" ca="1" si="339"/>
        <v>6.25</v>
      </c>
      <c r="N10510" s="143">
        <f ca="1">(PRODUCT($O$5:$O10510)-1)*36000/_xlfn.DAYS(L10510, $C$2)</f>
        <v>19.277303566964992</v>
      </c>
      <c r="O10510" s="149">
        <f t="shared" ca="1" si="340"/>
        <v>1.000173611111111</v>
      </c>
    </row>
    <row r="10511" spans="12:15" x14ac:dyDescent="0.25">
      <c r="L10511" s="147">
        <f ca="1"/>
        <v>55750</v>
      </c>
      <c r="M10511" s="92">
        <f t="shared" ca="1" si="339"/>
        <v>6.25</v>
      </c>
      <c r="N10511" s="143">
        <f ca="1">(PRODUCT($O$5:$O10511)-1)*36000/_xlfn.DAYS(L10511, $C$2)</f>
        <v>19.279410133531869</v>
      </c>
      <c r="O10511" s="149">
        <f t="shared" ca="1" si="340"/>
        <v>1.000173611111111</v>
      </c>
    </row>
    <row r="10512" spans="12:15" x14ac:dyDescent="0.25">
      <c r="L10512" s="147">
        <f ca="1"/>
        <v>55751</v>
      </c>
      <c r="M10512" s="92">
        <f t="shared" ca="1" si="339"/>
        <v>6.25</v>
      </c>
      <c r="N10512" s="143">
        <f ca="1">(PRODUCT($O$5:$O10512)-1)*36000/_xlfn.DAYS(L10512, $C$2)</f>
        <v>19.281516983337838</v>
      </c>
      <c r="O10512" s="149">
        <f t="shared" ca="1" si="340"/>
        <v>1.000173611111111</v>
      </c>
    </row>
    <row r="10513" spans="12:15" x14ac:dyDescent="0.25">
      <c r="L10513" s="147">
        <f ca="1"/>
        <v>55752</v>
      </c>
      <c r="M10513" s="92">
        <f t="shared" ca="1" si="339"/>
        <v>6.25</v>
      </c>
      <c r="N10513" s="143">
        <f ca="1">(PRODUCT($O$5:$O10513)-1)*36000/_xlfn.DAYS(L10513, $C$2)</f>
        <v>19.2836241164208</v>
      </c>
      <c r="O10513" s="149">
        <f t="shared" ca="1" si="340"/>
        <v>1.000173611111111</v>
      </c>
    </row>
    <row r="10514" spans="12:15" x14ac:dyDescent="0.25">
      <c r="L10514" s="147">
        <f ca="1"/>
        <v>55753</v>
      </c>
      <c r="M10514" s="92">
        <f t="shared" ca="1" si="339"/>
        <v>6.25</v>
      </c>
      <c r="N10514" s="143">
        <f ca="1">(PRODUCT($O$5:$O10514)-1)*36000/_xlfn.DAYS(L10514, $C$2)</f>
        <v>19.285731532818691</v>
      </c>
      <c r="O10514" s="149">
        <f t="shared" ca="1" si="340"/>
        <v>1.000173611111111</v>
      </c>
    </row>
    <row r="10515" spans="12:15" x14ac:dyDescent="0.25">
      <c r="L10515" s="147">
        <f ca="1"/>
        <v>55754</v>
      </c>
      <c r="M10515" s="92">
        <f t="shared" ca="1" si="339"/>
        <v>6.25</v>
      </c>
      <c r="N10515" s="143">
        <f ca="1">(PRODUCT($O$5:$O10515)-1)*36000/_xlfn.DAYS(L10515, $C$2)</f>
        <v>19.287839232569425</v>
      </c>
      <c r="O10515" s="149">
        <f t="shared" ca="1" si="340"/>
        <v>1.000173611111111</v>
      </c>
    </row>
    <row r="10516" spans="12:15" x14ac:dyDescent="0.25">
      <c r="L10516" s="147">
        <f ca="1"/>
        <v>55755</v>
      </c>
      <c r="M10516" s="92">
        <f t="shared" ca="1" si="339"/>
        <v>6.25</v>
      </c>
      <c r="N10516" s="143">
        <f ca="1">(PRODUCT($O$5:$O10516)-1)*36000/_xlfn.DAYS(L10516, $C$2)</f>
        <v>19.289947215710946</v>
      </c>
      <c r="O10516" s="149">
        <f t="shared" ca="1" si="340"/>
        <v>1.000173611111111</v>
      </c>
    </row>
    <row r="10517" spans="12:15" x14ac:dyDescent="0.25">
      <c r="L10517" s="147">
        <f ca="1"/>
        <v>55756</v>
      </c>
      <c r="M10517" s="92">
        <f t="shared" ca="1" si="339"/>
        <v>6.25</v>
      </c>
      <c r="N10517" s="143">
        <f ca="1">(PRODUCT($O$5:$O10517)-1)*36000/_xlfn.DAYS(L10517, $C$2)</f>
        <v>19.292055482281189</v>
      </c>
      <c r="O10517" s="149">
        <f t="shared" ca="1" si="340"/>
        <v>1.000173611111111</v>
      </c>
    </row>
    <row r="10518" spans="12:15" x14ac:dyDescent="0.25">
      <c r="L10518" s="147">
        <f ca="1"/>
        <v>55757</v>
      </c>
      <c r="M10518" s="92">
        <f t="shared" ca="1" si="339"/>
        <v>6.25</v>
      </c>
      <c r="N10518" s="143">
        <f ca="1">(PRODUCT($O$5:$O10518)-1)*36000/_xlfn.DAYS(L10518, $C$2)</f>
        <v>19.294164032318093</v>
      </c>
      <c r="O10518" s="149">
        <f t="shared" ca="1" si="340"/>
        <v>1.000173611111111</v>
      </c>
    </row>
    <row r="10519" spans="12:15" x14ac:dyDescent="0.25">
      <c r="L10519" s="147">
        <f ca="1"/>
        <v>55758</v>
      </c>
      <c r="M10519" s="92">
        <f t="shared" ca="1" si="339"/>
        <v>6.25</v>
      </c>
      <c r="N10519" s="143">
        <f ca="1">(PRODUCT($O$5:$O10519)-1)*36000/_xlfn.DAYS(L10519, $C$2)</f>
        <v>19.296272865859621</v>
      </c>
      <c r="O10519" s="149">
        <f t="shared" ca="1" si="340"/>
        <v>1.000173611111111</v>
      </c>
    </row>
    <row r="10520" spans="12:15" x14ac:dyDescent="0.25">
      <c r="L10520" s="147">
        <f ca="1"/>
        <v>55759</v>
      </c>
      <c r="M10520" s="92">
        <f t="shared" ca="1" si="339"/>
        <v>6.25</v>
      </c>
      <c r="N10520" s="143">
        <f ca="1">(PRODUCT($O$5:$O10520)-1)*36000/_xlfn.DAYS(L10520, $C$2)</f>
        <v>19.298381982943727</v>
      </c>
      <c r="O10520" s="149">
        <f t="shared" ca="1" si="340"/>
        <v>1.000173611111111</v>
      </c>
    </row>
    <row r="10521" spans="12:15" x14ac:dyDescent="0.25">
      <c r="L10521" s="147">
        <f ca="1"/>
        <v>55760</v>
      </c>
      <c r="M10521" s="92">
        <f t="shared" ca="1" si="339"/>
        <v>6.25</v>
      </c>
      <c r="N10521" s="143">
        <f ca="1">(PRODUCT($O$5:$O10521)-1)*36000/_xlfn.DAYS(L10521, $C$2)</f>
        <v>19.300491383608371</v>
      </c>
      <c r="O10521" s="149">
        <f t="shared" ca="1" si="340"/>
        <v>1.000173611111111</v>
      </c>
    </row>
    <row r="10522" spans="12:15" x14ac:dyDescent="0.25">
      <c r="L10522" s="147">
        <f ca="1"/>
        <v>55761</v>
      </c>
      <c r="M10522" s="92">
        <f t="shared" ca="1" si="339"/>
        <v>6.25</v>
      </c>
      <c r="N10522" s="143">
        <f ca="1">(PRODUCT($O$5:$O10522)-1)*36000/_xlfn.DAYS(L10522, $C$2)</f>
        <v>19.302601067891526</v>
      </c>
      <c r="O10522" s="149">
        <f t="shared" ca="1" si="340"/>
        <v>1.000173611111111</v>
      </c>
    </row>
    <row r="10523" spans="12:15" x14ac:dyDescent="0.25">
      <c r="L10523" s="147">
        <f ca="1"/>
        <v>55762</v>
      </c>
      <c r="M10523" s="92">
        <f t="shared" ca="1" si="339"/>
        <v>6.25</v>
      </c>
      <c r="N10523" s="143">
        <f ca="1">(PRODUCT($O$5:$O10523)-1)*36000/_xlfn.DAYS(L10523, $C$2)</f>
        <v>19.304711035831168</v>
      </c>
      <c r="O10523" s="149">
        <f t="shared" ca="1" si="340"/>
        <v>1.000173611111111</v>
      </c>
    </row>
    <row r="10524" spans="12:15" x14ac:dyDescent="0.25">
      <c r="L10524" s="147">
        <f ca="1"/>
        <v>55763</v>
      </c>
      <c r="M10524" s="92">
        <f t="shared" ca="1" si="339"/>
        <v>6.25</v>
      </c>
      <c r="N10524" s="143">
        <f ca="1">(PRODUCT($O$5:$O10524)-1)*36000/_xlfn.DAYS(L10524, $C$2)</f>
        <v>19.306821287465279</v>
      </c>
      <c r="O10524" s="149">
        <f t="shared" ca="1" si="340"/>
        <v>1.000173611111111</v>
      </c>
    </row>
    <row r="10525" spans="12:15" x14ac:dyDescent="0.25">
      <c r="L10525" s="147">
        <f ca="1"/>
        <v>55764</v>
      </c>
      <c r="M10525" s="92">
        <f t="shared" ca="1" si="339"/>
        <v>6.25</v>
      </c>
      <c r="N10525" s="143">
        <f ca="1">(PRODUCT($O$5:$O10525)-1)*36000/_xlfn.DAYS(L10525, $C$2)</f>
        <v>19.308931822831852</v>
      </c>
      <c r="O10525" s="149">
        <f t="shared" ca="1" si="340"/>
        <v>1.000173611111111</v>
      </c>
    </row>
    <row r="10526" spans="12:15" x14ac:dyDescent="0.25">
      <c r="L10526" s="147">
        <f ca="1"/>
        <v>55765</v>
      </c>
      <c r="M10526" s="92">
        <f t="shared" ca="1" si="339"/>
        <v>6.25</v>
      </c>
      <c r="N10526" s="143">
        <f ca="1">(PRODUCT($O$5:$O10526)-1)*36000/_xlfn.DAYS(L10526, $C$2)</f>
        <v>19.311042641968882</v>
      </c>
      <c r="O10526" s="149">
        <f t="shared" ca="1" si="340"/>
        <v>1.000173611111111</v>
      </c>
    </row>
    <row r="10527" spans="12:15" x14ac:dyDescent="0.25">
      <c r="L10527" s="147">
        <f ca="1"/>
        <v>55766</v>
      </c>
      <c r="M10527" s="92">
        <f t="shared" ca="1" si="339"/>
        <v>6.25</v>
      </c>
      <c r="N10527" s="143">
        <f ca="1">(PRODUCT($O$5:$O10527)-1)*36000/_xlfn.DAYS(L10527, $C$2)</f>
        <v>19.313153744914363</v>
      </c>
      <c r="O10527" s="149">
        <f t="shared" ca="1" si="340"/>
        <v>1.000173611111111</v>
      </c>
    </row>
    <row r="10528" spans="12:15" x14ac:dyDescent="0.25">
      <c r="L10528" s="147">
        <f ca="1"/>
        <v>55767</v>
      </c>
      <c r="M10528" s="92">
        <f t="shared" ca="1" si="339"/>
        <v>6.25</v>
      </c>
      <c r="N10528" s="143">
        <f ca="1">(PRODUCT($O$5:$O10528)-1)*36000/_xlfn.DAYS(L10528, $C$2)</f>
        <v>19.315265131706308</v>
      </c>
      <c r="O10528" s="149">
        <f t="shared" ca="1" si="340"/>
        <v>1.000173611111111</v>
      </c>
    </row>
    <row r="10529" spans="12:15" x14ac:dyDescent="0.25">
      <c r="L10529" s="147">
        <f ca="1"/>
        <v>55768</v>
      </c>
      <c r="M10529" s="92">
        <f t="shared" ca="1" si="339"/>
        <v>6.25</v>
      </c>
      <c r="N10529" s="143">
        <f ca="1">(PRODUCT($O$5:$O10529)-1)*36000/_xlfn.DAYS(L10529, $C$2)</f>
        <v>19.317376802382732</v>
      </c>
      <c r="O10529" s="149">
        <f t="shared" ca="1" si="340"/>
        <v>1.000173611111111</v>
      </c>
    </row>
    <row r="10530" spans="12:15" x14ac:dyDescent="0.25">
      <c r="L10530" s="147">
        <f ca="1"/>
        <v>55769</v>
      </c>
      <c r="M10530" s="92">
        <f t="shared" ca="1" si="339"/>
        <v>6.25</v>
      </c>
      <c r="N10530" s="143">
        <f ca="1">(PRODUCT($O$5:$O10530)-1)*36000/_xlfn.DAYS(L10530, $C$2)</f>
        <v>19.319488756981645</v>
      </c>
      <c r="O10530" s="149">
        <f t="shared" ca="1" si="340"/>
        <v>1.000173611111111</v>
      </c>
    </row>
    <row r="10531" spans="12:15" x14ac:dyDescent="0.25">
      <c r="L10531" s="147">
        <f ca="1"/>
        <v>55770</v>
      </c>
      <c r="M10531" s="92">
        <f t="shared" ca="1" si="339"/>
        <v>6.25</v>
      </c>
      <c r="N10531" s="143">
        <f ca="1">(PRODUCT($O$5:$O10531)-1)*36000/_xlfn.DAYS(L10531, $C$2)</f>
        <v>19.321600995541086</v>
      </c>
      <c r="O10531" s="149">
        <f t="shared" ca="1" si="340"/>
        <v>1.000173611111111</v>
      </c>
    </row>
    <row r="10532" spans="12:15" x14ac:dyDescent="0.25">
      <c r="L10532" s="147">
        <f ca="1"/>
        <v>55771</v>
      </c>
      <c r="M10532" s="92">
        <f t="shared" ca="1" si="339"/>
        <v>6.25</v>
      </c>
      <c r="N10532" s="143">
        <f ca="1">(PRODUCT($O$5:$O10532)-1)*36000/_xlfn.DAYS(L10532, $C$2)</f>
        <v>19.32371351809908</v>
      </c>
      <c r="O10532" s="149">
        <f t="shared" ca="1" si="340"/>
        <v>1.000173611111111</v>
      </c>
    </row>
    <row r="10533" spans="12:15" x14ac:dyDescent="0.25">
      <c r="L10533" s="147">
        <f ca="1"/>
        <v>55772</v>
      </c>
      <c r="M10533" s="92">
        <f t="shared" ca="1" si="339"/>
        <v>6.25</v>
      </c>
      <c r="N10533" s="143">
        <f ca="1">(PRODUCT($O$5:$O10533)-1)*36000/_xlfn.DAYS(L10533, $C$2)</f>
        <v>19.325826324693669</v>
      </c>
      <c r="O10533" s="149">
        <f t="shared" ca="1" si="340"/>
        <v>1.000173611111111</v>
      </c>
    </row>
    <row r="10534" spans="12:15" x14ac:dyDescent="0.25">
      <c r="L10534" s="147">
        <f ca="1"/>
        <v>55773</v>
      </c>
      <c r="M10534" s="92">
        <f t="shared" ca="1" si="339"/>
        <v>6.25</v>
      </c>
      <c r="N10534" s="143">
        <f ca="1">(PRODUCT($O$5:$O10534)-1)*36000/_xlfn.DAYS(L10534, $C$2)</f>
        <v>19.327939415362891</v>
      </c>
      <c r="O10534" s="149">
        <f t="shared" ca="1" si="340"/>
        <v>1.000173611111111</v>
      </c>
    </row>
    <row r="10535" spans="12:15" x14ac:dyDescent="0.25">
      <c r="L10535" s="147">
        <f ca="1"/>
        <v>55774</v>
      </c>
      <c r="M10535" s="92">
        <f t="shared" ca="1" si="339"/>
        <v>6.25</v>
      </c>
      <c r="N10535" s="143">
        <f ca="1">(PRODUCT($O$5:$O10535)-1)*36000/_xlfn.DAYS(L10535, $C$2)</f>
        <v>19.330052790144808</v>
      </c>
      <c r="O10535" s="149">
        <f t="shared" ca="1" si="340"/>
        <v>1.000173611111111</v>
      </c>
    </row>
    <row r="10536" spans="12:15" x14ac:dyDescent="0.25">
      <c r="L10536" s="147">
        <f ca="1"/>
        <v>55775</v>
      </c>
      <c r="M10536" s="92">
        <f t="shared" ca="1" si="339"/>
        <v>6.25</v>
      </c>
      <c r="N10536" s="143">
        <f ca="1">(PRODUCT($O$5:$O10536)-1)*36000/_xlfn.DAYS(L10536, $C$2)</f>
        <v>19.332166449077466</v>
      </c>
      <c r="O10536" s="149">
        <f t="shared" ca="1" si="340"/>
        <v>1.000173611111111</v>
      </c>
    </row>
    <row r="10537" spans="12:15" x14ac:dyDescent="0.25">
      <c r="L10537" s="147">
        <f ca="1"/>
        <v>55776</v>
      </c>
      <c r="M10537" s="92">
        <f t="shared" ca="1" si="339"/>
        <v>6.25</v>
      </c>
      <c r="N10537" s="143">
        <f ca="1">(PRODUCT($O$5:$O10537)-1)*36000/_xlfn.DAYS(L10537, $C$2)</f>
        <v>19.334280392198934</v>
      </c>
      <c r="O10537" s="149">
        <f t="shared" ca="1" si="340"/>
        <v>1.000173611111111</v>
      </c>
    </row>
    <row r="10538" spans="12:15" x14ac:dyDescent="0.25">
      <c r="L10538" s="147">
        <f ca="1"/>
        <v>55777</v>
      </c>
      <c r="M10538" s="92">
        <f t="shared" ca="1" si="339"/>
        <v>6.25</v>
      </c>
      <c r="N10538" s="143">
        <f ca="1">(PRODUCT($O$5:$O10538)-1)*36000/_xlfn.DAYS(L10538, $C$2)</f>
        <v>19.336394619547281</v>
      </c>
      <c r="O10538" s="149">
        <f t="shared" ca="1" si="340"/>
        <v>1.000173611111111</v>
      </c>
    </row>
    <row r="10539" spans="12:15" x14ac:dyDescent="0.25">
      <c r="L10539" s="147">
        <f ca="1"/>
        <v>55778</v>
      </c>
      <c r="M10539" s="92">
        <f t="shared" ca="1" si="339"/>
        <v>6.25</v>
      </c>
      <c r="N10539" s="143">
        <f ca="1">(PRODUCT($O$5:$O10539)-1)*36000/_xlfn.DAYS(L10539, $C$2)</f>
        <v>19.338509131160581</v>
      </c>
      <c r="O10539" s="149">
        <f t="shared" ca="1" si="340"/>
        <v>1.000173611111111</v>
      </c>
    </row>
    <row r="10540" spans="12:15" x14ac:dyDescent="0.25">
      <c r="L10540" s="147">
        <f ca="1"/>
        <v>55779</v>
      </c>
      <c r="M10540" s="92">
        <f t="shared" ca="1" si="339"/>
        <v>6.25</v>
      </c>
      <c r="N10540" s="143">
        <f ca="1">(PRODUCT($O$5:$O10540)-1)*36000/_xlfn.DAYS(L10540, $C$2)</f>
        <v>19.340623927076919</v>
      </c>
      <c r="O10540" s="149">
        <f t="shared" ca="1" si="340"/>
        <v>1.000173611111111</v>
      </c>
    </row>
    <row r="10541" spans="12:15" x14ac:dyDescent="0.25">
      <c r="L10541" s="147">
        <f ca="1"/>
        <v>55780</v>
      </c>
      <c r="M10541" s="92">
        <f t="shared" ca="1" si="339"/>
        <v>6.25</v>
      </c>
      <c r="N10541" s="143">
        <f ca="1">(PRODUCT($O$5:$O10541)-1)*36000/_xlfn.DAYS(L10541, $C$2)</f>
        <v>19.342739007334377</v>
      </c>
      <c r="O10541" s="149">
        <f t="shared" ca="1" si="340"/>
        <v>1.000173611111111</v>
      </c>
    </row>
    <row r="10542" spans="12:15" x14ac:dyDescent="0.25">
      <c r="L10542" s="147">
        <f ca="1"/>
        <v>55781</v>
      </c>
      <c r="M10542" s="92">
        <f t="shared" ca="1" si="339"/>
        <v>6.25</v>
      </c>
      <c r="N10542" s="143">
        <f ca="1">(PRODUCT($O$5:$O10542)-1)*36000/_xlfn.DAYS(L10542, $C$2)</f>
        <v>19.344854371971056</v>
      </c>
      <c r="O10542" s="149">
        <f t="shared" ca="1" si="340"/>
        <v>1.000173611111111</v>
      </c>
    </row>
    <row r="10543" spans="12:15" x14ac:dyDescent="0.25">
      <c r="L10543" s="147">
        <f ca="1"/>
        <v>55782</v>
      </c>
      <c r="M10543" s="92">
        <f t="shared" ca="1" si="339"/>
        <v>6.25</v>
      </c>
      <c r="N10543" s="143">
        <f ca="1">(PRODUCT($O$5:$O10543)-1)*36000/_xlfn.DAYS(L10543, $C$2)</f>
        <v>19.346970021025051</v>
      </c>
      <c r="O10543" s="149">
        <f t="shared" ca="1" si="340"/>
        <v>1.000173611111111</v>
      </c>
    </row>
    <row r="10544" spans="12:15" x14ac:dyDescent="0.25">
      <c r="L10544" s="147">
        <f ca="1"/>
        <v>55783</v>
      </c>
      <c r="M10544" s="92">
        <f t="shared" ca="1" si="339"/>
        <v>6.25</v>
      </c>
      <c r="N10544" s="143">
        <f ca="1">(PRODUCT($O$5:$O10544)-1)*36000/_xlfn.DAYS(L10544, $C$2)</f>
        <v>19.349085954534473</v>
      </c>
      <c r="O10544" s="149">
        <f t="shared" ca="1" si="340"/>
        <v>1.000173611111111</v>
      </c>
    </row>
    <row r="10545" spans="12:15" x14ac:dyDescent="0.25">
      <c r="L10545" s="147">
        <f ca="1"/>
        <v>55784</v>
      </c>
      <c r="M10545" s="92">
        <f t="shared" ca="1" si="339"/>
        <v>6.25</v>
      </c>
      <c r="N10545" s="143">
        <f ca="1">(PRODUCT($O$5:$O10545)-1)*36000/_xlfn.DAYS(L10545, $C$2)</f>
        <v>19.35120217253743</v>
      </c>
      <c r="O10545" s="149">
        <f t="shared" ca="1" si="340"/>
        <v>1.000173611111111</v>
      </c>
    </row>
    <row r="10546" spans="12:15" x14ac:dyDescent="0.25">
      <c r="L10546" s="147">
        <f ca="1"/>
        <v>55785</v>
      </c>
      <c r="M10546" s="92">
        <f t="shared" ca="1" si="339"/>
        <v>6.25</v>
      </c>
      <c r="N10546" s="143">
        <f ca="1">(PRODUCT($O$5:$O10546)-1)*36000/_xlfn.DAYS(L10546, $C$2)</f>
        <v>19.353318675072046</v>
      </c>
      <c r="O10546" s="149">
        <f t="shared" ca="1" si="340"/>
        <v>1.000173611111111</v>
      </c>
    </row>
    <row r="10547" spans="12:15" x14ac:dyDescent="0.25">
      <c r="L10547" s="147">
        <f ca="1"/>
        <v>55786</v>
      </c>
      <c r="M10547" s="92">
        <f t="shared" ca="1" si="339"/>
        <v>6.25</v>
      </c>
      <c r="N10547" s="143">
        <f ca="1">(PRODUCT($O$5:$O10547)-1)*36000/_xlfn.DAYS(L10547, $C$2)</f>
        <v>19.355435462176445</v>
      </c>
      <c r="O10547" s="149">
        <f t="shared" ca="1" si="340"/>
        <v>1.000173611111111</v>
      </c>
    </row>
    <row r="10548" spans="12:15" x14ac:dyDescent="0.25">
      <c r="L10548" s="147">
        <f ca="1"/>
        <v>55787</v>
      </c>
      <c r="M10548" s="92">
        <f t="shared" ca="1" si="339"/>
        <v>6.25</v>
      </c>
      <c r="N10548" s="143">
        <f ca="1">(PRODUCT($O$5:$O10548)-1)*36000/_xlfn.DAYS(L10548, $C$2)</f>
        <v>19.357552533888757</v>
      </c>
      <c r="O10548" s="149">
        <f t="shared" ca="1" si="340"/>
        <v>1.000173611111111</v>
      </c>
    </row>
    <row r="10549" spans="12:15" x14ac:dyDescent="0.25">
      <c r="L10549" s="147">
        <f ca="1"/>
        <v>55788</v>
      </c>
      <c r="M10549" s="92">
        <f t="shared" ca="1" si="339"/>
        <v>6.25</v>
      </c>
      <c r="N10549" s="143">
        <f ca="1">(PRODUCT($O$5:$O10549)-1)*36000/_xlfn.DAYS(L10549, $C$2)</f>
        <v>19.359669890247122</v>
      </c>
      <c r="O10549" s="149">
        <f t="shared" ca="1" si="340"/>
        <v>1.000173611111111</v>
      </c>
    </row>
    <row r="10550" spans="12:15" x14ac:dyDescent="0.25">
      <c r="L10550" s="147">
        <f ca="1"/>
        <v>55789</v>
      </c>
      <c r="M10550" s="92">
        <f t="shared" ca="1" si="339"/>
        <v>6.25</v>
      </c>
      <c r="N10550" s="143">
        <f ca="1">(PRODUCT($O$5:$O10550)-1)*36000/_xlfn.DAYS(L10550, $C$2)</f>
        <v>19.361787531289686</v>
      </c>
      <c r="O10550" s="149">
        <f t="shared" ca="1" si="340"/>
        <v>1.000173611111111</v>
      </c>
    </row>
    <row r="10551" spans="12:15" x14ac:dyDescent="0.25">
      <c r="L10551" s="147">
        <f ca="1"/>
        <v>55790</v>
      </c>
      <c r="M10551" s="92">
        <f t="shared" ca="1" si="339"/>
        <v>6.25</v>
      </c>
      <c r="N10551" s="143">
        <f ca="1">(PRODUCT($O$5:$O10551)-1)*36000/_xlfn.DAYS(L10551, $C$2)</f>
        <v>19.363905457054589</v>
      </c>
      <c r="O10551" s="149">
        <f t="shared" ca="1" si="340"/>
        <v>1.000173611111111</v>
      </c>
    </row>
    <row r="10552" spans="12:15" x14ac:dyDescent="0.25">
      <c r="L10552" s="147">
        <f ca="1"/>
        <v>55791</v>
      </c>
      <c r="M10552" s="92">
        <f t="shared" ca="1" si="339"/>
        <v>6.25</v>
      </c>
      <c r="N10552" s="143">
        <f ca="1">(PRODUCT($O$5:$O10552)-1)*36000/_xlfn.DAYS(L10552, $C$2)</f>
        <v>19.366023667579999</v>
      </c>
      <c r="O10552" s="149">
        <f t="shared" ca="1" si="340"/>
        <v>1.000173611111111</v>
      </c>
    </row>
    <row r="10553" spans="12:15" x14ac:dyDescent="0.25">
      <c r="L10553" s="147">
        <f ca="1"/>
        <v>55792</v>
      </c>
      <c r="M10553" s="92">
        <f t="shared" ca="1" si="339"/>
        <v>6.25</v>
      </c>
      <c r="N10553" s="143">
        <f ca="1">(PRODUCT($O$5:$O10553)-1)*36000/_xlfn.DAYS(L10553, $C$2)</f>
        <v>19.368142162904071</v>
      </c>
      <c r="O10553" s="149">
        <f t="shared" ca="1" si="340"/>
        <v>1.000173611111111</v>
      </c>
    </row>
    <row r="10554" spans="12:15" x14ac:dyDescent="0.25">
      <c r="L10554" s="147">
        <f ca="1"/>
        <v>55793</v>
      </c>
      <c r="M10554" s="92">
        <f t="shared" ca="1" si="339"/>
        <v>6.25</v>
      </c>
      <c r="N10554" s="143">
        <f ca="1">(PRODUCT($O$5:$O10554)-1)*36000/_xlfn.DAYS(L10554, $C$2)</f>
        <v>19.370260943064977</v>
      </c>
      <c r="O10554" s="149">
        <f t="shared" ca="1" si="340"/>
        <v>1.000173611111111</v>
      </c>
    </row>
    <row r="10555" spans="12:15" x14ac:dyDescent="0.25">
      <c r="L10555" s="147">
        <f ca="1"/>
        <v>55794</v>
      </c>
      <c r="M10555" s="92">
        <f t="shared" ca="1" si="339"/>
        <v>6.25</v>
      </c>
      <c r="N10555" s="143">
        <f ca="1">(PRODUCT($O$5:$O10555)-1)*36000/_xlfn.DAYS(L10555, $C$2)</f>
        <v>19.372380008100894</v>
      </c>
      <c r="O10555" s="149">
        <f t="shared" ca="1" si="340"/>
        <v>1.000173611111111</v>
      </c>
    </row>
    <row r="10556" spans="12:15" x14ac:dyDescent="0.25">
      <c r="L10556" s="147">
        <f ca="1"/>
        <v>55795</v>
      </c>
      <c r="M10556" s="92">
        <f t="shared" ca="1" si="339"/>
        <v>6.25</v>
      </c>
      <c r="N10556" s="143">
        <f ca="1">(PRODUCT($O$5:$O10556)-1)*36000/_xlfn.DAYS(L10556, $C$2)</f>
        <v>19.374499358050002</v>
      </c>
      <c r="O10556" s="149">
        <f t="shared" ca="1" si="340"/>
        <v>1.000173611111111</v>
      </c>
    </row>
    <row r="10557" spans="12:15" x14ac:dyDescent="0.25">
      <c r="L10557" s="147">
        <f ca="1"/>
        <v>55796</v>
      </c>
      <c r="M10557" s="92">
        <f t="shared" ca="1" si="339"/>
        <v>6.25</v>
      </c>
      <c r="N10557" s="143">
        <f ca="1">(PRODUCT($O$5:$O10557)-1)*36000/_xlfn.DAYS(L10557, $C$2)</f>
        <v>19.376618992950487</v>
      </c>
      <c r="O10557" s="149">
        <f t="shared" ca="1" si="340"/>
        <v>1.000173611111111</v>
      </c>
    </row>
    <row r="10558" spans="12:15" x14ac:dyDescent="0.25">
      <c r="L10558" s="147">
        <f ca="1"/>
        <v>55797</v>
      </c>
      <c r="M10558" s="92">
        <f t="shared" ca="1" si="339"/>
        <v>6.25</v>
      </c>
      <c r="N10558" s="143">
        <f ca="1">(PRODUCT($O$5:$O10558)-1)*36000/_xlfn.DAYS(L10558, $C$2)</f>
        <v>19.378738912840539</v>
      </c>
      <c r="O10558" s="149">
        <f t="shared" ca="1" si="340"/>
        <v>1.000173611111111</v>
      </c>
    </row>
    <row r="10559" spans="12:15" x14ac:dyDescent="0.25">
      <c r="L10559" s="147">
        <f ca="1"/>
        <v>55798</v>
      </c>
      <c r="M10559" s="92">
        <f t="shared" ca="1" si="339"/>
        <v>6.25</v>
      </c>
      <c r="N10559" s="143">
        <f ca="1">(PRODUCT($O$5:$O10559)-1)*36000/_xlfn.DAYS(L10559, $C$2)</f>
        <v>19.380859117758369</v>
      </c>
      <c r="O10559" s="149">
        <f t="shared" ca="1" si="340"/>
        <v>1.000173611111111</v>
      </c>
    </row>
    <row r="10560" spans="12:15" x14ac:dyDescent="0.25">
      <c r="L10560" s="147">
        <f ca="1"/>
        <v>55799</v>
      </c>
      <c r="M10560" s="92">
        <f t="shared" ca="1" si="339"/>
        <v>6.25</v>
      </c>
      <c r="N10560" s="143">
        <f ca="1">(PRODUCT($O$5:$O10560)-1)*36000/_xlfn.DAYS(L10560, $C$2)</f>
        <v>19.382979607742168</v>
      </c>
      <c r="O10560" s="149">
        <f t="shared" ca="1" si="340"/>
        <v>1.000173611111111</v>
      </c>
    </row>
    <row r="10561" spans="12:15" x14ac:dyDescent="0.25">
      <c r="L10561" s="147">
        <f ca="1"/>
        <v>55800</v>
      </c>
      <c r="M10561" s="92">
        <f t="shared" ca="1" si="339"/>
        <v>6.25</v>
      </c>
      <c r="N10561" s="143">
        <f ca="1">(PRODUCT($O$5:$O10561)-1)*36000/_xlfn.DAYS(L10561, $C$2)</f>
        <v>19.38510038283016</v>
      </c>
      <c r="O10561" s="149">
        <f t="shared" ca="1" si="340"/>
        <v>1.000173611111111</v>
      </c>
    </row>
    <row r="10562" spans="12:15" x14ac:dyDescent="0.25">
      <c r="L10562" s="147">
        <f ca="1"/>
        <v>55801</v>
      </c>
      <c r="M10562" s="92">
        <f t="shared" ca="1" si="339"/>
        <v>6.25</v>
      </c>
      <c r="N10562" s="143">
        <f ca="1">(PRODUCT($O$5:$O10562)-1)*36000/_xlfn.DAYS(L10562, $C$2)</f>
        <v>19.387221443060561</v>
      </c>
      <c r="O10562" s="149">
        <f t="shared" ca="1" si="340"/>
        <v>1.000173611111111</v>
      </c>
    </row>
    <row r="10563" spans="12:15" x14ac:dyDescent="0.25">
      <c r="L10563" s="147">
        <f ca="1"/>
        <v>55802</v>
      </c>
      <c r="M10563" s="92">
        <f t="shared" ca="1" si="339"/>
        <v>6.25</v>
      </c>
      <c r="N10563" s="143">
        <f ca="1">(PRODUCT($O$5:$O10563)-1)*36000/_xlfn.DAYS(L10563, $C$2)</f>
        <v>19.389342788471595</v>
      </c>
      <c r="O10563" s="149">
        <f t="shared" ca="1" si="340"/>
        <v>1.000173611111111</v>
      </c>
    </row>
    <row r="10564" spans="12:15" x14ac:dyDescent="0.25">
      <c r="L10564" s="147">
        <f ca="1"/>
        <v>55803</v>
      </c>
      <c r="M10564" s="92">
        <f t="shared" ca="1" si="339"/>
        <v>6.25</v>
      </c>
      <c r="N10564" s="143">
        <f ca="1">(PRODUCT($O$5:$O10564)-1)*36000/_xlfn.DAYS(L10564, $C$2)</f>
        <v>19.391464419101489</v>
      </c>
      <c r="O10564" s="149">
        <f t="shared" ca="1" si="340"/>
        <v>1.000173611111111</v>
      </c>
    </row>
    <row r="10565" spans="12:15" x14ac:dyDescent="0.25">
      <c r="L10565" s="147">
        <f ca="1"/>
        <v>55804</v>
      </c>
      <c r="M10565" s="92">
        <f t="shared" ref="M10565:M10628" ca="1" si="341">IFERROR(INDEX($E$27:$H$47, MATCH(L10565, $F$27:$F$47, 0), 4), IF(ISNUMBER(M10564), M10564, $C$5))</f>
        <v>6.25</v>
      </c>
      <c r="N10565" s="143">
        <f ca="1">(PRODUCT($O$5:$O10565)-1)*36000/_xlfn.DAYS(L10565, $C$2)</f>
        <v>19.393586334988484</v>
      </c>
      <c r="O10565" s="149">
        <f t="shared" ca="1" si="340"/>
        <v>1.000173611111111</v>
      </c>
    </row>
    <row r="10566" spans="12:15" x14ac:dyDescent="0.25">
      <c r="L10566" s="147">
        <f ca="1"/>
        <v>55805</v>
      </c>
      <c r="M10566" s="92">
        <f t="shared" ca="1" si="341"/>
        <v>6.25</v>
      </c>
      <c r="N10566" s="143">
        <f ca="1">(PRODUCT($O$5:$O10566)-1)*36000/_xlfn.DAYS(L10566, $C$2)</f>
        <v>19.395708536170826</v>
      </c>
      <c r="O10566" s="149">
        <f t="shared" ref="O10566:O10629" ca="1" si="342">1+M10566*IFERROR(_xlfn.DAYS(L10566, L10565), _xlfn.DAYS(L10566, $C$2))/36000</f>
        <v>1.000173611111111</v>
      </c>
    </row>
    <row r="10567" spans="12:15" x14ac:dyDescent="0.25">
      <c r="L10567" s="147">
        <f ca="1"/>
        <v>55806</v>
      </c>
      <c r="M10567" s="92">
        <f t="shared" ca="1" si="341"/>
        <v>6.25</v>
      </c>
      <c r="N10567" s="143">
        <f ca="1">(PRODUCT($O$5:$O10567)-1)*36000/_xlfn.DAYS(L10567, $C$2)</f>
        <v>19.397831022686756</v>
      </c>
      <c r="O10567" s="149">
        <f t="shared" ca="1" si="342"/>
        <v>1.000173611111111</v>
      </c>
    </row>
    <row r="10568" spans="12:15" x14ac:dyDescent="0.25">
      <c r="L10568" s="147">
        <f ca="1"/>
        <v>55807</v>
      </c>
      <c r="M10568" s="92">
        <f t="shared" ca="1" si="341"/>
        <v>6.25</v>
      </c>
      <c r="N10568" s="143">
        <f ca="1">(PRODUCT($O$5:$O10568)-1)*36000/_xlfn.DAYS(L10568, $C$2)</f>
        <v>19.399953794574543</v>
      </c>
      <c r="O10568" s="149">
        <f t="shared" ca="1" si="342"/>
        <v>1.000173611111111</v>
      </c>
    </row>
    <row r="10569" spans="12:15" x14ac:dyDescent="0.25">
      <c r="L10569" s="147">
        <f ca="1"/>
        <v>55808</v>
      </c>
      <c r="M10569" s="92">
        <f t="shared" ca="1" si="341"/>
        <v>6.25</v>
      </c>
      <c r="N10569" s="143">
        <f ca="1">(PRODUCT($O$5:$O10569)-1)*36000/_xlfn.DAYS(L10569, $C$2)</f>
        <v>19.402076851872437</v>
      </c>
      <c r="O10569" s="149">
        <f t="shared" ca="1" si="342"/>
        <v>1.000173611111111</v>
      </c>
    </row>
    <row r="10570" spans="12:15" x14ac:dyDescent="0.25">
      <c r="L10570" s="147">
        <f ca="1"/>
        <v>55809</v>
      </c>
      <c r="M10570" s="92">
        <f t="shared" ca="1" si="341"/>
        <v>6.25</v>
      </c>
      <c r="N10570" s="143">
        <f ca="1">(PRODUCT($O$5:$O10570)-1)*36000/_xlfn.DAYS(L10570, $C$2)</f>
        <v>19.404200194618713</v>
      </c>
      <c r="O10570" s="149">
        <f t="shared" ca="1" si="342"/>
        <v>1.000173611111111</v>
      </c>
    </row>
    <row r="10571" spans="12:15" x14ac:dyDescent="0.25">
      <c r="L10571" s="147">
        <f ca="1"/>
        <v>55810</v>
      </c>
      <c r="M10571" s="92">
        <f t="shared" ca="1" si="341"/>
        <v>6.25</v>
      </c>
      <c r="N10571" s="143">
        <f ca="1">(PRODUCT($O$5:$O10571)-1)*36000/_xlfn.DAYS(L10571, $C$2)</f>
        <v>19.406323822851643</v>
      </c>
      <c r="O10571" s="149">
        <f t="shared" ca="1" si="342"/>
        <v>1.000173611111111</v>
      </c>
    </row>
    <row r="10572" spans="12:15" x14ac:dyDescent="0.25">
      <c r="L10572" s="147">
        <f ca="1"/>
        <v>55811</v>
      </c>
      <c r="M10572" s="92">
        <f t="shared" ca="1" si="341"/>
        <v>6.25</v>
      </c>
      <c r="N10572" s="143">
        <f ca="1">(PRODUCT($O$5:$O10572)-1)*36000/_xlfn.DAYS(L10572, $C$2)</f>
        <v>19.408447736609503</v>
      </c>
      <c r="O10572" s="149">
        <f t="shared" ca="1" si="342"/>
        <v>1.000173611111111</v>
      </c>
    </row>
    <row r="10573" spans="12:15" x14ac:dyDescent="0.25">
      <c r="L10573" s="147">
        <f ca="1"/>
        <v>55812</v>
      </c>
      <c r="M10573" s="92">
        <f t="shared" ca="1" si="341"/>
        <v>6.25</v>
      </c>
      <c r="N10573" s="143">
        <f ca="1">(PRODUCT($O$5:$O10573)-1)*36000/_xlfn.DAYS(L10573, $C$2)</f>
        <v>19.410571935930594</v>
      </c>
      <c r="O10573" s="149">
        <f t="shared" ca="1" si="342"/>
        <v>1.000173611111111</v>
      </c>
    </row>
    <row r="10574" spans="12:15" x14ac:dyDescent="0.25">
      <c r="L10574" s="147">
        <f ca="1"/>
        <v>55813</v>
      </c>
      <c r="M10574" s="92">
        <f t="shared" ca="1" si="341"/>
        <v>6.25</v>
      </c>
      <c r="N10574" s="143">
        <f ca="1">(PRODUCT($O$5:$O10574)-1)*36000/_xlfn.DAYS(L10574, $C$2)</f>
        <v>19.412696420853194</v>
      </c>
      <c r="O10574" s="149">
        <f t="shared" ca="1" si="342"/>
        <v>1.000173611111111</v>
      </c>
    </row>
    <row r="10575" spans="12:15" x14ac:dyDescent="0.25">
      <c r="L10575" s="147">
        <f ca="1"/>
        <v>55814</v>
      </c>
      <c r="M10575" s="92">
        <f t="shared" ca="1" si="341"/>
        <v>6.25</v>
      </c>
      <c r="N10575" s="143">
        <f ca="1">(PRODUCT($O$5:$O10575)-1)*36000/_xlfn.DAYS(L10575, $C$2)</f>
        <v>19.414821191415612</v>
      </c>
      <c r="O10575" s="149">
        <f t="shared" ca="1" si="342"/>
        <v>1.000173611111111</v>
      </c>
    </row>
    <row r="10576" spans="12:15" x14ac:dyDescent="0.25">
      <c r="L10576" s="147">
        <f ca="1"/>
        <v>55815</v>
      </c>
      <c r="M10576" s="92">
        <f t="shared" ca="1" si="341"/>
        <v>6.25</v>
      </c>
      <c r="N10576" s="143">
        <f ca="1">(PRODUCT($O$5:$O10576)-1)*36000/_xlfn.DAYS(L10576, $C$2)</f>
        <v>19.416946247656149</v>
      </c>
      <c r="O10576" s="149">
        <f t="shared" ca="1" si="342"/>
        <v>1.000173611111111</v>
      </c>
    </row>
    <row r="10577" spans="12:15" x14ac:dyDescent="0.25">
      <c r="L10577" s="147">
        <f ca="1"/>
        <v>55816</v>
      </c>
      <c r="M10577" s="92">
        <f t="shared" ca="1" si="341"/>
        <v>6.25</v>
      </c>
      <c r="N10577" s="143">
        <f ca="1">(PRODUCT($O$5:$O10577)-1)*36000/_xlfn.DAYS(L10577, $C$2)</f>
        <v>19.419071589613118</v>
      </c>
      <c r="O10577" s="149">
        <f t="shared" ca="1" si="342"/>
        <v>1.000173611111111</v>
      </c>
    </row>
    <row r="10578" spans="12:15" x14ac:dyDescent="0.25">
      <c r="L10578" s="147">
        <f ca="1"/>
        <v>55817</v>
      </c>
      <c r="M10578" s="92">
        <f t="shared" ca="1" si="341"/>
        <v>6.25</v>
      </c>
      <c r="N10578" s="143">
        <f ca="1">(PRODUCT($O$5:$O10578)-1)*36000/_xlfn.DAYS(L10578, $C$2)</f>
        <v>19.421197217324838</v>
      </c>
      <c r="O10578" s="149">
        <f t="shared" ca="1" si="342"/>
        <v>1.000173611111111</v>
      </c>
    </row>
    <row r="10579" spans="12:15" x14ac:dyDescent="0.25">
      <c r="L10579" s="147">
        <f ca="1"/>
        <v>55818</v>
      </c>
      <c r="M10579" s="92">
        <f t="shared" ca="1" si="341"/>
        <v>6.25</v>
      </c>
      <c r="N10579" s="143">
        <f ca="1">(PRODUCT($O$5:$O10579)-1)*36000/_xlfn.DAYS(L10579, $C$2)</f>
        <v>19.423323130829633</v>
      </c>
      <c r="O10579" s="149">
        <f t="shared" ca="1" si="342"/>
        <v>1.000173611111111</v>
      </c>
    </row>
    <row r="10580" spans="12:15" x14ac:dyDescent="0.25">
      <c r="L10580" s="147">
        <f ca="1"/>
        <v>55819</v>
      </c>
      <c r="M10580" s="92">
        <f t="shared" ca="1" si="341"/>
        <v>6.25</v>
      </c>
      <c r="N10580" s="143">
        <f ca="1">(PRODUCT($O$5:$O10580)-1)*36000/_xlfn.DAYS(L10580, $C$2)</f>
        <v>19.425449330165836</v>
      </c>
      <c r="O10580" s="149">
        <f t="shared" ca="1" si="342"/>
        <v>1.000173611111111</v>
      </c>
    </row>
    <row r="10581" spans="12:15" x14ac:dyDescent="0.25">
      <c r="L10581" s="147">
        <f ca="1"/>
        <v>55820</v>
      </c>
      <c r="M10581" s="92">
        <f t="shared" ca="1" si="341"/>
        <v>6.25</v>
      </c>
      <c r="N10581" s="143">
        <f ca="1">(PRODUCT($O$5:$O10581)-1)*36000/_xlfn.DAYS(L10581, $C$2)</f>
        <v>19.427575815371778</v>
      </c>
      <c r="O10581" s="149">
        <f t="shared" ca="1" si="342"/>
        <v>1.000173611111111</v>
      </c>
    </row>
    <row r="10582" spans="12:15" x14ac:dyDescent="0.25">
      <c r="L10582" s="147">
        <f ca="1"/>
        <v>55821</v>
      </c>
      <c r="M10582" s="92">
        <f t="shared" ca="1" si="341"/>
        <v>6.25</v>
      </c>
      <c r="N10582" s="143">
        <f ca="1">(PRODUCT($O$5:$O10582)-1)*36000/_xlfn.DAYS(L10582, $C$2)</f>
        <v>19.429702586485806</v>
      </c>
      <c r="O10582" s="149">
        <f t="shared" ca="1" si="342"/>
        <v>1.000173611111111</v>
      </c>
    </row>
    <row r="10583" spans="12:15" x14ac:dyDescent="0.25">
      <c r="L10583" s="147">
        <f ca="1"/>
        <v>55822</v>
      </c>
      <c r="M10583" s="92">
        <f t="shared" ca="1" si="341"/>
        <v>6.25</v>
      </c>
      <c r="N10583" s="143">
        <f ca="1">(PRODUCT($O$5:$O10583)-1)*36000/_xlfn.DAYS(L10583, $C$2)</f>
        <v>19.431829643546266</v>
      </c>
      <c r="O10583" s="149">
        <f t="shared" ca="1" si="342"/>
        <v>1.000173611111111</v>
      </c>
    </row>
    <row r="10584" spans="12:15" x14ac:dyDescent="0.25">
      <c r="L10584" s="147">
        <f ca="1"/>
        <v>55823</v>
      </c>
      <c r="M10584" s="92">
        <f t="shared" ca="1" si="341"/>
        <v>6.25</v>
      </c>
      <c r="N10584" s="143">
        <f ca="1">(PRODUCT($O$5:$O10584)-1)*36000/_xlfn.DAYS(L10584, $C$2)</f>
        <v>19.433956986591518</v>
      </c>
      <c r="O10584" s="149">
        <f t="shared" ca="1" si="342"/>
        <v>1.000173611111111</v>
      </c>
    </row>
    <row r="10585" spans="12:15" x14ac:dyDescent="0.25">
      <c r="L10585" s="147">
        <f ca="1"/>
        <v>55824</v>
      </c>
      <c r="M10585" s="92">
        <f t="shared" ca="1" si="341"/>
        <v>6.25</v>
      </c>
      <c r="N10585" s="143">
        <f ca="1">(PRODUCT($O$5:$O10585)-1)*36000/_xlfn.DAYS(L10585, $C$2)</f>
        <v>19.436084615659926</v>
      </c>
      <c r="O10585" s="149">
        <f t="shared" ca="1" si="342"/>
        <v>1.000173611111111</v>
      </c>
    </row>
    <row r="10586" spans="12:15" x14ac:dyDescent="0.25">
      <c r="L10586" s="147">
        <f ca="1"/>
        <v>55825</v>
      </c>
      <c r="M10586" s="92">
        <f t="shared" ca="1" si="341"/>
        <v>6.25</v>
      </c>
      <c r="N10586" s="143">
        <f ca="1">(PRODUCT($O$5:$O10586)-1)*36000/_xlfn.DAYS(L10586, $C$2)</f>
        <v>19.438212530789848</v>
      </c>
      <c r="O10586" s="149">
        <f t="shared" ca="1" si="342"/>
        <v>1.000173611111111</v>
      </c>
    </row>
    <row r="10587" spans="12:15" x14ac:dyDescent="0.25">
      <c r="L10587" s="147">
        <f ca="1"/>
        <v>55826</v>
      </c>
      <c r="M10587" s="92">
        <f t="shared" ca="1" si="341"/>
        <v>6.25</v>
      </c>
      <c r="N10587" s="143">
        <f ca="1">(PRODUCT($O$5:$O10587)-1)*36000/_xlfn.DAYS(L10587, $C$2)</f>
        <v>19.440340732019664</v>
      </c>
      <c r="O10587" s="149">
        <f t="shared" ca="1" si="342"/>
        <v>1.000173611111111</v>
      </c>
    </row>
    <row r="10588" spans="12:15" x14ac:dyDescent="0.25">
      <c r="L10588" s="147">
        <f ca="1"/>
        <v>55827</v>
      </c>
      <c r="M10588" s="92">
        <f t="shared" ca="1" si="341"/>
        <v>6.25</v>
      </c>
      <c r="N10588" s="143">
        <f ca="1">(PRODUCT($O$5:$O10588)-1)*36000/_xlfn.DAYS(L10588, $C$2)</f>
        <v>19.44246921938776</v>
      </c>
      <c r="O10588" s="149">
        <f t="shared" ca="1" si="342"/>
        <v>1.000173611111111</v>
      </c>
    </row>
    <row r="10589" spans="12:15" x14ac:dyDescent="0.25">
      <c r="L10589" s="147">
        <f ca="1"/>
        <v>55828</v>
      </c>
      <c r="M10589" s="92">
        <f t="shared" ca="1" si="341"/>
        <v>6.25</v>
      </c>
      <c r="N10589" s="143">
        <f ca="1">(PRODUCT($O$5:$O10589)-1)*36000/_xlfn.DAYS(L10589, $C$2)</f>
        <v>19.444597992932511</v>
      </c>
      <c r="O10589" s="149">
        <f t="shared" ca="1" si="342"/>
        <v>1.000173611111111</v>
      </c>
    </row>
    <row r="10590" spans="12:15" x14ac:dyDescent="0.25">
      <c r="L10590" s="147">
        <f ca="1"/>
        <v>55829</v>
      </c>
      <c r="M10590" s="92">
        <f t="shared" ca="1" si="341"/>
        <v>6.25</v>
      </c>
      <c r="N10590" s="143">
        <f ca="1">(PRODUCT($O$5:$O10590)-1)*36000/_xlfn.DAYS(L10590, $C$2)</f>
        <v>19.446727052692321</v>
      </c>
      <c r="O10590" s="149">
        <f t="shared" ca="1" si="342"/>
        <v>1.000173611111111</v>
      </c>
    </row>
    <row r="10591" spans="12:15" x14ac:dyDescent="0.25">
      <c r="L10591" s="147">
        <f ca="1"/>
        <v>55830</v>
      </c>
      <c r="M10591" s="92">
        <f t="shared" ca="1" si="341"/>
        <v>6.25</v>
      </c>
      <c r="N10591" s="143">
        <f ca="1">(PRODUCT($O$5:$O10591)-1)*36000/_xlfn.DAYS(L10591, $C$2)</f>
        <v>19.448856398705583</v>
      </c>
      <c r="O10591" s="149">
        <f t="shared" ca="1" si="342"/>
        <v>1.000173611111111</v>
      </c>
    </row>
    <row r="10592" spans="12:15" x14ac:dyDescent="0.25">
      <c r="L10592" s="147">
        <f ca="1"/>
        <v>55831</v>
      </c>
      <c r="M10592" s="92">
        <f t="shared" ca="1" si="341"/>
        <v>6.25</v>
      </c>
      <c r="N10592" s="143">
        <f ca="1">(PRODUCT($O$5:$O10592)-1)*36000/_xlfn.DAYS(L10592, $C$2)</f>
        <v>19.450986031010704</v>
      </c>
      <c r="O10592" s="149">
        <f t="shared" ca="1" si="342"/>
        <v>1.000173611111111</v>
      </c>
    </row>
    <row r="10593" spans="12:15" x14ac:dyDescent="0.25">
      <c r="L10593" s="147">
        <f ca="1"/>
        <v>55832</v>
      </c>
      <c r="M10593" s="92">
        <f t="shared" ca="1" si="341"/>
        <v>6.25</v>
      </c>
      <c r="N10593" s="143">
        <f ca="1">(PRODUCT($O$5:$O10593)-1)*36000/_xlfn.DAYS(L10593, $C$2)</f>
        <v>19.45311594964609</v>
      </c>
      <c r="O10593" s="149">
        <f t="shared" ca="1" si="342"/>
        <v>1.000173611111111</v>
      </c>
    </row>
    <row r="10594" spans="12:15" x14ac:dyDescent="0.25">
      <c r="L10594" s="147">
        <f ca="1"/>
        <v>55833</v>
      </c>
      <c r="M10594" s="92">
        <f t="shared" ca="1" si="341"/>
        <v>6.25</v>
      </c>
      <c r="N10594" s="143">
        <f ca="1">(PRODUCT($O$5:$O10594)-1)*36000/_xlfn.DAYS(L10594, $C$2)</f>
        <v>19.455246154650169</v>
      </c>
      <c r="O10594" s="149">
        <f t="shared" ca="1" si="342"/>
        <v>1.000173611111111</v>
      </c>
    </row>
    <row r="10595" spans="12:15" x14ac:dyDescent="0.25">
      <c r="L10595" s="147">
        <f ca="1"/>
        <v>55834</v>
      </c>
      <c r="M10595" s="92">
        <f t="shared" ca="1" si="341"/>
        <v>6.25</v>
      </c>
      <c r="N10595" s="143">
        <f ca="1">(PRODUCT($O$5:$O10595)-1)*36000/_xlfn.DAYS(L10595, $C$2)</f>
        <v>19.457376646061359</v>
      </c>
      <c r="O10595" s="149">
        <f t="shared" ca="1" si="342"/>
        <v>1.000173611111111</v>
      </c>
    </row>
    <row r="10596" spans="12:15" x14ac:dyDescent="0.25">
      <c r="L10596" s="147">
        <f ca="1"/>
        <v>55835</v>
      </c>
      <c r="M10596" s="92">
        <f t="shared" ca="1" si="341"/>
        <v>6.25</v>
      </c>
      <c r="N10596" s="143">
        <f ca="1">(PRODUCT($O$5:$O10596)-1)*36000/_xlfn.DAYS(L10596, $C$2)</f>
        <v>19.459507423918094</v>
      </c>
      <c r="O10596" s="149">
        <f t="shared" ca="1" si="342"/>
        <v>1.000173611111111</v>
      </c>
    </row>
    <row r="10597" spans="12:15" x14ac:dyDescent="0.25">
      <c r="L10597" s="147">
        <f ca="1"/>
        <v>55836</v>
      </c>
      <c r="M10597" s="92">
        <f t="shared" ca="1" si="341"/>
        <v>6.25</v>
      </c>
      <c r="N10597" s="143">
        <f ca="1">(PRODUCT($O$5:$O10597)-1)*36000/_xlfn.DAYS(L10597, $C$2)</f>
        <v>19.461638488258803</v>
      </c>
      <c r="O10597" s="149">
        <f t="shared" ca="1" si="342"/>
        <v>1.000173611111111</v>
      </c>
    </row>
    <row r="10598" spans="12:15" x14ac:dyDescent="0.25">
      <c r="L10598" s="147">
        <f ca="1"/>
        <v>55837</v>
      </c>
      <c r="M10598" s="92">
        <f t="shared" ca="1" si="341"/>
        <v>6.25</v>
      </c>
      <c r="N10598" s="143">
        <f ca="1">(PRODUCT($O$5:$O10598)-1)*36000/_xlfn.DAYS(L10598, $C$2)</f>
        <v>19.463769839121937</v>
      </c>
      <c r="O10598" s="149">
        <f t="shared" ca="1" si="342"/>
        <v>1.000173611111111</v>
      </c>
    </row>
    <row r="10599" spans="12:15" x14ac:dyDescent="0.25">
      <c r="L10599" s="147">
        <f ca="1"/>
        <v>55838</v>
      </c>
      <c r="M10599" s="92">
        <f t="shared" ca="1" si="341"/>
        <v>6.25</v>
      </c>
      <c r="N10599" s="143">
        <f ca="1">(PRODUCT($O$5:$O10599)-1)*36000/_xlfn.DAYS(L10599, $C$2)</f>
        <v>19.465901476545941</v>
      </c>
      <c r="O10599" s="149">
        <f t="shared" ca="1" si="342"/>
        <v>1.000173611111111</v>
      </c>
    </row>
    <row r="10600" spans="12:15" x14ac:dyDescent="0.25">
      <c r="L10600" s="147">
        <f ca="1"/>
        <v>55839</v>
      </c>
      <c r="M10600" s="92">
        <f t="shared" ca="1" si="341"/>
        <v>6.25</v>
      </c>
      <c r="N10600" s="143">
        <f ca="1">(PRODUCT($O$5:$O10600)-1)*36000/_xlfn.DAYS(L10600, $C$2)</f>
        <v>19.468033400569269</v>
      </c>
      <c r="O10600" s="149">
        <f t="shared" ca="1" si="342"/>
        <v>1.000173611111111</v>
      </c>
    </row>
    <row r="10601" spans="12:15" x14ac:dyDescent="0.25">
      <c r="L10601" s="147">
        <f ca="1"/>
        <v>55840</v>
      </c>
      <c r="M10601" s="92">
        <f t="shared" ca="1" si="341"/>
        <v>6.25</v>
      </c>
      <c r="N10601" s="143">
        <f ca="1">(PRODUCT($O$5:$O10601)-1)*36000/_xlfn.DAYS(L10601, $C$2)</f>
        <v>19.470165611230385</v>
      </c>
      <c r="O10601" s="149">
        <f t="shared" ca="1" si="342"/>
        <v>1.000173611111111</v>
      </c>
    </row>
    <row r="10602" spans="12:15" x14ac:dyDescent="0.25">
      <c r="L10602" s="147">
        <f ca="1"/>
        <v>55841</v>
      </c>
      <c r="M10602" s="92">
        <f t="shared" ca="1" si="341"/>
        <v>6.25</v>
      </c>
      <c r="N10602" s="143">
        <f ca="1">(PRODUCT($O$5:$O10602)-1)*36000/_xlfn.DAYS(L10602, $C$2)</f>
        <v>19.472298108567763</v>
      </c>
      <c r="O10602" s="149">
        <f t="shared" ca="1" si="342"/>
        <v>1.000173611111111</v>
      </c>
    </row>
    <row r="10603" spans="12:15" x14ac:dyDescent="0.25">
      <c r="L10603" s="147">
        <f ca="1"/>
        <v>55842</v>
      </c>
      <c r="M10603" s="92">
        <f t="shared" ca="1" si="341"/>
        <v>6.25</v>
      </c>
      <c r="N10603" s="143">
        <f ca="1">(PRODUCT($O$5:$O10603)-1)*36000/_xlfn.DAYS(L10603, $C$2)</f>
        <v>19.474430892619864</v>
      </c>
      <c r="O10603" s="149">
        <f t="shared" ca="1" si="342"/>
        <v>1.000173611111111</v>
      </c>
    </row>
    <row r="10604" spans="12:15" x14ac:dyDescent="0.25">
      <c r="L10604" s="147">
        <f ca="1"/>
        <v>55843</v>
      </c>
      <c r="M10604" s="92">
        <f t="shared" ca="1" si="341"/>
        <v>6.25</v>
      </c>
      <c r="N10604" s="143">
        <f ca="1">(PRODUCT($O$5:$O10604)-1)*36000/_xlfn.DAYS(L10604, $C$2)</f>
        <v>19.476563963425182</v>
      </c>
      <c r="O10604" s="149">
        <f t="shared" ca="1" si="342"/>
        <v>1.000173611111111</v>
      </c>
    </row>
    <row r="10605" spans="12:15" x14ac:dyDescent="0.25">
      <c r="L10605" s="147">
        <f ca="1"/>
        <v>55844</v>
      </c>
      <c r="M10605" s="92">
        <f t="shared" ca="1" si="341"/>
        <v>6.25</v>
      </c>
      <c r="N10605" s="143">
        <f ca="1">(PRODUCT($O$5:$O10605)-1)*36000/_xlfn.DAYS(L10605, $C$2)</f>
        <v>19.478697321022192</v>
      </c>
      <c r="O10605" s="149">
        <f t="shared" ca="1" si="342"/>
        <v>1.000173611111111</v>
      </c>
    </row>
    <row r="10606" spans="12:15" x14ac:dyDescent="0.25">
      <c r="L10606" s="147">
        <f ca="1"/>
        <v>55845</v>
      </c>
      <c r="M10606" s="92">
        <f t="shared" ca="1" si="341"/>
        <v>6.25</v>
      </c>
      <c r="N10606" s="143">
        <f ca="1">(PRODUCT($O$5:$O10606)-1)*36000/_xlfn.DAYS(L10606, $C$2)</f>
        <v>19.480830965449396</v>
      </c>
      <c r="O10606" s="149">
        <f t="shared" ca="1" si="342"/>
        <v>1.000173611111111</v>
      </c>
    </row>
    <row r="10607" spans="12:15" x14ac:dyDescent="0.25">
      <c r="L10607" s="147">
        <f ca="1"/>
        <v>55846</v>
      </c>
      <c r="M10607" s="92">
        <f t="shared" ca="1" si="341"/>
        <v>6.25</v>
      </c>
      <c r="N10607" s="143">
        <f ca="1">(PRODUCT($O$5:$O10607)-1)*36000/_xlfn.DAYS(L10607, $C$2)</f>
        <v>19.482964896745283</v>
      </c>
      <c r="O10607" s="149">
        <f t="shared" ca="1" si="342"/>
        <v>1.000173611111111</v>
      </c>
    </row>
    <row r="10608" spans="12:15" x14ac:dyDescent="0.25">
      <c r="L10608" s="147">
        <f ca="1"/>
        <v>55847</v>
      </c>
      <c r="M10608" s="92">
        <f t="shared" ca="1" si="341"/>
        <v>6.25</v>
      </c>
      <c r="N10608" s="143">
        <f ca="1">(PRODUCT($O$5:$O10608)-1)*36000/_xlfn.DAYS(L10608, $C$2)</f>
        <v>19.485099114948369</v>
      </c>
      <c r="O10608" s="149">
        <f t="shared" ca="1" si="342"/>
        <v>1.000173611111111</v>
      </c>
    </row>
    <row r="10609" spans="12:15" x14ac:dyDescent="0.25">
      <c r="L10609" s="147">
        <f ca="1"/>
        <v>55848</v>
      </c>
      <c r="M10609" s="92">
        <f t="shared" ca="1" si="341"/>
        <v>6.25</v>
      </c>
      <c r="N10609" s="143">
        <f ca="1">(PRODUCT($O$5:$O10609)-1)*36000/_xlfn.DAYS(L10609, $C$2)</f>
        <v>19.487233620097157</v>
      </c>
      <c r="O10609" s="149">
        <f t="shared" ca="1" si="342"/>
        <v>1.000173611111111</v>
      </c>
    </row>
    <row r="10610" spans="12:15" x14ac:dyDescent="0.25">
      <c r="L10610" s="147">
        <f ca="1"/>
        <v>55849</v>
      </c>
      <c r="M10610" s="92">
        <f t="shared" ca="1" si="341"/>
        <v>6.25</v>
      </c>
      <c r="N10610" s="143">
        <f ca="1">(PRODUCT($O$5:$O10610)-1)*36000/_xlfn.DAYS(L10610, $C$2)</f>
        <v>19.489368412230167</v>
      </c>
      <c r="O10610" s="149">
        <f t="shared" ca="1" si="342"/>
        <v>1.000173611111111</v>
      </c>
    </row>
    <row r="10611" spans="12:15" x14ac:dyDescent="0.25">
      <c r="L10611" s="147">
        <f ca="1"/>
        <v>55850</v>
      </c>
      <c r="M10611" s="92">
        <f t="shared" ca="1" si="341"/>
        <v>6.25</v>
      </c>
      <c r="N10611" s="143">
        <f ca="1">(PRODUCT($O$5:$O10611)-1)*36000/_xlfn.DAYS(L10611, $C$2)</f>
        <v>19.491503491385927</v>
      </c>
      <c r="O10611" s="149">
        <f t="shared" ca="1" si="342"/>
        <v>1.000173611111111</v>
      </c>
    </row>
    <row r="10612" spans="12:15" x14ac:dyDescent="0.25">
      <c r="L10612" s="147">
        <f ca="1"/>
        <v>55851</v>
      </c>
      <c r="M10612" s="92">
        <f t="shared" ca="1" si="341"/>
        <v>6.25</v>
      </c>
      <c r="N10612" s="143">
        <f ca="1">(PRODUCT($O$5:$O10612)-1)*36000/_xlfn.DAYS(L10612, $C$2)</f>
        <v>19.49363885760296</v>
      </c>
      <c r="O10612" s="149">
        <f t="shared" ca="1" si="342"/>
        <v>1.000173611111111</v>
      </c>
    </row>
    <row r="10613" spans="12:15" x14ac:dyDescent="0.25">
      <c r="L10613" s="147">
        <f ca="1"/>
        <v>55852</v>
      </c>
      <c r="M10613" s="92">
        <f t="shared" ca="1" si="341"/>
        <v>6.25</v>
      </c>
      <c r="N10613" s="143">
        <f ca="1">(PRODUCT($O$5:$O10613)-1)*36000/_xlfn.DAYS(L10613, $C$2)</f>
        <v>19.495774510919812</v>
      </c>
      <c r="O10613" s="149">
        <f t="shared" ca="1" si="342"/>
        <v>1.000173611111111</v>
      </c>
    </row>
    <row r="10614" spans="12:15" x14ac:dyDescent="0.25">
      <c r="L10614" s="147">
        <f ca="1"/>
        <v>55853</v>
      </c>
      <c r="M10614" s="92">
        <f t="shared" ca="1" si="341"/>
        <v>6.25</v>
      </c>
      <c r="N10614" s="143">
        <f ca="1">(PRODUCT($O$5:$O10614)-1)*36000/_xlfn.DAYS(L10614, $C$2)</f>
        <v>19.49791045137502</v>
      </c>
      <c r="O10614" s="149">
        <f t="shared" ca="1" si="342"/>
        <v>1.000173611111111</v>
      </c>
    </row>
    <row r="10615" spans="12:15" x14ac:dyDescent="0.25">
      <c r="L10615" s="147">
        <f ca="1"/>
        <v>55854</v>
      </c>
      <c r="M10615" s="92">
        <f t="shared" ca="1" si="341"/>
        <v>6.25</v>
      </c>
      <c r="N10615" s="143">
        <f ca="1">(PRODUCT($O$5:$O10615)-1)*36000/_xlfn.DAYS(L10615, $C$2)</f>
        <v>19.500046679007131</v>
      </c>
      <c r="O10615" s="149">
        <f t="shared" ca="1" si="342"/>
        <v>1.000173611111111</v>
      </c>
    </row>
    <row r="10616" spans="12:15" x14ac:dyDescent="0.25">
      <c r="L10616" s="147">
        <f ca="1"/>
        <v>55855</v>
      </c>
      <c r="M10616" s="92">
        <f t="shared" ca="1" si="341"/>
        <v>6.25</v>
      </c>
      <c r="N10616" s="143">
        <f ca="1">(PRODUCT($O$5:$O10616)-1)*36000/_xlfn.DAYS(L10616, $C$2)</f>
        <v>19.502183193854705</v>
      </c>
      <c r="O10616" s="149">
        <f t="shared" ca="1" si="342"/>
        <v>1.000173611111111</v>
      </c>
    </row>
    <row r="10617" spans="12:15" x14ac:dyDescent="0.25">
      <c r="L10617" s="147">
        <f ca="1"/>
        <v>55856</v>
      </c>
      <c r="M10617" s="92">
        <f t="shared" ca="1" si="341"/>
        <v>6.25</v>
      </c>
      <c r="N10617" s="143">
        <f ca="1">(PRODUCT($O$5:$O10617)-1)*36000/_xlfn.DAYS(L10617, $C$2)</f>
        <v>19.504319995956301</v>
      </c>
      <c r="O10617" s="149">
        <f t="shared" ca="1" si="342"/>
        <v>1.000173611111111</v>
      </c>
    </row>
    <row r="10618" spans="12:15" x14ac:dyDescent="0.25">
      <c r="L10618" s="147">
        <f ca="1"/>
        <v>55857</v>
      </c>
      <c r="M10618" s="92">
        <f t="shared" ca="1" si="341"/>
        <v>6.25</v>
      </c>
      <c r="N10618" s="143">
        <f ca="1">(PRODUCT($O$5:$O10618)-1)*36000/_xlfn.DAYS(L10618, $C$2)</f>
        <v>19.50645708535049</v>
      </c>
      <c r="O10618" s="149">
        <f t="shared" ca="1" si="342"/>
        <v>1.000173611111111</v>
      </c>
    </row>
    <row r="10619" spans="12:15" x14ac:dyDescent="0.25">
      <c r="L10619" s="147">
        <f ca="1"/>
        <v>55858</v>
      </c>
      <c r="M10619" s="92">
        <f t="shared" ca="1" si="341"/>
        <v>6.25</v>
      </c>
      <c r="N10619" s="143">
        <f ca="1">(PRODUCT($O$5:$O10619)-1)*36000/_xlfn.DAYS(L10619, $C$2)</f>
        <v>19.508594462075841</v>
      </c>
      <c r="O10619" s="149">
        <f t="shared" ca="1" si="342"/>
        <v>1.000173611111111</v>
      </c>
    </row>
    <row r="10620" spans="12:15" x14ac:dyDescent="0.25">
      <c r="L10620" s="147">
        <f ca="1"/>
        <v>55859</v>
      </c>
      <c r="M10620" s="92">
        <f t="shared" ca="1" si="341"/>
        <v>6.25</v>
      </c>
      <c r="N10620" s="143">
        <f ca="1">(PRODUCT($O$5:$O10620)-1)*36000/_xlfn.DAYS(L10620, $C$2)</f>
        <v>19.510732126170936</v>
      </c>
      <c r="O10620" s="149">
        <f t="shared" ca="1" si="342"/>
        <v>1.000173611111111</v>
      </c>
    </row>
    <row r="10621" spans="12:15" x14ac:dyDescent="0.25">
      <c r="L10621" s="147">
        <f ca="1"/>
        <v>55860</v>
      </c>
      <c r="M10621" s="92">
        <f t="shared" ca="1" si="341"/>
        <v>6.25</v>
      </c>
      <c r="N10621" s="143">
        <f ca="1">(PRODUCT($O$5:$O10621)-1)*36000/_xlfn.DAYS(L10621, $C$2)</f>
        <v>19.512870077674364</v>
      </c>
      <c r="O10621" s="149">
        <f t="shared" ca="1" si="342"/>
        <v>1.000173611111111</v>
      </c>
    </row>
    <row r="10622" spans="12:15" x14ac:dyDescent="0.25">
      <c r="L10622" s="147">
        <f ca="1"/>
        <v>55861</v>
      </c>
      <c r="M10622" s="92">
        <f t="shared" ca="1" si="341"/>
        <v>6.25</v>
      </c>
      <c r="N10622" s="143">
        <f ca="1">(PRODUCT($O$5:$O10622)-1)*36000/_xlfn.DAYS(L10622, $C$2)</f>
        <v>19.515008316624719</v>
      </c>
      <c r="O10622" s="149">
        <f t="shared" ca="1" si="342"/>
        <v>1.000173611111111</v>
      </c>
    </row>
    <row r="10623" spans="12:15" x14ac:dyDescent="0.25">
      <c r="L10623" s="147">
        <f ca="1"/>
        <v>55862</v>
      </c>
      <c r="M10623" s="92">
        <f t="shared" ca="1" si="341"/>
        <v>6.25</v>
      </c>
      <c r="N10623" s="143">
        <f ca="1">(PRODUCT($O$5:$O10623)-1)*36000/_xlfn.DAYS(L10623, $C$2)</f>
        <v>19.517146843060594</v>
      </c>
      <c r="O10623" s="149">
        <f t="shared" ca="1" si="342"/>
        <v>1.000173611111111</v>
      </c>
    </row>
    <row r="10624" spans="12:15" x14ac:dyDescent="0.25">
      <c r="L10624" s="147">
        <f ca="1"/>
        <v>55863</v>
      </c>
      <c r="M10624" s="92">
        <f t="shared" ca="1" si="341"/>
        <v>6.25</v>
      </c>
      <c r="N10624" s="143">
        <f ca="1">(PRODUCT($O$5:$O10624)-1)*36000/_xlfn.DAYS(L10624, $C$2)</f>
        <v>19.519285657020603</v>
      </c>
      <c r="O10624" s="149">
        <f t="shared" ca="1" si="342"/>
        <v>1.000173611111111</v>
      </c>
    </row>
    <row r="10625" spans="12:15" x14ac:dyDescent="0.25">
      <c r="L10625" s="147">
        <f ca="1"/>
        <v>55864</v>
      </c>
      <c r="M10625" s="92">
        <f t="shared" ca="1" si="341"/>
        <v>6.25</v>
      </c>
      <c r="N10625" s="143">
        <f ca="1">(PRODUCT($O$5:$O10625)-1)*36000/_xlfn.DAYS(L10625, $C$2)</f>
        <v>19.521424758543347</v>
      </c>
      <c r="O10625" s="149">
        <f t="shared" ca="1" si="342"/>
        <v>1.000173611111111</v>
      </c>
    </row>
    <row r="10626" spans="12:15" x14ac:dyDescent="0.25">
      <c r="L10626" s="147">
        <f ca="1"/>
        <v>55865</v>
      </c>
      <c r="M10626" s="92">
        <f t="shared" ca="1" si="341"/>
        <v>6.25</v>
      </c>
      <c r="N10626" s="143">
        <f ca="1">(PRODUCT($O$5:$O10626)-1)*36000/_xlfn.DAYS(L10626, $C$2)</f>
        <v>19.523564147667454</v>
      </c>
      <c r="O10626" s="149">
        <f t="shared" ca="1" si="342"/>
        <v>1.000173611111111</v>
      </c>
    </row>
    <row r="10627" spans="12:15" x14ac:dyDescent="0.25">
      <c r="L10627" s="147">
        <f ca="1"/>
        <v>55866</v>
      </c>
      <c r="M10627" s="92">
        <f t="shared" ca="1" si="341"/>
        <v>6.25</v>
      </c>
      <c r="N10627" s="143">
        <f ca="1">(PRODUCT($O$5:$O10627)-1)*36000/_xlfn.DAYS(L10627, $C$2)</f>
        <v>19.525703824431538</v>
      </c>
      <c r="O10627" s="149">
        <f t="shared" ca="1" si="342"/>
        <v>1.000173611111111</v>
      </c>
    </row>
    <row r="10628" spans="12:15" x14ac:dyDescent="0.25">
      <c r="L10628" s="147">
        <f ca="1"/>
        <v>55867</v>
      </c>
      <c r="M10628" s="92">
        <f t="shared" ca="1" si="341"/>
        <v>6.25</v>
      </c>
      <c r="N10628" s="143">
        <f ca="1">(PRODUCT($O$5:$O10628)-1)*36000/_xlfn.DAYS(L10628, $C$2)</f>
        <v>19.527843788874243</v>
      </c>
      <c r="O10628" s="149">
        <f t="shared" ca="1" si="342"/>
        <v>1.000173611111111</v>
      </c>
    </row>
    <row r="10629" spans="12:15" x14ac:dyDescent="0.25">
      <c r="L10629" s="147">
        <f ca="1"/>
        <v>55868</v>
      </c>
      <c r="M10629" s="92">
        <f t="shared" ref="M10629:M10692" ca="1" si="343">IFERROR(INDEX($E$27:$H$47, MATCH(L10629, $F$27:$F$47, 0), 4), IF(ISNUMBER(M10628), M10628, $C$5))</f>
        <v>6.25</v>
      </c>
      <c r="N10629" s="143">
        <f ca="1">(PRODUCT($O$5:$O10629)-1)*36000/_xlfn.DAYS(L10629, $C$2)</f>
        <v>19.529984041034194</v>
      </c>
      <c r="O10629" s="149">
        <f t="shared" ca="1" si="342"/>
        <v>1.000173611111111</v>
      </c>
    </row>
    <row r="10630" spans="12:15" x14ac:dyDescent="0.25">
      <c r="L10630" s="147">
        <f ca="1"/>
        <v>55869</v>
      </c>
      <c r="M10630" s="92">
        <f t="shared" ca="1" si="343"/>
        <v>6.25</v>
      </c>
      <c r="N10630" s="143">
        <f ca="1">(PRODUCT($O$5:$O10630)-1)*36000/_xlfn.DAYS(L10630, $C$2)</f>
        <v>19.532124580950033</v>
      </c>
      <c r="O10630" s="149">
        <f t="shared" ref="O10630:O10693" ca="1" si="344">1+M10630*IFERROR(_xlfn.DAYS(L10630, L10629), _xlfn.DAYS(L10630, $C$2))/36000</f>
        <v>1.000173611111111</v>
      </c>
    </row>
    <row r="10631" spans="12:15" x14ac:dyDescent="0.25">
      <c r="L10631" s="147">
        <f ca="1"/>
        <v>55870</v>
      </c>
      <c r="M10631" s="92">
        <f t="shared" ca="1" si="343"/>
        <v>6.25</v>
      </c>
      <c r="N10631" s="143">
        <f ca="1">(PRODUCT($O$5:$O10631)-1)*36000/_xlfn.DAYS(L10631, $C$2)</f>
        <v>19.534265408660417</v>
      </c>
      <c r="O10631" s="149">
        <f t="shared" ca="1" si="344"/>
        <v>1.000173611111111</v>
      </c>
    </row>
    <row r="10632" spans="12:15" x14ac:dyDescent="0.25">
      <c r="L10632" s="147">
        <f ca="1"/>
        <v>55871</v>
      </c>
      <c r="M10632" s="92">
        <f t="shared" ca="1" si="343"/>
        <v>6.25</v>
      </c>
      <c r="N10632" s="143">
        <f ca="1">(PRODUCT($O$5:$O10632)-1)*36000/_xlfn.DAYS(L10632, $C$2)</f>
        <v>19.536406524204004</v>
      </c>
      <c r="O10632" s="149">
        <f t="shared" ca="1" si="344"/>
        <v>1.000173611111111</v>
      </c>
    </row>
    <row r="10633" spans="12:15" x14ac:dyDescent="0.25">
      <c r="L10633" s="147">
        <f ca="1"/>
        <v>55872</v>
      </c>
      <c r="M10633" s="92">
        <f t="shared" ca="1" si="343"/>
        <v>6.25</v>
      </c>
      <c r="N10633" s="143">
        <f ca="1">(PRODUCT($O$5:$O10633)-1)*36000/_xlfn.DAYS(L10633, $C$2)</f>
        <v>19.538547927619444</v>
      </c>
      <c r="O10633" s="149">
        <f t="shared" ca="1" si="344"/>
        <v>1.000173611111111</v>
      </c>
    </row>
    <row r="10634" spans="12:15" x14ac:dyDescent="0.25">
      <c r="L10634" s="147">
        <f ca="1"/>
        <v>55873</v>
      </c>
      <c r="M10634" s="92">
        <f t="shared" ca="1" si="343"/>
        <v>6.25</v>
      </c>
      <c r="N10634" s="143">
        <f ca="1">(PRODUCT($O$5:$O10634)-1)*36000/_xlfn.DAYS(L10634, $C$2)</f>
        <v>19.540689618945411</v>
      </c>
      <c r="O10634" s="149">
        <f t="shared" ca="1" si="344"/>
        <v>1.000173611111111</v>
      </c>
    </row>
    <row r="10635" spans="12:15" x14ac:dyDescent="0.25">
      <c r="L10635" s="147">
        <f ca="1"/>
        <v>55874</v>
      </c>
      <c r="M10635" s="92">
        <f t="shared" ca="1" si="343"/>
        <v>6.25</v>
      </c>
      <c r="N10635" s="143">
        <f ca="1">(PRODUCT($O$5:$O10635)-1)*36000/_xlfn.DAYS(L10635, $C$2)</f>
        <v>19.54283159822058</v>
      </c>
      <c r="O10635" s="149">
        <f t="shared" ca="1" si="344"/>
        <v>1.000173611111111</v>
      </c>
    </row>
    <row r="10636" spans="12:15" x14ac:dyDescent="0.25">
      <c r="L10636" s="147">
        <f ca="1"/>
        <v>55875</v>
      </c>
      <c r="M10636" s="92">
        <f t="shared" ca="1" si="343"/>
        <v>6.25</v>
      </c>
      <c r="N10636" s="143">
        <f ca="1">(PRODUCT($O$5:$O10636)-1)*36000/_xlfn.DAYS(L10636, $C$2)</f>
        <v>19.544973865483634</v>
      </c>
      <c r="O10636" s="149">
        <f t="shared" ca="1" si="344"/>
        <v>1.000173611111111</v>
      </c>
    </row>
    <row r="10637" spans="12:15" x14ac:dyDescent="0.25">
      <c r="L10637" s="147">
        <f ca="1"/>
        <v>55876</v>
      </c>
      <c r="M10637" s="92">
        <f t="shared" ca="1" si="343"/>
        <v>6.25</v>
      </c>
      <c r="N10637" s="143">
        <f ca="1">(PRODUCT($O$5:$O10637)-1)*36000/_xlfn.DAYS(L10637, $C$2)</f>
        <v>19.547116420773257</v>
      </c>
      <c r="O10637" s="149">
        <f t="shared" ca="1" si="344"/>
        <v>1.000173611111111</v>
      </c>
    </row>
    <row r="10638" spans="12:15" x14ac:dyDescent="0.25">
      <c r="L10638" s="147">
        <f ca="1"/>
        <v>55877</v>
      </c>
      <c r="M10638" s="92">
        <f t="shared" ca="1" si="343"/>
        <v>6.25</v>
      </c>
      <c r="N10638" s="143">
        <f ca="1">(PRODUCT($O$5:$O10638)-1)*36000/_xlfn.DAYS(L10638, $C$2)</f>
        <v>19.549259264128139</v>
      </c>
      <c r="O10638" s="149">
        <f t="shared" ca="1" si="344"/>
        <v>1.000173611111111</v>
      </c>
    </row>
    <row r="10639" spans="12:15" x14ac:dyDescent="0.25">
      <c r="L10639" s="147">
        <f ca="1"/>
        <v>55878</v>
      </c>
      <c r="M10639" s="92">
        <f t="shared" ca="1" si="343"/>
        <v>6.25</v>
      </c>
      <c r="N10639" s="143">
        <f ca="1">(PRODUCT($O$5:$O10639)-1)*36000/_xlfn.DAYS(L10639, $C$2)</f>
        <v>19.55140239558698</v>
      </c>
      <c r="O10639" s="149">
        <f t="shared" ca="1" si="344"/>
        <v>1.000173611111111</v>
      </c>
    </row>
    <row r="10640" spans="12:15" x14ac:dyDescent="0.25">
      <c r="L10640" s="147">
        <f ca="1"/>
        <v>55879</v>
      </c>
      <c r="M10640" s="92">
        <f t="shared" ca="1" si="343"/>
        <v>6.25</v>
      </c>
      <c r="N10640" s="143">
        <f ca="1">(PRODUCT($O$5:$O10640)-1)*36000/_xlfn.DAYS(L10640, $C$2)</f>
        <v>19.553545815188492</v>
      </c>
      <c r="O10640" s="149">
        <f t="shared" ca="1" si="344"/>
        <v>1.000173611111111</v>
      </c>
    </row>
    <row r="10641" spans="12:15" x14ac:dyDescent="0.25">
      <c r="L10641" s="147">
        <f ca="1"/>
        <v>55880</v>
      </c>
      <c r="M10641" s="92">
        <f t="shared" ca="1" si="343"/>
        <v>6.25</v>
      </c>
      <c r="N10641" s="143">
        <f ca="1">(PRODUCT($O$5:$O10641)-1)*36000/_xlfn.DAYS(L10641, $C$2)</f>
        <v>19.555689522971381</v>
      </c>
      <c r="O10641" s="149">
        <f t="shared" ca="1" si="344"/>
        <v>1.000173611111111</v>
      </c>
    </row>
    <row r="10642" spans="12:15" x14ac:dyDescent="0.25">
      <c r="L10642" s="147">
        <f ca="1"/>
        <v>55881</v>
      </c>
      <c r="M10642" s="92">
        <f t="shared" ca="1" si="343"/>
        <v>6.25</v>
      </c>
      <c r="N10642" s="143">
        <f ca="1">(PRODUCT($O$5:$O10642)-1)*36000/_xlfn.DAYS(L10642, $C$2)</f>
        <v>19.557833518974366</v>
      </c>
      <c r="O10642" s="149">
        <f t="shared" ca="1" si="344"/>
        <v>1.000173611111111</v>
      </c>
    </row>
    <row r="10643" spans="12:15" x14ac:dyDescent="0.25">
      <c r="L10643" s="147">
        <f ca="1"/>
        <v>55882</v>
      </c>
      <c r="M10643" s="92">
        <f t="shared" ca="1" si="343"/>
        <v>6.25</v>
      </c>
      <c r="N10643" s="143">
        <f ca="1">(PRODUCT($O$5:$O10643)-1)*36000/_xlfn.DAYS(L10643, $C$2)</f>
        <v>19.559977803236176</v>
      </c>
      <c r="O10643" s="149">
        <f t="shared" ca="1" si="344"/>
        <v>1.000173611111111</v>
      </c>
    </row>
    <row r="10644" spans="12:15" x14ac:dyDescent="0.25">
      <c r="L10644" s="147">
        <f ca="1"/>
        <v>55883</v>
      </c>
      <c r="M10644" s="92">
        <f t="shared" ca="1" si="343"/>
        <v>6.25</v>
      </c>
      <c r="N10644" s="143">
        <f ca="1">(PRODUCT($O$5:$O10644)-1)*36000/_xlfn.DAYS(L10644, $C$2)</f>
        <v>19.562122375795532</v>
      </c>
      <c r="O10644" s="149">
        <f t="shared" ca="1" si="344"/>
        <v>1.000173611111111</v>
      </c>
    </row>
    <row r="10645" spans="12:15" x14ac:dyDescent="0.25">
      <c r="L10645" s="147">
        <f ca="1"/>
        <v>55884</v>
      </c>
      <c r="M10645" s="92">
        <f t="shared" ca="1" si="343"/>
        <v>6.25</v>
      </c>
      <c r="N10645" s="143">
        <f ca="1">(PRODUCT($O$5:$O10645)-1)*36000/_xlfn.DAYS(L10645, $C$2)</f>
        <v>19.56426723669118</v>
      </c>
      <c r="O10645" s="149">
        <f t="shared" ca="1" si="344"/>
        <v>1.000173611111111</v>
      </c>
    </row>
    <row r="10646" spans="12:15" x14ac:dyDescent="0.25">
      <c r="L10646" s="147">
        <f ca="1"/>
        <v>55885</v>
      </c>
      <c r="M10646" s="92">
        <f t="shared" ca="1" si="343"/>
        <v>6.25</v>
      </c>
      <c r="N10646" s="143">
        <f ca="1">(PRODUCT($O$5:$O10646)-1)*36000/_xlfn.DAYS(L10646, $C$2)</f>
        <v>19.566412385961858</v>
      </c>
      <c r="O10646" s="149">
        <f t="shared" ca="1" si="344"/>
        <v>1.000173611111111</v>
      </c>
    </row>
    <row r="10647" spans="12:15" x14ac:dyDescent="0.25">
      <c r="L10647" s="147">
        <f ca="1"/>
        <v>55886</v>
      </c>
      <c r="M10647" s="92">
        <f t="shared" ca="1" si="343"/>
        <v>6.25</v>
      </c>
      <c r="N10647" s="143">
        <f ca="1">(PRODUCT($O$5:$O10647)-1)*36000/_xlfn.DAYS(L10647, $C$2)</f>
        <v>19.568557823646319</v>
      </c>
      <c r="O10647" s="149">
        <f t="shared" ca="1" si="344"/>
        <v>1.000173611111111</v>
      </c>
    </row>
    <row r="10648" spans="12:15" x14ac:dyDescent="0.25">
      <c r="L10648" s="147">
        <f ca="1"/>
        <v>55887</v>
      </c>
      <c r="M10648" s="92">
        <f t="shared" ca="1" si="343"/>
        <v>6.25</v>
      </c>
      <c r="N10648" s="143">
        <f ca="1">(PRODUCT($O$5:$O10648)-1)*36000/_xlfn.DAYS(L10648, $C$2)</f>
        <v>19.570703549783317</v>
      </c>
      <c r="O10648" s="149">
        <f t="shared" ca="1" si="344"/>
        <v>1.000173611111111</v>
      </c>
    </row>
    <row r="10649" spans="12:15" x14ac:dyDescent="0.25">
      <c r="L10649" s="147">
        <f ca="1"/>
        <v>55888</v>
      </c>
      <c r="M10649" s="92">
        <f t="shared" ca="1" si="343"/>
        <v>6.25</v>
      </c>
      <c r="N10649" s="143">
        <f ca="1">(PRODUCT($O$5:$O10649)-1)*36000/_xlfn.DAYS(L10649, $C$2)</f>
        <v>19.572849564411616</v>
      </c>
      <c r="O10649" s="149">
        <f t="shared" ca="1" si="344"/>
        <v>1.000173611111111</v>
      </c>
    </row>
    <row r="10650" spans="12:15" x14ac:dyDescent="0.25">
      <c r="L10650" s="147">
        <f ca="1"/>
        <v>55889</v>
      </c>
      <c r="M10650" s="92">
        <f t="shared" ca="1" si="343"/>
        <v>6.25</v>
      </c>
      <c r="N10650" s="143">
        <f ca="1">(PRODUCT($O$5:$O10650)-1)*36000/_xlfn.DAYS(L10650, $C$2)</f>
        <v>19.574995867569985</v>
      </c>
      <c r="O10650" s="149">
        <f t="shared" ca="1" si="344"/>
        <v>1.000173611111111</v>
      </c>
    </row>
    <row r="10651" spans="12:15" x14ac:dyDescent="0.25">
      <c r="L10651" s="147">
        <f ca="1"/>
        <v>55890</v>
      </c>
      <c r="M10651" s="92">
        <f t="shared" ca="1" si="343"/>
        <v>6.25</v>
      </c>
      <c r="N10651" s="143">
        <f ca="1">(PRODUCT($O$5:$O10651)-1)*36000/_xlfn.DAYS(L10651, $C$2)</f>
        <v>19.577142459297193</v>
      </c>
      <c r="O10651" s="149">
        <f t="shared" ca="1" si="344"/>
        <v>1.000173611111111</v>
      </c>
    </row>
    <row r="10652" spans="12:15" x14ac:dyDescent="0.25">
      <c r="L10652" s="147">
        <f ca="1"/>
        <v>55891</v>
      </c>
      <c r="M10652" s="92">
        <f t="shared" ca="1" si="343"/>
        <v>6.25</v>
      </c>
      <c r="N10652" s="143">
        <f ca="1">(PRODUCT($O$5:$O10652)-1)*36000/_xlfn.DAYS(L10652, $C$2)</f>
        <v>19.579289339632027</v>
      </c>
      <c r="O10652" s="149">
        <f t="shared" ca="1" si="344"/>
        <v>1.000173611111111</v>
      </c>
    </row>
    <row r="10653" spans="12:15" x14ac:dyDescent="0.25">
      <c r="L10653" s="147">
        <f ca="1"/>
        <v>55892</v>
      </c>
      <c r="M10653" s="92">
        <f t="shared" ca="1" si="343"/>
        <v>6.25</v>
      </c>
      <c r="N10653" s="143">
        <f ca="1">(PRODUCT($O$5:$O10653)-1)*36000/_xlfn.DAYS(L10653, $C$2)</f>
        <v>19.581436508613269</v>
      </c>
      <c r="O10653" s="149">
        <f t="shared" ca="1" si="344"/>
        <v>1.000173611111111</v>
      </c>
    </row>
    <row r="10654" spans="12:15" x14ac:dyDescent="0.25">
      <c r="L10654" s="147">
        <f ca="1"/>
        <v>55893</v>
      </c>
      <c r="M10654" s="92">
        <f t="shared" ca="1" si="343"/>
        <v>6.25</v>
      </c>
      <c r="N10654" s="143">
        <f ca="1">(PRODUCT($O$5:$O10654)-1)*36000/_xlfn.DAYS(L10654, $C$2)</f>
        <v>19.583583966279715</v>
      </c>
      <c r="O10654" s="149">
        <f t="shared" ca="1" si="344"/>
        <v>1.000173611111111</v>
      </c>
    </row>
    <row r="10655" spans="12:15" x14ac:dyDescent="0.25">
      <c r="L10655" s="147">
        <f ca="1"/>
        <v>55894</v>
      </c>
      <c r="M10655" s="92">
        <f t="shared" ca="1" si="343"/>
        <v>6.25</v>
      </c>
      <c r="N10655" s="143">
        <f ca="1">(PRODUCT($O$5:$O10655)-1)*36000/_xlfn.DAYS(L10655, $C$2)</f>
        <v>19.585731712670164</v>
      </c>
      <c r="O10655" s="149">
        <f t="shared" ca="1" si="344"/>
        <v>1.000173611111111</v>
      </c>
    </row>
    <row r="10656" spans="12:15" x14ac:dyDescent="0.25">
      <c r="L10656" s="147">
        <f ca="1"/>
        <v>55895</v>
      </c>
      <c r="M10656" s="92">
        <f t="shared" ca="1" si="343"/>
        <v>6.25</v>
      </c>
      <c r="N10656" s="143">
        <f ca="1">(PRODUCT($O$5:$O10656)-1)*36000/_xlfn.DAYS(L10656, $C$2)</f>
        <v>19.587879747823422</v>
      </c>
      <c r="O10656" s="149">
        <f t="shared" ca="1" si="344"/>
        <v>1.000173611111111</v>
      </c>
    </row>
    <row r="10657" spans="12:15" x14ac:dyDescent="0.25">
      <c r="L10657" s="147">
        <f ca="1"/>
        <v>55896</v>
      </c>
      <c r="M10657" s="92">
        <f t="shared" ca="1" si="343"/>
        <v>6.25</v>
      </c>
      <c r="N10657" s="143">
        <f ca="1">(PRODUCT($O$5:$O10657)-1)*36000/_xlfn.DAYS(L10657, $C$2)</f>
        <v>19.590028071778303</v>
      </c>
      <c r="O10657" s="149">
        <f t="shared" ca="1" si="344"/>
        <v>1.000173611111111</v>
      </c>
    </row>
    <row r="10658" spans="12:15" x14ac:dyDescent="0.25">
      <c r="L10658" s="147">
        <f ca="1"/>
        <v>55897</v>
      </c>
      <c r="M10658" s="92">
        <f t="shared" ca="1" si="343"/>
        <v>6.25</v>
      </c>
      <c r="N10658" s="143">
        <f ca="1">(PRODUCT($O$5:$O10658)-1)*36000/_xlfn.DAYS(L10658, $C$2)</f>
        <v>19.592176684573626</v>
      </c>
      <c r="O10658" s="149">
        <f t="shared" ca="1" si="344"/>
        <v>1.000173611111111</v>
      </c>
    </row>
    <row r="10659" spans="12:15" x14ac:dyDescent="0.25">
      <c r="L10659" s="147">
        <f ca="1"/>
        <v>55898</v>
      </c>
      <c r="M10659" s="92">
        <f t="shared" ca="1" si="343"/>
        <v>6.25</v>
      </c>
      <c r="N10659" s="143">
        <f ca="1">(PRODUCT($O$5:$O10659)-1)*36000/_xlfn.DAYS(L10659, $C$2)</f>
        <v>19.594325586248218</v>
      </c>
      <c r="O10659" s="149">
        <f t="shared" ca="1" si="344"/>
        <v>1.000173611111111</v>
      </c>
    </row>
    <row r="10660" spans="12:15" x14ac:dyDescent="0.25">
      <c r="L10660" s="147">
        <f ca="1"/>
        <v>55899</v>
      </c>
      <c r="M10660" s="92">
        <f t="shared" ca="1" si="343"/>
        <v>6.25</v>
      </c>
      <c r="N10660" s="143">
        <f ca="1">(PRODUCT($O$5:$O10660)-1)*36000/_xlfn.DAYS(L10660, $C$2)</f>
        <v>19.596474776840903</v>
      </c>
      <c r="O10660" s="149">
        <f t="shared" ca="1" si="344"/>
        <v>1.000173611111111</v>
      </c>
    </row>
    <row r="10661" spans="12:15" x14ac:dyDescent="0.25">
      <c r="L10661" s="147">
        <f ca="1"/>
        <v>55900</v>
      </c>
      <c r="M10661" s="92">
        <f t="shared" ca="1" si="343"/>
        <v>6.25</v>
      </c>
      <c r="N10661" s="143">
        <f ca="1">(PRODUCT($O$5:$O10661)-1)*36000/_xlfn.DAYS(L10661, $C$2)</f>
        <v>19.598624256390522</v>
      </c>
      <c r="O10661" s="149">
        <f t="shared" ca="1" si="344"/>
        <v>1.000173611111111</v>
      </c>
    </row>
    <row r="10662" spans="12:15" x14ac:dyDescent="0.25">
      <c r="L10662" s="147">
        <f ca="1"/>
        <v>55901</v>
      </c>
      <c r="M10662" s="92">
        <f t="shared" ca="1" si="343"/>
        <v>6.25</v>
      </c>
      <c r="N10662" s="143">
        <f ca="1">(PRODUCT($O$5:$O10662)-1)*36000/_xlfn.DAYS(L10662, $C$2)</f>
        <v>19.600774024935916</v>
      </c>
      <c r="O10662" s="149">
        <f t="shared" ca="1" si="344"/>
        <v>1.000173611111111</v>
      </c>
    </row>
    <row r="10663" spans="12:15" x14ac:dyDescent="0.25">
      <c r="L10663" s="147">
        <f ca="1"/>
        <v>55902</v>
      </c>
      <c r="M10663" s="92">
        <f t="shared" ca="1" si="343"/>
        <v>6.25</v>
      </c>
      <c r="N10663" s="143">
        <f ca="1">(PRODUCT($O$5:$O10663)-1)*36000/_xlfn.DAYS(L10663, $C$2)</f>
        <v>19.602924082515941</v>
      </c>
      <c r="O10663" s="149">
        <f t="shared" ca="1" si="344"/>
        <v>1.000173611111111</v>
      </c>
    </row>
    <row r="10664" spans="12:15" x14ac:dyDescent="0.25">
      <c r="L10664" s="147">
        <f ca="1"/>
        <v>55903</v>
      </c>
      <c r="M10664" s="92">
        <f t="shared" ca="1" si="343"/>
        <v>6.25</v>
      </c>
      <c r="N10664" s="143">
        <f ca="1">(PRODUCT($O$5:$O10664)-1)*36000/_xlfn.DAYS(L10664, $C$2)</f>
        <v>19.605074429169452</v>
      </c>
      <c r="O10664" s="149">
        <f t="shared" ca="1" si="344"/>
        <v>1.000173611111111</v>
      </c>
    </row>
    <row r="10665" spans="12:15" x14ac:dyDescent="0.25">
      <c r="L10665" s="147">
        <f ca="1"/>
        <v>55904</v>
      </c>
      <c r="M10665" s="92">
        <f t="shared" ca="1" si="343"/>
        <v>6.25</v>
      </c>
      <c r="N10665" s="143">
        <f ca="1">(PRODUCT($O$5:$O10665)-1)*36000/_xlfn.DAYS(L10665, $C$2)</f>
        <v>19.607225064935307</v>
      </c>
      <c r="O10665" s="149">
        <f t="shared" ca="1" si="344"/>
        <v>1.000173611111111</v>
      </c>
    </row>
    <row r="10666" spans="12:15" x14ac:dyDescent="0.25">
      <c r="L10666" s="147">
        <f ca="1"/>
        <v>55905</v>
      </c>
      <c r="M10666" s="92">
        <f t="shared" ca="1" si="343"/>
        <v>6.25</v>
      </c>
      <c r="N10666" s="143">
        <f ca="1">(PRODUCT($O$5:$O10666)-1)*36000/_xlfn.DAYS(L10666, $C$2)</f>
        <v>19.609375989852374</v>
      </c>
      <c r="O10666" s="149">
        <f t="shared" ca="1" si="344"/>
        <v>1.000173611111111</v>
      </c>
    </row>
    <row r="10667" spans="12:15" x14ac:dyDescent="0.25">
      <c r="L10667" s="147">
        <f ca="1"/>
        <v>55906</v>
      </c>
      <c r="M10667" s="92">
        <f t="shared" ca="1" si="343"/>
        <v>6.25</v>
      </c>
      <c r="N10667" s="143">
        <f ca="1">(PRODUCT($O$5:$O10667)-1)*36000/_xlfn.DAYS(L10667, $C$2)</f>
        <v>19.611527203959536</v>
      </c>
      <c r="O10667" s="149">
        <f t="shared" ca="1" si="344"/>
        <v>1.000173611111111</v>
      </c>
    </row>
    <row r="10668" spans="12:15" x14ac:dyDescent="0.25">
      <c r="L10668" s="147">
        <f ca="1"/>
        <v>55907</v>
      </c>
      <c r="M10668" s="92">
        <f t="shared" ca="1" si="343"/>
        <v>6.25</v>
      </c>
      <c r="N10668" s="143">
        <f ca="1">(PRODUCT($O$5:$O10668)-1)*36000/_xlfn.DAYS(L10668, $C$2)</f>
        <v>19.613678707295673</v>
      </c>
      <c r="O10668" s="149">
        <f t="shared" ca="1" si="344"/>
        <v>1.000173611111111</v>
      </c>
    </row>
    <row r="10669" spans="12:15" x14ac:dyDescent="0.25">
      <c r="L10669" s="147">
        <f ca="1"/>
        <v>55908</v>
      </c>
      <c r="M10669" s="92">
        <f t="shared" ca="1" si="343"/>
        <v>6.25</v>
      </c>
      <c r="N10669" s="143">
        <f ca="1">(PRODUCT($O$5:$O10669)-1)*36000/_xlfn.DAYS(L10669, $C$2)</f>
        <v>19.615830499899669</v>
      </c>
      <c r="O10669" s="149">
        <f t="shared" ca="1" si="344"/>
        <v>1.000173611111111</v>
      </c>
    </row>
    <row r="10670" spans="12:15" x14ac:dyDescent="0.25">
      <c r="L10670" s="147">
        <f ca="1"/>
        <v>55909</v>
      </c>
      <c r="M10670" s="92">
        <f t="shared" ca="1" si="343"/>
        <v>6.25</v>
      </c>
      <c r="N10670" s="143">
        <f ca="1">(PRODUCT($O$5:$O10670)-1)*36000/_xlfn.DAYS(L10670, $C$2)</f>
        <v>19.617982581810416</v>
      </c>
      <c r="O10670" s="149">
        <f t="shared" ca="1" si="344"/>
        <v>1.000173611111111</v>
      </c>
    </row>
    <row r="10671" spans="12:15" x14ac:dyDescent="0.25">
      <c r="L10671" s="147">
        <f ca="1"/>
        <v>55910</v>
      </c>
      <c r="M10671" s="92">
        <f t="shared" ca="1" si="343"/>
        <v>6.25</v>
      </c>
      <c r="N10671" s="143">
        <f ca="1">(PRODUCT($O$5:$O10671)-1)*36000/_xlfn.DAYS(L10671, $C$2)</f>
        <v>19.62013495306682</v>
      </c>
      <c r="O10671" s="149">
        <f t="shared" ca="1" si="344"/>
        <v>1.000173611111111</v>
      </c>
    </row>
    <row r="10672" spans="12:15" x14ac:dyDescent="0.25">
      <c r="L10672" s="147">
        <f ca="1"/>
        <v>55911</v>
      </c>
      <c r="M10672" s="92">
        <f t="shared" ca="1" si="343"/>
        <v>6.25</v>
      </c>
      <c r="N10672" s="143">
        <f ca="1">(PRODUCT($O$5:$O10672)-1)*36000/_xlfn.DAYS(L10672, $C$2)</f>
        <v>19.622287613707783</v>
      </c>
      <c r="O10672" s="149">
        <f t="shared" ca="1" si="344"/>
        <v>1.000173611111111</v>
      </c>
    </row>
    <row r="10673" spans="12:15" x14ac:dyDescent="0.25">
      <c r="L10673" s="147">
        <f ca="1"/>
        <v>55912</v>
      </c>
      <c r="M10673" s="92">
        <f t="shared" ca="1" si="343"/>
        <v>6.25</v>
      </c>
      <c r="N10673" s="143">
        <f ca="1">(PRODUCT($O$5:$O10673)-1)*36000/_xlfn.DAYS(L10673, $C$2)</f>
        <v>19.624440563772222</v>
      </c>
      <c r="O10673" s="149">
        <f t="shared" ca="1" si="344"/>
        <v>1.000173611111111</v>
      </c>
    </row>
    <row r="10674" spans="12:15" x14ac:dyDescent="0.25">
      <c r="L10674" s="147">
        <f ca="1"/>
        <v>55913</v>
      </c>
      <c r="M10674" s="92">
        <f t="shared" ca="1" si="343"/>
        <v>6.25</v>
      </c>
      <c r="N10674" s="143">
        <f ca="1">(PRODUCT($O$5:$O10674)-1)*36000/_xlfn.DAYS(L10674, $C$2)</f>
        <v>19.626593803299052</v>
      </c>
      <c r="O10674" s="149">
        <f t="shared" ca="1" si="344"/>
        <v>1.000173611111111</v>
      </c>
    </row>
    <row r="10675" spans="12:15" x14ac:dyDescent="0.25">
      <c r="L10675" s="147">
        <f ca="1"/>
        <v>55914</v>
      </c>
      <c r="M10675" s="92">
        <f t="shared" ca="1" si="343"/>
        <v>6.25</v>
      </c>
      <c r="N10675" s="143">
        <f ca="1">(PRODUCT($O$5:$O10675)-1)*36000/_xlfn.DAYS(L10675, $C$2)</f>
        <v>19.628747332327205</v>
      </c>
      <c r="O10675" s="149">
        <f t="shared" ca="1" si="344"/>
        <v>1.000173611111111</v>
      </c>
    </row>
    <row r="10676" spans="12:15" x14ac:dyDescent="0.25">
      <c r="L10676" s="147">
        <f ca="1"/>
        <v>55915</v>
      </c>
      <c r="M10676" s="92">
        <f t="shared" ca="1" si="343"/>
        <v>6.25</v>
      </c>
      <c r="N10676" s="143">
        <f ca="1">(PRODUCT($O$5:$O10676)-1)*36000/_xlfn.DAYS(L10676, $C$2)</f>
        <v>19.630901150895603</v>
      </c>
      <c r="O10676" s="149">
        <f t="shared" ca="1" si="344"/>
        <v>1.000173611111111</v>
      </c>
    </row>
    <row r="10677" spans="12:15" x14ac:dyDescent="0.25">
      <c r="L10677" s="147">
        <f ca="1"/>
        <v>55916</v>
      </c>
      <c r="M10677" s="92">
        <f t="shared" ca="1" si="343"/>
        <v>6.25</v>
      </c>
      <c r="N10677" s="143">
        <f ca="1">(PRODUCT($O$5:$O10677)-1)*36000/_xlfn.DAYS(L10677, $C$2)</f>
        <v>19.633055259043193</v>
      </c>
      <c r="O10677" s="149">
        <f t="shared" ca="1" si="344"/>
        <v>1.000173611111111</v>
      </c>
    </row>
    <row r="10678" spans="12:15" x14ac:dyDescent="0.25">
      <c r="L10678" s="147">
        <f ca="1"/>
        <v>55917</v>
      </c>
      <c r="M10678" s="92">
        <f t="shared" ca="1" si="343"/>
        <v>6.25</v>
      </c>
      <c r="N10678" s="143">
        <f ca="1">(PRODUCT($O$5:$O10678)-1)*36000/_xlfn.DAYS(L10678, $C$2)</f>
        <v>19.635209656808915</v>
      </c>
      <c r="O10678" s="149">
        <f t="shared" ca="1" si="344"/>
        <v>1.000173611111111</v>
      </c>
    </row>
    <row r="10679" spans="12:15" x14ac:dyDescent="0.25">
      <c r="L10679" s="147">
        <f ca="1"/>
        <v>55918</v>
      </c>
      <c r="M10679" s="92">
        <f t="shared" ca="1" si="343"/>
        <v>6.25</v>
      </c>
      <c r="N10679" s="143">
        <f ca="1">(PRODUCT($O$5:$O10679)-1)*36000/_xlfn.DAYS(L10679, $C$2)</f>
        <v>19.637364344231717</v>
      </c>
      <c r="O10679" s="149">
        <f t="shared" ca="1" si="344"/>
        <v>1.000173611111111</v>
      </c>
    </row>
    <row r="10680" spans="12:15" x14ac:dyDescent="0.25">
      <c r="L10680" s="147">
        <f ca="1"/>
        <v>55919</v>
      </c>
      <c r="M10680" s="92">
        <f t="shared" ca="1" si="343"/>
        <v>6.25</v>
      </c>
      <c r="N10680" s="143">
        <f ca="1">(PRODUCT($O$5:$O10680)-1)*36000/_xlfn.DAYS(L10680, $C$2)</f>
        <v>19.639519321350562</v>
      </c>
      <c r="O10680" s="149">
        <f t="shared" ca="1" si="344"/>
        <v>1.000173611111111</v>
      </c>
    </row>
    <row r="10681" spans="12:15" x14ac:dyDescent="0.25">
      <c r="L10681" s="147">
        <f ca="1"/>
        <v>55920</v>
      </c>
      <c r="M10681" s="92">
        <f t="shared" ca="1" si="343"/>
        <v>6.25</v>
      </c>
      <c r="N10681" s="143">
        <f ca="1">(PRODUCT($O$5:$O10681)-1)*36000/_xlfn.DAYS(L10681, $C$2)</f>
        <v>19.641674588204413</v>
      </c>
      <c r="O10681" s="149">
        <f t="shared" ca="1" si="344"/>
        <v>1.000173611111111</v>
      </c>
    </row>
    <row r="10682" spans="12:15" x14ac:dyDescent="0.25">
      <c r="L10682" s="147">
        <f ca="1"/>
        <v>55921</v>
      </c>
      <c r="M10682" s="92">
        <f t="shared" ca="1" si="343"/>
        <v>6.25</v>
      </c>
      <c r="N10682" s="143">
        <f ca="1">(PRODUCT($O$5:$O10682)-1)*36000/_xlfn.DAYS(L10682, $C$2)</f>
        <v>19.643830144832233</v>
      </c>
      <c r="O10682" s="149">
        <f t="shared" ca="1" si="344"/>
        <v>1.000173611111111</v>
      </c>
    </row>
    <row r="10683" spans="12:15" x14ac:dyDescent="0.25">
      <c r="L10683" s="147">
        <f ca="1"/>
        <v>55922</v>
      </c>
      <c r="M10683" s="92">
        <f t="shared" ca="1" si="343"/>
        <v>6.25</v>
      </c>
      <c r="N10683" s="143">
        <f ca="1">(PRODUCT($O$5:$O10683)-1)*36000/_xlfn.DAYS(L10683, $C$2)</f>
        <v>19.645985991273005</v>
      </c>
      <c r="O10683" s="149">
        <f t="shared" ca="1" si="344"/>
        <v>1.000173611111111</v>
      </c>
    </row>
    <row r="10684" spans="12:15" x14ac:dyDescent="0.25">
      <c r="L10684" s="147">
        <f ca="1"/>
        <v>55923</v>
      </c>
      <c r="M10684" s="92">
        <f t="shared" ca="1" si="343"/>
        <v>6.25</v>
      </c>
      <c r="N10684" s="143">
        <f ca="1">(PRODUCT($O$5:$O10684)-1)*36000/_xlfn.DAYS(L10684, $C$2)</f>
        <v>19.648142127565709</v>
      </c>
      <c r="O10684" s="149">
        <f t="shared" ca="1" si="344"/>
        <v>1.000173611111111</v>
      </c>
    </row>
    <row r="10685" spans="12:15" x14ac:dyDescent="0.25">
      <c r="L10685" s="147">
        <f ca="1"/>
        <v>55924</v>
      </c>
      <c r="M10685" s="92">
        <f t="shared" ca="1" si="343"/>
        <v>6.25</v>
      </c>
      <c r="N10685" s="143">
        <f ca="1">(PRODUCT($O$5:$O10685)-1)*36000/_xlfn.DAYS(L10685, $C$2)</f>
        <v>19.65029855374933</v>
      </c>
      <c r="O10685" s="149">
        <f t="shared" ca="1" si="344"/>
        <v>1.000173611111111</v>
      </c>
    </row>
    <row r="10686" spans="12:15" x14ac:dyDescent="0.25">
      <c r="L10686" s="147">
        <f ca="1"/>
        <v>55925</v>
      </c>
      <c r="M10686" s="92">
        <f t="shared" ca="1" si="343"/>
        <v>6.25</v>
      </c>
      <c r="N10686" s="143">
        <f ca="1">(PRODUCT($O$5:$O10686)-1)*36000/_xlfn.DAYS(L10686, $C$2)</f>
        <v>19.65245526986287</v>
      </c>
      <c r="O10686" s="149">
        <f t="shared" ca="1" si="344"/>
        <v>1.000173611111111</v>
      </c>
    </row>
    <row r="10687" spans="12:15" x14ac:dyDescent="0.25">
      <c r="L10687" s="147">
        <f ca="1"/>
        <v>55926</v>
      </c>
      <c r="M10687" s="92">
        <f t="shared" ca="1" si="343"/>
        <v>6.25</v>
      </c>
      <c r="N10687" s="143">
        <f ca="1">(PRODUCT($O$5:$O10687)-1)*36000/_xlfn.DAYS(L10687, $C$2)</f>
        <v>19.654612275945318</v>
      </c>
      <c r="O10687" s="149">
        <f t="shared" ca="1" si="344"/>
        <v>1.000173611111111</v>
      </c>
    </row>
    <row r="10688" spans="12:15" x14ac:dyDescent="0.25">
      <c r="L10688" s="147">
        <f ca="1"/>
        <v>55927</v>
      </c>
      <c r="M10688" s="92">
        <f t="shared" ca="1" si="343"/>
        <v>6.25</v>
      </c>
      <c r="N10688" s="143">
        <f ca="1">(PRODUCT($O$5:$O10688)-1)*36000/_xlfn.DAYS(L10688, $C$2)</f>
        <v>19.656769572035696</v>
      </c>
      <c r="O10688" s="149">
        <f t="shared" ca="1" si="344"/>
        <v>1.000173611111111</v>
      </c>
    </row>
    <row r="10689" spans="12:15" x14ac:dyDescent="0.25">
      <c r="L10689" s="147">
        <f ca="1"/>
        <v>55928</v>
      </c>
      <c r="M10689" s="92">
        <f t="shared" ca="1" si="343"/>
        <v>6.25</v>
      </c>
      <c r="N10689" s="143">
        <f ca="1">(PRODUCT($O$5:$O10689)-1)*36000/_xlfn.DAYS(L10689, $C$2)</f>
        <v>19.658927158173007</v>
      </c>
      <c r="O10689" s="149">
        <f t="shared" ca="1" si="344"/>
        <v>1.000173611111111</v>
      </c>
    </row>
    <row r="10690" spans="12:15" x14ac:dyDescent="0.25">
      <c r="L10690" s="147">
        <f ca="1"/>
        <v>55929</v>
      </c>
      <c r="M10690" s="92">
        <f t="shared" ca="1" si="343"/>
        <v>6.25</v>
      </c>
      <c r="N10690" s="143">
        <f ca="1">(PRODUCT($O$5:$O10690)-1)*36000/_xlfn.DAYS(L10690, $C$2)</f>
        <v>19.661085034396276</v>
      </c>
      <c r="O10690" s="149">
        <f t="shared" ca="1" si="344"/>
        <v>1.000173611111111</v>
      </c>
    </row>
    <row r="10691" spans="12:15" x14ac:dyDescent="0.25">
      <c r="L10691" s="147">
        <f ca="1"/>
        <v>55930</v>
      </c>
      <c r="M10691" s="92">
        <f t="shared" ca="1" si="343"/>
        <v>6.25</v>
      </c>
      <c r="N10691" s="143">
        <f ca="1">(PRODUCT($O$5:$O10691)-1)*36000/_xlfn.DAYS(L10691, $C$2)</f>
        <v>19.663243200744528</v>
      </c>
      <c r="O10691" s="149">
        <f t="shared" ca="1" si="344"/>
        <v>1.000173611111111</v>
      </c>
    </row>
    <row r="10692" spans="12:15" x14ac:dyDescent="0.25">
      <c r="L10692" s="147">
        <f ca="1"/>
        <v>55931</v>
      </c>
      <c r="M10692" s="92">
        <f t="shared" ca="1" si="343"/>
        <v>6.25</v>
      </c>
      <c r="N10692" s="143">
        <f ca="1">(PRODUCT($O$5:$O10692)-1)*36000/_xlfn.DAYS(L10692, $C$2)</f>
        <v>19.665401657256798</v>
      </c>
      <c r="O10692" s="149">
        <f t="shared" ca="1" si="344"/>
        <v>1.000173611111111</v>
      </c>
    </row>
    <row r="10693" spans="12:15" x14ac:dyDescent="0.25">
      <c r="L10693" s="147">
        <f ca="1"/>
        <v>55932</v>
      </c>
      <c r="M10693" s="92">
        <f t="shared" ref="M10693:M10756" ca="1" si="345">IFERROR(INDEX($E$27:$H$47, MATCH(L10693, $F$27:$F$47, 0), 4), IF(ISNUMBER(M10692), M10692, $C$5))</f>
        <v>6.25</v>
      </c>
      <c r="N10693" s="143">
        <f ca="1">(PRODUCT($O$5:$O10693)-1)*36000/_xlfn.DAYS(L10693, $C$2)</f>
        <v>19.667560403972118</v>
      </c>
      <c r="O10693" s="149">
        <f t="shared" ca="1" si="344"/>
        <v>1.000173611111111</v>
      </c>
    </row>
    <row r="10694" spans="12:15" x14ac:dyDescent="0.25">
      <c r="L10694" s="147">
        <f ca="1"/>
        <v>55933</v>
      </c>
      <c r="M10694" s="92">
        <f t="shared" ca="1" si="345"/>
        <v>6.25</v>
      </c>
      <c r="N10694" s="143">
        <f ca="1">(PRODUCT($O$5:$O10694)-1)*36000/_xlfn.DAYS(L10694, $C$2)</f>
        <v>19.669719440929541</v>
      </c>
      <c r="O10694" s="149">
        <f t="shared" ref="O10694:O10757" ca="1" si="346">1+M10694*IFERROR(_xlfn.DAYS(L10694, L10693), _xlfn.DAYS(L10694, $C$2))/36000</f>
        <v>1.000173611111111</v>
      </c>
    </row>
    <row r="10695" spans="12:15" x14ac:dyDescent="0.25">
      <c r="L10695" s="147">
        <f ca="1"/>
        <v>55934</v>
      </c>
      <c r="M10695" s="92">
        <f t="shared" ca="1" si="345"/>
        <v>6.25</v>
      </c>
      <c r="N10695" s="143">
        <f ca="1">(PRODUCT($O$5:$O10695)-1)*36000/_xlfn.DAYS(L10695, $C$2)</f>
        <v>19.67187876816811</v>
      </c>
      <c r="O10695" s="149">
        <f t="shared" ca="1" si="346"/>
        <v>1.000173611111111</v>
      </c>
    </row>
    <row r="10696" spans="12:15" x14ac:dyDescent="0.25">
      <c r="L10696" s="147">
        <f ca="1"/>
        <v>55935</v>
      </c>
      <c r="M10696" s="92">
        <f t="shared" ca="1" si="345"/>
        <v>6.25</v>
      </c>
      <c r="N10696" s="143">
        <f ca="1">(PRODUCT($O$5:$O10696)-1)*36000/_xlfn.DAYS(L10696, $C$2)</f>
        <v>19.674038385726892</v>
      </c>
      <c r="O10696" s="149">
        <f t="shared" ca="1" si="346"/>
        <v>1.000173611111111</v>
      </c>
    </row>
    <row r="10697" spans="12:15" x14ac:dyDescent="0.25">
      <c r="L10697" s="147">
        <f ca="1"/>
        <v>55936</v>
      </c>
      <c r="M10697" s="92">
        <f t="shared" ca="1" si="345"/>
        <v>6.25</v>
      </c>
      <c r="N10697" s="143">
        <f ca="1">(PRODUCT($O$5:$O10697)-1)*36000/_xlfn.DAYS(L10697, $C$2)</f>
        <v>19.676198293644948</v>
      </c>
      <c r="O10697" s="149">
        <f t="shared" ca="1" si="346"/>
        <v>1.000173611111111</v>
      </c>
    </row>
    <row r="10698" spans="12:15" x14ac:dyDescent="0.25">
      <c r="L10698" s="147">
        <f ca="1"/>
        <v>55937</v>
      </c>
      <c r="M10698" s="92">
        <f t="shared" ca="1" si="345"/>
        <v>6.25</v>
      </c>
      <c r="N10698" s="143">
        <f ca="1">(PRODUCT($O$5:$O10698)-1)*36000/_xlfn.DAYS(L10698, $C$2)</f>
        <v>19.678358491961347</v>
      </c>
      <c r="O10698" s="149">
        <f t="shared" ca="1" si="346"/>
        <v>1.000173611111111</v>
      </c>
    </row>
    <row r="10699" spans="12:15" x14ac:dyDescent="0.25">
      <c r="L10699" s="147">
        <f ca="1"/>
        <v>55938</v>
      </c>
      <c r="M10699" s="92">
        <f t="shared" ca="1" si="345"/>
        <v>6.25</v>
      </c>
      <c r="N10699" s="143">
        <f ca="1">(PRODUCT($O$5:$O10699)-1)*36000/_xlfn.DAYS(L10699, $C$2)</f>
        <v>19.680518980715163</v>
      </c>
      <c r="O10699" s="149">
        <f t="shared" ca="1" si="346"/>
        <v>1.000173611111111</v>
      </c>
    </row>
    <row r="10700" spans="12:15" x14ac:dyDescent="0.25">
      <c r="L10700" s="147">
        <f ca="1"/>
        <v>55939</v>
      </c>
      <c r="M10700" s="92">
        <f t="shared" ca="1" si="345"/>
        <v>6.25</v>
      </c>
      <c r="N10700" s="143">
        <f ca="1">(PRODUCT($O$5:$O10700)-1)*36000/_xlfn.DAYS(L10700, $C$2)</f>
        <v>19.682679759945483</v>
      </c>
      <c r="O10700" s="149">
        <f t="shared" ca="1" si="346"/>
        <v>1.000173611111111</v>
      </c>
    </row>
    <row r="10701" spans="12:15" x14ac:dyDescent="0.25">
      <c r="L10701" s="147">
        <f ca="1"/>
        <v>55940</v>
      </c>
      <c r="M10701" s="92">
        <f t="shared" ca="1" si="345"/>
        <v>6.25</v>
      </c>
      <c r="N10701" s="143">
        <f ca="1">(PRODUCT($O$5:$O10701)-1)*36000/_xlfn.DAYS(L10701, $C$2)</f>
        <v>19.684840829691399</v>
      </c>
      <c r="O10701" s="149">
        <f t="shared" ca="1" si="346"/>
        <v>1.000173611111111</v>
      </c>
    </row>
    <row r="10702" spans="12:15" x14ac:dyDescent="0.25">
      <c r="L10702" s="147">
        <f ca="1"/>
        <v>55941</v>
      </c>
      <c r="M10702" s="92">
        <f t="shared" ca="1" si="345"/>
        <v>6.25</v>
      </c>
      <c r="N10702" s="143">
        <f ca="1">(PRODUCT($O$5:$O10702)-1)*36000/_xlfn.DAYS(L10702, $C$2)</f>
        <v>19.687002189992</v>
      </c>
      <c r="O10702" s="149">
        <f t="shared" ca="1" si="346"/>
        <v>1.000173611111111</v>
      </c>
    </row>
    <row r="10703" spans="12:15" x14ac:dyDescent="0.25">
      <c r="L10703" s="147">
        <f ca="1"/>
        <v>55942</v>
      </c>
      <c r="M10703" s="92">
        <f t="shared" ca="1" si="345"/>
        <v>6.25</v>
      </c>
      <c r="N10703" s="143">
        <f ca="1">(PRODUCT($O$5:$O10703)-1)*36000/_xlfn.DAYS(L10703, $C$2)</f>
        <v>19.689163840886394</v>
      </c>
      <c r="O10703" s="149">
        <f t="shared" ca="1" si="346"/>
        <v>1.000173611111111</v>
      </c>
    </row>
    <row r="10704" spans="12:15" x14ac:dyDescent="0.25">
      <c r="L10704" s="147">
        <f ca="1"/>
        <v>55943</v>
      </c>
      <c r="M10704" s="92">
        <f t="shared" ca="1" si="345"/>
        <v>6.25</v>
      </c>
      <c r="N10704" s="143">
        <f ca="1">(PRODUCT($O$5:$O10704)-1)*36000/_xlfn.DAYS(L10704, $C$2)</f>
        <v>19.691325782413688</v>
      </c>
      <c r="O10704" s="149">
        <f t="shared" ca="1" si="346"/>
        <v>1.000173611111111</v>
      </c>
    </row>
    <row r="10705" spans="12:15" x14ac:dyDescent="0.25">
      <c r="L10705" s="147">
        <f ca="1"/>
        <v>55944</v>
      </c>
      <c r="M10705" s="92">
        <f t="shared" ca="1" si="345"/>
        <v>6.25</v>
      </c>
      <c r="N10705" s="143">
        <f ca="1">(PRODUCT($O$5:$O10705)-1)*36000/_xlfn.DAYS(L10705, $C$2)</f>
        <v>19.693488014612992</v>
      </c>
      <c r="O10705" s="149">
        <f t="shared" ca="1" si="346"/>
        <v>1.000173611111111</v>
      </c>
    </row>
    <row r="10706" spans="12:15" x14ac:dyDescent="0.25">
      <c r="L10706" s="147">
        <f ca="1"/>
        <v>55945</v>
      </c>
      <c r="M10706" s="92">
        <f t="shared" ca="1" si="345"/>
        <v>6.25</v>
      </c>
      <c r="N10706" s="143">
        <f ca="1">(PRODUCT($O$5:$O10706)-1)*36000/_xlfn.DAYS(L10706, $C$2)</f>
        <v>19.695650537523431</v>
      </c>
      <c r="O10706" s="149">
        <f t="shared" ca="1" si="346"/>
        <v>1.000173611111111</v>
      </c>
    </row>
    <row r="10707" spans="12:15" x14ac:dyDescent="0.25">
      <c r="L10707" s="147">
        <f ca="1"/>
        <v>55946</v>
      </c>
      <c r="M10707" s="92">
        <f t="shared" ca="1" si="345"/>
        <v>6.25</v>
      </c>
      <c r="N10707" s="143">
        <f ca="1">(PRODUCT($O$5:$O10707)-1)*36000/_xlfn.DAYS(L10707, $C$2)</f>
        <v>19.697813351184131</v>
      </c>
      <c r="O10707" s="149">
        <f t="shared" ca="1" si="346"/>
        <v>1.000173611111111</v>
      </c>
    </row>
    <row r="10708" spans="12:15" x14ac:dyDescent="0.25">
      <c r="L10708" s="147">
        <f ca="1"/>
        <v>55947</v>
      </c>
      <c r="M10708" s="92">
        <f t="shared" ca="1" si="345"/>
        <v>6.25</v>
      </c>
      <c r="N10708" s="143">
        <f ca="1">(PRODUCT($O$5:$O10708)-1)*36000/_xlfn.DAYS(L10708, $C$2)</f>
        <v>19.699976455634225</v>
      </c>
      <c r="O10708" s="149">
        <f t="shared" ca="1" si="346"/>
        <v>1.000173611111111</v>
      </c>
    </row>
    <row r="10709" spans="12:15" x14ac:dyDescent="0.25">
      <c r="L10709" s="147">
        <f ca="1"/>
        <v>55948</v>
      </c>
      <c r="M10709" s="92">
        <f t="shared" ca="1" si="345"/>
        <v>6.25</v>
      </c>
      <c r="N10709" s="143">
        <f ca="1">(PRODUCT($O$5:$O10709)-1)*36000/_xlfn.DAYS(L10709, $C$2)</f>
        <v>19.702139850912854</v>
      </c>
      <c r="O10709" s="149">
        <f t="shared" ca="1" si="346"/>
        <v>1.000173611111111</v>
      </c>
    </row>
    <row r="10710" spans="12:15" x14ac:dyDescent="0.25">
      <c r="L10710" s="147">
        <f ca="1"/>
        <v>55949</v>
      </c>
      <c r="M10710" s="92">
        <f t="shared" ca="1" si="345"/>
        <v>6.25</v>
      </c>
      <c r="N10710" s="143">
        <f ca="1">(PRODUCT($O$5:$O10710)-1)*36000/_xlfn.DAYS(L10710, $C$2)</f>
        <v>19.704303537059161</v>
      </c>
      <c r="O10710" s="149">
        <f t="shared" ca="1" si="346"/>
        <v>1.000173611111111</v>
      </c>
    </row>
    <row r="10711" spans="12:15" x14ac:dyDescent="0.25">
      <c r="L10711" s="147">
        <f ca="1"/>
        <v>55950</v>
      </c>
      <c r="M10711" s="92">
        <f t="shared" ca="1" si="345"/>
        <v>6.25</v>
      </c>
      <c r="N10711" s="143">
        <f ca="1">(PRODUCT($O$5:$O10711)-1)*36000/_xlfn.DAYS(L10711, $C$2)</f>
        <v>19.706467514112308</v>
      </c>
      <c r="O10711" s="149">
        <f t="shared" ca="1" si="346"/>
        <v>1.000173611111111</v>
      </c>
    </row>
    <row r="10712" spans="12:15" x14ac:dyDescent="0.25">
      <c r="L10712" s="147">
        <f ca="1"/>
        <v>55951</v>
      </c>
      <c r="M10712" s="92">
        <f t="shared" ca="1" si="345"/>
        <v>6.25</v>
      </c>
      <c r="N10712" s="143">
        <f ca="1">(PRODUCT($O$5:$O10712)-1)*36000/_xlfn.DAYS(L10712, $C$2)</f>
        <v>19.708631782111443</v>
      </c>
      <c r="O10712" s="149">
        <f t="shared" ca="1" si="346"/>
        <v>1.000173611111111</v>
      </c>
    </row>
    <row r="10713" spans="12:15" x14ac:dyDescent="0.25">
      <c r="L10713" s="147">
        <f ca="1"/>
        <v>55952</v>
      </c>
      <c r="M10713" s="92">
        <f t="shared" ca="1" si="345"/>
        <v>6.25</v>
      </c>
      <c r="N10713" s="143">
        <f ca="1">(PRODUCT($O$5:$O10713)-1)*36000/_xlfn.DAYS(L10713, $C$2)</f>
        <v>19.71079634109574</v>
      </c>
      <c r="O10713" s="149">
        <f t="shared" ca="1" si="346"/>
        <v>1.000173611111111</v>
      </c>
    </row>
    <row r="10714" spans="12:15" x14ac:dyDescent="0.25">
      <c r="L10714" s="147">
        <f ca="1"/>
        <v>55953</v>
      </c>
      <c r="M10714" s="92">
        <f t="shared" ca="1" si="345"/>
        <v>6.25</v>
      </c>
      <c r="N10714" s="143">
        <f ca="1">(PRODUCT($O$5:$O10714)-1)*36000/_xlfn.DAYS(L10714, $C$2)</f>
        <v>19.712961191104363</v>
      </c>
      <c r="O10714" s="149">
        <f t="shared" ca="1" si="346"/>
        <v>1.000173611111111</v>
      </c>
    </row>
    <row r="10715" spans="12:15" x14ac:dyDescent="0.25">
      <c r="L10715" s="147">
        <f ca="1"/>
        <v>55954</v>
      </c>
      <c r="M10715" s="92">
        <f t="shared" ca="1" si="345"/>
        <v>6.25</v>
      </c>
      <c r="N10715" s="143">
        <f ca="1">(PRODUCT($O$5:$O10715)-1)*36000/_xlfn.DAYS(L10715, $C$2)</f>
        <v>19.715126332176492</v>
      </c>
      <c r="O10715" s="149">
        <f t="shared" ca="1" si="346"/>
        <v>1.000173611111111</v>
      </c>
    </row>
    <row r="10716" spans="12:15" x14ac:dyDescent="0.25">
      <c r="L10716" s="147">
        <f ca="1"/>
        <v>55955</v>
      </c>
      <c r="M10716" s="92">
        <f t="shared" ca="1" si="345"/>
        <v>6.25</v>
      </c>
      <c r="N10716" s="143">
        <f ca="1">(PRODUCT($O$5:$O10716)-1)*36000/_xlfn.DAYS(L10716, $C$2)</f>
        <v>19.717291764351316</v>
      </c>
      <c r="O10716" s="149">
        <f t="shared" ca="1" si="346"/>
        <v>1.000173611111111</v>
      </c>
    </row>
    <row r="10717" spans="12:15" x14ac:dyDescent="0.25">
      <c r="L10717" s="147">
        <f ca="1"/>
        <v>55956</v>
      </c>
      <c r="M10717" s="92">
        <f t="shared" ca="1" si="345"/>
        <v>6.25</v>
      </c>
      <c r="N10717" s="143">
        <f ca="1">(PRODUCT($O$5:$O10717)-1)*36000/_xlfn.DAYS(L10717, $C$2)</f>
        <v>19.719457487668016</v>
      </c>
      <c r="O10717" s="149">
        <f t="shared" ca="1" si="346"/>
        <v>1.000173611111111</v>
      </c>
    </row>
    <row r="10718" spans="12:15" x14ac:dyDescent="0.25">
      <c r="L10718" s="147">
        <f ca="1"/>
        <v>55957</v>
      </c>
      <c r="M10718" s="92">
        <f t="shared" ca="1" si="345"/>
        <v>6.25</v>
      </c>
      <c r="N10718" s="143">
        <f ca="1">(PRODUCT($O$5:$O10718)-1)*36000/_xlfn.DAYS(L10718, $C$2)</f>
        <v>19.721623502165798</v>
      </c>
      <c r="O10718" s="149">
        <f t="shared" ca="1" si="346"/>
        <v>1.000173611111111</v>
      </c>
    </row>
    <row r="10719" spans="12:15" x14ac:dyDescent="0.25">
      <c r="L10719" s="147">
        <f ca="1"/>
        <v>55958</v>
      </c>
      <c r="M10719" s="92">
        <f t="shared" ca="1" si="345"/>
        <v>6.25</v>
      </c>
      <c r="N10719" s="143">
        <f ca="1">(PRODUCT($O$5:$O10719)-1)*36000/_xlfn.DAYS(L10719, $C$2)</f>
        <v>19.723789807883858</v>
      </c>
      <c r="O10719" s="149">
        <f t="shared" ca="1" si="346"/>
        <v>1.000173611111111</v>
      </c>
    </row>
    <row r="10720" spans="12:15" x14ac:dyDescent="0.25">
      <c r="L10720" s="147">
        <f ca="1"/>
        <v>55959</v>
      </c>
      <c r="M10720" s="92">
        <f t="shared" ca="1" si="345"/>
        <v>6.25</v>
      </c>
      <c r="N10720" s="143">
        <f ca="1">(PRODUCT($O$5:$O10720)-1)*36000/_xlfn.DAYS(L10720, $C$2)</f>
        <v>19.72595640486141</v>
      </c>
      <c r="O10720" s="149">
        <f t="shared" ca="1" si="346"/>
        <v>1.000173611111111</v>
      </c>
    </row>
    <row r="10721" spans="12:15" x14ac:dyDescent="0.25">
      <c r="L10721" s="147">
        <f ca="1"/>
        <v>55960</v>
      </c>
      <c r="M10721" s="92">
        <f t="shared" ca="1" si="345"/>
        <v>6.25</v>
      </c>
      <c r="N10721" s="143">
        <f ca="1">(PRODUCT($O$5:$O10721)-1)*36000/_xlfn.DAYS(L10721, $C$2)</f>
        <v>19.728123293137667</v>
      </c>
      <c r="O10721" s="149">
        <f t="shared" ca="1" si="346"/>
        <v>1.000173611111111</v>
      </c>
    </row>
    <row r="10722" spans="12:15" x14ac:dyDescent="0.25">
      <c r="L10722" s="147">
        <f ca="1"/>
        <v>55961</v>
      </c>
      <c r="M10722" s="92">
        <f t="shared" ca="1" si="345"/>
        <v>6.25</v>
      </c>
      <c r="N10722" s="143">
        <f ca="1">(PRODUCT($O$5:$O10722)-1)*36000/_xlfn.DAYS(L10722, $C$2)</f>
        <v>19.730290472751857</v>
      </c>
      <c r="O10722" s="149">
        <f t="shared" ca="1" si="346"/>
        <v>1.000173611111111</v>
      </c>
    </row>
    <row r="10723" spans="12:15" x14ac:dyDescent="0.25">
      <c r="L10723" s="147">
        <f ca="1"/>
        <v>55962</v>
      </c>
      <c r="M10723" s="92">
        <f t="shared" ca="1" si="345"/>
        <v>6.25</v>
      </c>
      <c r="N10723" s="143">
        <f ca="1">(PRODUCT($O$5:$O10723)-1)*36000/_xlfn.DAYS(L10723, $C$2)</f>
        <v>19.732457943743199</v>
      </c>
      <c r="O10723" s="149">
        <f t="shared" ca="1" si="346"/>
        <v>1.000173611111111</v>
      </c>
    </row>
    <row r="10724" spans="12:15" x14ac:dyDescent="0.25">
      <c r="L10724" s="147">
        <f ca="1"/>
        <v>55963</v>
      </c>
      <c r="M10724" s="92">
        <f t="shared" ca="1" si="345"/>
        <v>6.25</v>
      </c>
      <c r="N10724" s="143">
        <f ca="1">(PRODUCT($O$5:$O10724)-1)*36000/_xlfn.DAYS(L10724, $C$2)</f>
        <v>19.734625706150936</v>
      </c>
      <c r="O10724" s="149">
        <f t="shared" ca="1" si="346"/>
        <v>1.000173611111111</v>
      </c>
    </row>
    <row r="10725" spans="12:15" x14ac:dyDescent="0.25">
      <c r="L10725" s="147">
        <f ca="1"/>
        <v>55964</v>
      </c>
      <c r="M10725" s="92">
        <f t="shared" ca="1" si="345"/>
        <v>6.25</v>
      </c>
      <c r="N10725" s="143">
        <f ca="1">(PRODUCT($O$5:$O10725)-1)*36000/_xlfn.DAYS(L10725, $C$2)</f>
        <v>19.736793760014301</v>
      </c>
      <c r="O10725" s="149">
        <f t="shared" ca="1" si="346"/>
        <v>1.000173611111111</v>
      </c>
    </row>
    <row r="10726" spans="12:15" x14ac:dyDescent="0.25">
      <c r="L10726" s="147">
        <f ca="1"/>
        <v>55965</v>
      </c>
      <c r="M10726" s="92">
        <f t="shared" ca="1" si="345"/>
        <v>6.25</v>
      </c>
      <c r="N10726" s="143">
        <f ca="1">(PRODUCT($O$5:$O10726)-1)*36000/_xlfn.DAYS(L10726, $C$2)</f>
        <v>19.738962105372551</v>
      </c>
      <c r="O10726" s="149">
        <f t="shared" ca="1" si="346"/>
        <v>1.000173611111111</v>
      </c>
    </row>
    <row r="10727" spans="12:15" x14ac:dyDescent="0.25">
      <c r="L10727" s="147">
        <f ca="1"/>
        <v>55966</v>
      </c>
      <c r="M10727" s="92">
        <f t="shared" ca="1" si="345"/>
        <v>6.25</v>
      </c>
      <c r="N10727" s="143">
        <f ca="1">(PRODUCT($O$5:$O10727)-1)*36000/_xlfn.DAYS(L10727, $C$2)</f>
        <v>19.741130742264932</v>
      </c>
      <c r="O10727" s="149">
        <f t="shared" ca="1" si="346"/>
        <v>1.000173611111111</v>
      </c>
    </row>
    <row r="10728" spans="12:15" x14ac:dyDescent="0.25">
      <c r="L10728" s="147">
        <f ca="1"/>
        <v>55967</v>
      </c>
      <c r="M10728" s="92">
        <f t="shared" ca="1" si="345"/>
        <v>6.25</v>
      </c>
      <c r="N10728" s="143">
        <f ca="1">(PRODUCT($O$5:$O10728)-1)*36000/_xlfn.DAYS(L10728, $C$2)</f>
        <v>19.743299670730707</v>
      </c>
      <c r="O10728" s="149">
        <f t="shared" ca="1" si="346"/>
        <v>1.000173611111111</v>
      </c>
    </row>
    <row r="10729" spans="12:15" x14ac:dyDescent="0.25">
      <c r="L10729" s="147">
        <f ca="1"/>
        <v>55968</v>
      </c>
      <c r="M10729" s="92">
        <f t="shared" ca="1" si="345"/>
        <v>6.25</v>
      </c>
      <c r="N10729" s="143">
        <f ca="1">(PRODUCT($O$5:$O10729)-1)*36000/_xlfn.DAYS(L10729, $C$2)</f>
        <v>19.745468890809139</v>
      </c>
      <c r="O10729" s="149">
        <f t="shared" ca="1" si="346"/>
        <v>1.000173611111111</v>
      </c>
    </row>
    <row r="10730" spans="12:15" x14ac:dyDescent="0.25">
      <c r="L10730" s="147">
        <f ca="1"/>
        <v>55969</v>
      </c>
      <c r="M10730" s="92">
        <f t="shared" ca="1" si="345"/>
        <v>6.25</v>
      </c>
      <c r="N10730" s="143">
        <f ca="1">(PRODUCT($O$5:$O10730)-1)*36000/_xlfn.DAYS(L10730, $C$2)</f>
        <v>19.747638402539508</v>
      </c>
      <c r="O10730" s="149">
        <f t="shared" ca="1" si="346"/>
        <v>1.000173611111111</v>
      </c>
    </row>
    <row r="10731" spans="12:15" x14ac:dyDescent="0.25">
      <c r="L10731" s="147">
        <f ca="1"/>
        <v>55970</v>
      </c>
      <c r="M10731" s="92">
        <f t="shared" ca="1" si="345"/>
        <v>6.25</v>
      </c>
      <c r="N10731" s="143">
        <f ca="1">(PRODUCT($O$5:$O10731)-1)*36000/_xlfn.DAYS(L10731, $C$2)</f>
        <v>19.749808205961084</v>
      </c>
      <c r="O10731" s="149">
        <f t="shared" ca="1" si="346"/>
        <v>1.000173611111111</v>
      </c>
    </row>
    <row r="10732" spans="12:15" x14ac:dyDescent="0.25">
      <c r="L10732" s="147">
        <f ca="1"/>
        <v>55971</v>
      </c>
      <c r="M10732" s="92">
        <f t="shared" ca="1" si="345"/>
        <v>6.25</v>
      </c>
      <c r="N10732" s="143">
        <f ca="1">(PRODUCT($O$5:$O10732)-1)*36000/_xlfn.DAYS(L10732, $C$2)</f>
        <v>19.751978301113162</v>
      </c>
      <c r="O10732" s="149">
        <f t="shared" ca="1" si="346"/>
        <v>1.000173611111111</v>
      </c>
    </row>
    <row r="10733" spans="12:15" x14ac:dyDescent="0.25">
      <c r="L10733" s="147">
        <f ca="1"/>
        <v>55972</v>
      </c>
      <c r="M10733" s="92">
        <f t="shared" ca="1" si="345"/>
        <v>6.25</v>
      </c>
      <c r="N10733" s="143">
        <f ca="1">(PRODUCT($O$5:$O10733)-1)*36000/_xlfn.DAYS(L10733, $C$2)</f>
        <v>19.754148688035023</v>
      </c>
      <c r="O10733" s="149">
        <f t="shared" ca="1" si="346"/>
        <v>1.000173611111111</v>
      </c>
    </row>
    <row r="10734" spans="12:15" x14ac:dyDescent="0.25">
      <c r="L10734" s="147">
        <f ca="1"/>
        <v>55973</v>
      </c>
      <c r="M10734" s="92">
        <f t="shared" ca="1" si="345"/>
        <v>6.25</v>
      </c>
      <c r="N10734" s="143">
        <f ca="1">(PRODUCT($O$5:$O10734)-1)*36000/_xlfn.DAYS(L10734, $C$2)</f>
        <v>19.756319366765975</v>
      </c>
      <c r="O10734" s="149">
        <f t="shared" ca="1" si="346"/>
        <v>1.000173611111111</v>
      </c>
    </row>
    <row r="10735" spans="12:15" x14ac:dyDescent="0.25">
      <c r="L10735" s="147">
        <f ca="1"/>
        <v>55974</v>
      </c>
      <c r="M10735" s="92">
        <f t="shared" ca="1" si="345"/>
        <v>6.25</v>
      </c>
      <c r="N10735" s="143">
        <f ca="1">(PRODUCT($O$5:$O10735)-1)*36000/_xlfn.DAYS(L10735, $C$2)</f>
        <v>19.758490337345322</v>
      </c>
      <c r="O10735" s="149">
        <f t="shared" ca="1" si="346"/>
        <v>1.000173611111111</v>
      </c>
    </row>
    <row r="10736" spans="12:15" x14ac:dyDescent="0.25">
      <c r="L10736" s="147">
        <f ca="1"/>
        <v>55975</v>
      </c>
      <c r="M10736" s="92">
        <f t="shared" ca="1" si="345"/>
        <v>6.25</v>
      </c>
      <c r="N10736" s="143">
        <f ca="1">(PRODUCT($O$5:$O10736)-1)*36000/_xlfn.DAYS(L10736, $C$2)</f>
        <v>19.760661599812366</v>
      </c>
      <c r="O10736" s="149">
        <f t="shared" ca="1" si="346"/>
        <v>1.000173611111111</v>
      </c>
    </row>
    <row r="10737" spans="12:15" x14ac:dyDescent="0.25">
      <c r="L10737" s="147">
        <f ca="1"/>
        <v>55976</v>
      </c>
      <c r="M10737" s="92">
        <f t="shared" ca="1" si="345"/>
        <v>6.25</v>
      </c>
      <c r="N10737" s="143">
        <f ca="1">(PRODUCT($O$5:$O10737)-1)*36000/_xlfn.DAYS(L10737, $C$2)</f>
        <v>19.762833154206429</v>
      </c>
      <c r="O10737" s="149">
        <f t="shared" ca="1" si="346"/>
        <v>1.000173611111111</v>
      </c>
    </row>
    <row r="10738" spans="12:15" x14ac:dyDescent="0.25">
      <c r="L10738" s="147">
        <f ca="1"/>
        <v>55977</v>
      </c>
      <c r="M10738" s="92">
        <f t="shared" ca="1" si="345"/>
        <v>6.25</v>
      </c>
      <c r="N10738" s="143">
        <f ca="1">(PRODUCT($O$5:$O10738)-1)*36000/_xlfn.DAYS(L10738, $C$2)</f>
        <v>19.765005000566838</v>
      </c>
      <c r="O10738" s="149">
        <f t="shared" ca="1" si="346"/>
        <v>1.000173611111111</v>
      </c>
    </row>
    <row r="10739" spans="12:15" x14ac:dyDescent="0.25">
      <c r="L10739" s="147">
        <f ca="1"/>
        <v>55978</v>
      </c>
      <c r="M10739" s="92">
        <f t="shared" ca="1" si="345"/>
        <v>6.25</v>
      </c>
      <c r="N10739" s="143">
        <f ca="1">(PRODUCT($O$5:$O10739)-1)*36000/_xlfn.DAYS(L10739, $C$2)</f>
        <v>19.767177138932915</v>
      </c>
      <c r="O10739" s="149">
        <f t="shared" ca="1" si="346"/>
        <v>1.000173611111111</v>
      </c>
    </row>
    <row r="10740" spans="12:15" x14ac:dyDescent="0.25">
      <c r="L10740" s="147">
        <f ca="1"/>
        <v>55979</v>
      </c>
      <c r="M10740" s="92">
        <f t="shared" ca="1" si="345"/>
        <v>6.25</v>
      </c>
      <c r="N10740" s="143">
        <f ca="1">(PRODUCT($O$5:$O10740)-1)*36000/_xlfn.DAYS(L10740, $C$2)</f>
        <v>19.769349569343998</v>
      </c>
      <c r="O10740" s="149">
        <f t="shared" ca="1" si="346"/>
        <v>1.000173611111111</v>
      </c>
    </row>
    <row r="10741" spans="12:15" x14ac:dyDescent="0.25">
      <c r="L10741" s="147">
        <f ca="1"/>
        <v>55980</v>
      </c>
      <c r="M10741" s="92">
        <f t="shared" ca="1" si="345"/>
        <v>6.25</v>
      </c>
      <c r="N10741" s="143">
        <f ca="1">(PRODUCT($O$5:$O10741)-1)*36000/_xlfn.DAYS(L10741, $C$2)</f>
        <v>19.771522291839435</v>
      </c>
      <c r="O10741" s="149">
        <f t="shared" ca="1" si="346"/>
        <v>1.000173611111111</v>
      </c>
    </row>
    <row r="10742" spans="12:15" x14ac:dyDescent="0.25">
      <c r="L10742" s="147">
        <f ca="1"/>
        <v>55981</v>
      </c>
      <c r="M10742" s="92">
        <f t="shared" ca="1" si="345"/>
        <v>6.25</v>
      </c>
      <c r="N10742" s="143">
        <f ca="1">(PRODUCT($O$5:$O10742)-1)*36000/_xlfn.DAYS(L10742, $C$2)</f>
        <v>19.773695306458571</v>
      </c>
      <c r="O10742" s="149">
        <f t="shared" ca="1" si="346"/>
        <v>1.000173611111111</v>
      </c>
    </row>
    <row r="10743" spans="12:15" x14ac:dyDescent="0.25">
      <c r="L10743" s="147">
        <f ca="1"/>
        <v>55982</v>
      </c>
      <c r="M10743" s="92">
        <f t="shared" ca="1" si="345"/>
        <v>6.25</v>
      </c>
      <c r="N10743" s="143">
        <f ca="1">(PRODUCT($O$5:$O10743)-1)*36000/_xlfn.DAYS(L10743, $C$2)</f>
        <v>19.775868613240757</v>
      </c>
      <c r="O10743" s="149">
        <f t="shared" ca="1" si="346"/>
        <v>1.000173611111111</v>
      </c>
    </row>
    <row r="10744" spans="12:15" x14ac:dyDescent="0.25">
      <c r="L10744" s="147">
        <f ca="1"/>
        <v>55983</v>
      </c>
      <c r="M10744" s="92">
        <f t="shared" ca="1" si="345"/>
        <v>6.25</v>
      </c>
      <c r="N10744" s="143">
        <f ca="1">(PRODUCT($O$5:$O10744)-1)*36000/_xlfn.DAYS(L10744, $C$2)</f>
        <v>19.778042212225365</v>
      </c>
      <c r="O10744" s="149">
        <f t="shared" ca="1" si="346"/>
        <v>1.000173611111111</v>
      </c>
    </row>
    <row r="10745" spans="12:15" x14ac:dyDescent="0.25">
      <c r="L10745" s="147">
        <f ca="1"/>
        <v>55984</v>
      </c>
      <c r="M10745" s="92">
        <f t="shared" ca="1" si="345"/>
        <v>6.25</v>
      </c>
      <c r="N10745" s="143">
        <f ca="1">(PRODUCT($O$5:$O10745)-1)*36000/_xlfn.DAYS(L10745, $C$2)</f>
        <v>19.78021610345175</v>
      </c>
      <c r="O10745" s="149">
        <f t="shared" ca="1" si="346"/>
        <v>1.000173611111111</v>
      </c>
    </row>
    <row r="10746" spans="12:15" x14ac:dyDescent="0.25">
      <c r="L10746" s="147">
        <f ca="1"/>
        <v>55985</v>
      </c>
      <c r="M10746" s="92">
        <f t="shared" ca="1" si="345"/>
        <v>6.25</v>
      </c>
      <c r="N10746" s="143">
        <f ca="1">(PRODUCT($O$5:$O10746)-1)*36000/_xlfn.DAYS(L10746, $C$2)</f>
        <v>19.782390286959295</v>
      </c>
      <c r="O10746" s="149">
        <f t="shared" ca="1" si="346"/>
        <v>1.000173611111111</v>
      </c>
    </row>
    <row r="10747" spans="12:15" x14ac:dyDescent="0.25">
      <c r="L10747" s="147">
        <f ca="1"/>
        <v>55986</v>
      </c>
      <c r="M10747" s="92">
        <f t="shared" ca="1" si="345"/>
        <v>6.25</v>
      </c>
      <c r="N10747" s="143">
        <f ca="1">(PRODUCT($O$5:$O10747)-1)*36000/_xlfn.DAYS(L10747, $C$2)</f>
        <v>19.784564762787383</v>
      </c>
      <c r="O10747" s="149">
        <f t="shared" ca="1" si="346"/>
        <v>1.000173611111111</v>
      </c>
    </row>
    <row r="10748" spans="12:15" x14ac:dyDescent="0.25">
      <c r="L10748" s="147">
        <f ca="1"/>
        <v>55987</v>
      </c>
      <c r="M10748" s="92">
        <f t="shared" ca="1" si="345"/>
        <v>6.25</v>
      </c>
      <c r="N10748" s="143">
        <f ca="1">(PRODUCT($O$5:$O10748)-1)*36000/_xlfn.DAYS(L10748, $C$2)</f>
        <v>19.786739530975389</v>
      </c>
      <c r="O10748" s="149">
        <f t="shared" ca="1" si="346"/>
        <v>1.000173611111111</v>
      </c>
    </row>
    <row r="10749" spans="12:15" x14ac:dyDescent="0.25">
      <c r="L10749" s="147">
        <f ca="1"/>
        <v>55988</v>
      </c>
      <c r="M10749" s="92">
        <f t="shared" ca="1" si="345"/>
        <v>6.25</v>
      </c>
      <c r="N10749" s="143">
        <f ca="1">(PRODUCT($O$5:$O10749)-1)*36000/_xlfn.DAYS(L10749, $C$2)</f>
        <v>19.788914591562715</v>
      </c>
      <c r="O10749" s="149">
        <f t="shared" ca="1" si="346"/>
        <v>1.000173611111111</v>
      </c>
    </row>
    <row r="10750" spans="12:15" x14ac:dyDescent="0.25">
      <c r="L10750" s="147">
        <f ca="1"/>
        <v>55989</v>
      </c>
      <c r="M10750" s="92">
        <f t="shared" ca="1" si="345"/>
        <v>6.25</v>
      </c>
      <c r="N10750" s="143">
        <f ca="1">(PRODUCT($O$5:$O10750)-1)*36000/_xlfn.DAYS(L10750, $C$2)</f>
        <v>19.791089944588755</v>
      </c>
      <c r="O10750" s="149">
        <f t="shared" ca="1" si="346"/>
        <v>1.000173611111111</v>
      </c>
    </row>
    <row r="10751" spans="12:15" x14ac:dyDescent="0.25">
      <c r="L10751" s="147">
        <f ca="1"/>
        <v>55990</v>
      </c>
      <c r="M10751" s="92">
        <f t="shared" ca="1" si="345"/>
        <v>6.25</v>
      </c>
      <c r="N10751" s="143">
        <f ca="1">(PRODUCT($O$5:$O10751)-1)*36000/_xlfn.DAYS(L10751, $C$2)</f>
        <v>19.793265590092922</v>
      </c>
      <c r="O10751" s="149">
        <f t="shared" ca="1" si="346"/>
        <v>1.000173611111111</v>
      </c>
    </row>
    <row r="10752" spans="12:15" x14ac:dyDescent="0.25">
      <c r="L10752" s="147">
        <f ca="1"/>
        <v>55991</v>
      </c>
      <c r="M10752" s="92">
        <f t="shared" ca="1" si="345"/>
        <v>6.25</v>
      </c>
      <c r="N10752" s="143">
        <f ca="1">(PRODUCT($O$5:$O10752)-1)*36000/_xlfn.DAYS(L10752, $C$2)</f>
        <v>19.795441528114619</v>
      </c>
      <c r="O10752" s="149">
        <f t="shared" ca="1" si="346"/>
        <v>1.000173611111111</v>
      </c>
    </row>
    <row r="10753" spans="12:15" x14ac:dyDescent="0.25">
      <c r="L10753" s="147">
        <f ca="1"/>
        <v>55992</v>
      </c>
      <c r="M10753" s="92">
        <f t="shared" ca="1" si="345"/>
        <v>6.25</v>
      </c>
      <c r="N10753" s="143">
        <f ca="1">(PRODUCT($O$5:$O10753)-1)*36000/_xlfn.DAYS(L10753, $C$2)</f>
        <v>19.797617758693274</v>
      </c>
      <c r="O10753" s="149">
        <f t="shared" ca="1" si="346"/>
        <v>1.000173611111111</v>
      </c>
    </row>
    <row r="10754" spans="12:15" x14ac:dyDescent="0.25">
      <c r="L10754" s="147">
        <f ca="1"/>
        <v>55993</v>
      </c>
      <c r="M10754" s="92">
        <f t="shared" ca="1" si="345"/>
        <v>6.25</v>
      </c>
      <c r="N10754" s="143">
        <f ca="1">(PRODUCT($O$5:$O10754)-1)*36000/_xlfn.DAYS(L10754, $C$2)</f>
        <v>19.799794281868305</v>
      </c>
      <c r="O10754" s="149">
        <f t="shared" ca="1" si="346"/>
        <v>1.000173611111111</v>
      </c>
    </row>
    <row r="10755" spans="12:15" x14ac:dyDescent="0.25">
      <c r="L10755" s="147">
        <f ca="1"/>
        <v>55994</v>
      </c>
      <c r="M10755" s="92">
        <f t="shared" ca="1" si="345"/>
        <v>6.25</v>
      </c>
      <c r="N10755" s="143">
        <f ca="1">(PRODUCT($O$5:$O10755)-1)*36000/_xlfn.DAYS(L10755, $C$2)</f>
        <v>19.801971097679147</v>
      </c>
      <c r="O10755" s="149">
        <f t="shared" ca="1" si="346"/>
        <v>1.000173611111111</v>
      </c>
    </row>
    <row r="10756" spans="12:15" x14ac:dyDescent="0.25">
      <c r="L10756" s="147">
        <f ca="1"/>
        <v>55995</v>
      </c>
      <c r="M10756" s="92">
        <f t="shared" ca="1" si="345"/>
        <v>6.25</v>
      </c>
      <c r="N10756" s="143">
        <f ca="1">(PRODUCT($O$5:$O10756)-1)*36000/_xlfn.DAYS(L10756, $C$2)</f>
        <v>19.804148206165241</v>
      </c>
      <c r="O10756" s="149">
        <f t="shared" ca="1" si="346"/>
        <v>1.000173611111111</v>
      </c>
    </row>
    <row r="10757" spans="12:15" x14ac:dyDescent="0.25">
      <c r="L10757" s="147">
        <f ca="1"/>
        <v>55996</v>
      </c>
      <c r="M10757" s="92">
        <f t="shared" ref="M10757:M10820" ca="1" si="347">IFERROR(INDEX($E$27:$H$47, MATCH(L10757, $F$27:$F$47, 0), 4), IF(ISNUMBER(M10756), M10756, $C$5))</f>
        <v>6.25</v>
      </c>
      <c r="N10757" s="143">
        <f ca="1">(PRODUCT($O$5:$O10757)-1)*36000/_xlfn.DAYS(L10757, $C$2)</f>
        <v>19.80632560736602</v>
      </c>
      <c r="O10757" s="149">
        <f t="shared" ca="1" si="346"/>
        <v>1.000173611111111</v>
      </c>
    </row>
    <row r="10758" spans="12:15" x14ac:dyDescent="0.25">
      <c r="L10758" s="147">
        <f ca="1"/>
        <v>55997</v>
      </c>
      <c r="M10758" s="92">
        <f t="shared" ca="1" si="347"/>
        <v>6.25</v>
      </c>
      <c r="N10758" s="143">
        <f ca="1">(PRODUCT($O$5:$O10758)-1)*36000/_xlfn.DAYS(L10758, $C$2)</f>
        <v>19.80850330132094</v>
      </c>
      <c r="O10758" s="149">
        <f t="shared" ref="O10758:O10821" ca="1" si="348">1+M10758*IFERROR(_xlfn.DAYS(L10758, L10757), _xlfn.DAYS(L10758, $C$2))/36000</f>
        <v>1.000173611111111</v>
      </c>
    </row>
    <row r="10759" spans="12:15" x14ac:dyDescent="0.25">
      <c r="L10759" s="147">
        <f ca="1"/>
        <v>55998</v>
      </c>
      <c r="M10759" s="92">
        <f t="shared" ca="1" si="347"/>
        <v>6.25</v>
      </c>
      <c r="N10759" s="143">
        <f ca="1">(PRODUCT($O$5:$O10759)-1)*36000/_xlfn.DAYS(L10759, $C$2)</f>
        <v>19.81068128806946</v>
      </c>
      <c r="O10759" s="149">
        <f t="shared" ca="1" si="348"/>
        <v>1.000173611111111</v>
      </c>
    </row>
    <row r="10760" spans="12:15" x14ac:dyDescent="0.25">
      <c r="L10760" s="147">
        <f ca="1"/>
        <v>55999</v>
      </c>
      <c r="M10760" s="92">
        <f t="shared" ca="1" si="347"/>
        <v>6.25</v>
      </c>
      <c r="N10760" s="143">
        <f ca="1">(PRODUCT($O$5:$O10760)-1)*36000/_xlfn.DAYS(L10760, $C$2)</f>
        <v>19.812859567651039</v>
      </c>
      <c r="O10760" s="149">
        <f t="shared" ca="1" si="348"/>
        <v>1.000173611111111</v>
      </c>
    </row>
    <row r="10761" spans="12:15" x14ac:dyDescent="0.25">
      <c r="L10761" s="147">
        <f ca="1"/>
        <v>56000</v>
      </c>
      <c r="M10761" s="92">
        <f t="shared" ca="1" si="347"/>
        <v>6.25</v>
      </c>
      <c r="N10761" s="143">
        <f ca="1">(PRODUCT($O$5:$O10761)-1)*36000/_xlfn.DAYS(L10761, $C$2)</f>
        <v>19.815038140105148</v>
      </c>
      <c r="O10761" s="149">
        <f t="shared" ca="1" si="348"/>
        <v>1.000173611111111</v>
      </c>
    </row>
    <row r="10762" spans="12:15" x14ac:dyDescent="0.25">
      <c r="L10762" s="147">
        <f ca="1"/>
        <v>56001</v>
      </c>
      <c r="M10762" s="92">
        <f t="shared" ca="1" si="347"/>
        <v>6.25</v>
      </c>
      <c r="N10762" s="143">
        <f ca="1">(PRODUCT($O$5:$O10762)-1)*36000/_xlfn.DAYS(L10762, $C$2)</f>
        <v>19.817217005471264</v>
      </c>
      <c r="O10762" s="149">
        <f t="shared" ca="1" si="348"/>
        <v>1.000173611111111</v>
      </c>
    </row>
    <row r="10763" spans="12:15" x14ac:dyDescent="0.25">
      <c r="L10763" s="147">
        <f ca="1"/>
        <v>56002</v>
      </c>
      <c r="M10763" s="92">
        <f t="shared" ca="1" si="347"/>
        <v>6.25</v>
      </c>
      <c r="N10763" s="143">
        <f ca="1">(PRODUCT($O$5:$O10763)-1)*36000/_xlfn.DAYS(L10763, $C$2)</f>
        <v>19.81939616378887</v>
      </c>
      <c r="O10763" s="149">
        <f t="shared" ca="1" si="348"/>
        <v>1.000173611111111</v>
      </c>
    </row>
    <row r="10764" spans="12:15" x14ac:dyDescent="0.25">
      <c r="L10764" s="147">
        <f ca="1"/>
        <v>56003</v>
      </c>
      <c r="M10764" s="92">
        <f t="shared" ca="1" si="347"/>
        <v>6.25</v>
      </c>
      <c r="N10764" s="143">
        <f ca="1">(PRODUCT($O$5:$O10764)-1)*36000/_xlfn.DAYS(L10764, $C$2)</f>
        <v>19.821575615097448</v>
      </c>
      <c r="O10764" s="149">
        <f t="shared" ca="1" si="348"/>
        <v>1.000173611111111</v>
      </c>
    </row>
    <row r="10765" spans="12:15" x14ac:dyDescent="0.25">
      <c r="L10765" s="147">
        <f ca="1"/>
        <v>56004</v>
      </c>
      <c r="M10765" s="92">
        <f t="shared" ca="1" si="347"/>
        <v>6.25</v>
      </c>
      <c r="N10765" s="143">
        <f ca="1">(PRODUCT($O$5:$O10765)-1)*36000/_xlfn.DAYS(L10765, $C$2)</f>
        <v>19.823755359436497</v>
      </c>
      <c r="O10765" s="149">
        <f t="shared" ca="1" si="348"/>
        <v>1.000173611111111</v>
      </c>
    </row>
    <row r="10766" spans="12:15" x14ac:dyDescent="0.25">
      <c r="L10766" s="147">
        <f ca="1"/>
        <v>56005</v>
      </c>
      <c r="M10766" s="92">
        <f t="shared" ca="1" si="347"/>
        <v>6.25</v>
      </c>
      <c r="N10766" s="143">
        <f ca="1">(PRODUCT($O$5:$O10766)-1)*36000/_xlfn.DAYS(L10766, $C$2)</f>
        <v>19.825935396845523</v>
      </c>
      <c r="O10766" s="149">
        <f t="shared" ca="1" si="348"/>
        <v>1.000173611111111</v>
      </c>
    </row>
    <row r="10767" spans="12:15" x14ac:dyDescent="0.25">
      <c r="L10767" s="147">
        <f ca="1"/>
        <v>56006</v>
      </c>
      <c r="M10767" s="92">
        <f t="shared" ca="1" si="347"/>
        <v>6.25</v>
      </c>
      <c r="N10767" s="143">
        <f ca="1">(PRODUCT($O$5:$O10767)-1)*36000/_xlfn.DAYS(L10767, $C$2)</f>
        <v>19.828115727364025</v>
      </c>
      <c r="O10767" s="149">
        <f t="shared" ca="1" si="348"/>
        <v>1.000173611111111</v>
      </c>
    </row>
    <row r="10768" spans="12:15" x14ac:dyDescent="0.25">
      <c r="L10768" s="147">
        <f ca="1"/>
        <v>56007</v>
      </c>
      <c r="M10768" s="92">
        <f t="shared" ca="1" si="347"/>
        <v>6.25</v>
      </c>
      <c r="N10768" s="143">
        <f ca="1">(PRODUCT($O$5:$O10768)-1)*36000/_xlfn.DAYS(L10768, $C$2)</f>
        <v>19.830296351031521</v>
      </c>
      <c r="O10768" s="149">
        <f t="shared" ca="1" si="348"/>
        <v>1.000173611111111</v>
      </c>
    </row>
    <row r="10769" spans="12:15" x14ac:dyDescent="0.25">
      <c r="L10769" s="147">
        <f ca="1"/>
        <v>56008</v>
      </c>
      <c r="M10769" s="92">
        <f t="shared" ca="1" si="347"/>
        <v>6.25</v>
      </c>
      <c r="N10769" s="143">
        <f ca="1">(PRODUCT($O$5:$O10769)-1)*36000/_xlfn.DAYS(L10769, $C$2)</f>
        <v>19.83247726788753</v>
      </c>
      <c r="O10769" s="149">
        <f t="shared" ca="1" si="348"/>
        <v>1.000173611111111</v>
      </c>
    </row>
    <row r="10770" spans="12:15" x14ac:dyDescent="0.25">
      <c r="L10770" s="147">
        <f ca="1"/>
        <v>56009</v>
      </c>
      <c r="M10770" s="92">
        <f t="shared" ca="1" si="347"/>
        <v>6.25</v>
      </c>
      <c r="N10770" s="143">
        <f ca="1">(PRODUCT($O$5:$O10770)-1)*36000/_xlfn.DAYS(L10770, $C$2)</f>
        <v>19.83465847797158</v>
      </c>
      <c r="O10770" s="149">
        <f t="shared" ca="1" si="348"/>
        <v>1.000173611111111</v>
      </c>
    </row>
    <row r="10771" spans="12:15" x14ac:dyDescent="0.25">
      <c r="L10771" s="147">
        <f ca="1"/>
        <v>56010</v>
      </c>
      <c r="M10771" s="92">
        <f t="shared" ca="1" si="347"/>
        <v>6.25</v>
      </c>
      <c r="N10771" s="143">
        <f ca="1">(PRODUCT($O$5:$O10771)-1)*36000/_xlfn.DAYS(L10771, $C$2)</f>
        <v>19.836839981323198</v>
      </c>
      <c r="O10771" s="149">
        <f t="shared" ca="1" si="348"/>
        <v>1.000173611111111</v>
      </c>
    </row>
    <row r="10772" spans="12:15" x14ac:dyDescent="0.25">
      <c r="L10772" s="147">
        <f ca="1"/>
        <v>56011</v>
      </c>
      <c r="M10772" s="92">
        <f t="shared" ca="1" si="347"/>
        <v>6.25</v>
      </c>
      <c r="N10772" s="143">
        <f ca="1">(PRODUCT($O$5:$O10772)-1)*36000/_xlfn.DAYS(L10772, $C$2)</f>
        <v>19.839021777981934</v>
      </c>
      <c r="O10772" s="149">
        <f t="shared" ca="1" si="348"/>
        <v>1.000173611111111</v>
      </c>
    </row>
    <row r="10773" spans="12:15" x14ac:dyDescent="0.25">
      <c r="L10773" s="147">
        <f ca="1"/>
        <v>56012</v>
      </c>
      <c r="M10773" s="92">
        <f t="shared" ca="1" si="347"/>
        <v>6.25</v>
      </c>
      <c r="N10773" s="143">
        <f ca="1">(PRODUCT($O$5:$O10773)-1)*36000/_xlfn.DAYS(L10773, $C$2)</f>
        <v>19.841203867987325</v>
      </c>
      <c r="O10773" s="149">
        <f t="shared" ca="1" si="348"/>
        <v>1.000173611111111</v>
      </c>
    </row>
    <row r="10774" spans="12:15" x14ac:dyDescent="0.25">
      <c r="L10774" s="147">
        <f ca="1"/>
        <v>56013</v>
      </c>
      <c r="M10774" s="92">
        <f t="shared" ca="1" si="347"/>
        <v>6.25</v>
      </c>
      <c r="N10774" s="143">
        <f ca="1">(PRODUCT($O$5:$O10774)-1)*36000/_xlfn.DAYS(L10774, $C$2)</f>
        <v>19.843386251378927</v>
      </c>
      <c r="O10774" s="149">
        <f t="shared" ca="1" si="348"/>
        <v>1.000173611111111</v>
      </c>
    </row>
    <row r="10775" spans="12:15" x14ac:dyDescent="0.25">
      <c r="L10775" s="147">
        <f ca="1"/>
        <v>56014</v>
      </c>
      <c r="M10775" s="92">
        <f t="shared" ca="1" si="347"/>
        <v>6.25</v>
      </c>
      <c r="N10775" s="143">
        <f ca="1">(PRODUCT($O$5:$O10775)-1)*36000/_xlfn.DAYS(L10775, $C$2)</f>
        <v>19.845568928196293</v>
      </c>
      <c r="O10775" s="149">
        <f t="shared" ca="1" si="348"/>
        <v>1.000173611111111</v>
      </c>
    </row>
    <row r="10776" spans="12:15" x14ac:dyDescent="0.25">
      <c r="L10776" s="147">
        <f ca="1"/>
        <v>56015</v>
      </c>
      <c r="M10776" s="92">
        <f t="shared" ca="1" si="347"/>
        <v>6.25</v>
      </c>
      <c r="N10776" s="143">
        <f ca="1">(PRODUCT($O$5:$O10776)-1)*36000/_xlfn.DAYS(L10776, $C$2)</f>
        <v>19.847751898478993</v>
      </c>
      <c r="O10776" s="149">
        <f t="shared" ca="1" si="348"/>
        <v>1.000173611111111</v>
      </c>
    </row>
    <row r="10777" spans="12:15" x14ac:dyDescent="0.25">
      <c r="L10777" s="147">
        <f ca="1"/>
        <v>56016</v>
      </c>
      <c r="M10777" s="92">
        <f t="shared" ca="1" si="347"/>
        <v>6.25</v>
      </c>
      <c r="N10777" s="143">
        <f ca="1">(PRODUCT($O$5:$O10777)-1)*36000/_xlfn.DAYS(L10777, $C$2)</f>
        <v>19.849935162266597</v>
      </c>
      <c r="O10777" s="149">
        <f t="shared" ca="1" si="348"/>
        <v>1.000173611111111</v>
      </c>
    </row>
    <row r="10778" spans="12:15" x14ac:dyDescent="0.25">
      <c r="L10778" s="147">
        <f ca="1"/>
        <v>56017</v>
      </c>
      <c r="M10778" s="92">
        <f t="shared" ca="1" si="347"/>
        <v>6.25</v>
      </c>
      <c r="N10778" s="143">
        <f ca="1">(PRODUCT($O$5:$O10778)-1)*36000/_xlfn.DAYS(L10778, $C$2)</f>
        <v>19.852118719598685</v>
      </c>
      <c r="O10778" s="149">
        <f t="shared" ca="1" si="348"/>
        <v>1.000173611111111</v>
      </c>
    </row>
    <row r="10779" spans="12:15" x14ac:dyDescent="0.25">
      <c r="L10779" s="147">
        <f ca="1"/>
        <v>56018</v>
      </c>
      <c r="M10779" s="92">
        <f t="shared" ca="1" si="347"/>
        <v>6.25</v>
      </c>
      <c r="N10779" s="143">
        <f ca="1">(PRODUCT($O$5:$O10779)-1)*36000/_xlfn.DAYS(L10779, $C$2)</f>
        <v>19.854302570514836</v>
      </c>
      <c r="O10779" s="149">
        <f t="shared" ca="1" si="348"/>
        <v>1.000173611111111</v>
      </c>
    </row>
    <row r="10780" spans="12:15" x14ac:dyDescent="0.25">
      <c r="L10780" s="147">
        <f ca="1"/>
        <v>56019</v>
      </c>
      <c r="M10780" s="92">
        <f t="shared" ca="1" si="347"/>
        <v>6.25</v>
      </c>
      <c r="N10780" s="143">
        <f ca="1">(PRODUCT($O$5:$O10780)-1)*36000/_xlfn.DAYS(L10780, $C$2)</f>
        <v>19.85648671505464</v>
      </c>
      <c r="O10780" s="149">
        <f t="shared" ca="1" si="348"/>
        <v>1.000173611111111</v>
      </c>
    </row>
    <row r="10781" spans="12:15" x14ac:dyDescent="0.25">
      <c r="L10781" s="147">
        <f ca="1"/>
        <v>56020</v>
      </c>
      <c r="M10781" s="92">
        <f t="shared" ca="1" si="347"/>
        <v>6.25</v>
      </c>
      <c r="N10781" s="143">
        <f ca="1">(PRODUCT($O$5:$O10781)-1)*36000/_xlfn.DAYS(L10781, $C$2)</f>
        <v>19.858671153257699</v>
      </c>
      <c r="O10781" s="149">
        <f t="shared" ca="1" si="348"/>
        <v>1.000173611111111</v>
      </c>
    </row>
    <row r="10782" spans="12:15" x14ac:dyDescent="0.25">
      <c r="L10782" s="147">
        <f ca="1"/>
        <v>56021</v>
      </c>
      <c r="M10782" s="92">
        <f t="shared" ca="1" si="347"/>
        <v>6.25</v>
      </c>
      <c r="N10782" s="143">
        <f ca="1">(PRODUCT($O$5:$O10782)-1)*36000/_xlfn.DAYS(L10782, $C$2)</f>
        <v>19.860855885163613</v>
      </c>
      <c r="O10782" s="149">
        <f t="shared" ca="1" si="348"/>
        <v>1.000173611111111</v>
      </c>
    </row>
    <row r="10783" spans="12:15" x14ac:dyDescent="0.25">
      <c r="L10783" s="147">
        <f ca="1"/>
        <v>56022</v>
      </c>
      <c r="M10783" s="92">
        <f t="shared" ca="1" si="347"/>
        <v>6.25</v>
      </c>
      <c r="N10783" s="143">
        <f ca="1">(PRODUCT($O$5:$O10783)-1)*36000/_xlfn.DAYS(L10783, $C$2)</f>
        <v>19.863040910811986</v>
      </c>
      <c r="O10783" s="149">
        <f t="shared" ca="1" si="348"/>
        <v>1.000173611111111</v>
      </c>
    </row>
    <row r="10784" spans="12:15" x14ac:dyDescent="0.25">
      <c r="L10784" s="147">
        <f ca="1"/>
        <v>56023</v>
      </c>
      <c r="M10784" s="92">
        <f t="shared" ca="1" si="347"/>
        <v>6.25</v>
      </c>
      <c r="N10784" s="143">
        <f ca="1">(PRODUCT($O$5:$O10784)-1)*36000/_xlfn.DAYS(L10784, $C$2)</f>
        <v>19.865226230242438</v>
      </c>
      <c r="O10784" s="149">
        <f t="shared" ca="1" si="348"/>
        <v>1.000173611111111</v>
      </c>
    </row>
    <row r="10785" spans="12:15" x14ac:dyDescent="0.25">
      <c r="L10785" s="147">
        <f ca="1"/>
        <v>56024</v>
      </c>
      <c r="M10785" s="92">
        <f t="shared" ca="1" si="347"/>
        <v>6.25</v>
      </c>
      <c r="N10785" s="143">
        <f ca="1">(PRODUCT($O$5:$O10785)-1)*36000/_xlfn.DAYS(L10785, $C$2)</f>
        <v>19.867411843494597</v>
      </c>
      <c r="O10785" s="149">
        <f t="shared" ca="1" si="348"/>
        <v>1.000173611111111</v>
      </c>
    </row>
    <row r="10786" spans="12:15" x14ac:dyDescent="0.25">
      <c r="L10786" s="147">
        <f ca="1"/>
        <v>56025</v>
      </c>
      <c r="M10786" s="92">
        <f t="shared" ca="1" si="347"/>
        <v>6.25</v>
      </c>
      <c r="N10786" s="143">
        <f ca="1">(PRODUCT($O$5:$O10786)-1)*36000/_xlfn.DAYS(L10786, $C$2)</f>
        <v>19.869597750608076</v>
      </c>
      <c r="O10786" s="149">
        <f t="shared" ca="1" si="348"/>
        <v>1.000173611111111</v>
      </c>
    </row>
    <row r="10787" spans="12:15" x14ac:dyDescent="0.25">
      <c r="L10787" s="147">
        <f ca="1"/>
        <v>56026</v>
      </c>
      <c r="M10787" s="92">
        <f t="shared" ca="1" si="347"/>
        <v>6.25</v>
      </c>
      <c r="N10787" s="143">
        <f ca="1">(PRODUCT($O$5:$O10787)-1)*36000/_xlfn.DAYS(L10787, $C$2)</f>
        <v>19.871783951622525</v>
      </c>
      <c r="O10787" s="149">
        <f t="shared" ca="1" si="348"/>
        <v>1.000173611111111</v>
      </c>
    </row>
    <row r="10788" spans="12:15" x14ac:dyDescent="0.25">
      <c r="L10788" s="147">
        <f ca="1"/>
        <v>56027</v>
      </c>
      <c r="M10788" s="92">
        <f t="shared" ca="1" si="347"/>
        <v>6.25</v>
      </c>
      <c r="N10788" s="143">
        <f ca="1">(PRODUCT($O$5:$O10788)-1)*36000/_xlfn.DAYS(L10788, $C$2)</f>
        <v>19.87397044657758</v>
      </c>
      <c r="O10788" s="149">
        <f t="shared" ca="1" si="348"/>
        <v>1.000173611111111</v>
      </c>
    </row>
    <row r="10789" spans="12:15" x14ac:dyDescent="0.25">
      <c r="L10789" s="147">
        <f ca="1"/>
        <v>56028</v>
      </c>
      <c r="M10789" s="92">
        <f t="shared" ca="1" si="347"/>
        <v>6.25</v>
      </c>
      <c r="N10789" s="143">
        <f ca="1">(PRODUCT($O$5:$O10789)-1)*36000/_xlfn.DAYS(L10789, $C$2)</f>
        <v>19.876157235512888</v>
      </c>
      <c r="O10789" s="149">
        <f t="shared" ca="1" si="348"/>
        <v>1.000173611111111</v>
      </c>
    </row>
    <row r="10790" spans="12:15" x14ac:dyDescent="0.25">
      <c r="L10790" s="147">
        <f ca="1"/>
        <v>56029</v>
      </c>
      <c r="M10790" s="92">
        <f t="shared" ca="1" si="347"/>
        <v>6.25</v>
      </c>
      <c r="N10790" s="143">
        <f ca="1">(PRODUCT($O$5:$O10790)-1)*36000/_xlfn.DAYS(L10790, $C$2)</f>
        <v>19.878344318468098</v>
      </c>
      <c r="O10790" s="149">
        <f t="shared" ca="1" si="348"/>
        <v>1.000173611111111</v>
      </c>
    </row>
    <row r="10791" spans="12:15" x14ac:dyDescent="0.25">
      <c r="L10791" s="147">
        <f ca="1"/>
        <v>56030</v>
      </c>
      <c r="M10791" s="92">
        <f t="shared" ca="1" si="347"/>
        <v>6.25</v>
      </c>
      <c r="N10791" s="143">
        <f ca="1">(PRODUCT($O$5:$O10791)-1)*36000/_xlfn.DAYS(L10791, $C$2)</f>
        <v>19.880531695482876</v>
      </c>
      <c r="O10791" s="149">
        <f t="shared" ca="1" si="348"/>
        <v>1.000173611111111</v>
      </c>
    </row>
    <row r="10792" spans="12:15" x14ac:dyDescent="0.25">
      <c r="L10792" s="147">
        <f ca="1"/>
        <v>56031</v>
      </c>
      <c r="M10792" s="92">
        <f t="shared" ca="1" si="347"/>
        <v>6.25</v>
      </c>
      <c r="N10792" s="143">
        <f ca="1">(PRODUCT($O$5:$O10792)-1)*36000/_xlfn.DAYS(L10792, $C$2)</f>
        <v>19.882719366596888</v>
      </c>
      <c r="O10792" s="149">
        <f t="shared" ca="1" si="348"/>
        <v>1.000173611111111</v>
      </c>
    </row>
    <row r="10793" spans="12:15" x14ac:dyDescent="0.25">
      <c r="L10793" s="147">
        <f ca="1"/>
        <v>56032</v>
      </c>
      <c r="M10793" s="92">
        <f t="shared" ca="1" si="347"/>
        <v>6.25</v>
      </c>
      <c r="N10793" s="143">
        <f ca="1">(PRODUCT($O$5:$O10793)-1)*36000/_xlfn.DAYS(L10793, $C$2)</f>
        <v>19.88490733184981</v>
      </c>
      <c r="O10793" s="149">
        <f t="shared" ca="1" si="348"/>
        <v>1.000173611111111</v>
      </c>
    </row>
    <row r="10794" spans="12:15" x14ac:dyDescent="0.25">
      <c r="L10794" s="147">
        <f ca="1"/>
        <v>56033</v>
      </c>
      <c r="M10794" s="92">
        <f t="shared" ca="1" si="347"/>
        <v>6.25</v>
      </c>
      <c r="N10794" s="143">
        <f ca="1">(PRODUCT($O$5:$O10794)-1)*36000/_xlfn.DAYS(L10794, $C$2)</f>
        <v>19.887095591281309</v>
      </c>
      <c r="O10794" s="149">
        <f t="shared" ca="1" si="348"/>
        <v>1.000173611111111</v>
      </c>
    </row>
    <row r="10795" spans="12:15" x14ac:dyDescent="0.25">
      <c r="L10795" s="147">
        <f ca="1"/>
        <v>56034</v>
      </c>
      <c r="M10795" s="92">
        <f t="shared" ca="1" si="347"/>
        <v>6.25</v>
      </c>
      <c r="N10795" s="143">
        <f ca="1">(PRODUCT($O$5:$O10795)-1)*36000/_xlfn.DAYS(L10795, $C$2)</f>
        <v>19.889284144931086</v>
      </c>
      <c r="O10795" s="149">
        <f t="shared" ca="1" si="348"/>
        <v>1.000173611111111</v>
      </c>
    </row>
    <row r="10796" spans="12:15" x14ac:dyDescent="0.25">
      <c r="L10796" s="147">
        <f ca="1"/>
        <v>56035</v>
      </c>
      <c r="M10796" s="92">
        <f t="shared" ca="1" si="347"/>
        <v>6.25</v>
      </c>
      <c r="N10796" s="143">
        <f ca="1">(PRODUCT($O$5:$O10796)-1)*36000/_xlfn.DAYS(L10796, $C$2)</f>
        <v>19.891472992838825</v>
      </c>
      <c r="O10796" s="149">
        <f t="shared" ca="1" si="348"/>
        <v>1.000173611111111</v>
      </c>
    </row>
    <row r="10797" spans="12:15" x14ac:dyDescent="0.25">
      <c r="L10797" s="147">
        <f ca="1"/>
        <v>56036</v>
      </c>
      <c r="M10797" s="92">
        <f t="shared" ca="1" si="347"/>
        <v>6.25</v>
      </c>
      <c r="N10797" s="143">
        <f ca="1">(PRODUCT($O$5:$O10797)-1)*36000/_xlfn.DAYS(L10797, $C$2)</f>
        <v>19.893662135044227</v>
      </c>
      <c r="O10797" s="149">
        <f t="shared" ca="1" si="348"/>
        <v>1.000173611111111</v>
      </c>
    </row>
    <row r="10798" spans="12:15" x14ac:dyDescent="0.25">
      <c r="L10798" s="147">
        <f ca="1"/>
        <v>56037</v>
      </c>
      <c r="M10798" s="92">
        <f t="shared" ca="1" si="347"/>
        <v>6.25</v>
      </c>
      <c r="N10798" s="143">
        <f ca="1">(PRODUCT($O$5:$O10798)-1)*36000/_xlfn.DAYS(L10798, $C$2)</f>
        <v>19.895851571586995</v>
      </c>
      <c r="O10798" s="149">
        <f t="shared" ca="1" si="348"/>
        <v>1.000173611111111</v>
      </c>
    </row>
    <row r="10799" spans="12:15" x14ac:dyDescent="0.25">
      <c r="L10799" s="147">
        <f ca="1"/>
        <v>56038</v>
      </c>
      <c r="M10799" s="92">
        <f t="shared" ca="1" si="347"/>
        <v>6.25</v>
      </c>
      <c r="N10799" s="143">
        <f ca="1">(PRODUCT($O$5:$O10799)-1)*36000/_xlfn.DAYS(L10799, $C$2)</f>
        <v>19.898041302506837</v>
      </c>
      <c r="O10799" s="149">
        <f t="shared" ca="1" si="348"/>
        <v>1.000173611111111</v>
      </c>
    </row>
    <row r="10800" spans="12:15" x14ac:dyDescent="0.25">
      <c r="L10800" s="147">
        <f ca="1"/>
        <v>56039</v>
      </c>
      <c r="M10800" s="92">
        <f t="shared" ca="1" si="347"/>
        <v>6.25</v>
      </c>
      <c r="N10800" s="143">
        <f ca="1">(PRODUCT($O$5:$O10800)-1)*36000/_xlfn.DAYS(L10800, $C$2)</f>
        <v>19.900231327843482</v>
      </c>
      <c r="O10800" s="149">
        <f t="shared" ca="1" si="348"/>
        <v>1.000173611111111</v>
      </c>
    </row>
    <row r="10801" spans="12:15" x14ac:dyDescent="0.25">
      <c r="L10801" s="147">
        <f ca="1"/>
        <v>56040</v>
      </c>
      <c r="M10801" s="92">
        <f t="shared" ca="1" si="347"/>
        <v>6.25</v>
      </c>
      <c r="N10801" s="143">
        <f ca="1">(PRODUCT($O$5:$O10801)-1)*36000/_xlfn.DAYS(L10801, $C$2)</f>
        <v>19.90242164763664</v>
      </c>
      <c r="O10801" s="149">
        <f t="shared" ca="1" si="348"/>
        <v>1.000173611111111</v>
      </c>
    </row>
    <row r="10802" spans="12:15" x14ac:dyDescent="0.25">
      <c r="L10802" s="147">
        <f ca="1"/>
        <v>56041</v>
      </c>
      <c r="M10802" s="92">
        <f t="shared" ca="1" si="347"/>
        <v>6.25</v>
      </c>
      <c r="N10802" s="143">
        <f ca="1">(PRODUCT($O$5:$O10802)-1)*36000/_xlfn.DAYS(L10802, $C$2)</f>
        <v>19.904612261926051</v>
      </c>
      <c r="O10802" s="149">
        <f t="shared" ca="1" si="348"/>
        <v>1.000173611111111</v>
      </c>
    </row>
    <row r="10803" spans="12:15" x14ac:dyDescent="0.25">
      <c r="L10803" s="147">
        <f ca="1"/>
        <v>56042</v>
      </c>
      <c r="M10803" s="92">
        <f t="shared" ca="1" si="347"/>
        <v>6.25</v>
      </c>
      <c r="N10803" s="143">
        <f ca="1">(PRODUCT($O$5:$O10803)-1)*36000/_xlfn.DAYS(L10803, $C$2)</f>
        <v>19.906803170751445</v>
      </c>
      <c r="O10803" s="149">
        <f t="shared" ca="1" si="348"/>
        <v>1.000173611111111</v>
      </c>
    </row>
    <row r="10804" spans="12:15" x14ac:dyDescent="0.25">
      <c r="L10804" s="147">
        <f ca="1"/>
        <v>56043</v>
      </c>
      <c r="M10804" s="92">
        <f t="shared" ca="1" si="347"/>
        <v>6.25</v>
      </c>
      <c r="N10804" s="143">
        <f ca="1">(PRODUCT($O$5:$O10804)-1)*36000/_xlfn.DAYS(L10804, $C$2)</f>
        <v>19.908994374152574</v>
      </c>
      <c r="O10804" s="149">
        <f t="shared" ca="1" si="348"/>
        <v>1.000173611111111</v>
      </c>
    </row>
    <row r="10805" spans="12:15" x14ac:dyDescent="0.25">
      <c r="L10805" s="147">
        <f ca="1"/>
        <v>56044</v>
      </c>
      <c r="M10805" s="92">
        <f t="shared" ca="1" si="347"/>
        <v>6.25</v>
      </c>
      <c r="N10805" s="143">
        <f ca="1">(PRODUCT($O$5:$O10805)-1)*36000/_xlfn.DAYS(L10805, $C$2)</f>
        <v>19.911185872169181</v>
      </c>
      <c r="O10805" s="149">
        <f t="shared" ca="1" si="348"/>
        <v>1.000173611111111</v>
      </c>
    </row>
    <row r="10806" spans="12:15" x14ac:dyDescent="0.25">
      <c r="L10806" s="147">
        <f ca="1"/>
        <v>56045</v>
      </c>
      <c r="M10806" s="92">
        <f t="shared" ca="1" si="347"/>
        <v>6.25</v>
      </c>
      <c r="N10806" s="143">
        <f ca="1">(PRODUCT($O$5:$O10806)-1)*36000/_xlfn.DAYS(L10806, $C$2)</f>
        <v>19.913377664841018</v>
      </c>
      <c r="O10806" s="149">
        <f t="shared" ca="1" si="348"/>
        <v>1.000173611111111</v>
      </c>
    </row>
    <row r="10807" spans="12:15" x14ac:dyDescent="0.25">
      <c r="L10807" s="147">
        <f ca="1"/>
        <v>56046</v>
      </c>
      <c r="M10807" s="92">
        <f t="shared" ca="1" si="347"/>
        <v>6.25</v>
      </c>
      <c r="N10807" s="143">
        <f ca="1">(PRODUCT($O$5:$O10807)-1)*36000/_xlfn.DAYS(L10807, $C$2)</f>
        <v>19.915569752207858</v>
      </c>
      <c r="O10807" s="149">
        <f t="shared" ca="1" si="348"/>
        <v>1.000173611111111</v>
      </c>
    </row>
    <row r="10808" spans="12:15" x14ac:dyDescent="0.25">
      <c r="L10808" s="147">
        <f ca="1"/>
        <v>56047</v>
      </c>
      <c r="M10808" s="92">
        <f t="shared" ca="1" si="347"/>
        <v>6.25</v>
      </c>
      <c r="N10808" s="143">
        <f ca="1">(PRODUCT($O$5:$O10808)-1)*36000/_xlfn.DAYS(L10808, $C$2)</f>
        <v>19.917762134309466</v>
      </c>
      <c r="O10808" s="149">
        <f t="shared" ca="1" si="348"/>
        <v>1.000173611111111</v>
      </c>
    </row>
    <row r="10809" spans="12:15" x14ac:dyDescent="0.25">
      <c r="L10809" s="147">
        <f ca="1"/>
        <v>56048</v>
      </c>
      <c r="M10809" s="92">
        <f t="shared" ca="1" si="347"/>
        <v>6.25</v>
      </c>
      <c r="N10809" s="143">
        <f ca="1">(PRODUCT($O$5:$O10809)-1)*36000/_xlfn.DAYS(L10809, $C$2)</f>
        <v>19.919954811185612</v>
      </c>
      <c r="O10809" s="149">
        <f t="shared" ca="1" si="348"/>
        <v>1.000173611111111</v>
      </c>
    </row>
    <row r="10810" spans="12:15" x14ac:dyDescent="0.25">
      <c r="L10810" s="147">
        <f ca="1"/>
        <v>56049</v>
      </c>
      <c r="M10810" s="92">
        <f t="shared" ca="1" si="347"/>
        <v>6.25</v>
      </c>
      <c r="N10810" s="143">
        <f ca="1">(PRODUCT($O$5:$O10810)-1)*36000/_xlfn.DAYS(L10810, $C$2)</f>
        <v>19.922147782876081</v>
      </c>
      <c r="O10810" s="149">
        <f t="shared" ca="1" si="348"/>
        <v>1.000173611111111</v>
      </c>
    </row>
    <row r="10811" spans="12:15" x14ac:dyDescent="0.25">
      <c r="L10811" s="147">
        <f ca="1"/>
        <v>56050</v>
      </c>
      <c r="M10811" s="92">
        <f t="shared" ca="1" si="347"/>
        <v>6.25</v>
      </c>
      <c r="N10811" s="143">
        <f ca="1">(PRODUCT($O$5:$O10811)-1)*36000/_xlfn.DAYS(L10811, $C$2)</f>
        <v>19.924341049420658</v>
      </c>
      <c r="O10811" s="149">
        <f t="shared" ca="1" si="348"/>
        <v>1.000173611111111</v>
      </c>
    </row>
    <row r="10812" spans="12:15" x14ac:dyDescent="0.25">
      <c r="L10812" s="147">
        <f ca="1"/>
        <v>56051</v>
      </c>
      <c r="M10812" s="92">
        <f t="shared" ca="1" si="347"/>
        <v>6.25</v>
      </c>
      <c r="N10812" s="143">
        <f ca="1">(PRODUCT($O$5:$O10812)-1)*36000/_xlfn.DAYS(L10812, $C$2)</f>
        <v>19.926534610859143</v>
      </c>
      <c r="O10812" s="149">
        <f t="shared" ca="1" si="348"/>
        <v>1.000173611111111</v>
      </c>
    </row>
    <row r="10813" spans="12:15" x14ac:dyDescent="0.25">
      <c r="L10813" s="147">
        <f ca="1"/>
        <v>56052</v>
      </c>
      <c r="M10813" s="92">
        <f t="shared" ca="1" si="347"/>
        <v>6.25</v>
      </c>
      <c r="N10813" s="143">
        <f ca="1">(PRODUCT($O$5:$O10813)-1)*36000/_xlfn.DAYS(L10813, $C$2)</f>
        <v>19.928728467231331</v>
      </c>
      <c r="O10813" s="149">
        <f t="shared" ca="1" si="348"/>
        <v>1.000173611111111</v>
      </c>
    </row>
    <row r="10814" spans="12:15" x14ac:dyDescent="0.25">
      <c r="L10814" s="147">
        <f ca="1"/>
        <v>56053</v>
      </c>
      <c r="M10814" s="92">
        <f t="shared" ca="1" si="347"/>
        <v>6.25</v>
      </c>
      <c r="N10814" s="143">
        <f ca="1">(PRODUCT($O$5:$O10814)-1)*36000/_xlfn.DAYS(L10814, $C$2)</f>
        <v>19.930922618577036</v>
      </c>
      <c r="O10814" s="149">
        <f t="shared" ca="1" si="348"/>
        <v>1.000173611111111</v>
      </c>
    </row>
    <row r="10815" spans="12:15" x14ac:dyDescent="0.25">
      <c r="L10815" s="147">
        <f ca="1"/>
        <v>56054</v>
      </c>
      <c r="M10815" s="92">
        <f t="shared" ca="1" si="347"/>
        <v>6.25</v>
      </c>
      <c r="N10815" s="143">
        <f ca="1">(PRODUCT($O$5:$O10815)-1)*36000/_xlfn.DAYS(L10815, $C$2)</f>
        <v>19.933117064936063</v>
      </c>
      <c r="O10815" s="149">
        <f t="shared" ca="1" si="348"/>
        <v>1.000173611111111</v>
      </c>
    </row>
    <row r="10816" spans="12:15" x14ac:dyDescent="0.25">
      <c r="L10816" s="147">
        <f ca="1"/>
        <v>56055</v>
      </c>
      <c r="M10816" s="92">
        <f t="shared" ca="1" si="347"/>
        <v>6.25</v>
      </c>
      <c r="N10816" s="143">
        <f ca="1">(PRODUCT($O$5:$O10816)-1)*36000/_xlfn.DAYS(L10816, $C$2)</f>
        <v>19.935311806348235</v>
      </c>
      <c r="O10816" s="149">
        <f t="shared" ca="1" si="348"/>
        <v>1.000173611111111</v>
      </c>
    </row>
    <row r="10817" spans="12:15" x14ac:dyDescent="0.25">
      <c r="L10817" s="147">
        <f ca="1"/>
        <v>56056</v>
      </c>
      <c r="M10817" s="92">
        <f t="shared" ca="1" si="347"/>
        <v>6.25</v>
      </c>
      <c r="N10817" s="143">
        <f ca="1">(PRODUCT($O$5:$O10817)-1)*36000/_xlfn.DAYS(L10817, $C$2)</f>
        <v>19.937506842853381</v>
      </c>
      <c r="O10817" s="149">
        <f t="shared" ca="1" si="348"/>
        <v>1.000173611111111</v>
      </c>
    </row>
    <row r="10818" spans="12:15" x14ac:dyDescent="0.25">
      <c r="L10818" s="147">
        <f ca="1"/>
        <v>56057</v>
      </c>
      <c r="M10818" s="92">
        <f t="shared" ca="1" si="347"/>
        <v>6.25</v>
      </c>
      <c r="N10818" s="143">
        <f ca="1">(PRODUCT($O$5:$O10818)-1)*36000/_xlfn.DAYS(L10818, $C$2)</f>
        <v>19.93970217449133</v>
      </c>
      <c r="O10818" s="149">
        <f t="shared" ca="1" si="348"/>
        <v>1.000173611111111</v>
      </c>
    </row>
    <row r="10819" spans="12:15" x14ac:dyDescent="0.25">
      <c r="L10819" s="147">
        <f ca="1"/>
        <v>56058</v>
      </c>
      <c r="M10819" s="92">
        <f t="shared" ca="1" si="347"/>
        <v>6.25</v>
      </c>
      <c r="N10819" s="143">
        <f ca="1">(PRODUCT($O$5:$O10819)-1)*36000/_xlfn.DAYS(L10819, $C$2)</f>
        <v>19.941897801301923</v>
      </c>
      <c r="O10819" s="149">
        <f t="shared" ca="1" si="348"/>
        <v>1.000173611111111</v>
      </c>
    </row>
    <row r="10820" spans="12:15" x14ac:dyDescent="0.25">
      <c r="L10820" s="147">
        <f ca="1"/>
        <v>56059</v>
      </c>
      <c r="M10820" s="92">
        <f t="shared" ca="1" si="347"/>
        <v>6.25</v>
      </c>
      <c r="N10820" s="143">
        <f ca="1">(PRODUCT($O$5:$O10820)-1)*36000/_xlfn.DAYS(L10820, $C$2)</f>
        <v>19.944093723325008</v>
      </c>
      <c r="O10820" s="149">
        <f t="shared" ca="1" si="348"/>
        <v>1.000173611111111</v>
      </c>
    </row>
    <row r="10821" spans="12:15" x14ac:dyDescent="0.25">
      <c r="L10821" s="147">
        <f ca="1"/>
        <v>56060</v>
      </c>
      <c r="M10821" s="92">
        <f t="shared" ref="M10821:M10884" ca="1" si="349">IFERROR(INDEX($E$27:$H$47, MATCH(L10821, $F$27:$F$47, 0), 4), IF(ISNUMBER(M10820), M10820, $C$5))</f>
        <v>6.25</v>
      </c>
      <c r="N10821" s="143">
        <f ca="1">(PRODUCT($O$5:$O10821)-1)*36000/_xlfn.DAYS(L10821, $C$2)</f>
        <v>19.94628994060043</v>
      </c>
      <c r="O10821" s="149">
        <f t="shared" ca="1" si="348"/>
        <v>1.000173611111111</v>
      </c>
    </row>
    <row r="10822" spans="12:15" x14ac:dyDescent="0.25">
      <c r="L10822" s="147">
        <f ca="1"/>
        <v>56061</v>
      </c>
      <c r="M10822" s="92">
        <f t="shared" ca="1" si="349"/>
        <v>6.25</v>
      </c>
      <c r="N10822" s="143">
        <f ca="1">(PRODUCT($O$5:$O10822)-1)*36000/_xlfn.DAYS(L10822, $C$2)</f>
        <v>19.948486453168048</v>
      </c>
      <c r="O10822" s="149">
        <f t="shared" ref="O10822:O10885" ca="1" si="350">1+M10822*IFERROR(_xlfn.DAYS(L10822, L10821), _xlfn.DAYS(L10822, $C$2))/36000</f>
        <v>1.000173611111111</v>
      </c>
    </row>
    <row r="10823" spans="12:15" x14ac:dyDescent="0.25">
      <c r="L10823" s="147">
        <f ca="1"/>
        <v>56062</v>
      </c>
      <c r="M10823" s="92">
        <f t="shared" ca="1" si="349"/>
        <v>6.25</v>
      </c>
      <c r="N10823" s="143">
        <f ca="1">(PRODUCT($O$5:$O10823)-1)*36000/_xlfn.DAYS(L10823, $C$2)</f>
        <v>19.950683261067731</v>
      </c>
      <c r="O10823" s="149">
        <f t="shared" ca="1" si="350"/>
        <v>1.000173611111111</v>
      </c>
    </row>
    <row r="10824" spans="12:15" x14ac:dyDescent="0.25">
      <c r="L10824" s="147">
        <f ca="1"/>
        <v>56063</v>
      </c>
      <c r="M10824" s="92">
        <f t="shared" ca="1" si="349"/>
        <v>6.25</v>
      </c>
      <c r="N10824" s="143">
        <f ca="1">(PRODUCT($O$5:$O10824)-1)*36000/_xlfn.DAYS(L10824, $C$2)</f>
        <v>19.952880364339347</v>
      </c>
      <c r="O10824" s="149">
        <f t="shared" ca="1" si="350"/>
        <v>1.000173611111111</v>
      </c>
    </row>
    <row r="10825" spans="12:15" x14ac:dyDescent="0.25">
      <c r="L10825" s="147">
        <f ca="1"/>
        <v>56064</v>
      </c>
      <c r="M10825" s="92">
        <f t="shared" ca="1" si="349"/>
        <v>6.25</v>
      </c>
      <c r="N10825" s="143">
        <f ca="1">(PRODUCT($O$5:$O10825)-1)*36000/_xlfn.DAYS(L10825, $C$2)</f>
        <v>19.955077763022775</v>
      </c>
      <c r="O10825" s="149">
        <f t="shared" ca="1" si="350"/>
        <v>1.000173611111111</v>
      </c>
    </row>
    <row r="10826" spans="12:15" x14ac:dyDescent="0.25">
      <c r="L10826" s="147">
        <f ca="1"/>
        <v>56065</v>
      </c>
      <c r="M10826" s="92">
        <f t="shared" ca="1" si="349"/>
        <v>6.25</v>
      </c>
      <c r="N10826" s="143">
        <f ca="1">(PRODUCT($O$5:$O10826)-1)*36000/_xlfn.DAYS(L10826, $C$2)</f>
        <v>19.957275457157895</v>
      </c>
      <c r="O10826" s="149">
        <f t="shared" ca="1" si="350"/>
        <v>1.000173611111111</v>
      </c>
    </row>
    <row r="10827" spans="12:15" x14ac:dyDescent="0.25">
      <c r="L10827" s="147">
        <f ca="1"/>
        <v>56066</v>
      </c>
      <c r="M10827" s="92">
        <f t="shared" ca="1" si="349"/>
        <v>6.25</v>
      </c>
      <c r="N10827" s="143">
        <f ca="1">(PRODUCT($O$5:$O10827)-1)*36000/_xlfn.DAYS(L10827, $C$2)</f>
        <v>19.959473446784603</v>
      </c>
      <c r="O10827" s="149">
        <f t="shared" ca="1" si="350"/>
        <v>1.000173611111111</v>
      </c>
    </row>
    <row r="10828" spans="12:15" x14ac:dyDescent="0.25">
      <c r="L10828" s="147">
        <f ca="1"/>
        <v>56067</v>
      </c>
      <c r="M10828" s="92">
        <f t="shared" ca="1" si="349"/>
        <v>6.25</v>
      </c>
      <c r="N10828" s="143">
        <f ca="1">(PRODUCT($O$5:$O10828)-1)*36000/_xlfn.DAYS(L10828, $C$2)</f>
        <v>19.961671731942793</v>
      </c>
      <c r="O10828" s="149">
        <f t="shared" ca="1" si="350"/>
        <v>1.000173611111111</v>
      </c>
    </row>
    <row r="10829" spans="12:15" x14ac:dyDescent="0.25">
      <c r="L10829" s="147">
        <f ca="1"/>
        <v>56068</v>
      </c>
      <c r="M10829" s="92">
        <f t="shared" ca="1" si="349"/>
        <v>6.25</v>
      </c>
      <c r="N10829" s="143">
        <f ca="1">(PRODUCT($O$5:$O10829)-1)*36000/_xlfn.DAYS(L10829, $C$2)</f>
        <v>19.96387031267237</v>
      </c>
      <c r="O10829" s="149">
        <f t="shared" ca="1" si="350"/>
        <v>1.000173611111111</v>
      </c>
    </row>
    <row r="10830" spans="12:15" x14ac:dyDescent="0.25">
      <c r="L10830" s="147">
        <f ca="1"/>
        <v>56069</v>
      </c>
      <c r="M10830" s="92">
        <f t="shared" ca="1" si="349"/>
        <v>6.25</v>
      </c>
      <c r="N10830" s="143">
        <f ca="1">(PRODUCT($O$5:$O10830)-1)*36000/_xlfn.DAYS(L10830, $C$2)</f>
        <v>19.96606918901324</v>
      </c>
      <c r="O10830" s="149">
        <f t="shared" ca="1" si="350"/>
        <v>1.000173611111111</v>
      </c>
    </row>
    <row r="10831" spans="12:15" x14ac:dyDescent="0.25">
      <c r="L10831" s="147">
        <f ca="1"/>
        <v>56070</v>
      </c>
      <c r="M10831" s="92">
        <f t="shared" ca="1" si="349"/>
        <v>6.25</v>
      </c>
      <c r="N10831" s="143">
        <f ca="1">(PRODUCT($O$5:$O10831)-1)*36000/_xlfn.DAYS(L10831, $C$2)</f>
        <v>19.968268361005318</v>
      </c>
      <c r="O10831" s="149">
        <f t="shared" ca="1" si="350"/>
        <v>1.000173611111111</v>
      </c>
    </row>
    <row r="10832" spans="12:15" x14ac:dyDescent="0.25">
      <c r="L10832" s="147">
        <f ca="1"/>
        <v>56071</v>
      </c>
      <c r="M10832" s="92">
        <f t="shared" ca="1" si="349"/>
        <v>6.25</v>
      </c>
      <c r="N10832" s="143">
        <f ca="1">(PRODUCT($O$5:$O10832)-1)*36000/_xlfn.DAYS(L10832, $C$2)</f>
        <v>19.970467828688527</v>
      </c>
      <c r="O10832" s="149">
        <f t="shared" ca="1" si="350"/>
        <v>1.000173611111111</v>
      </c>
    </row>
    <row r="10833" spans="12:15" x14ac:dyDescent="0.25">
      <c r="L10833" s="147">
        <f ca="1"/>
        <v>56072</v>
      </c>
      <c r="M10833" s="92">
        <f t="shared" ca="1" si="349"/>
        <v>6.25</v>
      </c>
      <c r="N10833" s="143">
        <f ca="1">(PRODUCT($O$5:$O10833)-1)*36000/_xlfn.DAYS(L10833, $C$2)</f>
        <v>19.972667592102798</v>
      </c>
      <c r="O10833" s="149">
        <f t="shared" ca="1" si="350"/>
        <v>1.000173611111111</v>
      </c>
    </row>
    <row r="10834" spans="12:15" x14ac:dyDescent="0.25">
      <c r="L10834" s="147">
        <f ca="1"/>
        <v>56073</v>
      </c>
      <c r="M10834" s="92">
        <f t="shared" ca="1" si="349"/>
        <v>6.25</v>
      </c>
      <c r="N10834" s="143">
        <f ca="1">(PRODUCT($O$5:$O10834)-1)*36000/_xlfn.DAYS(L10834, $C$2)</f>
        <v>19.974867651288061</v>
      </c>
      <c r="O10834" s="149">
        <f t="shared" ca="1" si="350"/>
        <v>1.000173611111111</v>
      </c>
    </row>
    <row r="10835" spans="12:15" x14ac:dyDescent="0.25">
      <c r="L10835" s="147">
        <f ca="1"/>
        <v>56074</v>
      </c>
      <c r="M10835" s="92">
        <f t="shared" ca="1" si="349"/>
        <v>6.25</v>
      </c>
      <c r="N10835" s="143">
        <f ca="1">(PRODUCT($O$5:$O10835)-1)*36000/_xlfn.DAYS(L10835, $C$2)</f>
        <v>19.977068006284266</v>
      </c>
      <c r="O10835" s="149">
        <f t="shared" ca="1" si="350"/>
        <v>1.000173611111111</v>
      </c>
    </row>
    <row r="10836" spans="12:15" x14ac:dyDescent="0.25">
      <c r="L10836" s="147">
        <f ca="1"/>
        <v>56075</v>
      </c>
      <c r="M10836" s="92">
        <f t="shared" ca="1" si="349"/>
        <v>6.25</v>
      </c>
      <c r="N10836" s="143">
        <f ca="1">(PRODUCT($O$5:$O10836)-1)*36000/_xlfn.DAYS(L10836, $C$2)</f>
        <v>19.979268657131353</v>
      </c>
      <c r="O10836" s="149">
        <f t="shared" ca="1" si="350"/>
        <v>1.000173611111111</v>
      </c>
    </row>
    <row r="10837" spans="12:15" x14ac:dyDescent="0.25">
      <c r="L10837" s="147">
        <f ca="1"/>
        <v>56076</v>
      </c>
      <c r="M10837" s="92">
        <f t="shared" ca="1" si="349"/>
        <v>6.25</v>
      </c>
      <c r="N10837" s="143">
        <f ca="1">(PRODUCT($O$5:$O10837)-1)*36000/_xlfn.DAYS(L10837, $C$2)</f>
        <v>19.981469603869279</v>
      </c>
      <c r="O10837" s="149">
        <f t="shared" ca="1" si="350"/>
        <v>1.000173611111111</v>
      </c>
    </row>
    <row r="10838" spans="12:15" x14ac:dyDescent="0.25">
      <c r="L10838" s="147">
        <f ca="1"/>
        <v>56077</v>
      </c>
      <c r="M10838" s="92">
        <f t="shared" ca="1" si="349"/>
        <v>6.25</v>
      </c>
      <c r="N10838" s="143">
        <f ca="1">(PRODUCT($O$5:$O10838)-1)*36000/_xlfn.DAYS(L10838, $C$2)</f>
        <v>19.983670846538008</v>
      </c>
      <c r="O10838" s="149">
        <f t="shared" ca="1" si="350"/>
        <v>1.000173611111111</v>
      </c>
    </row>
    <row r="10839" spans="12:15" x14ac:dyDescent="0.25">
      <c r="L10839" s="147">
        <f ca="1"/>
        <v>56078</v>
      </c>
      <c r="M10839" s="92">
        <f t="shared" ca="1" si="349"/>
        <v>6.25</v>
      </c>
      <c r="N10839" s="143">
        <f ca="1">(PRODUCT($O$5:$O10839)-1)*36000/_xlfn.DAYS(L10839, $C$2)</f>
        <v>19.985872385177498</v>
      </c>
      <c r="O10839" s="149">
        <f t="shared" ca="1" si="350"/>
        <v>1.000173611111111</v>
      </c>
    </row>
    <row r="10840" spans="12:15" x14ac:dyDescent="0.25">
      <c r="L10840" s="147">
        <f ca="1"/>
        <v>56079</v>
      </c>
      <c r="M10840" s="92">
        <f t="shared" ca="1" si="349"/>
        <v>6.25</v>
      </c>
      <c r="N10840" s="143">
        <f ca="1">(PRODUCT($O$5:$O10840)-1)*36000/_xlfn.DAYS(L10840, $C$2)</f>
        <v>19.98807421982773</v>
      </c>
      <c r="O10840" s="149">
        <f t="shared" ca="1" si="350"/>
        <v>1.000173611111111</v>
      </c>
    </row>
    <row r="10841" spans="12:15" x14ac:dyDescent="0.25">
      <c r="L10841" s="147">
        <f ca="1"/>
        <v>56080</v>
      </c>
      <c r="M10841" s="92">
        <f t="shared" ca="1" si="349"/>
        <v>6.25</v>
      </c>
      <c r="N10841" s="143">
        <f ca="1">(PRODUCT($O$5:$O10841)-1)*36000/_xlfn.DAYS(L10841, $C$2)</f>
        <v>19.990276350528681</v>
      </c>
      <c r="O10841" s="149">
        <f t="shared" ca="1" si="350"/>
        <v>1.000173611111111</v>
      </c>
    </row>
    <row r="10842" spans="12:15" x14ac:dyDescent="0.25">
      <c r="L10842" s="147">
        <f ca="1"/>
        <v>56081</v>
      </c>
      <c r="M10842" s="92">
        <f t="shared" ca="1" si="349"/>
        <v>6.25</v>
      </c>
      <c r="N10842" s="143">
        <f ca="1">(PRODUCT($O$5:$O10842)-1)*36000/_xlfn.DAYS(L10842, $C$2)</f>
        <v>19.99247877732034</v>
      </c>
      <c r="O10842" s="149">
        <f t="shared" ca="1" si="350"/>
        <v>1.000173611111111</v>
      </c>
    </row>
    <row r="10843" spans="12:15" x14ac:dyDescent="0.25">
      <c r="L10843" s="147">
        <f ca="1"/>
        <v>56082</v>
      </c>
      <c r="M10843" s="92">
        <f t="shared" ca="1" si="349"/>
        <v>6.25</v>
      </c>
      <c r="N10843" s="143">
        <f ca="1">(PRODUCT($O$5:$O10843)-1)*36000/_xlfn.DAYS(L10843, $C$2)</f>
        <v>19.994681500242692</v>
      </c>
      <c r="O10843" s="149">
        <f t="shared" ca="1" si="350"/>
        <v>1.000173611111111</v>
      </c>
    </row>
    <row r="10844" spans="12:15" x14ac:dyDescent="0.25">
      <c r="L10844" s="147">
        <f ca="1"/>
        <v>56083</v>
      </c>
      <c r="M10844" s="92">
        <f t="shared" ca="1" si="349"/>
        <v>6.25</v>
      </c>
      <c r="N10844" s="143">
        <f ca="1">(PRODUCT($O$5:$O10844)-1)*36000/_xlfn.DAYS(L10844, $C$2)</f>
        <v>19.996884519335744</v>
      </c>
      <c r="O10844" s="149">
        <f t="shared" ca="1" si="350"/>
        <v>1.000173611111111</v>
      </c>
    </row>
    <row r="10845" spans="12:15" x14ac:dyDescent="0.25">
      <c r="L10845" s="147">
        <f ca="1"/>
        <v>56084</v>
      </c>
      <c r="M10845" s="92">
        <f t="shared" ca="1" si="349"/>
        <v>6.25</v>
      </c>
      <c r="N10845" s="143">
        <f ca="1">(PRODUCT($O$5:$O10845)-1)*36000/_xlfn.DAYS(L10845, $C$2)</f>
        <v>19.999087834639496</v>
      </c>
      <c r="O10845" s="149">
        <f t="shared" ca="1" si="350"/>
        <v>1.000173611111111</v>
      </c>
    </row>
    <row r="10846" spans="12:15" x14ac:dyDescent="0.25">
      <c r="L10846" s="147">
        <f ca="1"/>
        <v>56085</v>
      </c>
      <c r="M10846" s="92">
        <f t="shared" ca="1" si="349"/>
        <v>6.25</v>
      </c>
      <c r="N10846" s="143">
        <f ca="1">(PRODUCT($O$5:$O10846)-1)*36000/_xlfn.DAYS(L10846, $C$2)</f>
        <v>20.001291446193967</v>
      </c>
      <c r="O10846" s="149">
        <f t="shared" ca="1" si="350"/>
        <v>1.000173611111111</v>
      </c>
    </row>
    <row r="10847" spans="12:15" x14ac:dyDescent="0.25">
      <c r="L10847" s="147">
        <f ca="1"/>
        <v>56086</v>
      </c>
      <c r="M10847" s="92">
        <f t="shared" ca="1" si="349"/>
        <v>6.25</v>
      </c>
      <c r="N10847" s="143">
        <f ca="1">(PRODUCT($O$5:$O10847)-1)*36000/_xlfn.DAYS(L10847, $C$2)</f>
        <v>20.003495354039174</v>
      </c>
      <c r="O10847" s="149">
        <f t="shared" ca="1" si="350"/>
        <v>1.000173611111111</v>
      </c>
    </row>
    <row r="10848" spans="12:15" x14ac:dyDescent="0.25">
      <c r="L10848" s="147">
        <f ca="1"/>
        <v>56087</v>
      </c>
      <c r="M10848" s="92">
        <f t="shared" ca="1" si="349"/>
        <v>6.25</v>
      </c>
      <c r="N10848" s="143">
        <f ca="1">(PRODUCT($O$5:$O10848)-1)*36000/_xlfn.DAYS(L10848, $C$2)</f>
        <v>20.005699558215131</v>
      </c>
      <c r="O10848" s="149">
        <f t="shared" ca="1" si="350"/>
        <v>1.000173611111111</v>
      </c>
    </row>
    <row r="10849" spans="12:15" x14ac:dyDescent="0.25">
      <c r="L10849" s="147">
        <f ca="1"/>
        <v>56088</v>
      </c>
      <c r="M10849" s="92">
        <f t="shared" ca="1" si="349"/>
        <v>6.25</v>
      </c>
      <c r="N10849" s="143">
        <f ca="1">(PRODUCT($O$5:$O10849)-1)*36000/_xlfn.DAYS(L10849, $C$2)</f>
        <v>20.007904058761881</v>
      </c>
      <c r="O10849" s="149">
        <f t="shared" ca="1" si="350"/>
        <v>1.000173611111111</v>
      </c>
    </row>
    <row r="10850" spans="12:15" x14ac:dyDescent="0.25">
      <c r="L10850" s="147">
        <f ca="1"/>
        <v>56089</v>
      </c>
      <c r="M10850" s="92">
        <f t="shared" ca="1" si="349"/>
        <v>6.25</v>
      </c>
      <c r="N10850" s="143">
        <f ca="1">(PRODUCT($O$5:$O10850)-1)*36000/_xlfn.DAYS(L10850, $C$2)</f>
        <v>20.010108855719455</v>
      </c>
      <c r="O10850" s="149">
        <f t="shared" ca="1" si="350"/>
        <v>1.000173611111111</v>
      </c>
    </row>
    <row r="10851" spans="12:15" x14ac:dyDescent="0.25">
      <c r="L10851" s="147">
        <f ca="1"/>
        <v>56090</v>
      </c>
      <c r="M10851" s="92">
        <f t="shared" ca="1" si="349"/>
        <v>6.25</v>
      </c>
      <c r="N10851" s="143">
        <f ca="1">(PRODUCT($O$5:$O10851)-1)*36000/_xlfn.DAYS(L10851, $C$2)</f>
        <v>20.012313949127901</v>
      </c>
      <c r="O10851" s="149">
        <f t="shared" ca="1" si="350"/>
        <v>1.000173611111111</v>
      </c>
    </row>
    <row r="10852" spans="12:15" x14ac:dyDescent="0.25">
      <c r="L10852" s="147">
        <f ca="1"/>
        <v>56091</v>
      </c>
      <c r="M10852" s="92">
        <f t="shared" ca="1" si="349"/>
        <v>6.25</v>
      </c>
      <c r="N10852" s="143">
        <f ca="1">(PRODUCT($O$5:$O10852)-1)*36000/_xlfn.DAYS(L10852, $C$2)</f>
        <v>20.014519339027267</v>
      </c>
      <c r="O10852" s="149">
        <f t="shared" ca="1" si="350"/>
        <v>1.000173611111111</v>
      </c>
    </row>
    <row r="10853" spans="12:15" x14ac:dyDescent="0.25">
      <c r="L10853" s="147">
        <f ca="1"/>
        <v>56092</v>
      </c>
      <c r="M10853" s="92">
        <f t="shared" ca="1" si="349"/>
        <v>6.25</v>
      </c>
      <c r="N10853" s="143">
        <f ca="1">(PRODUCT($O$5:$O10853)-1)*36000/_xlfn.DAYS(L10853, $C$2)</f>
        <v>20.016725025457607</v>
      </c>
      <c r="O10853" s="149">
        <f t="shared" ca="1" si="350"/>
        <v>1.000173611111111</v>
      </c>
    </row>
    <row r="10854" spans="12:15" x14ac:dyDescent="0.25">
      <c r="L10854" s="147">
        <f ca="1"/>
        <v>56093</v>
      </c>
      <c r="M10854" s="92">
        <f t="shared" ca="1" si="349"/>
        <v>6.25</v>
      </c>
      <c r="N10854" s="143">
        <f ca="1">(PRODUCT($O$5:$O10854)-1)*36000/_xlfn.DAYS(L10854, $C$2)</f>
        <v>20.018931008458992</v>
      </c>
      <c r="O10854" s="149">
        <f t="shared" ca="1" si="350"/>
        <v>1.000173611111111</v>
      </c>
    </row>
    <row r="10855" spans="12:15" x14ac:dyDescent="0.25">
      <c r="L10855" s="147">
        <f ca="1"/>
        <v>56094</v>
      </c>
      <c r="M10855" s="92">
        <f t="shared" ca="1" si="349"/>
        <v>6.25</v>
      </c>
      <c r="N10855" s="143">
        <f ca="1">(PRODUCT($O$5:$O10855)-1)*36000/_xlfn.DAYS(L10855, $C$2)</f>
        <v>20.021137288071486</v>
      </c>
      <c r="O10855" s="149">
        <f t="shared" ca="1" si="350"/>
        <v>1.000173611111111</v>
      </c>
    </row>
    <row r="10856" spans="12:15" x14ac:dyDescent="0.25">
      <c r="L10856" s="147">
        <f ca="1"/>
        <v>56095</v>
      </c>
      <c r="M10856" s="92">
        <f t="shared" ca="1" si="349"/>
        <v>6.25</v>
      </c>
      <c r="N10856" s="143">
        <f ca="1">(PRODUCT($O$5:$O10856)-1)*36000/_xlfn.DAYS(L10856, $C$2)</f>
        <v>20.023343864335164</v>
      </c>
      <c r="O10856" s="149">
        <f t="shared" ca="1" si="350"/>
        <v>1.000173611111111</v>
      </c>
    </row>
    <row r="10857" spans="12:15" x14ac:dyDescent="0.25">
      <c r="L10857" s="147">
        <f ca="1"/>
        <v>56096</v>
      </c>
      <c r="M10857" s="92">
        <f t="shared" ca="1" si="349"/>
        <v>6.25</v>
      </c>
      <c r="N10857" s="143">
        <f ca="1">(PRODUCT($O$5:$O10857)-1)*36000/_xlfn.DAYS(L10857, $C$2)</f>
        <v>20.025550737290114</v>
      </c>
      <c r="O10857" s="149">
        <f t="shared" ca="1" si="350"/>
        <v>1.000173611111111</v>
      </c>
    </row>
    <row r="10858" spans="12:15" x14ac:dyDescent="0.25">
      <c r="L10858" s="147">
        <f ca="1"/>
        <v>56097</v>
      </c>
      <c r="M10858" s="92">
        <f t="shared" ca="1" si="349"/>
        <v>6.25</v>
      </c>
      <c r="N10858" s="143">
        <f ca="1">(PRODUCT($O$5:$O10858)-1)*36000/_xlfn.DAYS(L10858, $C$2)</f>
        <v>20.027757906976419</v>
      </c>
      <c r="O10858" s="149">
        <f t="shared" ca="1" si="350"/>
        <v>1.000173611111111</v>
      </c>
    </row>
    <row r="10859" spans="12:15" x14ac:dyDescent="0.25">
      <c r="L10859" s="147">
        <f ca="1"/>
        <v>56098</v>
      </c>
      <c r="M10859" s="92">
        <f t="shared" ca="1" si="349"/>
        <v>6.25</v>
      </c>
      <c r="N10859" s="143">
        <f ca="1">(PRODUCT($O$5:$O10859)-1)*36000/_xlfn.DAYS(L10859, $C$2)</f>
        <v>20.029965373434177</v>
      </c>
      <c r="O10859" s="149">
        <f t="shared" ca="1" si="350"/>
        <v>1.000173611111111</v>
      </c>
    </row>
    <row r="10860" spans="12:15" x14ac:dyDescent="0.25">
      <c r="L10860" s="147">
        <f ca="1"/>
        <v>56099</v>
      </c>
      <c r="M10860" s="92">
        <f t="shared" ca="1" si="349"/>
        <v>6.25</v>
      </c>
      <c r="N10860" s="143">
        <f ca="1">(PRODUCT($O$5:$O10860)-1)*36000/_xlfn.DAYS(L10860, $C$2)</f>
        <v>20.032173136703488</v>
      </c>
      <c r="O10860" s="149">
        <f t="shared" ca="1" si="350"/>
        <v>1.000173611111111</v>
      </c>
    </row>
    <row r="10861" spans="12:15" x14ac:dyDescent="0.25">
      <c r="L10861" s="147">
        <f ca="1"/>
        <v>56100</v>
      </c>
      <c r="M10861" s="92">
        <f t="shared" ca="1" si="349"/>
        <v>6.25</v>
      </c>
      <c r="N10861" s="143">
        <f ca="1">(PRODUCT($O$5:$O10861)-1)*36000/_xlfn.DAYS(L10861, $C$2)</f>
        <v>20.034381196824466</v>
      </c>
      <c r="O10861" s="149">
        <f t="shared" ca="1" si="350"/>
        <v>1.000173611111111</v>
      </c>
    </row>
    <row r="10862" spans="12:15" x14ac:dyDescent="0.25">
      <c r="L10862" s="147">
        <f ca="1"/>
        <v>56101</v>
      </c>
      <c r="M10862" s="92">
        <f t="shared" ca="1" si="349"/>
        <v>6.25</v>
      </c>
      <c r="N10862" s="143">
        <f ca="1">(PRODUCT($O$5:$O10862)-1)*36000/_xlfn.DAYS(L10862, $C$2)</f>
        <v>20.036589553837217</v>
      </c>
      <c r="O10862" s="149">
        <f t="shared" ca="1" si="350"/>
        <v>1.000173611111111</v>
      </c>
    </row>
    <row r="10863" spans="12:15" x14ac:dyDescent="0.25">
      <c r="L10863" s="147">
        <f ca="1"/>
        <v>56102</v>
      </c>
      <c r="M10863" s="92">
        <f t="shared" ca="1" si="349"/>
        <v>6.25</v>
      </c>
      <c r="N10863" s="143">
        <f ca="1">(PRODUCT($O$5:$O10863)-1)*36000/_xlfn.DAYS(L10863, $C$2)</f>
        <v>20.038798207781866</v>
      </c>
      <c r="O10863" s="149">
        <f t="shared" ca="1" si="350"/>
        <v>1.000173611111111</v>
      </c>
    </row>
    <row r="10864" spans="12:15" x14ac:dyDescent="0.25">
      <c r="L10864" s="147">
        <f ca="1"/>
        <v>56103</v>
      </c>
      <c r="M10864" s="92">
        <f t="shared" ca="1" si="349"/>
        <v>6.25</v>
      </c>
      <c r="N10864" s="143">
        <f ca="1">(PRODUCT($O$5:$O10864)-1)*36000/_xlfn.DAYS(L10864, $C$2)</f>
        <v>20.041007158698541</v>
      </c>
      <c r="O10864" s="149">
        <f t="shared" ca="1" si="350"/>
        <v>1.000173611111111</v>
      </c>
    </row>
    <row r="10865" spans="12:15" x14ac:dyDescent="0.25">
      <c r="L10865" s="147">
        <f ca="1"/>
        <v>56104</v>
      </c>
      <c r="M10865" s="92">
        <f t="shared" ca="1" si="349"/>
        <v>6.25</v>
      </c>
      <c r="N10865" s="143">
        <f ca="1">(PRODUCT($O$5:$O10865)-1)*36000/_xlfn.DAYS(L10865, $C$2)</f>
        <v>20.04321640662738</v>
      </c>
      <c r="O10865" s="149">
        <f t="shared" ca="1" si="350"/>
        <v>1.000173611111111</v>
      </c>
    </row>
    <row r="10866" spans="12:15" x14ac:dyDescent="0.25">
      <c r="L10866" s="147">
        <f ca="1"/>
        <v>56105</v>
      </c>
      <c r="M10866" s="92">
        <f t="shared" ca="1" si="349"/>
        <v>6.25</v>
      </c>
      <c r="N10866" s="143">
        <f ca="1">(PRODUCT($O$5:$O10866)-1)*36000/_xlfn.DAYS(L10866, $C$2)</f>
        <v>20.045425951608514</v>
      </c>
      <c r="O10866" s="149">
        <f t="shared" ca="1" si="350"/>
        <v>1.000173611111111</v>
      </c>
    </row>
    <row r="10867" spans="12:15" x14ac:dyDescent="0.25">
      <c r="L10867" s="147">
        <f ca="1"/>
        <v>56106</v>
      </c>
      <c r="M10867" s="92">
        <f t="shared" ca="1" si="349"/>
        <v>6.25</v>
      </c>
      <c r="N10867" s="143">
        <f ca="1">(PRODUCT($O$5:$O10867)-1)*36000/_xlfn.DAYS(L10867, $C$2)</f>
        <v>20.047635793682094</v>
      </c>
      <c r="O10867" s="149">
        <f t="shared" ca="1" si="350"/>
        <v>1.000173611111111</v>
      </c>
    </row>
    <row r="10868" spans="12:15" x14ac:dyDescent="0.25">
      <c r="L10868" s="147">
        <f ca="1"/>
        <v>56107</v>
      </c>
      <c r="M10868" s="92">
        <f t="shared" ca="1" si="349"/>
        <v>6.25</v>
      </c>
      <c r="N10868" s="143">
        <f ca="1">(PRODUCT($O$5:$O10868)-1)*36000/_xlfn.DAYS(L10868, $C$2)</f>
        <v>20.049845932888275</v>
      </c>
      <c r="O10868" s="149">
        <f t="shared" ca="1" si="350"/>
        <v>1.000173611111111</v>
      </c>
    </row>
    <row r="10869" spans="12:15" x14ac:dyDescent="0.25">
      <c r="L10869" s="147">
        <f ca="1"/>
        <v>56108</v>
      </c>
      <c r="M10869" s="92">
        <f t="shared" ca="1" si="349"/>
        <v>6.25</v>
      </c>
      <c r="N10869" s="143">
        <f ca="1">(PRODUCT($O$5:$O10869)-1)*36000/_xlfn.DAYS(L10869, $C$2)</f>
        <v>20.052056369267213</v>
      </c>
      <c r="O10869" s="149">
        <f t="shared" ca="1" si="350"/>
        <v>1.000173611111111</v>
      </c>
    </row>
    <row r="10870" spans="12:15" x14ac:dyDescent="0.25">
      <c r="L10870" s="147">
        <f ca="1"/>
        <v>56109</v>
      </c>
      <c r="M10870" s="92">
        <f t="shared" ca="1" si="349"/>
        <v>6.25</v>
      </c>
      <c r="N10870" s="143">
        <f ca="1">(PRODUCT($O$5:$O10870)-1)*36000/_xlfn.DAYS(L10870, $C$2)</f>
        <v>20.054267102859075</v>
      </c>
      <c r="O10870" s="149">
        <f t="shared" ca="1" si="350"/>
        <v>1.000173611111111</v>
      </c>
    </row>
    <row r="10871" spans="12:15" x14ac:dyDescent="0.25">
      <c r="L10871" s="147">
        <f ca="1"/>
        <v>56110</v>
      </c>
      <c r="M10871" s="92">
        <f t="shared" ca="1" si="349"/>
        <v>6.25</v>
      </c>
      <c r="N10871" s="143">
        <f ca="1">(PRODUCT($O$5:$O10871)-1)*36000/_xlfn.DAYS(L10871, $C$2)</f>
        <v>20.05647813370404</v>
      </c>
      <c r="O10871" s="149">
        <f t="shared" ca="1" si="350"/>
        <v>1.000173611111111</v>
      </c>
    </row>
    <row r="10872" spans="12:15" x14ac:dyDescent="0.25">
      <c r="L10872" s="147">
        <f ca="1"/>
        <v>56111</v>
      </c>
      <c r="M10872" s="92">
        <f t="shared" ca="1" si="349"/>
        <v>6.25</v>
      </c>
      <c r="N10872" s="143">
        <f ca="1">(PRODUCT($O$5:$O10872)-1)*36000/_xlfn.DAYS(L10872, $C$2)</f>
        <v>20.058689461842274</v>
      </c>
      <c r="O10872" s="149">
        <f t="shared" ca="1" si="350"/>
        <v>1.000173611111111</v>
      </c>
    </row>
    <row r="10873" spans="12:15" x14ac:dyDescent="0.25">
      <c r="L10873" s="147">
        <f ca="1"/>
        <v>56112</v>
      </c>
      <c r="M10873" s="92">
        <f t="shared" ca="1" si="349"/>
        <v>6.25</v>
      </c>
      <c r="N10873" s="143">
        <f ca="1">(PRODUCT($O$5:$O10873)-1)*36000/_xlfn.DAYS(L10873, $C$2)</f>
        <v>20.060901087313979</v>
      </c>
      <c r="O10873" s="149">
        <f t="shared" ca="1" si="350"/>
        <v>1.000173611111111</v>
      </c>
    </row>
    <row r="10874" spans="12:15" x14ac:dyDescent="0.25">
      <c r="L10874" s="147">
        <f ca="1"/>
        <v>56113</v>
      </c>
      <c r="M10874" s="92">
        <f t="shared" ca="1" si="349"/>
        <v>6.25</v>
      </c>
      <c r="N10874" s="143">
        <f ca="1">(PRODUCT($O$5:$O10874)-1)*36000/_xlfn.DAYS(L10874, $C$2)</f>
        <v>20.063113010159327</v>
      </c>
      <c r="O10874" s="149">
        <f t="shared" ca="1" si="350"/>
        <v>1.000173611111111</v>
      </c>
    </row>
    <row r="10875" spans="12:15" x14ac:dyDescent="0.25">
      <c r="L10875" s="147">
        <f ca="1"/>
        <v>56114</v>
      </c>
      <c r="M10875" s="92">
        <f t="shared" ca="1" si="349"/>
        <v>6.25</v>
      </c>
      <c r="N10875" s="143">
        <f ca="1">(PRODUCT($O$5:$O10875)-1)*36000/_xlfn.DAYS(L10875, $C$2)</f>
        <v>20.065325230418534</v>
      </c>
      <c r="O10875" s="149">
        <f t="shared" ca="1" si="350"/>
        <v>1.000173611111111</v>
      </c>
    </row>
    <row r="10876" spans="12:15" x14ac:dyDescent="0.25">
      <c r="L10876" s="147">
        <f ca="1"/>
        <v>56115</v>
      </c>
      <c r="M10876" s="92">
        <f t="shared" ca="1" si="349"/>
        <v>6.25</v>
      </c>
      <c r="N10876" s="143">
        <f ca="1">(PRODUCT($O$5:$O10876)-1)*36000/_xlfn.DAYS(L10876, $C$2)</f>
        <v>20.067537748131794</v>
      </c>
      <c r="O10876" s="149">
        <f t="shared" ca="1" si="350"/>
        <v>1.000173611111111</v>
      </c>
    </row>
    <row r="10877" spans="12:15" x14ac:dyDescent="0.25">
      <c r="L10877" s="147">
        <f ca="1"/>
        <v>56116</v>
      </c>
      <c r="M10877" s="92">
        <f t="shared" ca="1" si="349"/>
        <v>6.25</v>
      </c>
      <c r="N10877" s="143">
        <f ca="1">(PRODUCT($O$5:$O10877)-1)*36000/_xlfn.DAYS(L10877, $C$2)</f>
        <v>20.069750563339319</v>
      </c>
      <c r="O10877" s="149">
        <f t="shared" ca="1" si="350"/>
        <v>1.000173611111111</v>
      </c>
    </row>
    <row r="10878" spans="12:15" x14ac:dyDescent="0.25">
      <c r="L10878" s="147">
        <f ca="1"/>
        <v>56117</v>
      </c>
      <c r="M10878" s="92">
        <f t="shared" ca="1" si="349"/>
        <v>6.25</v>
      </c>
      <c r="N10878" s="143">
        <f ca="1">(PRODUCT($O$5:$O10878)-1)*36000/_xlfn.DAYS(L10878, $C$2)</f>
        <v>20.071963676081335</v>
      </c>
      <c r="O10878" s="149">
        <f t="shared" ca="1" si="350"/>
        <v>1.000173611111111</v>
      </c>
    </row>
    <row r="10879" spans="12:15" x14ac:dyDescent="0.25">
      <c r="L10879" s="147">
        <f ca="1"/>
        <v>56118</v>
      </c>
      <c r="M10879" s="92">
        <f t="shared" ca="1" si="349"/>
        <v>6.25</v>
      </c>
      <c r="N10879" s="143">
        <f ca="1">(PRODUCT($O$5:$O10879)-1)*36000/_xlfn.DAYS(L10879, $C$2)</f>
        <v>20.074177086398052</v>
      </c>
      <c r="O10879" s="149">
        <f t="shared" ca="1" si="350"/>
        <v>1.000173611111111</v>
      </c>
    </row>
    <row r="10880" spans="12:15" x14ac:dyDescent="0.25">
      <c r="L10880" s="147">
        <f ca="1"/>
        <v>56119</v>
      </c>
      <c r="M10880" s="92">
        <f t="shared" ca="1" si="349"/>
        <v>6.25</v>
      </c>
      <c r="N10880" s="143">
        <f ca="1">(PRODUCT($O$5:$O10880)-1)*36000/_xlfn.DAYS(L10880, $C$2)</f>
        <v>20.076390794329715</v>
      </c>
      <c r="O10880" s="149">
        <f t="shared" ca="1" si="350"/>
        <v>1.000173611111111</v>
      </c>
    </row>
    <row r="10881" spans="12:15" x14ac:dyDescent="0.25">
      <c r="L10881" s="147">
        <f ca="1"/>
        <v>56120</v>
      </c>
      <c r="M10881" s="92">
        <f t="shared" ca="1" si="349"/>
        <v>6.25</v>
      </c>
      <c r="N10881" s="143">
        <f ca="1">(PRODUCT($O$5:$O10881)-1)*36000/_xlfn.DAYS(L10881, $C$2)</f>
        <v>20.078604799916551</v>
      </c>
      <c r="O10881" s="149">
        <f t="shared" ca="1" si="350"/>
        <v>1.000173611111111</v>
      </c>
    </row>
    <row r="10882" spans="12:15" x14ac:dyDescent="0.25">
      <c r="L10882" s="147">
        <f ca="1"/>
        <v>56121</v>
      </c>
      <c r="M10882" s="92">
        <f t="shared" ca="1" si="349"/>
        <v>6.25</v>
      </c>
      <c r="N10882" s="143">
        <f ca="1">(PRODUCT($O$5:$O10882)-1)*36000/_xlfn.DAYS(L10882, $C$2)</f>
        <v>20.080819103198802</v>
      </c>
      <c r="O10882" s="149">
        <f t="shared" ca="1" si="350"/>
        <v>1.000173611111111</v>
      </c>
    </row>
    <row r="10883" spans="12:15" x14ac:dyDescent="0.25">
      <c r="L10883" s="147">
        <f ca="1"/>
        <v>56122</v>
      </c>
      <c r="M10883" s="92">
        <f t="shared" ca="1" si="349"/>
        <v>6.25</v>
      </c>
      <c r="N10883" s="143">
        <f ca="1">(PRODUCT($O$5:$O10883)-1)*36000/_xlfn.DAYS(L10883, $C$2)</f>
        <v>20.083033704216724</v>
      </c>
      <c r="O10883" s="149">
        <f t="shared" ca="1" si="350"/>
        <v>1.000173611111111</v>
      </c>
    </row>
    <row r="10884" spans="12:15" x14ac:dyDescent="0.25">
      <c r="L10884" s="147">
        <f ca="1"/>
        <v>56123</v>
      </c>
      <c r="M10884" s="92">
        <f t="shared" ca="1" si="349"/>
        <v>6.25</v>
      </c>
      <c r="N10884" s="143">
        <f ca="1">(PRODUCT($O$5:$O10884)-1)*36000/_xlfn.DAYS(L10884, $C$2)</f>
        <v>20.085248603010569</v>
      </c>
      <c r="O10884" s="149">
        <f t="shared" ca="1" si="350"/>
        <v>1.000173611111111</v>
      </c>
    </row>
    <row r="10885" spans="12:15" x14ac:dyDescent="0.25">
      <c r="L10885" s="147">
        <f ca="1"/>
        <v>56124</v>
      </c>
      <c r="M10885" s="92">
        <f t="shared" ref="M10885:M10948" ca="1" si="351">IFERROR(INDEX($E$27:$H$47, MATCH(L10885, $F$27:$F$47, 0), 4), IF(ISNUMBER(M10884), M10884, $C$5))</f>
        <v>6.25</v>
      </c>
      <c r="N10885" s="143">
        <f ca="1">(PRODUCT($O$5:$O10885)-1)*36000/_xlfn.DAYS(L10885, $C$2)</f>
        <v>20.087463799620604</v>
      </c>
      <c r="O10885" s="149">
        <f t="shared" ca="1" si="350"/>
        <v>1.000173611111111</v>
      </c>
    </row>
    <row r="10886" spans="12:15" x14ac:dyDescent="0.25">
      <c r="L10886" s="147">
        <f ca="1"/>
        <v>56125</v>
      </c>
      <c r="M10886" s="92">
        <f t="shared" ca="1" si="351"/>
        <v>6.25</v>
      </c>
      <c r="N10886" s="143">
        <f ca="1">(PRODUCT($O$5:$O10886)-1)*36000/_xlfn.DAYS(L10886, $C$2)</f>
        <v>20.089679294087095</v>
      </c>
      <c r="O10886" s="149">
        <f t="shared" ref="O10886:O10949" ca="1" si="352">1+M10886*IFERROR(_xlfn.DAYS(L10886, L10885), _xlfn.DAYS(L10886, $C$2))/36000</f>
        <v>1.000173611111111</v>
      </c>
    </row>
    <row r="10887" spans="12:15" x14ac:dyDescent="0.25">
      <c r="L10887" s="147">
        <f ca="1"/>
        <v>56126</v>
      </c>
      <c r="M10887" s="92">
        <f t="shared" ca="1" si="351"/>
        <v>6.25</v>
      </c>
      <c r="N10887" s="143">
        <f ca="1">(PRODUCT($O$5:$O10887)-1)*36000/_xlfn.DAYS(L10887, $C$2)</f>
        <v>20.091895086450311</v>
      </c>
      <c r="O10887" s="149">
        <f t="shared" ca="1" si="352"/>
        <v>1.000173611111111</v>
      </c>
    </row>
    <row r="10888" spans="12:15" x14ac:dyDescent="0.25">
      <c r="L10888" s="147">
        <f ca="1"/>
        <v>56127</v>
      </c>
      <c r="M10888" s="92">
        <f t="shared" ca="1" si="351"/>
        <v>6.25</v>
      </c>
      <c r="N10888" s="143">
        <f ca="1">(PRODUCT($O$5:$O10888)-1)*36000/_xlfn.DAYS(L10888, $C$2)</f>
        <v>20.094111176750545</v>
      </c>
      <c r="O10888" s="149">
        <f t="shared" ca="1" si="352"/>
        <v>1.000173611111111</v>
      </c>
    </row>
    <row r="10889" spans="12:15" x14ac:dyDescent="0.25">
      <c r="L10889" s="147">
        <f ca="1"/>
        <v>56128</v>
      </c>
      <c r="M10889" s="92">
        <f t="shared" ca="1" si="351"/>
        <v>6.25</v>
      </c>
      <c r="N10889" s="143">
        <f ca="1">(PRODUCT($O$5:$O10889)-1)*36000/_xlfn.DAYS(L10889, $C$2)</f>
        <v>20.09632756502808</v>
      </c>
      <c r="O10889" s="149">
        <f t="shared" ca="1" si="352"/>
        <v>1.000173611111111</v>
      </c>
    </row>
    <row r="10890" spans="12:15" x14ac:dyDescent="0.25">
      <c r="L10890" s="147">
        <f ca="1"/>
        <v>56129</v>
      </c>
      <c r="M10890" s="92">
        <f t="shared" ca="1" si="351"/>
        <v>6.25</v>
      </c>
      <c r="N10890" s="143">
        <f ca="1">(PRODUCT($O$5:$O10890)-1)*36000/_xlfn.DAYS(L10890, $C$2)</f>
        <v>20.098544251323212</v>
      </c>
      <c r="O10890" s="149">
        <f t="shared" ca="1" si="352"/>
        <v>1.000173611111111</v>
      </c>
    </row>
    <row r="10891" spans="12:15" x14ac:dyDescent="0.25">
      <c r="L10891" s="147">
        <f ca="1"/>
        <v>56130</v>
      </c>
      <c r="M10891" s="92">
        <f t="shared" ca="1" si="351"/>
        <v>6.25</v>
      </c>
      <c r="N10891" s="143">
        <f ca="1">(PRODUCT($O$5:$O10891)-1)*36000/_xlfn.DAYS(L10891, $C$2)</f>
        <v>20.100761235676234</v>
      </c>
      <c r="O10891" s="149">
        <f t="shared" ca="1" si="352"/>
        <v>1.000173611111111</v>
      </c>
    </row>
    <row r="10892" spans="12:15" x14ac:dyDescent="0.25">
      <c r="L10892" s="147">
        <f ca="1"/>
        <v>56131</v>
      </c>
      <c r="M10892" s="92">
        <f t="shared" ca="1" si="351"/>
        <v>6.25</v>
      </c>
      <c r="N10892" s="143">
        <f ca="1">(PRODUCT($O$5:$O10892)-1)*36000/_xlfn.DAYS(L10892, $C$2)</f>
        <v>20.102978518127468</v>
      </c>
      <c r="O10892" s="149">
        <f t="shared" ca="1" si="352"/>
        <v>1.000173611111111</v>
      </c>
    </row>
    <row r="10893" spans="12:15" x14ac:dyDescent="0.25">
      <c r="L10893" s="147">
        <f ca="1"/>
        <v>56132</v>
      </c>
      <c r="M10893" s="92">
        <f t="shared" ca="1" si="351"/>
        <v>6.25</v>
      </c>
      <c r="N10893" s="143">
        <f ca="1">(PRODUCT($O$5:$O10893)-1)*36000/_xlfn.DAYS(L10893, $C$2)</f>
        <v>20.105196098717222</v>
      </c>
      <c r="O10893" s="149">
        <f t="shared" ca="1" si="352"/>
        <v>1.000173611111111</v>
      </c>
    </row>
    <row r="10894" spans="12:15" x14ac:dyDescent="0.25">
      <c r="L10894" s="147">
        <f ca="1"/>
        <v>56133</v>
      </c>
      <c r="M10894" s="92">
        <f t="shared" ca="1" si="351"/>
        <v>6.25</v>
      </c>
      <c r="N10894" s="143">
        <f ca="1">(PRODUCT($O$5:$O10894)-1)*36000/_xlfn.DAYS(L10894, $C$2)</f>
        <v>20.107413977485812</v>
      </c>
      <c r="O10894" s="149">
        <f t="shared" ca="1" si="352"/>
        <v>1.000173611111111</v>
      </c>
    </row>
    <row r="10895" spans="12:15" x14ac:dyDescent="0.25">
      <c r="L10895" s="147">
        <f ca="1"/>
        <v>56134</v>
      </c>
      <c r="M10895" s="92">
        <f t="shared" ca="1" si="351"/>
        <v>6.25</v>
      </c>
      <c r="N10895" s="143">
        <f ca="1">(PRODUCT($O$5:$O10895)-1)*36000/_xlfn.DAYS(L10895, $C$2)</f>
        <v>20.109632154473569</v>
      </c>
      <c r="O10895" s="149">
        <f t="shared" ca="1" si="352"/>
        <v>1.000173611111111</v>
      </c>
    </row>
    <row r="10896" spans="12:15" x14ac:dyDescent="0.25">
      <c r="L10896" s="147">
        <f ca="1"/>
        <v>56135</v>
      </c>
      <c r="M10896" s="92">
        <f t="shared" ca="1" si="351"/>
        <v>6.25</v>
      </c>
      <c r="N10896" s="143">
        <f ca="1">(PRODUCT($O$5:$O10896)-1)*36000/_xlfn.DAYS(L10896, $C$2)</f>
        <v>20.111850629720827</v>
      </c>
      <c r="O10896" s="149">
        <f t="shared" ca="1" si="352"/>
        <v>1.000173611111111</v>
      </c>
    </row>
    <row r="10897" spans="12:15" x14ac:dyDescent="0.25">
      <c r="L10897" s="147">
        <f ca="1"/>
        <v>56136</v>
      </c>
      <c r="M10897" s="92">
        <f t="shared" ca="1" si="351"/>
        <v>6.25</v>
      </c>
      <c r="N10897" s="143">
        <f ca="1">(PRODUCT($O$5:$O10897)-1)*36000/_xlfn.DAYS(L10897, $C$2)</f>
        <v>20.114069403267926</v>
      </c>
      <c r="O10897" s="149">
        <f t="shared" ca="1" si="352"/>
        <v>1.000173611111111</v>
      </c>
    </row>
    <row r="10898" spans="12:15" x14ac:dyDescent="0.25">
      <c r="L10898" s="147">
        <f ca="1"/>
        <v>56137</v>
      </c>
      <c r="M10898" s="92">
        <f t="shared" ca="1" si="351"/>
        <v>6.25</v>
      </c>
      <c r="N10898" s="143">
        <f ca="1">(PRODUCT($O$5:$O10898)-1)*36000/_xlfn.DAYS(L10898, $C$2)</f>
        <v>20.116288475155212</v>
      </c>
      <c r="O10898" s="149">
        <f t="shared" ca="1" si="352"/>
        <v>1.000173611111111</v>
      </c>
    </row>
    <row r="10899" spans="12:15" x14ac:dyDescent="0.25">
      <c r="L10899" s="147">
        <f ca="1"/>
        <v>56138</v>
      </c>
      <c r="M10899" s="92">
        <f t="shared" ca="1" si="351"/>
        <v>6.25</v>
      </c>
      <c r="N10899" s="143">
        <f ca="1">(PRODUCT($O$5:$O10899)-1)*36000/_xlfn.DAYS(L10899, $C$2)</f>
        <v>20.118507845423032</v>
      </c>
      <c r="O10899" s="149">
        <f t="shared" ca="1" si="352"/>
        <v>1.000173611111111</v>
      </c>
    </row>
    <row r="10900" spans="12:15" x14ac:dyDescent="0.25">
      <c r="L10900" s="147">
        <f ca="1"/>
        <v>56139</v>
      </c>
      <c r="M10900" s="92">
        <f t="shared" ca="1" si="351"/>
        <v>6.25</v>
      </c>
      <c r="N10900" s="143">
        <f ca="1">(PRODUCT($O$5:$O10900)-1)*36000/_xlfn.DAYS(L10900, $C$2)</f>
        <v>20.120727514111753</v>
      </c>
      <c r="O10900" s="149">
        <f t="shared" ca="1" si="352"/>
        <v>1.000173611111111</v>
      </c>
    </row>
    <row r="10901" spans="12:15" x14ac:dyDescent="0.25">
      <c r="L10901" s="147">
        <f ca="1"/>
        <v>56140</v>
      </c>
      <c r="M10901" s="92">
        <f t="shared" ca="1" si="351"/>
        <v>6.25</v>
      </c>
      <c r="N10901" s="143">
        <f ca="1">(PRODUCT($O$5:$O10901)-1)*36000/_xlfn.DAYS(L10901, $C$2)</f>
        <v>20.12294748126174</v>
      </c>
      <c r="O10901" s="149">
        <f t="shared" ca="1" si="352"/>
        <v>1.000173611111111</v>
      </c>
    </row>
    <row r="10902" spans="12:15" x14ac:dyDescent="0.25">
      <c r="L10902" s="147">
        <f ca="1"/>
        <v>56141</v>
      </c>
      <c r="M10902" s="92">
        <f t="shared" ca="1" si="351"/>
        <v>6.25</v>
      </c>
      <c r="N10902" s="143">
        <f ca="1">(PRODUCT($O$5:$O10902)-1)*36000/_xlfn.DAYS(L10902, $C$2)</f>
        <v>20.125167746913363</v>
      </c>
      <c r="O10902" s="149">
        <f t="shared" ca="1" si="352"/>
        <v>1.000173611111111</v>
      </c>
    </row>
    <row r="10903" spans="12:15" x14ac:dyDescent="0.25">
      <c r="L10903" s="147">
        <f ca="1"/>
        <v>56142</v>
      </c>
      <c r="M10903" s="92">
        <f t="shared" ca="1" si="351"/>
        <v>6.25</v>
      </c>
      <c r="N10903" s="143">
        <f ca="1">(PRODUCT($O$5:$O10903)-1)*36000/_xlfn.DAYS(L10903, $C$2)</f>
        <v>20.127388311106998</v>
      </c>
      <c r="O10903" s="149">
        <f t="shared" ca="1" si="352"/>
        <v>1.000173611111111</v>
      </c>
    </row>
    <row r="10904" spans="12:15" x14ac:dyDescent="0.25">
      <c r="L10904" s="147">
        <f ca="1"/>
        <v>56143</v>
      </c>
      <c r="M10904" s="92">
        <f t="shared" ca="1" si="351"/>
        <v>6.25</v>
      </c>
      <c r="N10904" s="143">
        <f ca="1">(PRODUCT($O$5:$O10904)-1)*36000/_xlfn.DAYS(L10904, $C$2)</f>
        <v>20.129609173883033</v>
      </c>
      <c r="O10904" s="149">
        <f t="shared" ca="1" si="352"/>
        <v>1.000173611111111</v>
      </c>
    </row>
    <row r="10905" spans="12:15" x14ac:dyDescent="0.25">
      <c r="L10905" s="147">
        <f ca="1"/>
        <v>56144</v>
      </c>
      <c r="M10905" s="92">
        <f t="shared" ca="1" si="351"/>
        <v>6.25</v>
      </c>
      <c r="N10905" s="143">
        <f ca="1">(PRODUCT($O$5:$O10905)-1)*36000/_xlfn.DAYS(L10905, $C$2)</f>
        <v>20.131830335281858</v>
      </c>
      <c r="O10905" s="149">
        <f t="shared" ca="1" si="352"/>
        <v>1.000173611111111</v>
      </c>
    </row>
    <row r="10906" spans="12:15" x14ac:dyDescent="0.25">
      <c r="L10906" s="147">
        <f ca="1"/>
        <v>56145</v>
      </c>
      <c r="M10906" s="92">
        <f t="shared" ca="1" si="351"/>
        <v>6.25</v>
      </c>
      <c r="N10906" s="143">
        <f ca="1">(PRODUCT($O$5:$O10906)-1)*36000/_xlfn.DAYS(L10906, $C$2)</f>
        <v>20.134051795343876</v>
      </c>
      <c r="O10906" s="149">
        <f t="shared" ca="1" si="352"/>
        <v>1.000173611111111</v>
      </c>
    </row>
    <row r="10907" spans="12:15" x14ac:dyDescent="0.25">
      <c r="L10907" s="147">
        <f ca="1"/>
        <v>56146</v>
      </c>
      <c r="M10907" s="92">
        <f t="shared" ca="1" si="351"/>
        <v>6.25</v>
      </c>
      <c r="N10907" s="143">
        <f ca="1">(PRODUCT($O$5:$O10907)-1)*36000/_xlfn.DAYS(L10907, $C$2)</f>
        <v>20.136273554109486</v>
      </c>
      <c r="O10907" s="149">
        <f t="shared" ca="1" si="352"/>
        <v>1.000173611111111</v>
      </c>
    </row>
    <row r="10908" spans="12:15" x14ac:dyDescent="0.25">
      <c r="L10908" s="147">
        <f ca="1"/>
        <v>56147</v>
      </c>
      <c r="M10908" s="92">
        <f t="shared" ca="1" si="351"/>
        <v>6.25</v>
      </c>
      <c r="N10908" s="143">
        <f ca="1">(PRODUCT($O$5:$O10908)-1)*36000/_xlfn.DAYS(L10908, $C$2)</f>
        <v>20.138495611619099</v>
      </c>
      <c r="O10908" s="149">
        <f t="shared" ca="1" si="352"/>
        <v>1.000173611111111</v>
      </c>
    </row>
    <row r="10909" spans="12:15" x14ac:dyDescent="0.25">
      <c r="L10909" s="147">
        <f ca="1"/>
        <v>56148</v>
      </c>
      <c r="M10909" s="92">
        <f t="shared" ca="1" si="351"/>
        <v>6.25</v>
      </c>
      <c r="N10909" s="143">
        <f ca="1">(PRODUCT($O$5:$O10909)-1)*36000/_xlfn.DAYS(L10909, $C$2)</f>
        <v>20.140717967913137</v>
      </c>
      <c r="O10909" s="149">
        <f t="shared" ca="1" si="352"/>
        <v>1.000173611111111</v>
      </c>
    </row>
    <row r="10910" spans="12:15" x14ac:dyDescent="0.25">
      <c r="L10910" s="147">
        <f ca="1"/>
        <v>56149</v>
      </c>
      <c r="M10910" s="92">
        <f t="shared" ca="1" si="351"/>
        <v>6.25</v>
      </c>
      <c r="N10910" s="143">
        <f ca="1">(PRODUCT($O$5:$O10910)-1)*36000/_xlfn.DAYS(L10910, $C$2)</f>
        <v>20.142940623032018</v>
      </c>
      <c r="O10910" s="149">
        <f t="shared" ca="1" si="352"/>
        <v>1.000173611111111</v>
      </c>
    </row>
    <row r="10911" spans="12:15" x14ac:dyDescent="0.25">
      <c r="L10911" s="147">
        <f ca="1"/>
        <v>56150</v>
      </c>
      <c r="M10911" s="92">
        <f t="shared" ca="1" si="351"/>
        <v>6.25</v>
      </c>
      <c r="N10911" s="143">
        <f ca="1">(PRODUCT($O$5:$O10911)-1)*36000/_xlfn.DAYS(L10911, $C$2)</f>
        <v>20.145163577016177</v>
      </c>
      <c r="O10911" s="149">
        <f t="shared" ca="1" si="352"/>
        <v>1.000173611111111</v>
      </c>
    </row>
    <row r="10912" spans="12:15" x14ac:dyDescent="0.25">
      <c r="L10912" s="147">
        <f ca="1"/>
        <v>56151</v>
      </c>
      <c r="M10912" s="92">
        <f t="shared" ca="1" si="351"/>
        <v>6.25</v>
      </c>
      <c r="N10912" s="143">
        <f ca="1">(PRODUCT($O$5:$O10912)-1)*36000/_xlfn.DAYS(L10912, $C$2)</f>
        <v>20.147386829906047</v>
      </c>
      <c r="O10912" s="149">
        <f t="shared" ca="1" si="352"/>
        <v>1.000173611111111</v>
      </c>
    </row>
    <row r="10913" spans="12:15" x14ac:dyDescent="0.25">
      <c r="L10913" s="147">
        <f ca="1"/>
        <v>56152</v>
      </c>
      <c r="M10913" s="92">
        <f t="shared" ca="1" si="351"/>
        <v>6.25</v>
      </c>
      <c r="N10913" s="143">
        <f ca="1">(PRODUCT($O$5:$O10913)-1)*36000/_xlfn.DAYS(L10913, $C$2)</f>
        <v>20.149610381742072</v>
      </c>
      <c r="O10913" s="149">
        <f t="shared" ca="1" si="352"/>
        <v>1.000173611111111</v>
      </c>
    </row>
    <row r="10914" spans="12:15" x14ac:dyDescent="0.25">
      <c r="L10914" s="147">
        <f ca="1"/>
        <v>56153</v>
      </c>
      <c r="M10914" s="92">
        <f t="shared" ca="1" si="351"/>
        <v>6.25</v>
      </c>
      <c r="N10914" s="143">
        <f ca="1">(PRODUCT($O$5:$O10914)-1)*36000/_xlfn.DAYS(L10914, $C$2)</f>
        <v>20.151834232564703</v>
      </c>
      <c r="O10914" s="149">
        <f t="shared" ca="1" si="352"/>
        <v>1.000173611111111</v>
      </c>
    </row>
    <row r="10915" spans="12:15" x14ac:dyDescent="0.25">
      <c r="L10915" s="147">
        <f ca="1"/>
        <v>56154</v>
      </c>
      <c r="M10915" s="92">
        <f t="shared" ca="1" si="351"/>
        <v>6.25</v>
      </c>
      <c r="N10915" s="143">
        <f ca="1">(PRODUCT($O$5:$O10915)-1)*36000/_xlfn.DAYS(L10915, $C$2)</f>
        <v>20.154058382414394</v>
      </c>
      <c r="O10915" s="149">
        <f t="shared" ca="1" si="352"/>
        <v>1.000173611111111</v>
      </c>
    </row>
    <row r="10916" spans="12:15" x14ac:dyDescent="0.25">
      <c r="L10916" s="147">
        <f ca="1"/>
        <v>56155</v>
      </c>
      <c r="M10916" s="92">
        <f t="shared" ca="1" si="351"/>
        <v>6.25</v>
      </c>
      <c r="N10916" s="143">
        <f ca="1">(PRODUCT($O$5:$O10916)-1)*36000/_xlfn.DAYS(L10916, $C$2)</f>
        <v>20.156282831331612</v>
      </c>
      <c r="O10916" s="149">
        <f t="shared" ca="1" si="352"/>
        <v>1.000173611111111</v>
      </c>
    </row>
    <row r="10917" spans="12:15" x14ac:dyDescent="0.25">
      <c r="L10917" s="147">
        <f ca="1"/>
        <v>56156</v>
      </c>
      <c r="M10917" s="92">
        <f t="shared" ca="1" si="351"/>
        <v>6.25</v>
      </c>
      <c r="N10917" s="143">
        <f ca="1">(PRODUCT($O$5:$O10917)-1)*36000/_xlfn.DAYS(L10917, $C$2)</f>
        <v>20.158507579356822</v>
      </c>
      <c r="O10917" s="149">
        <f t="shared" ca="1" si="352"/>
        <v>1.000173611111111</v>
      </c>
    </row>
    <row r="10918" spans="12:15" x14ac:dyDescent="0.25">
      <c r="L10918" s="147">
        <f ca="1"/>
        <v>56157</v>
      </c>
      <c r="M10918" s="92">
        <f t="shared" ca="1" si="351"/>
        <v>6.25</v>
      </c>
      <c r="N10918" s="143">
        <f ca="1">(PRODUCT($O$5:$O10918)-1)*36000/_xlfn.DAYS(L10918, $C$2)</f>
        <v>20.1607326265305</v>
      </c>
      <c r="O10918" s="149">
        <f t="shared" ca="1" si="352"/>
        <v>1.000173611111111</v>
      </c>
    </row>
    <row r="10919" spans="12:15" x14ac:dyDescent="0.25">
      <c r="L10919" s="147">
        <f ca="1"/>
        <v>56158</v>
      </c>
      <c r="M10919" s="92">
        <f t="shared" ca="1" si="351"/>
        <v>6.25</v>
      </c>
      <c r="N10919" s="143">
        <f ca="1">(PRODUCT($O$5:$O10919)-1)*36000/_xlfn.DAYS(L10919, $C$2)</f>
        <v>20.162957972893132</v>
      </c>
      <c r="O10919" s="149">
        <f t="shared" ca="1" si="352"/>
        <v>1.000173611111111</v>
      </c>
    </row>
    <row r="10920" spans="12:15" x14ac:dyDescent="0.25">
      <c r="L10920" s="147">
        <f ca="1"/>
        <v>56159</v>
      </c>
      <c r="M10920" s="92">
        <f t="shared" ca="1" si="351"/>
        <v>6.25</v>
      </c>
      <c r="N10920" s="143">
        <f ca="1">(PRODUCT($O$5:$O10920)-1)*36000/_xlfn.DAYS(L10920, $C$2)</f>
        <v>20.165183618485198</v>
      </c>
      <c r="O10920" s="149">
        <f t="shared" ca="1" si="352"/>
        <v>1.000173611111111</v>
      </c>
    </row>
    <row r="10921" spans="12:15" x14ac:dyDescent="0.25">
      <c r="L10921" s="147">
        <f ca="1"/>
        <v>56160</v>
      </c>
      <c r="M10921" s="92">
        <f t="shared" ca="1" si="351"/>
        <v>6.25</v>
      </c>
      <c r="N10921" s="143">
        <f ca="1">(PRODUCT($O$5:$O10921)-1)*36000/_xlfn.DAYS(L10921, $C$2)</f>
        <v>20.167409563347199</v>
      </c>
      <c r="O10921" s="149">
        <f t="shared" ca="1" si="352"/>
        <v>1.000173611111111</v>
      </c>
    </row>
    <row r="10922" spans="12:15" x14ac:dyDescent="0.25">
      <c r="L10922" s="147">
        <f ca="1"/>
        <v>56161</v>
      </c>
      <c r="M10922" s="92">
        <f t="shared" ca="1" si="351"/>
        <v>6.25</v>
      </c>
      <c r="N10922" s="143">
        <f ca="1">(PRODUCT($O$5:$O10922)-1)*36000/_xlfn.DAYS(L10922, $C$2)</f>
        <v>20.169635807519633</v>
      </c>
      <c r="O10922" s="149">
        <f t="shared" ca="1" si="352"/>
        <v>1.000173611111111</v>
      </c>
    </row>
    <row r="10923" spans="12:15" x14ac:dyDescent="0.25">
      <c r="L10923" s="147">
        <f ca="1"/>
        <v>56162</v>
      </c>
      <c r="M10923" s="92">
        <f t="shared" ca="1" si="351"/>
        <v>6.25</v>
      </c>
      <c r="N10923" s="143">
        <f ca="1">(PRODUCT($O$5:$O10923)-1)*36000/_xlfn.DAYS(L10923, $C$2)</f>
        <v>20.171862351043011</v>
      </c>
      <c r="O10923" s="149">
        <f t="shared" ca="1" si="352"/>
        <v>1.000173611111111</v>
      </c>
    </row>
    <row r="10924" spans="12:15" x14ac:dyDescent="0.25">
      <c r="L10924" s="147">
        <f ca="1"/>
        <v>56163</v>
      </c>
      <c r="M10924" s="92">
        <f t="shared" ca="1" si="351"/>
        <v>6.25</v>
      </c>
      <c r="N10924" s="143">
        <f ca="1">(PRODUCT($O$5:$O10924)-1)*36000/_xlfn.DAYS(L10924, $C$2)</f>
        <v>20.174089193957851</v>
      </c>
      <c r="O10924" s="149">
        <f t="shared" ca="1" si="352"/>
        <v>1.000173611111111</v>
      </c>
    </row>
    <row r="10925" spans="12:15" x14ac:dyDescent="0.25">
      <c r="L10925" s="147">
        <f ca="1"/>
        <v>56164</v>
      </c>
      <c r="M10925" s="92">
        <f t="shared" ca="1" si="351"/>
        <v>6.25</v>
      </c>
      <c r="N10925" s="143">
        <f ca="1">(PRODUCT($O$5:$O10925)-1)*36000/_xlfn.DAYS(L10925, $C$2)</f>
        <v>20.176316336304666</v>
      </c>
      <c r="O10925" s="149">
        <f t="shared" ca="1" si="352"/>
        <v>1.000173611111111</v>
      </c>
    </row>
    <row r="10926" spans="12:15" x14ac:dyDescent="0.25">
      <c r="L10926" s="147">
        <f ca="1"/>
        <v>56165</v>
      </c>
      <c r="M10926" s="92">
        <f t="shared" ca="1" si="351"/>
        <v>6.25</v>
      </c>
      <c r="N10926" s="143">
        <f ca="1">(PRODUCT($O$5:$O10926)-1)*36000/_xlfn.DAYS(L10926, $C$2)</f>
        <v>20.178543778123984</v>
      </c>
      <c r="O10926" s="149">
        <f t="shared" ca="1" si="352"/>
        <v>1.000173611111111</v>
      </c>
    </row>
    <row r="10927" spans="12:15" x14ac:dyDescent="0.25">
      <c r="L10927" s="147">
        <f ca="1"/>
        <v>56166</v>
      </c>
      <c r="M10927" s="92">
        <f t="shared" ca="1" si="351"/>
        <v>6.25</v>
      </c>
      <c r="N10927" s="143">
        <f ca="1">(PRODUCT($O$5:$O10927)-1)*36000/_xlfn.DAYS(L10927, $C$2)</f>
        <v>20.180771519456343</v>
      </c>
      <c r="O10927" s="149">
        <f t="shared" ca="1" si="352"/>
        <v>1.000173611111111</v>
      </c>
    </row>
    <row r="10928" spans="12:15" x14ac:dyDescent="0.25">
      <c r="L10928" s="147">
        <f ca="1"/>
        <v>56167</v>
      </c>
      <c r="M10928" s="92">
        <f t="shared" ca="1" si="351"/>
        <v>6.25</v>
      </c>
      <c r="N10928" s="143">
        <f ca="1">(PRODUCT($O$5:$O10928)-1)*36000/_xlfn.DAYS(L10928, $C$2)</f>
        <v>20.182999560342282</v>
      </c>
      <c r="O10928" s="149">
        <f t="shared" ca="1" si="352"/>
        <v>1.000173611111111</v>
      </c>
    </row>
    <row r="10929" spans="12:15" x14ac:dyDescent="0.25">
      <c r="L10929" s="147">
        <f ca="1"/>
        <v>56168</v>
      </c>
      <c r="M10929" s="92">
        <f t="shared" ca="1" si="351"/>
        <v>6.25</v>
      </c>
      <c r="N10929" s="143">
        <f ca="1">(PRODUCT($O$5:$O10929)-1)*36000/_xlfn.DAYS(L10929, $C$2)</f>
        <v>20.185227900822348</v>
      </c>
      <c r="O10929" s="149">
        <f t="shared" ca="1" si="352"/>
        <v>1.000173611111111</v>
      </c>
    </row>
    <row r="10930" spans="12:15" x14ac:dyDescent="0.25">
      <c r="L10930" s="147">
        <f ca="1"/>
        <v>56169</v>
      </c>
      <c r="M10930" s="92">
        <f t="shared" ca="1" si="351"/>
        <v>6.25</v>
      </c>
      <c r="N10930" s="143">
        <f ca="1">(PRODUCT($O$5:$O10930)-1)*36000/_xlfn.DAYS(L10930, $C$2)</f>
        <v>20.187456540937092</v>
      </c>
      <c r="O10930" s="149">
        <f t="shared" ca="1" si="352"/>
        <v>1.000173611111111</v>
      </c>
    </row>
    <row r="10931" spans="12:15" x14ac:dyDescent="0.25">
      <c r="L10931" s="147">
        <f ca="1"/>
        <v>56170</v>
      </c>
      <c r="M10931" s="92">
        <f t="shared" ca="1" si="351"/>
        <v>6.25</v>
      </c>
      <c r="N10931" s="143">
        <f ca="1">(PRODUCT($O$5:$O10931)-1)*36000/_xlfn.DAYS(L10931, $C$2)</f>
        <v>20.189685480727071</v>
      </c>
      <c r="O10931" s="149">
        <f t="shared" ca="1" si="352"/>
        <v>1.000173611111111</v>
      </c>
    </row>
    <row r="10932" spans="12:15" x14ac:dyDescent="0.25">
      <c r="L10932" s="147">
        <f ca="1"/>
        <v>56171</v>
      </c>
      <c r="M10932" s="92">
        <f t="shared" ca="1" si="351"/>
        <v>6.25</v>
      </c>
      <c r="N10932" s="143">
        <f ca="1">(PRODUCT($O$5:$O10932)-1)*36000/_xlfn.DAYS(L10932, $C$2)</f>
        <v>20.191914720232855</v>
      </c>
      <c r="O10932" s="149">
        <f t="shared" ca="1" si="352"/>
        <v>1.000173611111111</v>
      </c>
    </row>
    <row r="10933" spans="12:15" x14ac:dyDescent="0.25">
      <c r="L10933" s="147">
        <f ca="1"/>
        <v>56172</v>
      </c>
      <c r="M10933" s="92">
        <f t="shared" ca="1" si="351"/>
        <v>6.25</v>
      </c>
      <c r="N10933" s="143">
        <f ca="1">(PRODUCT($O$5:$O10933)-1)*36000/_xlfn.DAYS(L10933, $C$2)</f>
        <v>20.194144259495022</v>
      </c>
      <c r="O10933" s="149">
        <f t="shared" ca="1" si="352"/>
        <v>1.000173611111111</v>
      </c>
    </row>
    <row r="10934" spans="12:15" x14ac:dyDescent="0.25">
      <c r="L10934" s="147">
        <f ca="1"/>
        <v>56173</v>
      </c>
      <c r="M10934" s="92">
        <f t="shared" ca="1" si="351"/>
        <v>6.25</v>
      </c>
      <c r="N10934" s="143">
        <f ca="1">(PRODUCT($O$5:$O10934)-1)*36000/_xlfn.DAYS(L10934, $C$2)</f>
        <v>20.196374098554141</v>
      </c>
      <c r="O10934" s="149">
        <f t="shared" ca="1" si="352"/>
        <v>1.000173611111111</v>
      </c>
    </row>
    <row r="10935" spans="12:15" x14ac:dyDescent="0.25">
      <c r="L10935" s="147">
        <f ca="1"/>
        <v>56174</v>
      </c>
      <c r="M10935" s="92">
        <f t="shared" ca="1" si="351"/>
        <v>6.25</v>
      </c>
      <c r="N10935" s="143">
        <f ca="1">(PRODUCT($O$5:$O10935)-1)*36000/_xlfn.DAYS(L10935, $C$2)</f>
        <v>20.198604237450802</v>
      </c>
      <c r="O10935" s="149">
        <f t="shared" ca="1" si="352"/>
        <v>1.000173611111111</v>
      </c>
    </row>
    <row r="10936" spans="12:15" x14ac:dyDescent="0.25">
      <c r="L10936" s="147">
        <f ca="1"/>
        <v>56175</v>
      </c>
      <c r="M10936" s="92">
        <f t="shared" ca="1" si="351"/>
        <v>6.25</v>
      </c>
      <c r="N10936" s="143">
        <f ca="1">(PRODUCT($O$5:$O10936)-1)*36000/_xlfn.DAYS(L10936, $C$2)</f>
        <v>20.2008346762256</v>
      </c>
      <c r="O10936" s="149">
        <f t="shared" ca="1" si="352"/>
        <v>1.000173611111111</v>
      </c>
    </row>
    <row r="10937" spans="12:15" x14ac:dyDescent="0.25">
      <c r="L10937" s="147">
        <f ca="1"/>
        <v>56176</v>
      </c>
      <c r="M10937" s="92">
        <f t="shared" ca="1" si="351"/>
        <v>6.25</v>
      </c>
      <c r="N10937" s="143">
        <f ca="1">(PRODUCT($O$5:$O10937)-1)*36000/_xlfn.DAYS(L10937, $C$2)</f>
        <v>20.203065414919127</v>
      </c>
      <c r="O10937" s="149">
        <f t="shared" ca="1" si="352"/>
        <v>1.000173611111111</v>
      </c>
    </row>
    <row r="10938" spans="12:15" x14ac:dyDescent="0.25">
      <c r="L10938" s="147">
        <f ca="1"/>
        <v>56177</v>
      </c>
      <c r="M10938" s="92">
        <f t="shared" ca="1" si="351"/>
        <v>6.25</v>
      </c>
      <c r="N10938" s="143">
        <f ca="1">(PRODUCT($O$5:$O10938)-1)*36000/_xlfn.DAYS(L10938, $C$2)</f>
        <v>20.205296453571989</v>
      </c>
      <c r="O10938" s="149">
        <f t="shared" ca="1" si="352"/>
        <v>1.000173611111111</v>
      </c>
    </row>
    <row r="10939" spans="12:15" x14ac:dyDescent="0.25">
      <c r="L10939" s="147">
        <f ca="1"/>
        <v>56178</v>
      </c>
      <c r="M10939" s="92">
        <f t="shared" ca="1" si="351"/>
        <v>6.25</v>
      </c>
      <c r="N10939" s="143">
        <f ca="1">(PRODUCT($O$5:$O10939)-1)*36000/_xlfn.DAYS(L10939, $C$2)</f>
        <v>20.207527792224806</v>
      </c>
      <c r="O10939" s="149">
        <f t="shared" ca="1" si="352"/>
        <v>1.000173611111111</v>
      </c>
    </row>
    <row r="10940" spans="12:15" x14ac:dyDescent="0.25">
      <c r="L10940" s="147">
        <f ca="1"/>
        <v>56179</v>
      </c>
      <c r="M10940" s="92">
        <f t="shared" ca="1" si="351"/>
        <v>6.25</v>
      </c>
      <c r="N10940" s="143">
        <f ca="1">(PRODUCT($O$5:$O10940)-1)*36000/_xlfn.DAYS(L10940, $C$2)</f>
        <v>20.209759430918186</v>
      </c>
      <c r="O10940" s="149">
        <f t="shared" ca="1" si="352"/>
        <v>1.000173611111111</v>
      </c>
    </row>
    <row r="10941" spans="12:15" x14ac:dyDescent="0.25">
      <c r="L10941" s="147">
        <f ca="1"/>
        <v>56180</v>
      </c>
      <c r="M10941" s="92">
        <f t="shared" ca="1" si="351"/>
        <v>6.25</v>
      </c>
      <c r="N10941" s="143">
        <f ca="1">(PRODUCT($O$5:$O10941)-1)*36000/_xlfn.DAYS(L10941, $C$2)</f>
        <v>20.211991369692758</v>
      </c>
      <c r="O10941" s="149">
        <f t="shared" ca="1" si="352"/>
        <v>1.000173611111111</v>
      </c>
    </row>
    <row r="10942" spans="12:15" x14ac:dyDescent="0.25">
      <c r="L10942" s="147">
        <f ca="1"/>
        <v>56181</v>
      </c>
      <c r="M10942" s="92">
        <f t="shared" ca="1" si="351"/>
        <v>6.25</v>
      </c>
      <c r="N10942" s="143">
        <f ca="1">(PRODUCT($O$5:$O10942)-1)*36000/_xlfn.DAYS(L10942, $C$2)</f>
        <v>20.214223608589148</v>
      </c>
      <c r="O10942" s="149">
        <f t="shared" ca="1" si="352"/>
        <v>1.000173611111111</v>
      </c>
    </row>
    <row r="10943" spans="12:15" x14ac:dyDescent="0.25">
      <c r="L10943" s="147">
        <f ca="1"/>
        <v>56182</v>
      </c>
      <c r="M10943" s="92">
        <f t="shared" ca="1" si="351"/>
        <v>6.25</v>
      </c>
      <c r="N10943" s="143">
        <f ca="1">(PRODUCT($O$5:$O10943)-1)*36000/_xlfn.DAYS(L10943, $C$2)</f>
        <v>20.216456147648003</v>
      </c>
      <c r="O10943" s="149">
        <f t="shared" ca="1" si="352"/>
        <v>1.000173611111111</v>
      </c>
    </row>
    <row r="10944" spans="12:15" x14ac:dyDescent="0.25">
      <c r="L10944" s="147">
        <f ca="1"/>
        <v>56183</v>
      </c>
      <c r="M10944" s="92">
        <f t="shared" ca="1" si="351"/>
        <v>6.25</v>
      </c>
      <c r="N10944" s="143">
        <f ca="1">(PRODUCT($O$5:$O10944)-1)*36000/_xlfn.DAYS(L10944, $C$2)</f>
        <v>20.218688986909957</v>
      </c>
      <c r="O10944" s="149">
        <f t="shared" ca="1" si="352"/>
        <v>1.000173611111111</v>
      </c>
    </row>
    <row r="10945" spans="12:15" x14ac:dyDescent="0.25">
      <c r="L10945" s="147">
        <f ca="1"/>
        <v>56184</v>
      </c>
      <c r="M10945" s="92">
        <f t="shared" ca="1" si="351"/>
        <v>6.25</v>
      </c>
      <c r="N10945" s="143">
        <f ca="1">(PRODUCT($O$5:$O10945)-1)*36000/_xlfn.DAYS(L10945, $C$2)</f>
        <v>20.220922126415669</v>
      </c>
      <c r="O10945" s="149">
        <f t="shared" ca="1" si="352"/>
        <v>1.000173611111111</v>
      </c>
    </row>
    <row r="10946" spans="12:15" x14ac:dyDescent="0.25">
      <c r="L10946" s="147">
        <f ca="1"/>
        <v>56185</v>
      </c>
      <c r="M10946" s="92">
        <f t="shared" ca="1" si="351"/>
        <v>6.25</v>
      </c>
      <c r="N10946" s="143">
        <f ca="1">(PRODUCT($O$5:$O10946)-1)*36000/_xlfn.DAYS(L10946, $C$2)</f>
        <v>20.223155566205783</v>
      </c>
      <c r="O10946" s="149">
        <f t="shared" ca="1" si="352"/>
        <v>1.000173611111111</v>
      </c>
    </row>
    <row r="10947" spans="12:15" x14ac:dyDescent="0.25">
      <c r="L10947" s="147">
        <f ca="1"/>
        <v>56186</v>
      </c>
      <c r="M10947" s="92">
        <f t="shared" ca="1" si="351"/>
        <v>6.25</v>
      </c>
      <c r="N10947" s="143">
        <f ca="1">(PRODUCT($O$5:$O10947)-1)*36000/_xlfn.DAYS(L10947, $C$2)</f>
        <v>20.225389306320977</v>
      </c>
      <c r="O10947" s="149">
        <f t="shared" ca="1" si="352"/>
        <v>1.000173611111111</v>
      </c>
    </row>
    <row r="10948" spans="12:15" x14ac:dyDescent="0.25">
      <c r="L10948" s="147">
        <f ca="1"/>
        <v>56187</v>
      </c>
      <c r="M10948" s="92">
        <f t="shared" ca="1" si="351"/>
        <v>6.25</v>
      </c>
      <c r="N10948" s="143">
        <f ca="1">(PRODUCT($O$5:$O10948)-1)*36000/_xlfn.DAYS(L10948, $C$2)</f>
        <v>20.227623346801916</v>
      </c>
      <c r="O10948" s="149">
        <f t="shared" ca="1" si="352"/>
        <v>1.000173611111111</v>
      </c>
    </row>
    <row r="10949" spans="12:15" x14ac:dyDescent="0.25">
      <c r="L10949" s="147">
        <f ca="1"/>
        <v>56188</v>
      </c>
      <c r="M10949" s="92">
        <f t="shared" ref="M10949:M11012" ca="1" si="353">IFERROR(INDEX($E$27:$H$47, MATCH(L10949, $F$27:$F$47, 0), 4), IF(ISNUMBER(M10948), M10948, $C$5))</f>
        <v>6.25</v>
      </c>
      <c r="N10949" s="143">
        <f ca="1">(PRODUCT($O$5:$O10949)-1)*36000/_xlfn.DAYS(L10949, $C$2)</f>
        <v>20.229857687689268</v>
      </c>
      <c r="O10949" s="149">
        <f t="shared" ca="1" si="352"/>
        <v>1.000173611111111</v>
      </c>
    </row>
    <row r="10950" spans="12:15" x14ac:dyDescent="0.25">
      <c r="L10950" s="147">
        <f ca="1"/>
        <v>56189</v>
      </c>
      <c r="M10950" s="92">
        <f t="shared" ca="1" si="353"/>
        <v>6.25</v>
      </c>
      <c r="N10950" s="143">
        <f ca="1">(PRODUCT($O$5:$O10950)-1)*36000/_xlfn.DAYS(L10950, $C$2)</f>
        <v>20.232092329023725</v>
      </c>
      <c r="O10950" s="149">
        <f t="shared" ref="O10950:O11013" ca="1" si="354">1+M10950*IFERROR(_xlfn.DAYS(L10950, L10949), _xlfn.DAYS(L10950, $C$2))/36000</f>
        <v>1.000173611111111</v>
      </c>
    </row>
    <row r="10951" spans="12:15" x14ac:dyDescent="0.25">
      <c r="L10951" s="147">
        <f ca="1"/>
        <v>56190</v>
      </c>
      <c r="M10951" s="92">
        <f t="shared" ca="1" si="353"/>
        <v>6.25</v>
      </c>
      <c r="N10951" s="143">
        <f ca="1">(PRODUCT($O$5:$O10951)-1)*36000/_xlfn.DAYS(L10951, $C$2)</f>
        <v>20.234327270845974</v>
      </c>
      <c r="O10951" s="149">
        <f t="shared" ca="1" si="354"/>
        <v>1.000173611111111</v>
      </c>
    </row>
    <row r="10952" spans="12:15" x14ac:dyDescent="0.25">
      <c r="L10952" s="147">
        <f ca="1"/>
        <v>56191</v>
      </c>
      <c r="M10952" s="92">
        <f t="shared" ca="1" si="353"/>
        <v>6.25</v>
      </c>
      <c r="N10952" s="143">
        <f ca="1">(PRODUCT($O$5:$O10952)-1)*36000/_xlfn.DAYS(L10952, $C$2)</f>
        <v>20.236562513196709</v>
      </c>
      <c r="O10952" s="149">
        <f t="shared" ca="1" si="354"/>
        <v>1.000173611111111</v>
      </c>
    </row>
    <row r="10953" spans="12:15" x14ac:dyDescent="0.25">
      <c r="L10953" s="147">
        <f ca="1"/>
        <v>56192</v>
      </c>
      <c r="M10953" s="92">
        <f t="shared" ca="1" si="353"/>
        <v>6.25</v>
      </c>
      <c r="N10953" s="143">
        <f ca="1">(PRODUCT($O$5:$O10953)-1)*36000/_xlfn.DAYS(L10953, $C$2)</f>
        <v>20.238798056116632</v>
      </c>
      <c r="O10953" s="149">
        <f t="shared" ca="1" si="354"/>
        <v>1.000173611111111</v>
      </c>
    </row>
    <row r="10954" spans="12:15" x14ac:dyDescent="0.25">
      <c r="L10954" s="147">
        <f ca="1"/>
        <v>56193</v>
      </c>
      <c r="M10954" s="92">
        <f t="shared" ca="1" si="353"/>
        <v>6.25</v>
      </c>
      <c r="N10954" s="143">
        <f ca="1">(PRODUCT($O$5:$O10954)-1)*36000/_xlfn.DAYS(L10954, $C$2)</f>
        <v>20.24103389964646</v>
      </c>
      <c r="O10954" s="149">
        <f t="shared" ca="1" si="354"/>
        <v>1.000173611111111</v>
      </c>
    </row>
    <row r="10955" spans="12:15" x14ac:dyDescent="0.25">
      <c r="L10955" s="147">
        <f ca="1"/>
        <v>56194</v>
      </c>
      <c r="M10955" s="92">
        <f t="shared" ca="1" si="353"/>
        <v>6.25</v>
      </c>
      <c r="N10955" s="143">
        <f ca="1">(PRODUCT($O$5:$O10955)-1)*36000/_xlfn.DAYS(L10955, $C$2)</f>
        <v>20.243270043826897</v>
      </c>
      <c r="O10955" s="149">
        <f t="shared" ca="1" si="354"/>
        <v>1.000173611111111</v>
      </c>
    </row>
    <row r="10956" spans="12:15" x14ac:dyDescent="0.25">
      <c r="L10956" s="147">
        <f ca="1"/>
        <v>56195</v>
      </c>
      <c r="M10956" s="92">
        <f t="shared" ca="1" si="353"/>
        <v>6.25</v>
      </c>
      <c r="N10956" s="143">
        <f ca="1">(PRODUCT($O$5:$O10956)-1)*36000/_xlfn.DAYS(L10956, $C$2)</f>
        <v>20.24550648869867</v>
      </c>
      <c r="O10956" s="149">
        <f t="shared" ca="1" si="354"/>
        <v>1.000173611111111</v>
      </c>
    </row>
    <row r="10957" spans="12:15" x14ac:dyDescent="0.25">
      <c r="L10957" s="147">
        <f ca="1"/>
        <v>56196</v>
      </c>
      <c r="M10957" s="92">
        <f t="shared" ca="1" si="353"/>
        <v>6.25</v>
      </c>
      <c r="N10957" s="143">
        <f ca="1">(PRODUCT($O$5:$O10957)-1)*36000/_xlfn.DAYS(L10957, $C$2)</f>
        <v>20.247743234302504</v>
      </c>
      <c r="O10957" s="149">
        <f t="shared" ca="1" si="354"/>
        <v>1.000173611111111</v>
      </c>
    </row>
    <row r="10958" spans="12:15" x14ac:dyDescent="0.25">
      <c r="L10958" s="147">
        <f ca="1"/>
        <v>56197</v>
      </c>
      <c r="M10958" s="92">
        <f t="shared" ca="1" si="353"/>
        <v>6.25</v>
      </c>
      <c r="N10958" s="143">
        <f ca="1">(PRODUCT($O$5:$O10958)-1)*36000/_xlfn.DAYS(L10958, $C$2)</f>
        <v>20.249980280679139</v>
      </c>
      <c r="O10958" s="149">
        <f t="shared" ca="1" si="354"/>
        <v>1.000173611111111</v>
      </c>
    </row>
    <row r="10959" spans="12:15" x14ac:dyDescent="0.25">
      <c r="L10959" s="147">
        <f ca="1"/>
        <v>56198</v>
      </c>
      <c r="M10959" s="92">
        <f t="shared" ca="1" si="353"/>
        <v>6.25</v>
      </c>
      <c r="N10959" s="143">
        <f ca="1">(PRODUCT($O$5:$O10959)-1)*36000/_xlfn.DAYS(L10959, $C$2)</f>
        <v>20.252217627869314</v>
      </c>
      <c r="O10959" s="149">
        <f t="shared" ca="1" si="354"/>
        <v>1.000173611111111</v>
      </c>
    </row>
    <row r="10960" spans="12:15" x14ac:dyDescent="0.25">
      <c r="L10960" s="147">
        <f ca="1"/>
        <v>56199</v>
      </c>
      <c r="M10960" s="92">
        <f t="shared" ca="1" si="353"/>
        <v>6.25</v>
      </c>
      <c r="N10960" s="143">
        <f ca="1">(PRODUCT($O$5:$O10960)-1)*36000/_xlfn.DAYS(L10960, $C$2)</f>
        <v>20.254455275913774</v>
      </c>
      <c r="O10960" s="149">
        <f t="shared" ca="1" si="354"/>
        <v>1.000173611111111</v>
      </c>
    </row>
    <row r="10961" spans="12:15" x14ac:dyDescent="0.25">
      <c r="L10961" s="147">
        <f ca="1"/>
        <v>56200</v>
      </c>
      <c r="M10961" s="92">
        <f t="shared" ca="1" si="353"/>
        <v>6.25</v>
      </c>
      <c r="N10961" s="143">
        <f ca="1">(PRODUCT($O$5:$O10961)-1)*36000/_xlfn.DAYS(L10961, $C$2)</f>
        <v>20.256693224853276</v>
      </c>
      <c r="O10961" s="149">
        <f t="shared" ca="1" si="354"/>
        <v>1.000173611111111</v>
      </c>
    </row>
    <row r="10962" spans="12:15" x14ac:dyDescent="0.25">
      <c r="L10962" s="147">
        <f ca="1"/>
        <v>56201</v>
      </c>
      <c r="M10962" s="92">
        <f t="shared" ca="1" si="353"/>
        <v>6.25</v>
      </c>
      <c r="N10962" s="143">
        <f ca="1">(PRODUCT($O$5:$O10962)-1)*36000/_xlfn.DAYS(L10962, $C$2)</f>
        <v>20.258931474728584</v>
      </c>
      <c r="O10962" s="149">
        <f t="shared" ca="1" si="354"/>
        <v>1.000173611111111</v>
      </c>
    </row>
    <row r="10963" spans="12:15" x14ac:dyDescent="0.25">
      <c r="L10963" s="147">
        <f ca="1"/>
        <v>56202</v>
      </c>
      <c r="M10963" s="92">
        <f t="shared" ca="1" si="353"/>
        <v>6.25</v>
      </c>
      <c r="N10963" s="143">
        <f ca="1">(PRODUCT($O$5:$O10963)-1)*36000/_xlfn.DAYS(L10963, $C$2)</f>
        <v>20.261170025580455</v>
      </c>
      <c r="O10963" s="149">
        <f t="shared" ca="1" si="354"/>
        <v>1.000173611111111</v>
      </c>
    </row>
    <row r="10964" spans="12:15" x14ac:dyDescent="0.25">
      <c r="L10964" s="147">
        <f ca="1"/>
        <v>56203</v>
      </c>
      <c r="M10964" s="92">
        <f t="shared" ca="1" si="353"/>
        <v>6.25</v>
      </c>
      <c r="N10964" s="143">
        <f ca="1">(PRODUCT($O$5:$O10964)-1)*36000/_xlfn.DAYS(L10964, $C$2)</f>
        <v>20.26340887744967</v>
      </c>
      <c r="O10964" s="149">
        <f t="shared" ca="1" si="354"/>
        <v>1.000173611111111</v>
      </c>
    </row>
    <row r="10965" spans="12:15" x14ac:dyDescent="0.25">
      <c r="L10965" s="147">
        <f ca="1"/>
        <v>56204</v>
      </c>
      <c r="M10965" s="92">
        <f t="shared" ca="1" si="353"/>
        <v>6.25</v>
      </c>
      <c r="N10965" s="143">
        <f ca="1">(PRODUCT($O$5:$O10965)-1)*36000/_xlfn.DAYS(L10965, $C$2)</f>
        <v>20.265648030377012</v>
      </c>
      <c r="O10965" s="149">
        <f t="shared" ca="1" si="354"/>
        <v>1.000173611111111</v>
      </c>
    </row>
    <row r="10966" spans="12:15" x14ac:dyDescent="0.25">
      <c r="L10966" s="147">
        <f ca="1"/>
        <v>56205</v>
      </c>
      <c r="M10966" s="92">
        <f t="shared" ca="1" si="353"/>
        <v>6.25</v>
      </c>
      <c r="N10966" s="143">
        <f ca="1">(PRODUCT($O$5:$O10966)-1)*36000/_xlfn.DAYS(L10966, $C$2)</f>
        <v>20.267887484403257</v>
      </c>
      <c r="O10966" s="149">
        <f t="shared" ca="1" si="354"/>
        <v>1.000173611111111</v>
      </c>
    </row>
    <row r="10967" spans="12:15" x14ac:dyDescent="0.25">
      <c r="L10967" s="147">
        <f ca="1"/>
        <v>56206</v>
      </c>
      <c r="M10967" s="92">
        <f t="shared" ca="1" si="353"/>
        <v>6.25</v>
      </c>
      <c r="N10967" s="143">
        <f ca="1">(PRODUCT($O$5:$O10967)-1)*36000/_xlfn.DAYS(L10967, $C$2)</f>
        <v>20.270127239569209</v>
      </c>
      <c r="O10967" s="149">
        <f t="shared" ca="1" si="354"/>
        <v>1.000173611111111</v>
      </c>
    </row>
    <row r="10968" spans="12:15" x14ac:dyDescent="0.25">
      <c r="L10968" s="147">
        <f ca="1"/>
        <v>56207</v>
      </c>
      <c r="M10968" s="92">
        <f t="shared" ca="1" si="353"/>
        <v>6.25</v>
      </c>
      <c r="N10968" s="143">
        <f ca="1">(PRODUCT($O$5:$O10968)-1)*36000/_xlfn.DAYS(L10968, $C$2)</f>
        <v>20.272367295915664</v>
      </c>
      <c r="O10968" s="149">
        <f t="shared" ca="1" si="354"/>
        <v>1.000173611111111</v>
      </c>
    </row>
    <row r="10969" spans="12:15" x14ac:dyDescent="0.25">
      <c r="L10969" s="147">
        <f ca="1"/>
        <v>56208</v>
      </c>
      <c r="M10969" s="92">
        <f t="shared" ca="1" si="353"/>
        <v>6.25</v>
      </c>
      <c r="N10969" s="143">
        <f ca="1">(PRODUCT($O$5:$O10969)-1)*36000/_xlfn.DAYS(L10969, $C$2)</f>
        <v>20.274607653483429</v>
      </c>
      <c r="O10969" s="149">
        <f t="shared" ca="1" si="354"/>
        <v>1.000173611111111</v>
      </c>
    </row>
    <row r="10970" spans="12:15" x14ac:dyDescent="0.25">
      <c r="L10970" s="147">
        <f ca="1"/>
        <v>56209</v>
      </c>
      <c r="M10970" s="92">
        <f t="shared" ca="1" si="353"/>
        <v>6.25</v>
      </c>
      <c r="N10970" s="143">
        <f ca="1">(PRODUCT($O$5:$O10970)-1)*36000/_xlfn.DAYS(L10970, $C$2)</f>
        <v>20.276848312313312</v>
      </c>
      <c r="O10970" s="149">
        <f t="shared" ca="1" si="354"/>
        <v>1.000173611111111</v>
      </c>
    </row>
    <row r="10971" spans="12:15" x14ac:dyDescent="0.25">
      <c r="L10971" s="147">
        <f ca="1"/>
        <v>56210</v>
      </c>
      <c r="M10971" s="92">
        <f t="shared" ca="1" si="353"/>
        <v>6.25</v>
      </c>
      <c r="N10971" s="143">
        <f ca="1">(PRODUCT($O$5:$O10971)-1)*36000/_xlfn.DAYS(L10971, $C$2)</f>
        <v>20.279089272446139</v>
      </c>
      <c r="O10971" s="149">
        <f t="shared" ca="1" si="354"/>
        <v>1.000173611111111</v>
      </c>
    </row>
    <row r="10972" spans="12:15" x14ac:dyDescent="0.25">
      <c r="L10972" s="147">
        <f ca="1"/>
        <v>56211</v>
      </c>
      <c r="M10972" s="92">
        <f t="shared" ca="1" si="353"/>
        <v>6.25</v>
      </c>
      <c r="N10972" s="143">
        <f ca="1">(PRODUCT($O$5:$O10972)-1)*36000/_xlfn.DAYS(L10972, $C$2)</f>
        <v>20.281330533922731</v>
      </c>
      <c r="O10972" s="149">
        <f t="shared" ca="1" si="354"/>
        <v>1.000173611111111</v>
      </c>
    </row>
    <row r="10973" spans="12:15" x14ac:dyDescent="0.25">
      <c r="L10973" s="147">
        <f ca="1"/>
        <v>56212</v>
      </c>
      <c r="M10973" s="92">
        <f t="shared" ca="1" si="353"/>
        <v>6.25</v>
      </c>
      <c r="N10973" s="143">
        <f ca="1">(PRODUCT($O$5:$O10973)-1)*36000/_xlfn.DAYS(L10973, $C$2)</f>
        <v>20.283572096783924</v>
      </c>
      <c r="O10973" s="149">
        <f t="shared" ca="1" si="354"/>
        <v>1.000173611111111</v>
      </c>
    </row>
    <row r="10974" spans="12:15" x14ac:dyDescent="0.25">
      <c r="L10974" s="147">
        <f ca="1"/>
        <v>56213</v>
      </c>
      <c r="M10974" s="92">
        <f t="shared" ca="1" si="353"/>
        <v>6.25</v>
      </c>
      <c r="N10974" s="143">
        <f ca="1">(PRODUCT($O$5:$O10974)-1)*36000/_xlfn.DAYS(L10974, $C$2)</f>
        <v>20.285813961070549</v>
      </c>
      <c r="O10974" s="149">
        <f t="shared" ca="1" si="354"/>
        <v>1.000173611111111</v>
      </c>
    </row>
    <row r="10975" spans="12:15" x14ac:dyDescent="0.25">
      <c r="L10975" s="147">
        <f ca="1"/>
        <v>56214</v>
      </c>
      <c r="M10975" s="92">
        <f t="shared" ca="1" si="353"/>
        <v>6.25</v>
      </c>
      <c r="N10975" s="143">
        <f ca="1">(PRODUCT($O$5:$O10975)-1)*36000/_xlfn.DAYS(L10975, $C$2)</f>
        <v>20.288056126823463</v>
      </c>
      <c r="O10975" s="149">
        <f t="shared" ca="1" si="354"/>
        <v>1.000173611111111</v>
      </c>
    </row>
    <row r="10976" spans="12:15" x14ac:dyDescent="0.25">
      <c r="L10976" s="147">
        <f ca="1"/>
        <v>56215</v>
      </c>
      <c r="M10976" s="92">
        <f t="shared" ca="1" si="353"/>
        <v>6.25</v>
      </c>
      <c r="N10976" s="143">
        <f ca="1">(PRODUCT($O$5:$O10976)-1)*36000/_xlfn.DAYS(L10976, $C$2)</f>
        <v>20.290298594083506</v>
      </c>
      <c r="O10976" s="149">
        <f t="shared" ca="1" si="354"/>
        <v>1.000173611111111</v>
      </c>
    </row>
    <row r="10977" spans="12:15" x14ac:dyDescent="0.25">
      <c r="L10977" s="147">
        <f ca="1"/>
        <v>56216</v>
      </c>
      <c r="M10977" s="92">
        <f t="shared" ca="1" si="353"/>
        <v>6.25</v>
      </c>
      <c r="N10977" s="143">
        <f ca="1">(PRODUCT($O$5:$O10977)-1)*36000/_xlfn.DAYS(L10977, $C$2)</f>
        <v>20.292541362891541</v>
      </c>
      <c r="O10977" s="149">
        <f t="shared" ca="1" si="354"/>
        <v>1.000173611111111</v>
      </c>
    </row>
    <row r="10978" spans="12:15" x14ac:dyDescent="0.25">
      <c r="L10978" s="147">
        <f ca="1"/>
        <v>56217</v>
      </c>
      <c r="M10978" s="92">
        <f t="shared" ca="1" si="353"/>
        <v>6.25</v>
      </c>
      <c r="N10978" s="143">
        <f ca="1">(PRODUCT($O$5:$O10978)-1)*36000/_xlfn.DAYS(L10978, $C$2)</f>
        <v>20.294784433288438</v>
      </c>
      <c r="O10978" s="149">
        <f t="shared" ca="1" si="354"/>
        <v>1.000173611111111</v>
      </c>
    </row>
    <row r="10979" spans="12:15" x14ac:dyDescent="0.25">
      <c r="L10979" s="147">
        <f ca="1"/>
        <v>56218</v>
      </c>
      <c r="M10979" s="92">
        <f t="shared" ca="1" si="353"/>
        <v>6.25</v>
      </c>
      <c r="N10979" s="143">
        <f ca="1">(PRODUCT($O$5:$O10979)-1)*36000/_xlfn.DAYS(L10979, $C$2)</f>
        <v>20.297027805315061</v>
      </c>
      <c r="O10979" s="149">
        <f t="shared" ca="1" si="354"/>
        <v>1.000173611111111</v>
      </c>
    </row>
    <row r="10980" spans="12:15" x14ac:dyDescent="0.25">
      <c r="L10980" s="147">
        <f ca="1"/>
        <v>56219</v>
      </c>
      <c r="M10980" s="92">
        <f t="shared" ca="1" si="353"/>
        <v>6.25</v>
      </c>
      <c r="N10980" s="143">
        <f ca="1">(PRODUCT($O$5:$O10980)-1)*36000/_xlfn.DAYS(L10980, $C$2)</f>
        <v>20.29927147901229</v>
      </c>
      <c r="O10980" s="149">
        <f t="shared" ca="1" si="354"/>
        <v>1.000173611111111</v>
      </c>
    </row>
    <row r="10981" spans="12:15" x14ac:dyDescent="0.25">
      <c r="L10981" s="147">
        <f ca="1"/>
        <v>56220</v>
      </c>
      <c r="M10981" s="92">
        <f t="shared" ca="1" si="353"/>
        <v>6.25</v>
      </c>
      <c r="N10981" s="143">
        <f ca="1">(PRODUCT($O$5:$O10981)-1)*36000/_xlfn.DAYS(L10981, $C$2)</f>
        <v>20.301515454421011</v>
      </c>
      <c r="O10981" s="149">
        <f t="shared" ca="1" si="354"/>
        <v>1.000173611111111</v>
      </c>
    </row>
    <row r="10982" spans="12:15" x14ac:dyDescent="0.25">
      <c r="L10982" s="147">
        <f ca="1"/>
        <v>56221</v>
      </c>
      <c r="M10982" s="92">
        <f t="shared" ca="1" si="353"/>
        <v>6.25</v>
      </c>
      <c r="N10982" s="143">
        <f ca="1">(PRODUCT($O$5:$O10982)-1)*36000/_xlfn.DAYS(L10982, $C$2)</f>
        <v>20.303759731582115</v>
      </c>
      <c r="O10982" s="149">
        <f t="shared" ca="1" si="354"/>
        <v>1.000173611111111</v>
      </c>
    </row>
    <row r="10983" spans="12:15" x14ac:dyDescent="0.25">
      <c r="L10983" s="147">
        <f ca="1"/>
        <v>56222</v>
      </c>
      <c r="M10983" s="92">
        <f t="shared" ca="1" si="353"/>
        <v>6.25</v>
      </c>
      <c r="N10983" s="143">
        <f ca="1">(PRODUCT($O$5:$O10983)-1)*36000/_xlfn.DAYS(L10983, $C$2)</f>
        <v>20.306004310536494</v>
      </c>
      <c r="O10983" s="149">
        <f t="shared" ca="1" si="354"/>
        <v>1.000173611111111</v>
      </c>
    </row>
    <row r="10984" spans="12:15" x14ac:dyDescent="0.25">
      <c r="L10984" s="147">
        <f ca="1"/>
        <v>56223</v>
      </c>
      <c r="M10984" s="92">
        <f t="shared" ca="1" si="353"/>
        <v>6.25</v>
      </c>
      <c r="N10984" s="143">
        <f ca="1">(PRODUCT($O$5:$O10984)-1)*36000/_xlfn.DAYS(L10984, $C$2)</f>
        <v>20.308249191325057</v>
      </c>
      <c r="O10984" s="149">
        <f t="shared" ca="1" si="354"/>
        <v>1.000173611111111</v>
      </c>
    </row>
    <row r="10985" spans="12:15" x14ac:dyDescent="0.25">
      <c r="L10985" s="147">
        <f ca="1"/>
        <v>56224</v>
      </c>
      <c r="M10985" s="92">
        <f t="shared" ca="1" si="353"/>
        <v>6.25</v>
      </c>
      <c r="N10985" s="143">
        <f ca="1">(PRODUCT($O$5:$O10985)-1)*36000/_xlfn.DAYS(L10985, $C$2)</f>
        <v>20.310494373988718</v>
      </c>
      <c r="O10985" s="149">
        <f t="shared" ca="1" si="354"/>
        <v>1.000173611111111</v>
      </c>
    </row>
    <row r="10986" spans="12:15" x14ac:dyDescent="0.25">
      <c r="L10986" s="147">
        <f ca="1"/>
        <v>56225</v>
      </c>
      <c r="M10986" s="92">
        <f t="shared" ca="1" si="353"/>
        <v>6.25</v>
      </c>
      <c r="N10986" s="143">
        <f ca="1">(PRODUCT($O$5:$O10986)-1)*36000/_xlfn.DAYS(L10986, $C$2)</f>
        <v>20.312739858568385</v>
      </c>
      <c r="O10986" s="149">
        <f t="shared" ca="1" si="354"/>
        <v>1.000173611111111</v>
      </c>
    </row>
    <row r="10987" spans="12:15" x14ac:dyDescent="0.25">
      <c r="L10987" s="147">
        <f ca="1"/>
        <v>56226</v>
      </c>
      <c r="M10987" s="92">
        <f t="shared" ca="1" si="353"/>
        <v>6.25</v>
      </c>
      <c r="N10987" s="143">
        <f ca="1">(PRODUCT($O$5:$O10987)-1)*36000/_xlfn.DAYS(L10987, $C$2)</f>
        <v>20.314985645104979</v>
      </c>
      <c r="O10987" s="149">
        <f t="shared" ca="1" si="354"/>
        <v>1.000173611111111</v>
      </c>
    </row>
    <row r="10988" spans="12:15" x14ac:dyDescent="0.25">
      <c r="L10988" s="147">
        <f ca="1"/>
        <v>56227</v>
      </c>
      <c r="M10988" s="92">
        <f t="shared" ca="1" si="353"/>
        <v>6.25</v>
      </c>
      <c r="N10988" s="143">
        <f ca="1">(PRODUCT($O$5:$O10988)-1)*36000/_xlfn.DAYS(L10988, $C$2)</f>
        <v>20.317231733639446</v>
      </c>
      <c r="O10988" s="149">
        <f t="shared" ca="1" si="354"/>
        <v>1.000173611111111</v>
      </c>
    </row>
    <row r="10989" spans="12:15" x14ac:dyDescent="0.25">
      <c r="L10989" s="147">
        <f ca="1"/>
        <v>56228</v>
      </c>
      <c r="M10989" s="92">
        <f t="shared" ca="1" si="353"/>
        <v>6.25</v>
      </c>
      <c r="N10989" s="143">
        <f ca="1">(PRODUCT($O$5:$O10989)-1)*36000/_xlfn.DAYS(L10989, $C$2)</f>
        <v>20.319478124212708</v>
      </c>
      <c r="O10989" s="149">
        <f t="shared" ca="1" si="354"/>
        <v>1.000173611111111</v>
      </c>
    </row>
    <row r="10990" spans="12:15" x14ac:dyDescent="0.25">
      <c r="L10990" s="147">
        <f ca="1"/>
        <v>56229</v>
      </c>
      <c r="M10990" s="92">
        <f t="shared" ca="1" si="353"/>
        <v>6.25</v>
      </c>
      <c r="N10990" s="143">
        <f ca="1">(PRODUCT($O$5:$O10990)-1)*36000/_xlfn.DAYS(L10990, $C$2)</f>
        <v>20.321724816865714</v>
      </c>
      <c r="O10990" s="149">
        <f t="shared" ca="1" si="354"/>
        <v>1.000173611111111</v>
      </c>
    </row>
    <row r="10991" spans="12:15" x14ac:dyDescent="0.25">
      <c r="L10991" s="147">
        <f ca="1"/>
        <v>56230</v>
      </c>
      <c r="M10991" s="92">
        <f t="shared" ca="1" si="353"/>
        <v>6.25</v>
      </c>
      <c r="N10991" s="143">
        <f ca="1">(PRODUCT($O$5:$O10991)-1)*36000/_xlfn.DAYS(L10991, $C$2)</f>
        <v>20.32397181163941</v>
      </c>
      <c r="O10991" s="149">
        <f t="shared" ca="1" si="354"/>
        <v>1.000173611111111</v>
      </c>
    </row>
    <row r="10992" spans="12:15" x14ac:dyDescent="0.25">
      <c r="L10992" s="147">
        <f ca="1"/>
        <v>56231</v>
      </c>
      <c r="M10992" s="92">
        <f t="shared" ca="1" si="353"/>
        <v>6.25</v>
      </c>
      <c r="N10992" s="143">
        <f ca="1">(PRODUCT($O$5:$O10992)-1)*36000/_xlfn.DAYS(L10992, $C$2)</f>
        <v>20.326219108574755</v>
      </c>
      <c r="O10992" s="149">
        <f t="shared" ca="1" si="354"/>
        <v>1.000173611111111</v>
      </c>
    </row>
    <row r="10993" spans="12:15" x14ac:dyDescent="0.25">
      <c r="L10993" s="147">
        <f ca="1"/>
        <v>56232</v>
      </c>
      <c r="M10993" s="92">
        <f t="shared" ca="1" si="353"/>
        <v>6.25</v>
      </c>
      <c r="N10993" s="143">
        <f ca="1">(PRODUCT($O$5:$O10993)-1)*36000/_xlfn.DAYS(L10993, $C$2)</f>
        <v>20.32846670771271</v>
      </c>
      <c r="O10993" s="149">
        <f t="shared" ca="1" si="354"/>
        <v>1.000173611111111</v>
      </c>
    </row>
    <row r="10994" spans="12:15" x14ac:dyDescent="0.25">
      <c r="L10994" s="147">
        <f ca="1"/>
        <v>56233</v>
      </c>
      <c r="M10994" s="92">
        <f t="shared" ca="1" si="353"/>
        <v>6.25</v>
      </c>
      <c r="N10994" s="143">
        <f ca="1">(PRODUCT($O$5:$O10994)-1)*36000/_xlfn.DAYS(L10994, $C$2)</f>
        <v>20.330714609094247</v>
      </c>
      <c r="O10994" s="149">
        <f t="shared" ca="1" si="354"/>
        <v>1.000173611111111</v>
      </c>
    </row>
    <row r="10995" spans="12:15" x14ac:dyDescent="0.25">
      <c r="L10995" s="147">
        <f ca="1"/>
        <v>56234</v>
      </c>
      <c r="M10995" s="92">
        <f t="shared" ca="1" si="353"/>
        <v>6.25</v>
      </c>
      <c r="N10995" s="143">
        <f ca="1">(PRODUCT($O$5:$O10995)-1)*36000/_xlfn.DAYS(L10995, $C$2)</f>
        <v>20.332962812760336</v>
      </c>
      <c r="O10995" s="149">
        <f t="shared" ca="1" si="354"/>
        <v>1.000173611111111</v>
      </c>
    </row>
    <row r="10996" spans="12:15" x14ac:dyDescent="0.25">
      <c r="L10996" s="147">
        <f ca="1"/>
        <v>56235</v>
      </c>
      <c r="M10996" s="92">
        <f t="shared" ca="1" si="353"/>
        <v>6.25</v>
      </c>
      <c r="N10996" s="143">
        <f ca="1">(PRODUCT($O$5:$O10996)-1)*36000/_xlfn.DAYS(L10996, $C$2)</f>
        <v>20.335211318751963</v>
      </c>
      <c r="O10996" s="149">
        <f t="shared" ca="1" si="354"/>
        <v>1.000173611111111</v>
      </c>
    </row>
    <row r="10997" spans="12:15" x14ac:dyDescent="0.25">
      <c r="L10997" s="147">
        <f ca="1"/>
        <v>56236</v>
      </c>
      <c r="M10997" s="92">
        <f t="shared" ca="1" si="353"/>
        <v>6.25</v>
      </c>
      <c r="N10997" s="143">
        <f ca="1">(PRODUCT($O$5:$O10997)-1)*36000/_xlfn.DAYS(L10997, $C$2)</f>
        <v>20.337460127110113</v>
      </c>
      <c r="O10997" s="149">
        <f t="shared" ca="1" si="354"/>
        <v>1.000173611111111</v>
      </c>
    </row>
    <row r="10998" spans="12:15" x14ac:dyDescent="0.25">
      <c r="L10998" s="147">
        <f ca="1"/>
        <v>56237</v>
      </c>
      <c r="M10998" s="92">
        <f t="shared" ca="1" si="353"/>
        <v>6.25</v>
      </c>
      <c r="N10998" s="143">
        <f ca="1">(PRODUCT($O$5:$O10998)-1)*36000/_xlfn.DAYS(L10998, $C$2)</f>
        <v>20.339709237875788</v>
      </c>
      <c r="O10998" s="149">
        <f t="shared" ca="1" si="354"/>
        <v>1.000173611111111</v>
      </c>
    </row>
    <row r="10999" spans="12:15" x14ac:dyDescent="0.25">
      <c r="L10999" s="147">
        <f ca="1"/>
        <v>56238</v>
      </c>
      <c r="M10999" s="92">
        <f t="shared" ca="1" si="353"/>
        <v>6.25</v>
      </c>
      <c r="N10999" s="143">
        <f ca="1">(PRODUCT($O$5:$O10999)-1)*36000/_xlfn.DAYS(L10999, $C$2)</f>
        <v>20.341958651089985</v>
      </c>
      <c r="O10999" s="149">
        <f t="shared" ca="1" si="354"/>
        <v>1.000173611111111</v>
      </c>
    </row>
    <row r="11000" spans="12:15" x14ac:dyDescent="0.25">
      <c r="L11000" s="147">
        <f ca="1"/>
        <v>56239</v>
      </c>
      <c r="M11000" s="92">
        <f t="shared" ca="1" si="353"/>
        <v>6.25</v>
      </c>
      <c r="N11000" s="143">
        <f ca="1">(PRODUCT($O$5:$O11000)-1)*36000/_xlfn.DAYS(L11000, $C$2)</f>
        <v>20.344208366793712</v>
      </c>
      <c r="O11000" s="149">
        <f t="shared" ca="1" si="354"/>
        <v>1.000173611111111</v>
      </c>
    </row>
    <row r="11001" spans="12:15" x14ac:dyDescent="0.25">
      <c r="L11001" s="147">
        <f ca="1"/>
        <v>56240</v>
      </c>
      <c r="M11001" s="92">
        <f t="shared" ca="1" si="353"/>
        <v>6.25</v>
      </c>
      <c r="N11001" s="143">
        <f ca="1">(PRODUCT($O$5:$O11001)-1)*36000/_xlfn.DAYS(L11001, $C$2)</f>
        <v>20.346458385027983</v>
      </c>
      <c r="O11001" s="149">
        <f t="shared" ca="1" si="354"/>
        <v>1.000173611111111</v>
      </c>
    </row>
    <row r="11002" spans="12:15" x14ac:dyDescent="0.25">
      <c r="L11002" s="147">
        <f ca="1"/>
        <v>56241</v>
      </c>
      <c r="M11002" s="92">
        <f t="shared" ca="1" si="353"/>
        <v>6.25</v>
      </c>
      <c r="N11002" s="143">
        <f ca="1">(PRODUCT($O$5:$O11002)-1)*36000/_xlfn.DAYS(L11002, $C$2)</f>
        <v>20.348708705833822</v>
      </c>
      <c r="O11002" s="149">
        <f t="shared" ca="1" si="354"/>
        <v>1.000173611111111</v>
      </c>
    </row>
    <row r="11003" spans="12:15" x14ac:dyDescent="0.25">
      <c r="L11003" s="147">
        <f ca="1"/>
        <v>56242</v>
      </c>
      <c r="M11003" s="92">
        <f t="shared" ca="1" si="353"/>
        <v>6.25</v>
      </c>
      <c r="N11003" s="143">
        <f ca="1">(PRODUCT($O$5:$O11003)-1)*36000/_xlfn.DAYS(L11003, $C$2)</f>
        <v>20.350959329252255</v>
      </c>
      <c r="O11003" s="149">
        <f t="shared" ca="1" si="354"/>
        <v>1.000173611111111</v>
      </c>
    </row>
    <row r="11004" spans="12:15" x14ac:dyDescent="0.25">
      <c r="L11004" s="147">
        <f ca="1"/>
        <v>56243</v>
      </c>
      <c r="M11004" s="92">
        <f t="shared" ca="1" si="353"/>
        <v>6.25</v>
      </c>
      <c r="N11004" s="143">
        <f ca="1">(PRODUCT($O$5:$O11004)-1)*36000/_xlfn.DAYS(L11004, $C$2)</f>
        <v>20.353210255324321</v>
      </c>
      <c r="O11004" s="149">
        <f t="shared" ca="1" si="354"/>
        <v>1.000173611111111</v>
      </c>
    </row>
    <row r="11005" spans="12:15" x14ac:dyDescent="0.25">
      <c r="L11005" s="147">
        <f ca="1"/>
        <v>56244</v>
      </c>
      <c r="M11005" s="92">
        <f t="shared" ca="1" si="353"/>
        <v>6.25</v>
      </c>
      <c r="N11005" s="143">
        <f ca="1">(PRODUCT($O$5:$O11005)-1)*36000/_xlfn.DAYS(L11005, $C$2)</f>
        <v>20.355461484091048</v>
      </c>
      <c r="O11005" s="149">
        <f t="shared" ca="1" si="354"/>
        <v>1.000173611111111</v>
      </c>
    </row>
    <row r="11006" spans="12:15" x14ac:dyDescent="0.25">
      <c r="L11006" s="147">
        <f ca="1"/>
        <v>56245</v>
      </c>
      <c r="M11006" s="92">
        <f t="shared" ca="1" si="353"/>
        <v>6.25</v>
      </c>
      <c r="N11006" s="143">
        <f ca="1">(PRODUCT($O$5:$O11006)-1)*36000/_xlfn.DAYS(L11006, $C$2)</f>
        <v>20.357713015593497</v>
      </c>
      <c r="O11006" s="149">
        <f t="shared" ca="1" si="354"/>
        <v>1.000173611111111</v>
      </c>
    </row>
    <row r="11007" spans="12:15" x14ac:dyDescent="0.25">
      <c r="L11007" s="147">
        <f ca="1"/>
        <v>56246</v>
      </c>
      <c r="M11007" s="92">
        <f t="shared" ca="1" si="353"/>
        <v>6.25</v>
      </c>
      <c r="N11007" s="143">
        <f ca="1">(PRODUCT($O$5:$O11007)-1)*36000/_xlfn.DAYS(L11007, $C$2)</f>
        <v>20.359964849872714</v>
      </c>
      <c r="O11007" s="149">
        <f t="shared" ca="1" si="354"/>
        <v>1.000173611111111</v>
      </c>
    </row>
    <row r="11008" spans="12:15" x14ac:dyDescent="0.25">
      <c r="L11008" s="147">
        <f ca="1"/>
        <v>56247</v>
      </c>
      <c r="M11008" s="92">
        <f t="shared" ca="1" si="353"/>
        <v>6.25</v>
      </c>
      <c r="N11008" s="143">
        <f ca="1">(PRODUCT($O$5:$O11008)-1)*36000/_xlfn.DAYS(L11008, $C$2)</f>
        <v>20.362216986969763</v>
      </c>
      <c r="O11008" s="149">
        <f t="shared" ca="1" si="354"/>
        <v>1.000173611111111</v>
      </c>
    </row>
    <row r="11009" spans="12:15" x14ac:dyDescent="0.25">
      <c r="L11009" s="147">
        <f ca="1"/>
        <v>56248</v>
      </c>
      <c r="M11009" s="92">
        <f t="shared" ca="1" si="353"/>
        <v>6.25</v>
      </c>
      <c r="N11009" s="143">
        <f ca="1">(PRODUCT($O$5:$O11009)-1)*36000/_xlfn.DAYS(L11009, $C$2)</f>
        <v>20.364469426925712</v>
      </c>
      <c r="O11009" s="149">
        <f t="shared" ca="1" si="354"/>
        <v>1.000173611111111</v>
      </c>
    </row>
    <row r="11010" spans="12:15" x14ac:dyDescent="0.25">
      <c r="L11010" s="147">
        <f ca="1"/>
        <v>56249</v>
      </c>
      <c r="M11010" s="92">
        <f t="shared" ca="1" si="353"/>
        <v>6.25</v>
      </c>
      <c r="N11010" s="143">
        <f ca="1">(PRODUCT($O$5:$O11010)-1)*36000/_xlfn.DAYS(L11010, $C$2)</f>
        <v>20.366722169781632</v>
      </c>
      <c r="O11010" s="149">
        <f t="shared" ca="1" si="354"/>
        <v>1.000173611111111</v>
      </c>
    </row>
    <row r="11011" spans="12:15" x14ac:dyDescent="0.25">
      <c r="L11011" s="147">
        <f ca="1"/>
        <v>56250</v>
      </c>
      <c r="M11011" s="92">
        <f t="shared" ca="1" si="353"/>
        <v>6.25</v>
      </c>
      <c r="N11011" s="143">
        <f ca="1">(PRODUCT($O$5:$O11011)-1)*36000/_xlfn.DAYS(L11011, $C$2)</f>
        <v>20.368975215578601</v>
      </c>
      <c r="O11011" s="149">
        <f t="shared" ca="1" si="354"/>
        <v>1.000173611111111</v>
      </c>
    </row>
    <row r="11012" spans="12:15" x14ac:dyDescent="0.25">
      <c r="L11012" s="147">
        <f ca="1"/>
        <v>56251</v>
      </c>
      <c r="M11012" s="92">
        <f t="shared" ca="1" si="353"/>
        <v>6.25</v>
      </c>
      <c r="N11012" s="143">
        <f ca="1">(PRODUCT($O$5:$O11012)-1)*36000/_xlfn.DAYS(L11012, $C$2)</f>
        <v>20.371228564357708</v>
      </c>
      <c r="O11012" s="149">
        <f t="shared" ca="1" si="354"/>
        <v>1.000173611111111</v>
      </c>
    </row>
    <row r="11013" spans="12:15" x14ac:dyDescent="0.25">
      <c r="L11013" s="147">
        <f ca="1"/>
        <v>56252</v>
      </c>
      <c r="M11013" s="92">
        <f t="shared" ref="M11013:M11076" ca="1" si="355">IFERROR(INDEX($E$27:$H$47, MATCH(L11013, $F$27:$F$47, 0), 4), IF(ISNUMBER(M11012), M11012, $C$5))</f>
        <v>6.25</v>
      </c>
      <c r="N11013" s="143">
        <f ca="1">(PRODUCT($O$5:$O11013)-1)*36000/_xlfn.DAYS(L11013, $C$2)</f>
        <v>20.373482216160049</v>
      </c>
      <c r="O11013" s="149">
        <f t="shared" ca="1" si="354"/>
        <v>1.000173611111111</v>
      </c>
    </row>
    <row r="11014" spans="12:15" x14ac:dyDescent="0.25">
      <c r="L11014" s="147">
        <f ca="1"/>
        <v>56253</v>
      </c>
      <c r="M11014" s="92">
        <f t="shared" ca="1" si="355"/>
        <v>6.25</v>
      </c>
      <c r="N11014" s="143">
        <f ca="1">(PRODUCT($O$5:$O11014)-1)*36000/_xlfn.DAYS(L11014, $C$2)</f>
        <v>20.375736171026716</v>
      </c>
      <c r="O11014" s="149">
        <f t="shared" ref="O11014:O11077" ca="1" si="356">1+M11014*IFERROR(_xlfn.DAYS(L11014, L11013), _xlfn.DAYS(L11014, $C$2))/36000</f>
        <v>1.000173611111111</v>
      </c>
    </row>
    <row r="11015" spans="12:15" x14ac:dyDescent="0.25">
      <c r="L11015" s="147">
        <f ca="1"/>
        <v>56254</v>
      </c>
      <c r="M11015" s="92">
        <f t="shared" ca="1" si="355"/>
        <v>6.25</v>
      </c>
      <c r="N11015" s="143">
        <f ca="1">(PRODUCT($O$5:$O11015)-1)*36000/_xlfn.DAYS(L11015, $C$2)</f>
        <v>20.377990428998821</v>
      </c>
      <c r="O11015" s="149">
        <f t="shared" ca="1" si="356"/>
        <v>1.000173611111111</v>
      </c>
    </row>
    <row r="11016" spans="12:15" x14ac:dyDescent="0.25">
      <c r="L11016" s="147">
        <f ca="1"/>
        <v>56255</v>
      </c>
      <c r="M11016" s="92">
        <f t="shared" ca="1" si="355"/>
        <v>6.25</v>
      </c>
      <c r="N11016" s="143">
        <f ca="1">(PRODUCT($O$5:$O11016)-1)*36000/_xlfn.DAYS(L11016, $C$2)</f>
        <v>20.380244990117479</v>
      </c>
      <c r="O11016" s="149">
        <f t="shared" ca="1" si="356"/>
        <v>1.000173611111111</v>
      </c>
    </row>
    <row r="11017" spans="12:15" x14ac:dyDescent="0.25">
      <c r="L11017" s="147">
        <f ca="1"/>
        <v>56256</v>
      </c>
      <c r="M11017" s="92">
        <f t="shared" ca="1" si="355"/>
        <v>6.25</v>
      </c>
      <c r="N11017" s="143">
        <f ca="1">(PRODUCT($O$5:$O11017)-1)*36000/_xlfn.DAYS(L11017, $C$2)</f>
        <v>20.382499854423802</v>
      </c>
      <c r="O11017" s="149">
        <f t="shared" ca="1" si="356"/>
        <v>1.000173611111111</v>
      </c>
    </row>
    <row r="11018" spans="12:15" x14ac:dyDescent="0.25">
      <c r="L11018" s="147">
        <f ca="1"/>
        <v>56257</v>
      </c>
      <c r="M11018" s="92">
        <f t="shared" ca="1" si="355"/>
        <v>6.25</v>
      </c>
      <c r="N11018" s="143">
        <f ca="1">(PRODUCT($O$5:$O11018)-1)*36000/_xlfn.DAYS(L11018, $C$2)</f>
        <v>20.38475502195892</v>
      </c>
      <c r="O11018" s="149">
        <f t="shared" ca="1" si="356"/>
        <v>1.000173611111111</v>
      </c>
    </row>
    <row r="11019" spans="12:15" x14ac:dyDescent="0.25">
      <c r="L11019" s="147">
        <f ca="1"/>
        <v>56258</v>
      </c>
      <c r="M11019" s="92">
        <f t="shared" ca="1" si="355"/>
        <v>6.25</v>
      </c>
      <c r="N11019" s="143">
        <f ca="1">(PRODUCT($O$5:$O11019)-1)*36000/_xlfn.DAYS(L11019, $C$2)</f>
        <v>20.387010492763967</v>
      </c>
      <c r="O11019" s="149">
        <f t="shared" ca="1" si="356"/>
        <v>1.000173611111111</v>
      </c>
    </row>
    <row r="11020" spans="12:15" x14ac:dyDescent="0.25">
      <c r="L11020" s="147">
        <f ca="1"/>
        <v>56259</v>
      </c>
      <c r="M11020" s="92">
        <f t="shared" ca="1" si="355"/>
        <v>6.25</v>
      </c>
      <c r="N11020" s="143">
        <f ca="1">(PRODUCT($O$5:$O11020)-1)*36000/_xlfn.DAYS(L11020, $C$2)</f>
        <v>20.389266266880078</v>
      </c>
      <c r="O11020" s="149">
        <f t="shared" ca="1" si="356"/>
        <v>1.000173611111111</v>
      </c>
    </row>
    <row r="11021" spans="12:15" x14ac:dyDescent="0.25">
      <c r="L11021" s="147">
        <f ca="1"/>
        <v>56260</v>
      </c>
      <c r="M11021" s="92">
        <f t="shared" ca="1" si="355"/>
        <v>6.25</v>
      </c>
      <c r="N11021" s="143">
        <f ca="1">(PRODUCT($O$5:$O11021)-1)*36000/_xlfn.DAYS(L11021, $C$2)</f>
        <v>20.391522344348399</v>
      </c>
      <c r="O11021" s="149">
        <f t="shared" ca="1" si="356"/>
        <v>1.000173611111111</v>
      </c>
    </row>
    <row r="11022" spans="12:15" x14ac:dyDescent="0.25">
      <c r="L11022" s="147">
        <f ca="1"/>
        <v>56261</v>
      </c>
      <c r="M11022" s="92">
        <f t="shared" ca="1" si="355"/>
        <v>6.25</v>
      </c>
      <c r="N11022" s="143">
        <f ca="1">(PRODUCT($O$5:$O11022)-1)*36000/_xlfn.DAYS(L11022, $C$2)</f>
        <v>20.393778725210087</v>
      </c>
      <c r="O11022" s="149">
        <f t="shared" ca="1" si="356"/>
        <v>1.000173611111111</v>
      </c>
    </row>
    <row r="11023" spans="12:15" x14ac:dyDescent="0.25">
      <c r="L11023" s="147">
        <f ca="1"/>
        <v>56262</v>
      </c>
      <c r="M11023" s="92">
        <f t="shared" ca="1" si="355"/>
        <v>6.25</v>
      </c>
      <c r="N11023" s="143">
        <f ca="1">(PRODUCT($O$5:$O11023)-1)*36000/_xlfn.DAYS(L11023, $C$2)</f>
        <v>20.396035409506293</v>
      </c>
      <c r="O11023" s="149">
        <f t="shared" ca="1" si="356"/>
        <v>1.000173611111111</v>
      </c>
    </row>
    <row r="11024" spans="12:15" x14ac:dyDescent="0.25">
      <c r="L11024" s="147">
        <f ca="1"/>
        <v>56263</v>
      </c>
      <c r="M11024" s="92">
        <f t="shared" ca="1" si="355"/>
        <v>6.25</v>
      </c>
      <c r="N11024" s="143">
        <f ca="1">(PRODUCT($O$5:$O11024)-1)*36000/_xlfn.DAYS(L11024, $C$2)</f>
        <v>20.398292397278183</v>
      </c>
      <c r="O11024" s="149">
        <f t="shared" ca="1" si="356"/>
        <v>1.000173611111111</v>
      </c>
    </row>
    <row r="11025" spans="12:15" x14ac:dyDescent="0.25">
      <c r="L11025" s="147">
        <f ca="1"/>
        <v>56264</v>
      </c>
      <c r="M11025" s="92">
        <f t="shared" ca="1" si="355"/>
        <v>6.25</v>
      </c>
      <c r="N11025" s="143">
        <f ca="1">(PRODUCT($O$5:$O11025)-1)*36000/_xlfn.DAYS(L11025, $C$2)</f>
        <v>20.400549688566937</v>
      </c>
      <c r="O11025" s="149">
        <f t="shared" ca="1" si="356"/>
        <v>1.000173611111111</v>
      </c>
    </row>
    <row r="11026" spans="12:15" x14ac:dyDescent="0.25">
      <c r="L11026" s="147">
        <f ca="1"/>
        <v>56265</v>
      </c>
      <c r="M11026" s="92">
        <f t="shared" ca="1" si="355"/>
        <v>6.25</v>
      </c>
      <c r="N11026" s="143">
        <f ca="1">(PRODUCT($O$5:$O11026)-1)*36000/_xlfn.DAYS(L11026, $C$2)</f>
        <v>20.402807283413722</v>
      </c>
      <c r="O11026" s="149">
        <f t="shared" ca="1" si="356"/>
        <v>1.000173611111111</v>
      </c>
    </row>
    <row r="11027" spans="12:15" x14ac:dyDescent="0.25">
      <c r="L11027" s="147">
        <f ca="1"/>
        <v>56266</v>
      </c>
      <c r="M11027" s="92">
        <f t="shared" ca="1" si="355"/>
        <v>6.25</v>
      </c>
      <c r="N11027" s="143">
        <f ca="1">(PRODUCT($O$5:$O11027)-1)*36000/_xlfn.DAYS(L11027, $C$2)</f>
        <v>20.40506518185973</v>
      </c>
      <c r="O11027" s="149">
        <f t="shared" ca="1" si="356"/>
        <v>1.000173611111111</v>
      </c>
    </row>
    <row r="11028" spans="12:15" x14ac:dyDescent="0.25">
      <c r="L11028" s="147">
        <f ca="1"/>
        <v>56267</v>
      </c>
      <c r="M11028" s="92">
        <f t="shared" ca="1" si="355"/>
        <v>6.25</v>
      </c>
      <c r="N11028" s="143">
        <f ca="1">(PRODUCT($O$5:$O11028)-1)*36000/_xlfn.DAYS(L11028, $C$2)</f>
        <v>20.407323383946149</v>
      </c>
      <c r="O11028" s="149">
        <f t="shared" ca="1" si="356"/>
        <v>1.000173611111111</v>
      </c>
    </row>
    <row r="11029" spans="12:15" x14ac:dyDescent="0.25">
      <c r="L11029" s="147">
        <f ca="1"/>
        <v>56268</v>
      </c>
      <c r="M11029" s="92">
        <f t="shared" ca="1" si="355"/>
        <v>6.25</v>
      </c>
      <c r="N11029" s="143">
        <f ca="1">(PRODUCT($O$5:$O11029)-1)*36000/_xlfn.DAYS(L11029, $C$2)</f>
        <v>20.409581889714183</v>
      </c>
      <c r="O11029" s="149">
        <f t="shared" ca="1" si="356"/>
        <v>1.000173611111111</v>
      </c>
    </row>
    <row r="11030" spans="12:15" x14ac:dyDescent="0.25">
      <c r="L11030" s="147">
        <f ca="1"/>
        <v>56269</v>
      </c>
      <c r="M11030" s="92">
        <f t="shared" ca="1" si="355"/>
        <v>6.25</v>
      </c>
      <c r="N11030" s="143">
        <f ca="1">(PRODUCT($O$5:$O11030)-1)*36000/_xlfn.DAYS(L11030, $C$2)</f>
        <v>20.411840699205023</v>
      </c>
      <c r="O11030" s="149">
        <f t="shared" ca="1" si="356"/>
        <v>1.000173611111111</v>
      </c>
    </row>
    <row r="11031" spans="12:15" x14ac:dyDescent="0.25">
      <c r="L11031" s="147">
        <f ca="1"/>
        <v>56270</v>
      </c>
      <c r="M11031" s="92">
        <f t="shared" ca="1" si="355"/>
        <v>6.25</v>
      </c>
      <c r="N11031" s="143">
        <f ca="1">(PRODUCT($O$5:$O11031)-1)*36000/_xlfn.DAYS(L11031, $C$2)</f>
        <v>20.414099812459892</v>
      </c>
      <c r="O11031" s="149">
        <f t="shared" ca="1" si="356"/>
        <v>1.000173611111111</v>
      </c>
    </row>
    <row r="11032" spans="12:15" x14ac:dyDescent="0.25">
      <c r="L11032" s="147">
        <f ca="1"/>
        <v>56271</v>
      </c>
      <c r="M11032" s="92">
        <f t="shared" ca="1" si="355"/>
        <v>6.25</v>
      </c>
      <c r="N11032" s="143">
        <f ca="1">(PRODUCT($O$5:$O11032)-1)*36000/_xlfn.DAYS(L11032, $C$2)</f>
        <v>20.416359229520005</v>
      </c>
      <c r="O11032" s="149">
        <f t="shared" ca="1" si="356"/>
        <v>1.000173611111111</v>
      </c>
    </row>
    <row r="11033" spans="12:15" x14ac:dyDescent="0.25">
      <c r="L11033" s="147">
        <f ca="1"/>
        <v>56272</v>
      </c>
      <c r="M11033" s="92">
        <f t="shared" ca="1" si="355"/>
        <v>6.25</v>
      </c>
      <c r="N11033" s="143">
        <f ca="1">(PRODUCT($O$5:$O11033)-1)*36000/_xlfn.DAYS(L11033, $C$2)</f>
        <v>20.41861895042658</v>
      </c>
      <c r="O11033" s="149">
        <f t="shared" ca="1" si="356"/>
        <v>1.000173611111111</v>
      </c>
    </row>
    <row r="11034" spans="12:15" x14ac:dyDescent="0.25">
      <c r="L11034" s="147">
        <f ca="1"/>
        <v>56273</v>
      </c>
      <c r="M11034" s="92">
        <f t="shared" ca="1" si="355"/>
        <v>6.25</v>
      </c>
      <c r="N11034" s="143">
        <f ca="1">(PRODUCT($O$5:$O11034)-1)*36000/_xlfn.DAYS(L11034, $C$2)</f>
        <v>20.420878975220855</v>
      </c>
      <c r="O11034" s="149">
        <f t="shared" ca="1" si="356"/>
        <v>1.000173611111111</v>
      </c>
    </row>
    <row r="11035" spans="12:15" x14ac:dyDescent="0.25">
      <c r="L11035" s="147">
        <f ca="1"/>
        <v>56274</v>
      </c>
      <c r="M11035" s="92">
        <f t="shared" ca="1" si="355"/>
        <v>6.25</v>
      </c>
      <c r="N11035" s="143">
        <f ca="1">(PRODUCT($O$5:$O11035)-1)*36000/_xlfn.DAYS(L11035, $C$2)</f>
        <v>20.423139303944062</v>
      </c>
      <c r="O11035" s="149">
        <f t="shared" ca="1" si="356"/>
        <v>1.000173611111111</v>
      </c>
    </row>
    <row r="11036" spans="12:15" x14ac:dyDescent="0.25">
      <c r="L11036" s="147">
        <f ca="1"/>
        <v>56275</v>
      </c>
      <c r="M11036" s="92">
        <f t="shared" ca="1" si="355"/>
        <v>6.25</v>
      </c>
      <c r="N11036" s="143">
        <f ca="1">(PRODUCT($O$5:$O11036)-1)*36000/_xlfn.DAYS(L11036, $C$2)</f>
        <v>20.425399936637451</v>
      </c>
      <c r="O11036" s="149">
        <f t="shared" ca="1" si="356"/>
        <v>1.000173611111111</v>
      </c>
    </row>
    <row r="11037" spans="12:15" x14ac:dyDescent="0.25">
      <c r="L11037" s="147">
        <f ca="1"/>
        <v>56276</v>
      </c>
      <c r="M11037" s="92">
        <f t="shared" ca="1" si="355"/>
        <v>6.25</v>
      </c>
      <c r="N11037" s="143">
        <f ca="1">(PRODUCT($O$5:$O11037)-1)*36000/_xlfn.DAYS(L11037, $C$2)</f>
        <v>20.427660873342262</v>
      </c>
      <c r="O11037" s="149">
        <f t="shared" ca="1" si="356"/>
        <v>1.000173611111111</v>
      </c>
    </row>
    <row r="11038" spans="12:15" x14ac:dyDescent="0.25">
      <c r="L11038" s="147">
        <f ca="1"/>
        <v>56277</v>
      </c>
      <c r="M11038" s="92">
        <f t="shared" ca="1" si="355"/>
        <v>6.25</v>
      </c>
      <c r="N11038" s="143">
        <f ca="1">(PRODUCT($O$5:$O11038)-1)*36000/_xlfn.DAYS(L11038, $C$2)</f>
        <v>20.429922114099757</v>
      </c>
      <c r="O11038" s="149">
        <f t="shared" ca="1" si="356"/>
        <v>1.000173611111111</v>
      </c>
    </row>
    <row r="11039" spans="12:15" x14ac:dyDescent="0.25">
      <c r="L11039" s="147">
        <f ca="1"/>
        <v>56278</v>
      </c>
      <c r="M11039" s="92">
        <f t="shared" ca="1" si="355"/>
        <v>6.25</v>
      </c>
      <c r="N11039" s="143">
        <f ca="1">(PRODUCT($O$5:$O11039)-1)*36000/_xlfn.DAYS(L11039, $C$2)</f>
        <v>20.432183658951203</v>
      </c>
      <c r="O11039" s="149">
        <f t="shared" ca="1" si="356"/>
        <v>1.000173611111111</v>
      </c>
    </row>
    <row r="11040" spans="12:15" x14ac:dyDescent="0.25">
      <c r="L11040" s="147">
        <f ca="1"/>
        <v>56279</v>
      </c>
      <c r="M11040" s="92">
        <f t="shared" ca="1" si="355"/>
        <v>6.25</v>
      </c>
      <c r="N11040" s="143">
        <f ca="1">(PRODUCT($O$5:$O11040)-1)*36000/_xlfn.DAYS(L11040, $C$2)</f>
        <v>20.434445507937863</v>
      </c>
      <c r="O11040" s="149">
        <f t="shared" ca="1" si="356"/>
        <v>1.000173611111111</v>
      </c>
    </row>
    <row r="11041" spans="12:15" x14ac:dyDescent="0.25">
      <c r="L11041" s="147">
        <f ca="1"/>
        <v>56280</v>
      </c>
      <c r="M11041" s="92">
        <f t="shared" ca="1" si="355"/>
        <v>6.25</v>
      </c>
      <c r="N11041" s="143">
        <f ca="1">(PRODUCT($O$5:$O11041)-1)*36000/_xlfn.DAYS(L11041, $C$2)</f>
        <v>20.436707661101021</v>
      </c>
      <c r="O11041" s="149">
        <f t="shared" ca="1" si="356"/>
        <v>1.000173611111111</v>
      </c>
    </row>
    <row r="11042" spans="12:15" x14ac:dyDescent="0.25">
      <c r="L11042" s="147">
        <f ca="1"/>
        <v>56281</v>
      </c>
      <c r="M11042" s="92">
        <f t="shared" ca="1" si="355"/>
        <v>6.25</v>
      </c>
      <c r="N11042" s="143">
        <f ca="1">(PRODUCT($O$5:$O11042)-1)*36000/_xlfn.DAYS(L11042, $C$2)</f>
        <v>20.438970118481954</v>
      </c>
      <c r="O11042" s="149">
        <f t="shared" ca="1" si="356"/>
        <v>1.000173611111111</v>
      </c>
    </row>
    <row r="11043" spans="12:15" x14ac:dyDescent="0.25">
      <c r="L11043" s="147">
        <f ca="1"/>
        <v>56282</v>
      </c>
      <c r="M11043" s="92">
        <f t="shared" ca="1" si="355"/>
        <v>6.25</v>
      </c>
      <c r="N11043" s="143">
        <f ca="1">(PRODUCT($O$5:$O11043)-1)*36000/_xlfn.DAYS(L11043, $C$2)</f>
        <v>20.441232880121959</v>
      </c>
      <c r="O11043" s="149">
        <f t="shared" ca="1" si="356"/>
        <v>1.000173611111111</v>
      </c>
    </row>
    <row r="11044" spans="12:15" x14ac:dyDescent="0.25">
      <c r="L11044" s="147">
        <f ca="1"/>
        <v>56283</v>
      </c>
      <c r="M11044" s="92">
        <f t="shared" ca="1" si="355"/>
        <v>6.25</v>
      </c>
      <c r="N11044" s="143">
        <f ca="1">(PRODUCT($O$5:$O11044)-1)*36000/_xlfn.DAYS(L11044, $C$2)</f>
        <v>20.44349594606232</v>
      </c>
      <c r="O11044" s="149">
        <f t="shared" ca="1" si="356"/>
        <v>1.000173611111111</v>
      </c>
    </row>
    <row r="11045" spans="12:15" x14ac:dyDescent="0.25">
      <c r="L11045" s="147">
        <f ca="1"/>
        <v>56284</v>
      </c>
      <c r="M11045" s="92">
        <f t="shared" ca="1" si="355"/>
        <v>6.25</v>
      </c>
      <c r="N11045" s="143">
        <f ca="1">(PRODUCT($O$5:$O11045)-1)*36000/_xlfn.DAYS(L11045, $C$2)</f>
        <v>20.445759316344347</v>
      </c>
      <c r="O11045" s="149">
        <f t="shared" ca="1" si="356"/>
        <v>1.000173611111111</v>
      </c>
    </row>
    <row r="11046" spans="12:15" x14ac:dyDescent="0.25">
      <c r="L11046" s="147">
        <f ca="1"/>
        <v>56285</v>
      </c>
      <c r="M11046" s="92">
        <f t="shared" ca="1" si="355"/>
        <v>6.25</v>
      </c>
      <c r="N11046" s="143">
        <f ca="1">(PRODUCT($O$5:$O11046)-1)*36000/_xlfn.DAYS(L11046, $C$2)</f>
        <v>20.448022991009353</v>
      </c>
      <c r="O11046" s="149">
        <f t="shared" ca="1" si="356"/>
        <v>1.000173611111111</v>
      </c>
    </row>
    <row r="11047" spans="12:15" x14ac:dyDescent="0.25">
      <c r="L11047" s="147">
        <f ca="1"/>
        <v>56286</v>
      </c>
      <c r="M11047" s="92">
        <f t="shared" ca="1" si="355"/>
        <v>6.25</v>
      </c>
      <c r="N11047" s="143">
        <f ca="1">(PRODUCT($O$5:$O11047)-1)*36000/_xlfn.DAYS(L11047, $C$2)</f>
        <v>20.450286970098645</v>
      </c>
      <c r="O11047" s="149">
        <f t="shared" ca="1" si="356"/>
        <v>1.000173611111111</v>
      </c>
    </row>
    <row r="11048" spans="12:15" x14ac:dyDescent="0.25">
      <c r="L11048" s="147">
        <f ca="1"/>
        <v>56287</v>
      </c>
      <c r="M11048" s="92">
        <f t="shared" ca="1" si="355"/>
        <v>6.25</v>
      </c>
      <c r="N11048" s="143">
        <f ca="1">(PRODUCT($O$5:$O11048)-1)*36000/_xlfn.DAYS(L11048, $C$2)</f>
        <v>20.452551253653546</v>
      </c>
      <c r="O11048" s="149">
        <f t="shared" ca="1" si="356"/>
        <v>1.000173611111111</v>
      </c>
    </row>
    <row r="11049" spans="12:15" x14ac:dyDescent="0.25">
      <c r="L11049" s="147">
        <f ca="1"/>
        <v>56288</v>
      </c>
      <c r="M11049" s="92">
        <f t="shared" ca="1" si="355"/>
        <v>6.25</v>
      </c>
      <c r="N11049" s="143">
        <f ca="1">(PRODUCT($O$5:$O11049)-1)*36000/_xlfn.DAYS(L11049, $C$2)</f>
        <v>20.454815841715391</v>
      </c>
      <c r="O11049" s="149">
        <f t="shared" ca="1" si="356"/>
        <v>1.000173611111111</v>
      </c>
    </row>
    <row r="11050" spans="12:15" x14ac:dyDescent="0.25">
      <c r="L11050" s="147">
        <f ca="1"/>
        <v>56289</v>
      </c>
      <c r="M11050" s="92">
        <f t="shared" ca="1" si="355"/>
        <v>6.25</v>
      </c>
      <c r="N11050" s="143">
        <f ca="1">(PRODUCT($O$5:$O11050)-1)*36000/_xlfn.DAYS(L11050, $C$2)</f>
        <v>20.457080734325512</v>
      </c>
      <c r="O11050" s="149">
        <f t="shared" ca="1" si="356"/>
        <v>1.000173611111111</v>
      </c>
    </row>
    <row r="11051" spans="12:15" x14ac:dyDescent="0.25">
      <c r="L11051" s="147">
        <f ca="1"/>
        <v>56290</v>
      </c>
      <c r="M11051" s="92">
        <f t="shared" ca="1" si="355"/>
        <v>6.25</v>
      </c>
      <c r="N11051" s="143">
        <f ca="1">(PRODUCT($O$5:$O11051)-1)*36000/_xlfn.DAYS(L11051, $C$2)</f>
        <v>20.459345931525252</v>
      </c>
      <c r="O11051" s="149">
        <f t="shared" ca="1" si="356"/>
        <v>1.000173611111111</v>
      </c>
    </row>
    <row r="11052" spans="12:15" x14ac:dyDescent="0.25">
      <c r="L11052" s="147">
        <f ca="1"/>
        <v>56291</v>
      </c>
      <c r="M11052" s="92">
        <f t="shared" ca="1" si="355"/>
        <v>6.25</v>
      </c>
      <c r="N11052" s="143">
        <f ca="1">(PRODUCT($O$5:$O11052)-1)*36000/_xlfn.DAYS(L11052, $C$2)</f>
        <v>20.461611433355962</v>
      </c>
      <c r="O11052" s="149">
        <f t="shared" ca="1" si="356"/>
        <v>1.000173611111111</v>
      </c>
    </row>
    <row r="11053" spans="12:15" x14ac:dyDescent="0.25">
      <c r="L11053" s="147">
        <f ca="1"/>
        <v>56292</v>
      </c>
      <c r="M11053" s="92">
        <f t="shared" ca="1" si="355"/>
        <v>6.25</v>
      </c>
      <c r="N11053" s="143">
        <f ca="1">(PRODUCT($O$5:$O11053)-1)*36000/_xlfn.DAYS(L11053, $C$2)</f>
        <v>20.463877239858995</v>
      </c>
      <c r="O11053" s="149">
        <f t="shared" ca="1" si="356"/>
        <v>1.000173611111111</v>
      </c>
    </row>
    <row r="11054" spans="12:15" x14ac:dyDescent="0.25">
      <c r="L11054" s="147">
        <f ca="1"/>
        <v>56293</v>
      </c>
      <c r="M11054" s="92">
        <f t="shared" ca="1" si="355"/>
        <v>6.25</v>
      </c>
      <c r="N11054" s="143">
        <f ca="1">(PRODUCT($O$5:$O11054)-1)*36000/_xlfn.DAYS(L11054, $C$2)</f>
        <v>20.466143351075708</v>
      </c>
      <c r="O11054" s="149">
        <f t="shared" ca="1" si="356"/>
        <v>1.000173611111111</v>
      </c>
    </row>
    <row r="11055" spans="12:15" x14ac:dyDescent="0.25">
      <c r="L11055" s="147">
        <f ca="1"/>
        <v>56294</v>
      </c>
      <c r="M11055" s="92">
        <f t="shared" ca="1" si="355"/>
        <v>6.25</v>
      </c>
      <c r="N11055" s="143">
        <f ca="1">(PRODUCT($O$5:$O11055)-1)*36000/_xlfn.DAYS(L11055, $C$2)</f>
        <v>20.468409767047476</v>
      </c>
      <c r="O11055" s="149">
        <f t="shared" ca="1" si="356"/>
        <v>1.000173611111111</v>
      </c>
    </row>
    <row r="11056" spans="12:15" x14ac:dyDescent="0.25">
      <c r="L11056" s="147">
        <f ca="1"/>
        <v>56295</v>
      </c>
      <c r="M11056" s="92">
        <f t="shared" ca="1" si="355"/>
        <v>6.25</v>
      </c>
      <c r="N11056" s="143">
        <f ca="1">(PRODUCT($O$5:$O11056)-1)*36000/_xlfn.DAYS(L11056, $C$2)</f>
        <v>20.47067648781567</v>
      </c>
      <c r="O11056" s="149">
        <f t="shared" ca="1" si="356"/>
        <v>1.000173611111111</v>
      </c>
    </row>
    <row r="11057" spans="12:15" x14ac:dyDescent="0.25">
      <c r="L11057" s="147">
        <f ca="1"/>
        <v>56296</v>
      </c>
      <c r="M11057" s="92">
        <f t="shared" ca="1" si="355"/>
        <v>6.25</v>
      </c>
      <c r="N11057" s="143">
        <f ca="1">(PRODUCT($O$5:$O11057)-1)*36000/_xlfn.DAYS(L11057, $C$2)</f>
        <v>20.472943513421672</v>
      </c>
      <c r="O11057" s="149">
        <f t="shared" ca="1" si="356"/>
        <v>1.000173611111111</v>
      </c>
    </row>
    <row r="11058" spans="12:15" x14ac:dyDescent="0.25">
      <c r="L11058" s="147">
        <f ca="1"/>
        <v>56297</v>
      </c>
      <c r="M11058" s="92">
        <f t="shared" ca="1" si="355"/>
        <v>6.25</v>
      </c>
      <c r="N11058" s="143">
        <f ca="1">(PRODUCT($O$5:$O11058)-1)*36000/_xlfn.DAYS(L11058, $C$2)</f>
        <v>20.475210843906872</v>
      </c>
      <c r="O11058" s="149">
        <f t="shared" ca="1" si="356"/>
        <v>1.000173611111111</v>
      </c>
    </row>
    <row r="11059" spans="12:15" x14ac:dyDescent="0.25">
      <c r="L11059" s="147">
        <f ca="1"/>
        <v>56298</v>
      </c>
      <c r="M11059" s="92">
        <f t="shared" ca="1" si="355"/>
        <v>6.25</v>
      </c>
      <c r="N11059" s="143">
        <f ca="1">(PRODUCT($O$5:$O11059)-1)*36000/_xlfn.DAYS(L11059, $C$2)</f>
        <v>20.477478479312662</v>
      </c>
      <c r="O11059" s="149">
        <f t="shared" ca="1" si="356"/>
        <v>1.000173611111111</v>
      </c>
    </row>
    <row r="11060" spans="12:15" x14ac:dyDescent="0.25">
      <c r="L11060" s="147">
        <f ca="1"/>
        <v>56299</v>
      </c>
      <c r="M11060" s="92">
        <f t="shared" ca="1" si="355"/>
        <v>6.25</v>
      </c>
      <c r="N11060" s="143">
        <f ca="1">(PRODUCT($O$5:$O11060)-1)*36000/_xlfn.DAYS(L11060, $C$2)</f>
        <v>20.479746419680449</v>
      </c>
      <c r="O11060" s="149">
        <f t="shared" ca="1" si="356"/>
        <v>1.000173611111111</v>
      </c>
    </row>
    <row r="11061" spans="12:15" x14ac:dyDescent="0.25">
      <c r="L11061" s="147">
        <f ca="1"/>
        <v>56300</v>
      </c>
      <c r="M11061" s="92">
        <f t="shared" ca="1" si="355"/>
        <v>6.25</v>
      </c>
      <c r="N11061" s="143">
        <f ca="1">(PRODUCT($O$5:$O11061)-1)*36000/_xlfn.DAYS(L11061, $C$2)</f>
        <v>20.482014665051633</v>
      </c>
      <c r="O11061" s="149">
        <f t="shared" ca="1" si="356"/>
        <v>1.000173611111111</v>
      </c>
    </row>
    <row r="11062" spans="12:15" x14ac:dyDescent="0.25">
      <c r="L11062" s="147">
        <f ca="1"/>
        <v>56301</v>
      </c>
      <c r="M11062" s="92">
        <f t="shared" ca="1" si="355"/>
        <v>6.25</v>
      </c>
      <c r="N11062" s="143">
        <f ca="1">(PRODUCT($O$5:$O11062)-1)*36000/_xlfn.DAYS(L11062, $C$2)</f>
        <v>20.484283215467631</v>
      </c>
      <c r="O11062" s="149">
        <f t="shared" ca="1" si="356"/>
        <v>1.000173611111111</v>
      </c>
    </row>
    <row r="11063" spans="12:15" x14ac:dyDescent="0.25">
      <c r="L11063" s="147">
        <f ca="1"/>
        <v>56302</v>
      </c>
      <c r="M11063" s="92">
        <f t="shared" ca="1" si="355"/>
        <v>6.25</v>
      </c>
      <c r="N11063" s="143">
        <f ca="1">(PRODUCT($O$5:$O11063)-1)*36000/_xlfn.DAYS(L11063, $C$2)</f>
        <v>20.486552070969868</v>
      </c>
      <c r="O11063" s="149">
        <f t="shared" ca="1" si="356"/>
        <v>1.000173611111111</v>
      </c>
    </row>
    <row r="11064" spans="12:15" x14ac:dyDescent="0.25">
      <c r="L11064" s="147">
        <f ca="1"/>
        <v>56303</v>
      </c>
      <c r="M11064" s="92">
        <f t="shared" ca="1" si="355"/>
        <v>6.25</v>
      </c>
      <c r="N11064" s="143">
        <f ca="1">(PRODUCT($O$5:$O11064)-1)*36000/_xlfn.DAYS(L11064, $C$2)</f>
        <v>20.488821231599761</v>
      </c>
      <c r="O11064" s="149">
        <f t="shared" ca="1" si="356"/>
        <v>1.000173611111111</v>
      </c>
    </row>
    <row r="11065" spans="12:15" x14ac:dyDescent="0.25">
      <c r="L11065" s="147">
        <f ca="1"/>
        <v>56304</v>
      </c>
      <c r="M11065" s="92">
        <f t="shared" ca="1" si="355"/>
        <v>6.25</v>
      </c>
      <c r="N11065" s="143">
        <f ca="1">(PRODUCT($O$5:$O11065)-1)*36000/_xlfn.DAYS(L11065, $C$2)</f>
        <v>20.491090697398754</v>
      </c>
      <c r="O11065" s="149">
        <f t="shared" ca="1" si="356"/>
        <v>1.000173611111111</v>
      </c>
    </row>
    <row r="11066" spans="12:15" x14ac:dyDescent="0.25">
      <c r="L11066" s="147">
        <f ca="1"/>
        <v>56305</v>
      </c>
      <c r="M11066" s="92">
        <f t="shared" ca="1" si="355"/>
        <v>6.25</v>
      </c>
      <c r="N11066" s="143">
        <f ca="1">(PRODUCT($O$5:$O11066)-1)*36000/_xlfn.DAYS(L11066, $C$2)</f>
        <v>20.493360468408284</v>
      </c>
      <c r="O11066" s="149">
        <f t="shared" ca="1" si="356"/>
        <v>1.000173611111111</v>
      </c>
    </row>
    <row r="11067" spans="12:15" x14ac:dyDescent="0.25">
      <c r="L11067" s="147">
        <f ca="1"/>
        <v>56306</v>
      </c>
      <c r="M11067" s="92">
        <f t="shared" ca="1" si="355"/>
        <v>6.25</v>
      </c>
      <c r="N11067" s="143">
        <f ca="1">(PRODUCT($O$5:$O11067)-1)*36000/_xlfn.DAYS(L11067, $C$2)</f>
        <v>20.495630544669801</v>
      </c>
      <c r="O11067" s="149">
        <f t="shared" ca="1" si="356"/>
        <v>1.000173611111111</v>
      </c>
    </row>
    <row r="11068" spans="12:15" x14ac:dyDescent="0.25">
      <c r="L11068" s="147">
        <f ca="1"/>
        <v>56307</v>
      </c>
      <c r="M11068" s="92">
        <f t="shared" ca="1" si="355"/>
        <v>6.25</v>
      </c>
      <c r="N11068" s="143">
        <f ca="1">(PRODUCT($O$5:$O11068)-1)*36000/_xlfn.DAYS(L11068, $C$2)</f>
        <v>20.497900926224752</v>
      </c>
      <c r="O11068" s="149">
        <f t="shared" ca="1" si="356"/>
        <v>1.000173611111111</v>
      </c>
    </row>
    <row r="11069" spans="12:15" x14ac:dyDescent="0.25">
      <c r="L11069" s="147">
        <f ca="1"/>
        <v>56308</v>
      </c>
      <c r="M11069" s="92">
        <f t="shared" ca="1" si="355"/>
        <v>6.25</v>
      </c>
      <c r="N11069" s="143">
        <f ca="1">(PRODUCT($O$5:$O11069)-1)*36000/_xlfn.DAYS(L11069, $C$2)</f>
        <v>20.500171613114603</v>
      </c>
      <c r="O11069" s="149">
        <f t="shared" ca="1" si="356"/>
        <v>1.000173611111111</v>
      </c>
    </row>
    <row r="11070" spans="12:15" x14ac:dyDescent="0.25">
      <c r="L11070" s="147">
        <f ca="1"/>
        <v>56309</v>
      </c>
      <c r="M11070" s="92">
        <f t="shared" ca="1" si="355"/>
        <v>6.25</v>
      </c>
      <c r="N11070" s="143">
        <f ca="1">(PRODUCT($O$5:$O11070)-1)*36000/_xlfn.DAYS(L11070, $C$2)</f>
        <v>20.502442605380821</v>
      </c>
      <c r="O11070" s="149">
        <f t="shared" ca="1" si="356"/>
        <v>1.000173611111111</v>
      </c>
    </row>
    <row r="11071" spans="12:15" x14ac:dyDescent="0.25">
      <c r="L11071" s="147">
        <f ca="1"/>
        <v>56310</v>
      </c>
      <c r="M11071" s="92">
        <f t="shared" ca="1" si="355"/>
        <v>6.25</v>
      </c>
      <c r="N11071" s="143">
        <f ca="1">(PRODUCT($O$5:$O11071)-1)*36000/_xlfn.DAYS(L11071, $C$2)</f>
        <v>20.504713903064875</v>
      </c>
      <c r="O11071" s="149">
        <f t="shared" ca="1" si="356"/>
        <v>1.000173611111111</v>
      </c>
    </row>
    <row r="11072" spans="12:15" x14ac:dyDescent="0.25">
      <c r="L11072" s="147">
        <f ca="1"/>
        <v>56311</v>
      </c>
      <c r="M11072" s="92">
        <f t="shared" ca="1" si="355"/>
        <v>6.25</v>
      </c>
      <c r="N11072" s="143">
        <f ca="1">(PRODUCT($O$5:$O11072)-1)*36000/_xlfn.DAYS(L11072, $C$2)</f>
        <v>20.506985506208249</v>
      </c>
      <c r="O11072" s="149">
        <f t="shared" ca="1" si="356"/>
        <v>1.000173611111111</v>
      </c>
    </row>
    <row r="11073" spans="12:15" x14ac:dyDescent="0.25">
      <c r="L11073" s="147">
        <f ca="1"/>
        <v>56312</v>
      </c>
      <c r="M11073" s="92">
        <f t="shared" ca="1" si="355"/>
        <v>6.25</v>
      </c>
      <c r="N11073" s="143">
        <f ca="1">(PRODUCT($O$5:$O11073)-1)*36000/_xlfn.DAYS(L11073, $C$2)</f>
        <v>20.509257414852431</v>
      </c>
      <c r="O11073" s="149">
        <f t="shared" ca="1" si="356"/>
        <v>1.000173611111111</v>
      </c>
    </row>
    <row r="11074" spans="12:15" x14ac:dyDescent="0.25">
      <c r="L11074" s="147">
        <f ca="1"/>
        <v>56313</v>
      </c>
      <c r="M11074" s="92">
        <f t="shared" ca="1" si="355"/>
        <v>6.25</v>
      </c>
      <c r="N11074" s="143">
        <f ca="1">(PRODUCT($O$5:$O11074)-1)*36000/_xlfn.DAYS(L11074, $C$2)</f>
        <v>20.511529629038908</v>
      </c>
      <c r="O11074" s="149">
        <f t="shared" ca="1" si="356"/>
        <v>1.000173611111111</v>
      </c>
    </row>
    <row r="11075" spans="12:15" x14ac:dyDescent="0.25">
      <c r="L11075" s="147">
        <f ca="1"/>
        <v>56314</v>
      </c>
      <c r="M11075" s="92">
        <f t="shared" ca="1" si="355"/>
        <v>6.25</v>
      </c>
      <c r="N11075" s="143">
        <f ca="1">(PRODUCT($O$5:$O11075)-1)*36000/_xlfn.DAYS(L11075, $C$2)</f>
        <v>20.513802148809187</v>
      </c>
      <c r="O11075" s="149">
        <f t="shared" ca="1" si="356"/>
        <v>1.000173611111111</v>
      </c>
    </row>
    <row r="11076" spans="12:15" x14ac:dyDescent="0.25">
      <c r="L11076" s="147">
        <f ca="1"/>
        <v>56315</v>
      </c>
      <c r="M11076" s="92">
        <f t="shared" ca="1" si="355"/>
        <v>6.25</v>
      </c>
      <c r="N11076" s="143">
        <f ca="1">(PRODUCT($O$5:$O11076)-1)*36000/_xlfn.DAYS(L11076, $C$2)</f>
        <v>20.51607497420477</v>
      </c>
      <c r="O11076" s="149">
        <f t="shared" ca="1" si="356"/>
        <v>1.000173611111111</v>
      </c>
    </row>
    <row r="11077" spans="12:15" x14ac:dyDescent="0.25">
      <c r="L11077" s="147">
        <f ca="1"/>
        <v>56316</v>
      </c>
      <c r="M11077" s="92">
        <f t="shared" ref="M11077:M11140" ca="1" si="357">IFERROR(INDEX($E$27:$H$47, MATCH(L11077, $F$27:$F$47, 0), 4), IF(ISNUMBER(M11076), M11076, $C$5))</f>
        <v>6.25</v>
      </c>
      <c r="N11077" s="143">
        <f ca="1">(PRODUCT($O$5:$O11077)-1)*36000/_xlfn.DAYS(L11077, $C$2)</f>
        <v>20.518348105267169</v>
      </c>
      <c r="O11077" s="149">
        <f t="shared" ca="1" si="356"/>
        <v>1.000173611111111</v>
      </c>
    </row>
    <row r="11078" spans="12:15" x14ac:dyDescent="0.25">
      <c r="L11078" s="147">
        <f ca="1"/>
        <v>56317</v>
      </c>
      <c r="M11078" s="92">
        <f t="shared" ca="1" si="357"/>
        <v>6.25</v>
      </c>
      <c r="N11078" s="143">
        <f ca="1">(PRODUCT($O$5:$O11078)-1)*36000/_xlfn.DAYS(L11078, $C$2)</f>
        <v>20.520621542037908</v>
      </c>
      <c r="O11078" s="149">
        <f t="shared" ref="O11078:O11141" ca="1" si="358">1+M11078*IFERROR(_xlfn.DAYS(L11078, L11077), _xlfn.DAYS(L11078, $C$2))/36000</f>
        <v>1.000173611111111</v>
      </c>
    </row>
    <row r="11079" spans="12:15" x14ac:dyDescent="0.25">
      <c r="L11079" s="147">
        <f ca="1"/>
        <v>56318</v>
      </c>
      <c r="M11079" s="92">
        <f t="shared" ca="1" si="357"/>
        <v>6.25</v>
      </c>
      <c r="N11079" s="143">
        <f ca="1">(PRODUCT($O$5:$O11079)-1)*36000/_xlfn.DAYS(L11079, $C$2)</f>
        <v>20.522895284558508</v>
      </c>
      <c r="O11079" s="149">
        <f t="shared" ca="1" si="358"/>
        <v>1.000173611111111</v>
      </c>
    </row>
    <row r="11080" spans="12:15" x14ac:dyDescent="0.25">
      <c r="L11080" s="147">
        <f ca="1"/>
        <v>56319</v>
      </c>
      <c r="M11080" s="92">
        <f t="shared" ca="1" si="357"/>
        <v>6.25</v>
      </c>
      <c r="N11080" s="143">
        <f ca="1">(PRODUCT($O$5:$O11080)-1)*36000/_xlfn.DAYS(L11080, $C$2)</f>
        <v>20.525169332870508</v>
      </c>
      <c r="O11080" s="149">
        <f t="shared" ca="1" si="358"/>
        <v>1.000173611111111</v>
      </c>
    </row>
    <row r="11081" spans="12:15" x14ac:dyDescent="0.25">
      <c r="L11081" s="147">
        <f ca="1"/>
        <v>56320</v>
      </c>
      <c r="M11081" s="92">
        <f t="shared" ca="1" si="357"/>
        <v>6.25</v>
      </c>
      <c r="N11081" s="143">
        <f ca="1">(PRODUCT($O$5:$O11081)-1)*36000/_xlfn.DAYS(L11081, $C$2)</f>
        <v>20.527443687015442</v>
      </c>
      <c r="O11081" s="149">
        <f t="shared" ca="1" si="358"/>
        <v>1.000173611111111</v>
      </c>
    </row>
    <row r="11082" spans="12:15" x14ac:dyDescent="0.25">
      <c r="L11082" s="147">
        <f ca="1"/>
        <v>56321</v>
      </c>
      <c r="M11082" s="92">
        <f t="shared" ca="1" si="357"/>
        <v>6.25</v>
      </c>
      <c r="N11082" s="143">
        <f ca="1">(PRODUCT($O$5:$O11082)-1)*36000/_xlfn.DAYS(L11082, $C$2)</f>
        <v>20.529718347034859</v>
      </c>
      <c r="O11082" s="149">
        <f t="shared" ca="1" si="358"/>
        <v>1.000173611111111</v>
      </c>
    </row>
    <row r="11083" spans="12:15" x14ac:dyDescent="0.25">
      <c r="L11083" s="147">
        <f ca="1"/>
        <v>56322</v>
      </c>
      <c r="M11083" s="92">
        <f t="shared" ca="1" si="357"/>
        <v>6.25</v>
      </c>
      <c r="N11083" s="143">
        <f ca="1">(PRODUCT($O$5:$O11083)-1)*36000/_xlfn.DAYS(L11083, $C$2)</f>
        <v>20.531993312970307</v>
      </c>
      <c r="O11083" s="149">
        <f t="shared" ca="1" si="358"/>
        <v>1.000173611111111</v>
      </c>
    </row>
    <row r="11084" spans="12:15" x14ac:dyDescent="0.25">
      <c r="L11084" s="147">
        <f ca="1"/>
        <v>56323</v>
      </c>
      <c r="M11084" s="92">
        <f t="shared" ca="1" si="357"/>
        <v>6.25</v>
      </c>
      <c r="N11084" s="143">
        <f ca="1">(PRODUCT($O$5:$O11084)-1)*36000/_xlfn.DAYS(L11084, $C$2)</f>
        <v>20.534268584863351</v>
      </c>
      <c r="O11084" s="149">
        <f t="shared" ca="1" si="358"/>
        <v>1.000173611111111</v>
      </c>
    </row>
    <row r="11085" spans="12:15" x14ac:dyDescent="0.25">
      <c r="L11085" s="147">
        <f ca="1"/>
        <v>56324</v>
      </c>
      <c r="M11085" s="92">
        <f t="shared" ca="1" si="357"/>
        <v>6.25</v>
      </c>
      <c r="N11085" s="143">
        <f ca="1">(PRODUCT($O$5:$O11085)-1)*36000/_xlfn.DAYS(L11085, $C$2)</f>
        <v>20.536544162755551</v>
      </c>
      <c r="O11085" s="149">
        <f t="shared" ca="1" si="358"/>
        <v>1.000173611111111</v>
      </c>
    </row>
    <row r="11086" spans="12:15" x14ac:dyDescent="0.25">
      <c r="L11086" s="147">
        <f ca="1"/>
        <v>56325</v>
      </c>
      <c r="M11086" s="92">
        <f t="shared" ca="1" si="357"/>
        <v>6.25</v>
      </c>
      <c r="N11086" s="143">
        <f ca="1">(PRODUCT($O$5:$O11086)-1)*36000/_xlfn.DAYS(L11086, $C$2)</f>
        <v>20.538820046688489</v>
      </c>
      <c r="O11086" s="149">
        <f t="shared" ca="1" si="358"/>
        <v>1.000173611111111</v>
      </c>
    </row>
    <row r="11087" spans="12:15" x14ac:dyDescent="0.25">
      <c r="L11087" s="147">
        <f ca="1"/>
        <v>56326</v>
      </c>
      <c r="M11087" s="92">
        <f t="shared" ca="1" si="357"/>
        <v>6.25</v>
      </c>
      <c r="N11087" s="143">
        <f ca="1">(PRODUCT($O$5:$O11087)-1)*36000/_xlfn.DAYS(L11087, $C$2)</f>
        <v>20.54109623670373</v>
      </c>
      <c r="O11087" s="149">
        <f t="shared" ca="1" si="358"/>
        <v>1.000173611111111</v>
      </c>
    </row>
    <row r="11088" spans="12:15" x14ac:dyDescent="0.25">
      <c r="L11088" s="147">
        <f ca="1"/>
        <v>56327</v>
      </c>
      <c r="M11088" s="92">
        <f t="shared" ca="1" si="357"/>
        <v>6.25</v>
      </c>
      <c r="N11088" s="143">
        <f ca="1">(PRODUCT($O$5:$O11088)-1)*36000/_xlfn.DAYS(L11088, $C$2)</f>
        <v>20.543372732842869</v>
      </c>
      <c r="O11088" s="149">
        <f t="shared" ca="1" si="358"/>
        <v>1.000173611111111</v>
      </c>
    </row>
    <row r="11089" spans="12:15" x14ac:dyDescent="0.25">
      <c r="L11089" s="147">
        <f ca="1"/>
        <v>56328</v>
      </c>
      <c r="M11089" s="92">
        <f t="shared" ca="1" si="357"/>
        <v>6.25</v>
      </c>
      <c r="N11089" s="143">
        <f ca="1">(PRODUCT($O$5:$O11089)-1)*36000/_xlfn.DAYS(L11089, $C$2)</f>
        <v>20.545649535147497</v>
      </c>
      <c r="O11089" s="149">
        <f t="shared" ca="1" si="358"/>
        <v>1.000173611111111</v>
      </c>
    </row>
    <row r="11090" spans="12:15" x14ac:dyDescent="0.25">
      <c r="L11090" s="147">
        <f ca="1"/>
        <v>56329</v>
      </c>
      <c r="M11090" s="92">
        <f t="shared" ca="1" si="357"/>
        <v>6.25</v>
      </c>
      <c r="N11090" s="143">
        <f ca="1">(PRODUCT($O$5:$O11090)-1)*36000/_xlfn.DAYS(L11090, $C$2)</f>
        <v>20.54792664365921</v>
      </c>
      <c r="O11090" s="149">
        <f t="shared" ca="1" si="358"/>
        <v>1.000173611111111</v>
      </c>
    </row>
    <row r="11091" spans="12:15" x14ac:dyDescent="0.25">
      <c r="L11091" s="147">
        <f ca="1"/>
        <v>56330</v>
      </c>
      <c r="M11091" s="92">
        <f t="shared" ca="1" si="357"/>
        <v>6.25</v>
      </c>
      <c r="N11091" s="143">
        <f ca="1">(PRODUCT($O$5:$O11091)-1)*36000/_xlfn.DAYS(L11091, $C$2)</f>
        <v>20.550204058419617</v>
      </c>
      <c r="O11091" s="149">
        <f t="shared" ca="1" si="358"/>
        <v>1.000173611111111</v>
      </c>
    </row>
    <row r="11092" spans="12:15" x14ac:dyDescent="0.25">
      <c r="L11092" s="147">
        <f ca="1"/>
        <v>56331</v>
      </c>
      <c r="M11092" s="92">
        <f t="shared" ca="1" si="357"/>
        <v>6.25</v>
      </c>
      <c r="N11092" s="143">
        <f ca="1">(PRODUCT($O$5:$O11092)-1)*36000/_xlfn.DAYS(L11092, $C$2)</f>
        <v>20.552481779470327</v>
      </c>
      <c r="O11092" s="149">
        <f t="shared" ca="1" si="358"/>
        <v>1.000173611111111</v>
      </c>
    </row>
    <row r="11093" spans="12:15" x14ac:dyDescent="0.25">
      <c r="L11093" s="147">
        <f ca="1"/>
        <v>56332</v>
      </c>
      <c r="M11093" s="92">
        <f t="shared" ca="1" si="357"/>
        <v>6.25</v>
      </c>
      <c r="N11093" s="143">
        <f ca="1">(PRODUCT($O$5:$O11093)-1)*36000/_xlfn.DAYS(L11093, $C$2)</f>
        <v>20.554759806852953</v>
      </c>
      <c r="O11093" s="149">
        <f t="shared" ca="1" si="358"/>
        <v>1.000173611111111</v>
      </c>
    </row>
    <row r="11094" spans="12:15" x14ac:dyDescent="0.25">
      <c r="L11094" s="147">
        <f ca="1"/>
        <v>56333</v>
      </c>
      <c r="M11094" s="92">
        <f t="shared" ca="1" si="357"/>
        <v>6.25</v>
      </c>
      <c r="N11094" s="143">
        <f ca="1">(PRODUCT($O$5:$O11094)-1)*36000/_xlfn.DAYS(L11094, $C$2)</f>
        <v>20.55703814060913</v>
      </c>
      <c r="O11094" s="149">
        <f t="shared" ca="1" si="358"/>
        <v>1.000173611111111</v>
      </c>
    </row>
    <row r="11095" spans="12:15" x14ac:dyDescent="0.25">
      <c r="L11095" s="147">
        <f ca="1"/>
        <v>56334</v>
      </c>
      <c r="M11095" s="92">
        <f t="shared" ca="1" si="357"/>
        <v>6.25</v>
      </c>
      <c r="N11095" s="143">
        <f ca="1">(PRODUCT($O$5:$O11095)-1)*36000/_xlfn.DAYS(L11095, $C$2)</f>
        <v>20.559316780780488</v>
      </c>
      <c r="O11095" s="149">
        <f t="shared" ca="1" si="358"/>
        <v>1.000173611111111</v>
      </c>
    </row>
    <row r="11096" spans="12:15" x14ac:dyDescent="0.25">
      <c r="L11096" s="147">
        <f ca="1"/>
        <v>56335</v>
      </c>
      <c r="M11096" s="92">
        <f t="shared" ca="1" si="357"/>
        <v>6.25</v>
      </c>
      <c r="N11096" s="143">
        <f ca="1">(PRODUCT($O$5:$O11096)-1)*36000/_xlfn.DAYS(L11096, $C$2)</f>
        <v>20.561595727408662</v>
      </c>
      <c r="O11096" s="149">
        <f t="shared" ca="1" si="358"/>
        <v>1.000173611111111</v>
      </c>
    </row>
    <row r="11097" spans="12:15" x14ac:dyDescent="0.25">
      <c r="L11097" s="147">
        <f ca="1"/>
        <v>56336</v>
      </c>
      <c r="M11097" s="92">
        <f t="shared" ca="1" si="357"/>
        <v>6.25</v>
      </c>
      <c r="N11097" s="143">
        <f ca="1">(PRODUCT($O$5:$O11097)-1)*36000/_xlfn.DAYS(L11097, $C$2)</f>
        <v>20.563874980535296</v>
      </c>
      <c r="O11097" s="149">
        <f t="shared" ca="1" si="358"/>
        <v>1.000173611111111</v>
      </c>
    </row>
    <row r="11098" spans="12:15" x14ac:dyDescent="0.25">
      <c r="L11098" s="147">
        <f ca="1"/>
        <v>56337</v>
      </c>
      <c r="M11098" s="92">
        <f t="shared" ca="1" si="357"/>
        <v>6.25</v>
      </c>
      <c r="N11098" s="143">
        <f ca="1">(PRODUCT($O$5:$O11098)-1)*36000/_xlfn.DAYS(L11098, $C$2)</f>
        <v>20.566154540202046</v>
      </c>
      <c r="O11098" s="149">
        <f t="shared" ca="1" si="358"/>
        <v>1.000173611111111</v>
      </c>
    </row>
    <row r="11099" spans="12:15" x14ac:dyDescent="0.25">
      <c r="L11099" s="147">
        <f ca="1"/>
        <v>56338</v>
      </c>
      <c r="M11099" s="92">
        <f t="shared" ca="1" si="357"/>
        <v>6.25</v>
      </c>
      <c r="N11099" s="143">
        <f ca="1">(PRODUCT($O$5:$O11099)-1)*36000/_xlfn.DAYS(L11099, $C$2)</f>
        <v>20.568434406450564</v>
      </c>
      <c r="O11099" s="149">
        <f t="shared" ca="1" si="358"/>
        <v>1.000173611111111</v>
      </c>
    </row>
    <row r="11100" spans="12:15" x14ac:dyDescent="0.25">
      <c r="L11100" s="147">
        <f ca="1"/>
        <v>56339</v>
      </c>
      <c r="M11100" s="92">
        <f t="shared" ca="1" si="357"/>
        <v>6.25</v>
      </c>
      <c r="N11100" s="143">
        <f ca="1">(PRODUCT($O$5:$O11100)-1)*36000/_xlfn.DAYS(L11100, $C$2)</f>
        <v>20.570714579322519</v>
      </c>
      <c r="O11100" s="149">
        <f t="shared" ca="1" si="358"/>
        <v>1.000173611111111</v>
      </c>
    </row>
    <row r="11101" spans="12:15" x14ac:dyDescent="0.25">
      <c r="L11101" s="147">
        <f ca="1"/>
        <v>56340</v>
      </c>
      <c r="M11101" s="92">
        <f t="shared" ca="1" si="357"/>
        <v>6.25</v>
      </c>
      <c r="N11101" s="143">
        <f ca="1">(PRODUCT($O$5:$O11101)-1)*36000/_xlfn.DAYS(L11101, $C$2)</f>
        <v>20.572995058859579</v>
      </c>
      <c r="O11101" s="149">
        <f t="shared" ca="1" si="358"/>
        <v>1.000173611111111</v>
      </c>
    </row>
    <row r="11102" spans="12:15" x14ac:dyDescent="0.25">
      <c r="L11102" s="147">
        <f ca="1"/>
        <v>56341</v>
      </c>
      <c r="M11102" s="92">
        <f t="shared" ca="1" si="357"/>
        <v>6.25</v>
      </c>
      <c r="N11102" s="143">
        <f ca="1">(PRODUCT($O$5:$O11102)-1)*36000/_xlfn.DAYS(L11102, $C$2)</f>
        <v>20.575275845103427</v>
      </c>
      <c r="O11102" s="149">
        <f t="shared" ca="1" si="358"/>
        <v>1.000173611111111</v>
      </c>
    </row>
    <row r="11103" spans="12:15" x14ac:dyDescent="0.25">
      <c r="L11103" s="147">
        <f ca="1"/>
        <v>56342</v>
      </c>
      <c r="M11103" s="92">
        <f t="shared" ca="1" si="357"/>
        <v>6.25</v>
      </c>
      <c r="N11103" s="143">
        <f ca="1">(PRODUCT($O$5:$O11103)-1)*36000/_xlfn.DAYS(L11103, $C$2)</f>
        <v>20.577556938095739</v>
      </c>
      <c r="O11103" s="149">
        <f t="shared" ca="1" si="358"/>
        <v>1.000173611111111</v>
      </c>
    </row>
    <row r="11104" spans="12:15" x14ac:dyDescent="0.25">
      <c r="L11104" s="147">
        <f ca="1"/>
        <v>56343</v>
      </c>
      <c r="M11104" s="92">
        <f t="shared" ca="1" si="357"/>
        <v>6.25</v>
      </c>
      <c r="N11104" s="143">
        <f ca="1">(PRODUCT($O$5:$O11104)-1)*36000/_xlfn.DAYS(L11104, $C$2)</f>
        <v>20.579838337878215</v>
      </c>
      <c r="O11104" s="149">
        <f t="shared" ca="1" si="358"/>
        <v>1.000173611111111</v>
      </c>
    </row>
    <row r="11105" spans="12:15" x14ac:dyDescent="0.25">
      <c r="L11105" s="147">
        <f ca="1"/>
        <v>56344</v>
      </c>
      <c r="M11105" s="92">
        <f t="shared" ca="1" si="357"/>
        <v>6.25</v>
      </c>
      <c r="N11105" s="143">
        <f ca="1">(PRODUCT($O$5:$O11105)-1)*36000/_xlfn.DAYS(L11105, $C$2)</f>
        <v>20.582120044492548</v>
      </c>
      <c r="O11105" s="149">
        <f t="shared" ca="1" si="358"/>
        <v>1.000173611111111</v>
      </c>
    </row>
    <row r="11106" spans="12:15" x14ac:dyDescent="0.25">
      <c r="L11106" s="147">
        <f ca="1"/>
        <v>56345</v>
      </c>
      <c r="M11106" s="92">
        <f t="shared" ca="1" si="357"/>
        <v>6.25</v>
      </c>
      <c r="N11106" s="143">
        <f ca="1">(PRODUCT($O$5:$O11106)-1)*36000/_xlfn.DAYS(L11106, $C$2)</f>
        <v>20.584402057980444</v>
      </c>
      <c r="O11106" s="149">
        <f t="shared" ca="1" si="358"/>
        <v>1.000173611111111</v>
      </c>
    </row>
    <row r="11107" spans="12:15" x14ac:dyDescent="0.25">
      <c r="L11107" s="147">
        <f ca="1"/>
        <v>56346</v>
      </c>
      <c r="M11107" s="92">
        <f t="shared" ca="1" si="357"/>
        <v>6.25</v>
      </c>
      <c r="N11107" s="143">
        <f ca="1">(PRODUCT($O$5:$O11107)-1)*36000/_xlfn.DAYS(L11107, $C$2)</f>
        <v>20.586684378383612</v>
      </c>
      <c r="O11107" s="149">
        <f t="shared" ca="1" si="358"/>
        <v>1.000173611111111</v>
      </c>
    </row>
    <row r="11108" spans="12:15" x14ac:dyDescent="0.25">
      <c r="L11108" s="147">
        <f ca="1"/>
        <v>56347</v>
      </c>
      <c r="M11108" s="92">
        <f t="shared" ca="1" si="357"/>
        <v>6.25</v>
      </c>
      <c r="N11108" s="143">
        <f ca="1">(PRODUCT($O$5:$O11108)-1)*36000/_xlfn.DAYS(L11108, $C$2)</f>
        <v>20.588967005743775</v>
      </c>
      <c r="O11108" s="149">
        <f t="shared" ca="1" si="358"/>
        <v>1.000173611111111</v>
      </c>
    </row>
    <row r="11109" spans="12:15" x14ac:dyDescent="0.25">
      <c r="L11109" s="147">
        <f ca="1"/>
        <v>56348</v>
      </c>
      <c r="M11109" s="92">
        <f t="shared" ca="1" si="357"/>
        <v>6.25</v>
      </c>
      <c r="N11109" s="143">
        <f ca="1">(PRODUCT($O$5:$O11109)-1)*36000/_xlfn.DAYS(L11109, $C$2)</f>
        <v>20.591249940102649</v>
      </c>
      <c r="O11109" s="149">
        <f t="shared" ca="1" si="358"/>
        <v>1.000173611111111</v>
      </c>
    </row>
    <row r="11110" spans="12:15" x14ac:dyDescent="0.25">
      <c r="L11110" s="147">
        <f ca="1"/>
        <v>56349</v>
      </c>
      <c r="M11110" s="92">
        <f t="shared" ca="1" si="357"/>
        <v>6.25</v>
      </c>
      <c r="N11110" s="143">
        <f ca="1">(PRODUCT($O$5:$O11110)-1)*36000/_xlfn.DAYS(L11110, $C$2)</f>
        <v>20.593533181501972</v>
      </c>
      <c r="O11110" s="149">
        <f t="shared" ca="1" si="358"/>
        <v>1.000173611111111</v>
      </c>
    </row>
    <row r="11111" spans="12:15" x14ac:dyDescent="0.25">
      <c r="L11111" s="147">
        <f ca="1"/>
        <v>56350</v>
      </c>
      <c r="M11111" s="92">
        <f t="shared" ca="1" si="357"/>
        <v>6.25</v>
      </c>
      <c r="N11111" s="143">
        <f ca="1">(PRODUCT($O$5:$O11111)-1)*36000/_xlfn.DAYS(L11111, $C$2)</f>
        <v>20.595816729983476</v>
      </c>
      <c r="O11111" s="149">
        <f t="shared" ca="1" si="358"/>
        <v>1.000173611111111</v>
      </c>
    </row>
    <row r="11112" spans="12:15" x14ac:dyDescent="0.25">
      <c r="L11112" s="147">
        <f ca="1"/>
        <v>56351</v>
      </c>
      <c r="M11112" s="92">
        <f t="shared" ca="1" si="357"/>
        <v>6.25</v>
      </c>
      <c r="N11112" s="143">
        <f ca="1">(PRODUCT($O$5:$O11112)-1)*36000/_xlfn.DAYS(L11112, $C$2)</f>
        <v>20.598100585588906</v>
      </c>
      <c r="O11112" s="149">
        <f t="shared" ca="1" si="358"/>
        <v>1.000173611111111</v>
      </c>
    </row>
    <row r="11113" spans="12:15" x14ac:dyDescent="0.25">
      <c r="L11113" s="147">
        <f ca="1"/>
        <v>56352</v>
      </c>
      <c r="M11113" s="92">
        <f t="shared" ca="1" si="357"/>
        <v>6.25</v>
      </c>
      <c r="N11113" s="143">
        <f ca="1">(PRODUCT($O$5:$O11113)-1)*36000/_xlfn.DAYS(L11113, $C$2)</f>
        <v>20.600384748360014</v>
      </c>
      <c r="O11113" s="149">
        <f t="shared" ca="1" si="358"/>
        <v>1.000173611111111</v>
      </c>
    </row>
    <row r="11114" spans="12:15" x14ac:dyDescent="0.25">
      <c r="L11114" s="147">
        <f ca="1"/>
        <v>56353</v>
      </c>
      <c r="M11114" s="92">
        <f t="shared" ca="1" si="357"/>
        <v>6.25</v>
      </c>
      <c r="N11114" s="143">
        <f ca="1">(PRODUCT($O$5:$O11114)-1)*36000/_xlfn.DAYS(L11114, $C$2)</f>
        <v>20.602669218338555</v>
      </c>
      <c r="O11114" s="149">
        <f t="shared" ca="1" si="358"/>
        <v>1.000173611111111</v>
      </c>
    </row>
    <row r="11115" spans="12:15" x14ac:dyDescent="0.25">
      <c r="L11115" s="147">
        <f ca="1"/>
        <v>56354</v>
      </c>
      <c r="M11115" s="92">
        <f t="shared" ca="1" si="357"/>
        <v>6.25</v>
      </c>
      <c r="N11115" s="143">
        <f ca="1">(PRODUCT($O$5:$O11115)-1)*36000/_xlfn.DAYS(L11115, $C$2)</f>
        <v>20.604953995566298</v>
      </c>
      <c r="O11115" s="149">
        <f t="shared" ca="1" si="358"/>
        <v>1.000173611111111</v>
      </c>
    </row>
    <row r="11116" spans="12:15" x14ac:dyDescent="0.25">
      <c r="L11116" s="147">
        <f ca="1"/>
        <v>56355</v>
      </c>
      <c r="M11116" s="92">
        <f t="shared" ca="1" si="357"/>
        <v>6.25</v>
      </c>
      <c r="N11116" s="143">
        <f ca="1">(PRODUCT($O$5:$O11116)-1)*36000/_xlfn.DAYS(L11116, $C$2)</f>
        <v>20.607239080085005</v>
      </c>
      <c r="O11116" s="149">
        <f t="shared" ca="1" si="358"/>
        <v>1.000173611111111</v>
      </c>
    </row>
    <row r="11117" spans="12:15" x14ac:dyDescent="0.25">
      <c r="L11117" s="147">
        <f ca="1"/>
        <v>56356</v>
      </c>
      <c r="M11117" s="92">
        <f t="shared" ca="1" si="357"/>
        <v>6.25</v>
      </c>
      <c r="N11117" s="143">
        <f ca="1">(PRODUCT($O$5:$O11117)-1)*36000/_xlfn.DAYS(L11117, $C$2)</f>
        <v>20.60952447193646</v>
      </c>
      <c r="O11117" s="149">
        <f t="shared" ca="1" si="358"/>
        <v>1.000173611111111</v>
      </c>
    </row>
    <row r="11118" spans="12:15" x14ac:dyDescent="0.25">
      <c r="L11118" s="147">
        <f ca="1"/>
        <v>56357</v>
      </c>
      <c r="M11118" s="92">
        <f t="shared" ca="1" si="357"/>
        <v>6.25</v>
      </c>
      <c r="N11118" s="143">
        <f ca="1">(PRODUCT($O$5:$O11118)-1)*36000/_xlfn.DAYS(L11118, $C$2)</f>
        <v>20.611810171162443</v>
      </c>
      <c r="O11118" s="149">
        <f t="shared" ca="1" si="358"/>
        <v>1.000173611111111</v>
      </c>
    </row>
    <row r="11119" spans="12:15" x14ac:dyDescent="0.25">
      <c r="L11119" s="147">
        <f ca="1"/>
        <v>56358</v>
      </c>
      <c r="M11119" s="92">
        <f t="shared" ca="1" si="357"/>
        <v>6.25</v>
      </c>
      <c r="N11119" s="143">
        <f ca="1">(PRODUCT($O$5:$O11119)-1)*36000/_xlfn.DAYS(L11119, $C$2)</f>
        <v>20.614096177804747</v>
      </c>
      <c r="O11119" s="149">
        <f t="shared" ca="1" si="358"/>
        <v>1.000173611111111</v>
      </c>
    </row>
    <row r="11120" spans="12:15" x14ac:dyDescent="0.25">
      <c r="L11120" s="147">
        <f ca="1"/>
        <v>56359</v>
      </c>
      <c r="M11120" s="92">
        <f t="shared" ca="1" si="357"/>
        <v>6.25</v>
      </c>
      <c r="N11120" s="143">
        <f ca="1">(PRODUCT($O$5:$O11120)-1)*36000/_xlfn.DAYS(L11120, $C$2)</f>
        <v>20.616382491905171</v>
      </c>
      <c r="O11120" s="149">
        <f t="shared" ca="1" si="358"/>
        <v>1.000173611111111</v>
      </c>
    </row>
    <row r="11121" spans="12:15" x14ac:dyDescent="0.25">
      <c r="L11121" s="147">
        <f ca="1"/>
        <v>56360</v>
      </c>
      <c r="M11121" s="92">
        <f t="shared" ca="1" si="357"/>
        <v>6.25</v>
      </c>
      <c r="N11121" s="143">
        <f ca="1">(PRODUCT($O$5:$O11121)-1)*36000/_xlfn.DAYS(L11121, $C$2)</f>
        <v>20.618669113505511</v>
      </c>
      <c r="O11121" s="149">
        <f t="shared" ca="1" si="358"/>
        <v>1.000173611111111</v>
      </c>
    </row>
    <row r="11122" spans="12:15" x14ac:dyDescent="0.25">
      <c r="L11122" s="147">
        <f ca="1"/>
        <v>56361</v>
      </c>
      <c r="M11122" s="92">
        <f t="shared" ca="1" si="357"/>
        <v>6.25</v>
      </c>
      <c r="N11122" s="143">
        <f ca="1">(PRODUCT($O$5:$O11122)-1)*36000/_xlfn.DAYS(L11122, $C$2)</f>
        <v>20.620956042647585</v>
      </c>
      <c r="O11122" s="149">
        <f t="shared" ca="1" si="358"/>
        <v>1.000173611111111</v>
      </c>
    </row>
    <row r="11123" spans="12:15" x14ac:dyDescent="0.25">
      <c r="L11123" s="147">
        <f ca="1"/>
        <v>56362</v>
      </c>
      <c r="M11123" s="92">
        <f t="shared" ca="1" si="357"/>
        <v>6.25</v>
      </c>
      <c r="N11123" s="143">
        <f ca="1">(PRODUCT($O$5:$O11123)-1)*36000/_xlfn.DAYS(L11123, $C$2)</f>
        <v>20.623243279373202</v>
      </c>
      <c r="O11123" s="149">
        <f t="shared" ca="1" si="358"/>
        <v>1.000173611111111</v>
      </c>
    </row>
    <row r="11124" spans="12:15" x14ac:dyDescent="0.25">
      <c r="L11124" s="147">
        <f ca="1"/>
        <v>56363</v>
      </c>
      <c r="M11124" s="92">
        <f t="shared" ca="1" si="357"/>
        <v>6.25</v>
      </c>
      <c r="N11124" s="143">
        <f ca="1">(PRODUCT($O$5:$O11124)-1)*36000/_xlfn.DAYS(L11124, $C$2)</f>
        <v>20.625530823724187</v>
      </c>
      <c r="O11124" s="149">
        <f t="shared" ca="1" si="358"/>
        <v>1.000173611111111</v>
      </c>
    </row>
    <row r="11125" spans="12:15" x14ac:dyDescent="0.25">
      <c r="L11125" s="147">
        <f ca="1"/>
        <v>56364</v>
      </c>
      <c r="M11125" s="92">
        <f t="shared" ca="1" si="357"/>
        <v>6.25</v>
      </c>
      <c r="N11125" s="143">
        <f ca="1">(PRODUCT($O$5:$O11125)-1)*36000/_xlfn.DAYS(L11125, $C$2)</f>
        <v>20.627818675742379</v>
      </c>
      <c r="O11125" s="149">
        <f t="shared" ca="1" si="358"/>
        <v>1.000173611111111</v>
      </c>
    </row>
    <row r="11126" spans="12:15" x14ac:dyDescent="0.25">
      <c r="L11126" s="147">
        <f ca="1"/>
        <v>56365</v>
      </c>
      <c r="M11126" s="92">
        <f t="shared" ca="1" si="357"/>
        <v>6.25</v>
      </c>
      <c r="N11126" s="143">
        <f ca="1">(PRODUCT($O$5:$O11126)-1)*36000/_xlfn.DAYS(L11126, $C$2)</f>
        <v>20.630106835469604</v>
      </c>
      <c r="O11126" s="149">
        <f t="shared" ca="1" si="358"/>
        <v>1.000173611111111</v>
      </c>
    </row>
    <row r="11127" spans="12:15" x14ac:dyDescent="0.25">
      <c r="L11127" s="147">
        <f ca="1"/>
        <v>56366</v>
      </c>
      <c r="M11127" s="92">
        <f t="shared" ca="1" si="357"/>
        <v>6.25</v>
      </c>
      <c r="N11127" s="143">
        <f ca="1">(PRODUCT($O$5:$O11127)-1)*36000/_xlfn.DAYS(L11127, $C$2)</f>
        <v>20.632395302947707</v>
      </c>
      <c r="O11127" s="149">
        <f t="shared" ca="1" si="358"/>
        <v>1.000173611111111</v>
      </c>
    </row>
    <row r="11128" spans="12:15" x14ac:dyDescent="0.25">
      <c r="L11128" s="147">
        <f ca="1"/>
        <v>56367</v>
      </c>
      <c r="M11128" s="92">
        <f t="shared" ca="1" si="357"/>
        <v>6.25</v>
      </c>
      <c r="N11128" s="143">
        <f ca="1">(PRODUCT($O$5:$O11128)-1)*36000/_xlfn.DAYS(L11128, $C$2)</f>
        <v>20.634684078218541</v>
      </c>
      <c r="O11128" s="149">
        <f t="shared" ca="1" si="358"/>
        <v>1.000173611111111</v>
      </c>
    </row>
    <row r="11129" spans="12:15" x14ac:dyDescent="0.25">
      <c r="L11129" s="147">
        <f ca="1"/>
        <v>56368</v>
      </c>
      <c r="M11129" s="92">
        <f t="shared" ca="1" si="357"/>
        <v>6.25</v>
      </c>
      <c r="N11129" s="143">
        <f ca="1">(PRODUCT($O$5:$O11129)-1)*36000/_xlfn.DAYS(L11129, $C$2)</f>
        <v>20.636973161323965</v>
      </c>
      <c r="O11129" s="149">
        <f t="shared" ca="1" si="358"/>
        <v>1.000173611111111</v>
      </c>
    </row>
    <row r="11130" spans="12:15" x14ac:dyDescent="0.25">
      <c r="L11130" s="147">
        <f ca="1"/>
        <v>56369</v>
      </c>
      <c r="M11130" s="92">
        <f t="shared" ca="1" si="357"/>
        <v>6.25</v>
      </c>
      <c r="N11130" s="143">
        <f ca="1">(PRODUCT($O$5:$O11130)-1)*36000/_xlfn.DAYS(L11130, $C$2)</f>
        <v>20.639262552305834</v>
      </c>
      <c r="O11130" s="149">
        <f t="shared" ca="1" si="358"/>
        <v>1.000173611111111</v>
      </c>
    </row>
    <row r="11131" spans="12:15" x14ac:dyDescent="0.25">
      <c r="L11131" s="147">
        <f ca="1"/>
        <v>56370</v>
      </c>
      <c r="M11131" s="92">
        <f t="shared" ca="1" si="357"/>
        <v>6.25</v>
      </c>
      <c r="N11131" s="143">
        <f ca="1">(PRODUCT($O$5:$O11131)-1)*36000/_xlfn.DAYS(L11131, $C$2)</f>
        <v>20.641552251206026</v>
      </c>
      <c r="O11131" s="149">
        <f t="shared" ca="1" si="358"/>
        <v>1.000173611111111</v>
      </c>
    </row>
    <row r="11132" spans="12:15" x14ac:dyDescent="0.25">
      <c r="L11132" s="147">
        <f ca="1"/>
        <v>56371</v>
      </c>
      <c r="M11132" s="92">
        <f t="shared" ca="1" si="357"/>
        <v>6.25</v>
      </c>
      <c r="N11132" s="143">
        <f ca="1">(PRODUCT($O$5:$O11132)-1)*36000/_xlfn.DAYS(L11132, $C$2)</f>
        <v>20.64384225806641</v>
      </c>
      <c r="O11132" s="149">
        <f t="shared" ca="1" si="358"/>
        <v>1.000173611111111</v>
      </c>
    </row>
    <row r="11133" spans="12:15" x14ac:dyDescent="0.25">
      <c r="L11133" s="147">
        <f ca="1"/>
        <v>56372</v>
      </c>
      <c r="M11133" s="92">
        <f t="shared" ca="1" si="357"/>
        <v>6.25</v>
      </c>
      <c r="N11133" s="143">
        <f ca="1">(PRODUCT($O$5:$O11133)-1)*36000/_xlfn.DAYS(L11133, $C$2)</f>
        <v>20.646132572928877</v>
      </c>
      <c r="O11133" s="149">
        <f t="shared" ca="1" si="358"/>
        <v>1.000173611111111</v>
      </c>
    </row>
    <row r="11134" spans="12:15" x14ac:dyDescent="0.25">
      <c r="L11134" s="147">
        <f ca="1"/>
        <v>56373</v>
      </c>
      <c r="M11134" s="92">
        <f t="shared" ca="1" si="357"/>
        <v>6.25</v>
      </c>
      <c r="N11134" s="143">
        <f ca="1">(PRODUCT($O$5:$O11134)-1)*36000/_xlfn.DAYS(L11134, $C$2)</f>
        <v>20.64842319583531</v>
      </c>
      <c r="O11134" s="149">
        <f t="shared" ca="1" si="358"/>
        <v>1.000173611111111</v>
      </c>
    </row>
    <row r="11135" spans="12:15" x14ac:dyDescent="0.25">
      <c r="L11135" s="147">
        <f ca="1"/>
        <v>56374</v>
      </c>
      <c r="M11135" s="92">
        <f t="shared" ca="1" si="357"/>
        <v>6.25</v>
      </c>
      <c r="N11135" s="143">
        <f ca="1">(PRODUCT($O$5:$O11135)-1)*36000/_xlfn.DAYS(L11135, $C$2)</f>
        <v>20.650714126827605</v>
      </c>
      <c r="O11135" s="149">
        <f t="shared" ca="1" si="358"/>
        <v>1.000173611111111</v>
      </c>
    </row>
    <row r="11136" spans="12:15" x14ac:dyDescent="0.25">
      <c r="L11136" s="147">
        <f ca="1"/>
        <v>56375</v>
      </c>
      <c r="M11136" s="92">
        <f t="shared" ca="1" si="357"/>
        <v>6.25</v>
      </c>
      <c r="N11136" s="143">
        <f ca="1">(PRODUCT($O$5:$O11136)-1)*36000/_xlfn.DAYS(L11136, $C$2)</f>
        <v>20.653005365947671</v>
      </c>
      <c r="O11136" s="149">
        <f t="shared" ca="1" si="358"/>
        <v>1.000173611111111</v>
      </c>
    </row>
    <row r="11137" spans="12:15" x14ac:dyDescent="0.25">
      <c r="L11137" s="147">
        <f ca="1"/>
        <v>56376</v>
      </c>
      <c r="M11137" s="92">
        <f t="shared" ca="1" si="357"/>
        <v>6.25</v>
      </c>
      <c r="N11137" s="143">
        <f ca="1">(PRODUCT($O$5:$O11137)-1)*36000/_xlfn.DAYS(L11137, $C$2)</f>
        <v>20.655296913237411</v>
      </c>
      <c r="O11137" s="149">
        <f t="shared" ca="1" si="358"/>
        <v>1.000173611111111</v>
      </c>
    </row>
    <row r="11138" spans="12:15" x14ac:dyDescent="0.25">
      <c r="L11138" s="147">
        <f ca="1"/>
        <v>56377</v>
      </c>
      <c r="M11138" s="92">
        <f t="shared" ca="1" si="357"/>
        <v>6.25</v>
      </c>
      <c r="N11138" s="143">
        <f ca="1">(PRODUCT($O$5:$O11138)-1)*36000/_xlfn.DAYS(L11138, $C$2)</f>
        <v>20.657588768738744</v>
      </c>
      <c r="O11138" s="149">
        <f t="shared" ca="1" si="358"/>
        <v>1.000173611111111</v>
      </c>
    </row>
    <row r="11139" spans="12:15" x14ac:dyDescent="0.25">
      <c r="L11139" s="147">
        <f ca="1"/>
        <v>56378</v>
      </c>
      <c r="M11139" s="92">
        <f t="shared" ca="1" si="357"/>
        <v>6.25</v>
      </c>
      <c r="N11139" s="143">
        <f ca="1">(PRODUCT($O$5:$O11139)-1)*36000/_xlfn.DAYS(L11139, $C$2)</f>
        <v>20.659880932493596</v>
      </c>
      <c r="O11139" s="149">
        <f t="shared" ca="1" si="358"/>
        <v>1.000173611111111</v>
      </c>
    </row>
    <row r="11140" spans="12:15" x14ac:dyDescent="0.25">
      <c r="L11140" s="147">
        <f ca="1"/>
        <v>56379</v>
      </c>
      <c r="M11140" s="92">
        <f t="shared" ca="1" si="357"/>
        <v>6.25</v>
      </c>
      <c r="N11140" s="143">
        <f ca="1">(PRODUCT($O$5:$O11140)-1)*36000/_xlfn.DAYS(L11140, $C$2)</f>
        <v>20.662173404543889</v>
      </c>
      <c r="O11140" s="149">
        <f t="shared" ca="1" si="358"/>
        <v>1.000173611111111</v>
      </c>
    </row>
    <row r="11141" spans="12:15" x14ac:dyDescent="0.25">
      <c r="L11141" s="147">
        <f ca="1"/>
        <v>56380</v>
      </c>
      <c r="M11141" s="92">
        <f t="shared" ref="M11141:M11204" ca="1" si="359">IFERROR(INDEX($E$27:$H$47, MATCH(L11141, $F$27:$F$47, 0), 4), IF(ISNUMBER(M11140), M11140, $C$5))</f>
        <v>6.25</v>
      </c>
      <c r="N11141" s="143">
        <f ca="1">(PRODUCT($O$5:$O11141)-1)*36000/_xlfn.DAYS(L11141, $C$2)</f>
        <v>20.664466184931566</v>
      </c>
      <c r="O11141" s="149">
        <f t="shared" ca="1" si="358"/>
        <v>1.000173611111111</v>
      </c>
    </row>
    <row r="11142" spans="12:15" x14ac:dyDescent="0.25">
      <c r="L11142" s="147">
        <f ca="1"/>
        <v>56381</v>
      </c>
      <c r="M11142" s="92">
        <f t="shared" ca="1" si="359"/>
        <v>6.25</v>
      </c>
      <c r="N11142" s="143">
        <f ca="1">(PRODUCT($O$5:$O11142)-1)*36000/_xlfn.DAYS(L11142, $C$2)</f>
        <v>20.666759273698567</v>
      </c>
      <c r="O11142" s="149">
        <f t="shared" ref="O11142:O11205" ca="1" si="360">1+M11142*IFERROR(_xlfn.DAYS(L11142, L11141), _xlfn.DAYS(L11142, $C$2))/36000</f>
        <v>1.000173611111111</v>
      </c>
    </row>
    <row r="11143" spans="12:15" x14ac:dyDescent="0.25">
      <c r="L11143" s="147">
        <f ca="1"/>
        <v>56382</v>
      </c>
      <c r="M11143" s="92">
        <f t="shared" ca="1" si="359"/>
        <v>6.25</v>
      </c>
      <c r="N11143" s="143">
        <f ca="1">(PRODUCT($O$5:$O11143)-1)*36000/_xlfn.DAYS(L11143, $C$2)</f>
        <v>20.669052670886838</v>
      </c>
      <c r="O11143" s="149">
        <f t="shared" ca="1" si="360"/>
        <v>1.000173611111111</v>
      </c>
    </row>
    <row r="11144" spans="12:15" x14ac:dyDescent="0.25">
      <c r="L11144" s="147">
        <f ca="1"/>
        <v>56383</v>
      </c>
      <c r="M11144" s="92">
        <f t="shared" ca="1" si="359"/>
        <v>6.25</v>
      </c>
      <c r="N11144" s="143">
        <f ca="1">(PRODUCT($O$5:$O11144)-1)*36000/_xlfn.DAYS(L11144, $C$2)</f>
        <v>20.671346376538342</v>
      </c>
      <c r="O11144" s="149">
        <f t="shared" ca="1" si="360"/>
        <v>1.000173611111111</v>
      </c>
    </row>
    <row r="11145" spans="12:15" x14ac:dyDescent="0.25">
      <c r="L11145" s="147">
        <f ca="1"/>
        <v>56384</v>
      </c>
      <c r="M11145" s="92">
        <f t="shared" ca="1" si="359"/>
        <v>6.25</v>
      </c>
      <c r="N11145" s="143">
        <f ca="1">(PRODUCT($O$5:$O11145)-1)*36000/_xlfn.DAYS(L11145, $C$2)</f>
        <v>20.673640390695034</v>
      </c>
      <c r="O11145" s="149">
        <f t="shared" ca="1" si="360"/>
        <v>1.000173611111111</v>
      </c>
    </row>
    <row r="11146" spans="12:15" x14ac:dyDescent="0.25">
      <c r="L11146" s="147">
        <f ca="1"/>
        <v>56385</v>
      </c>
      <c r="M11146" s="92">
        <f t="shared" ca="1" si="359"/>
        <v>6.25</v>
      </c>
      <c r="N11146" s="143">
        <f ca="1">(PRODUCT($O$5:$O11146)-1)*36000/_xlfn.DAYS(L11146, $C$2)</f>
        <v>20.675934713398892</v>
      </c>
      <c r="O11146" s="149">
        <f t="shared" ca="1" si="360"/>
        <v>1.000173611111111</v>
      </c>
    </row>
    <row r="11147" spans="12:15" x14ac:dyDescent="0.25">
      <c r="L11147" s="147">
        <f ca="1"/>
        <v>56386</v>
      </c>
      <c r="M11147" s="92">
        <f t="shared" ca="1" si="359"/>
        <v>6.25</v>
      </c>
      <c r="N11147" s="143">
        <f ca="1">(PRODUCT($O$5:$O11147)-1)*36000/_xlfn.DAYS(L11147, $C$2)</f>
        <v>20.678229344691882</v>
      </c>
      <c r="O11147" s="149">
        <f t="shared" ca="1" si="360"/>
        <v>1.000173611111111</v>
      </c>
    </row>
    <row r="11148" spans="12:15" x14ac:dyDescent="0.25">
      <c r="L11148" s="147">
        <f ca="1"/>
        <v>56387</v>
      </c>
      <c r="M11148" s="92">
        <f t="shared" ca="1" si="359"/>
        <v>6.25</v>
      </c>
      <c r="N11148" s="143">
        <f ca="1">(PRODUCT($O$5:$O11148)-1)*36000/_xlfn.DAYS(L11148, $C$2)</f>
        <v>20.680524284615995</v>
      </c>
      <c r="O11148" s="149">
        <f t="shared" ca="1" si="360"/>
        <v>1.000173611111111</v>
      </c>
    </row>
    <row r="11149" spans="12:15" x14ac:dyDescent="0.25">
      <c r="L11149" s="147">
        <f ca="1"/>
        <v>56388</v>
      </c>
      <c r="M11149" s="92">
        <f t="shared" ca="1" si="359"/>
        <v>6.25</v>
      </c>
      <c r="N11149" s="143">
        <f ca="1">(PRODUCT($O$5:$O11149)-1)*36000/_xlfn.DAYS(L11149, $C$2)</f>
        <v>20.682819533213213</v>
      </c>
      <c r="O11149" s="149">
        <f t="shared" ca="1" si="360"/>
        <v>1.000173611111111</v>
      </c>
    </row>
    <row r="11150" spans="12:15" x14ac:dyDescent="0.25">
      <c r="L11150" s="147">
        <f ca="1"/>
        <v>56389</v>
      </c>
      <c r="M11150" s="92">
        <f t="shared" ca="1" si="359"/>
        <v>6.25</v>
      </c>
      <c r="N11150" s="143">
        <f ca="1">(PRODUCT($O$5:$O11150)-1)*36000/_xlfn.DAYS(L11150, $C$2)</f>
        <v>20.685115090525535</v>
      </c>
      <c r="O11150" s="149">
        <f t="shared" ca="1" si="360"/>
        <v>1.000173611111111</v>
      </c>
    </row>
    <row r="11151" spans="12:15" x14ac:dyDescent="0.25">
      <c r="L11151" s="147">
        <f ca="1"/>
        <v>56390</v>
      </c>
      <c r="M11151" s="92">
        <f t="shared" ca="1" si="359"/>
        <v>6.25</v>
      </c>
      <c r="N11151" s="143">
        <f ca="1">(PRODUCT($O$5:$O11151)-1)*36000/_xlfn.DAYS(L11151, $C$2)</f>
        <v>20.687410956594967</v>
      </c>
      <c r="O11151" s="149">
        <f t="shared" ca="1" si="360"/>
        <v>1.000173611111111</v>
      </c>
    </row>
    <row r="11152" spans="12:15" x14ac:dyDescent="0.25">
      <c r="L11152" s="147">
        <f ca="1"/>
        <v>56391</v>
      </c>
      <c r="M11152" s="92">
        <f t="shared" ca="1" si="359"/>
        <v>6.25</v>
      </c>
      <c r="N11152" s="143">
        <f ca="1">(PRODUCT($O$5:$O11152)-1)*36000/_xlfn.DAYS(L11152, $C$2)</f>
        <v>20.689707131463514</v>
      </c>
      <c r="O11152" s="149">
        <f t="shared" ca="1" si="360"/>
        <v>1.000173611111111</v>
      </c>
    </row>
    <row r="11153" spans="12:15" x14ac:dyDescent="0.25">
      <c r="L11153" s="147">
        <f ca="1"/>
        <v>56392</v>
      </c>
      <c r="M11153" s="92">
        <f t="shared" ca="1" si="359"/>
        <v>6.25</v>
      </c>
      <c r="N11153" s="143">
        <f ca="1">(PRODUCT($O$5:$O11153)-1)*36000/_xlfn.DAYS(L11153, $C$2)</f>
        <v>20.692003615173192</v>
      </c>
      <c r="O11153" s="149">
        <f t="shared" ca="1" si="360"/>
        <v>1.000173611111111</v>
      </c>
    </row>
    <row r="11154" spans="12:15" x14ac:dyDescent="0.25">
      <c r="L11154" s="147">
        <f ca="1"/>
        <v>56393</v>
      </c>
      <c r="M11154" s="92">
        <f t="shared" ca="1" si="359"/>
        <v>6.25</v>
      </c>
      <c r="N11154" s="143">
        <f ca="1">(PRODUCT($O$5:$O11154)-1)*36000/_xlfn.DAYS(L11154, $C$2)</f>
        <v>20.694300407766026</v>
      </c>
      <c r="O11154" s="149">
        <f t="shared" ca="1" si="360"/>
        <v>1.000173611111111</v>
      </c>
    </row>
    <row r="11155" spans="12:15" x14ac:dyDescent="0.25">
      <c r="L11155" s="147">
        <f ca="1"/>
        <v>56394</v>
      </c>
      <c r="M11155" s="92">
        <f t="shared" ca="1" si="359"/>
        <v>6.25</v>
      </c>
      <c r="N11155" s="143">
        <f ca="1">(PRODUCT($O$5:$O11155)-1)*36000/_xlfn.DAYS(L11155, $C$2)</f>
        <v>20.69659750928404</v>
      </c>
      <c r="O11155" s="149">
        <f t="shared" ca="1" si="360"/>
        <v>1.000173611111111</v>
      </c>
    </row>
    <row r="11156" spans="12:15" x14ac:dyDescent="0.25">
      <c r="L11156" s="147">
        <f ca="1"/>
        <v>56395</v>
      </c>
      <c r="M11156" s="92">
        <f t="shared" ca="1" si="359"/>
        <v>6.25</v>
      </c>
      <c r="N11156" s="143">
        <f ca="1">(PRODUCT($O$5:$O11156)-1)*36000/_xlfn.DAYS(L11156, $C$2)</f>
        <v>20.698894919769273</v>
      </c>
      <c r="O11156" s="149">
        <f t="shared" ca="1" si="360"/>
        <v>1.000173611111111</v>
      </c>
    </row>
    <row r="11157" spans="12:15" x14ac:dyDescent="0.25">
      <c r="L11157" s="147">
        <f ca="1"/>
        <v>56396</v>
      </c>
      <c r="M11157" s="92">
        <f t="shared" ca="1" si="359"/>
        <v>6.25</v>
      </c>
      <c r="N11157" s="143">
        <f ca="1">(PRODUCT($O$5:$O11157)-1)*36000/_xlfn.DAYS(L11157, $C$2)</f>
        <v>20.70119263926377</v>
      </c>
      <c r="O11157" s="149">
        <f t="shared" ca="1" si="360"/>
        <v>1.000173611111111</v>
      </c>
    </row>
    <row r="11158" spans="12:15" x14ac:dyDescent="0.25">
      <c r="L11158" s="147">
        <f ca="1"/>
        <v>56397</v>
      </c>
      <c r="M11158" s="92">
        <f t="shared" ca="1" si="359"/>
        <v>6.25</v>
      </c>
      <c r="N11158" s="143">
        <f ca="1">(PRODUCT($O$5:$O11158)-1)*36000/_xlfn.DAYS(L11158, $C$2)</f>
        <v>20.703490667809575</v>
      </c>
      <c r="O11158" s="149">
        <f t="shared" ca="1" si="360"/>
        <v>1.000173611111111</v>
      </c>
    </row>
    <row r="11159" spans="12:15" x14ac:dyDescent="0.25">
      <c r="L11159" s="147">
        <f ca="1"/>
        <v>56398</v>
      </c>
      <c r="M11159" s="92">
        <f t="shared" ca="1" si="359"/>
        <v>6.25</v>
      </c>
      <c r="N11159" s="143">
        <f ca="1">(PRODUCT($O$5:$O11159)-1)*36000/_xlfn.DAYS(L11159, $C$2)</f>
        <v>20.705789005448739</v>
      </c>
      <c r="O11159" s="149">
        <f t="shared" ca="1" si="360"/>
        <v>1.000173611111111</v>
      </c>
    </row>
    <row r="11160" spans="12:15" x14ac:dyDescent="0.25">
      <c r="L11160" s="147">
        <f ca="1"/>
        <v>56399</v>
      </c>
      <c r="M11160" s="92">
        <f t="shared" ca="1" si="359"/>
        <v>6.25</v>
      </c>
      <c r="N11160" s="143">
        <f ca="1">(PRODUCT($O$5:$O11160)-1)*36000/_xlfn.DAYS(L11160, $C$2)</f>
        <v>20.708087652223337</v>
      </c>
      <c r="O11160" s="149">
        <f t="shared" ca="1" si="360"/>
        <v>1.000173611111111</v>
      </c>
    </row>
    <row r="11161" spans="12:15" x14ac:dyDescent="0.25">
      <c r="L11161" s="147">
        <f ca="1"/>
        <v>56400</v>
      </c>
      <c r="M11161" s="92">
        <f t="shared" ca="1" si="359"/>
        <v>6.25</v>
      </c>
      <c r="N11161" s="143">
        <f ca="1">(PRODUCT($O$5:$O11161)-1)*36000/_xlfn.DAYS(L11161, $C$2)</f>
        <v>20.710386608175433</v>
      </c>
      <c r="O11161" s="149">
        <f t="shared" ca="1" si="360"/>
        <v>1.000173611111111</v>
      </c>
    </row>
    <row r="11162" spans="12:15" x14ac:dyDescent="0.25">
      <c r="L11162" s="147">
        <f ca="1"/>
        <v>56401</v>
      </c>
      <c r="M11162" s="92">
        <f t="shared" ca="1" si="359"/>
        <v>6.25</v>
      </c>
      <c r="N11162" s="143">
        <f ca="1">(PRODUCT($O$5:$O11162)-1)*36000/_xlfn.DAYS(L11162, $C$2)</f>
        <v>20.712685873347102</v>
      </c>
      <c r="O11162" s="149">
        <f t="shared" ca="1" si="360"/>
        <v>1.000173611111111</v>
      </c>
    </row>
    <row r="11163" spans="12:15" x14ac:dyDescent="0.25">
      <c r="L11163" s="147">
        <f ca="1"/>
        <v>56402</v>
      </c>
      <c r="M11163" s="92">
        <f t="shared" ca="1" si="359"/>
        <v>6.25</v>
      </c>
      <c r="N11163" s="143">
        <f ca="1">(PRODUCT($O$5:$O11163)-1)*36000/_xlfn.DAYS(L11163, $C$2)</f>
        <v>20.714985447780421</v>
      </c>
      <c r="O11163" s="149">
        <f t="shared" ca="1" si="360"/>
        <v>1.000173611111111</v>
      </c>
    </row>
    <row r="11164" spans="12:15" x14ac:dyDescent="0.25">
      <c r="L11164" s="147">
        <f ca="1"/>
        <v>56403</v>
      </c>
      <c r="M11164" s="92">
        <f t="shared" ca="1" si="359"/>
        <v>6.25</v>
      </c>
      <c r="N11164" s="143">
        <f ca="1">(PRODUCT($O$5:$O11164)-1)*36000/_xlfn.DAYS(L11164, $C$2)</f>
        <v>20.717285331517484</v>
      </c>
      <c r="O11164" s="149">
        <f t="shared" ca="1" si="360"/>
        <v>1.000173611111111</v>
      </c>
    </row>
    <row r="11165" spans="12:15" x14ac:dyDescent="0.25">
      <c r="L11165" s="147">
        <f ca="1"/>
        <v>56404</v>
      </c>
      <c r="M11165" s="92">
        <f t="shared" ca="1" si="359"/>
        <v>6.25</v>
      </c>
      <c r="N11165" s="143">
        <f ca="1">(PRODUCT($O$5:$O11165)-1)*36000/_xlfn.DAYS(L11165, $C$2)</f>
        <v>20.719585524600387</v>
      </c>
      <c r="O11165" s="149">
        <f t="shared" ca="1" si="360"/>
        <v>1.000173611111111</v>
      </c>
    </row>
    <row r="11166" spans="12:15" x14ac:dyDescent="0.25">
      <c r="L11166" s="147">
        <f ca="1"/>
        <v>56405</v>
      </c>
      <c r="M11166" s="92">
        <f t="shared" ca="1" si="359"/>
        <v>6.25</v>
      </c>
      <c r="N11166" s="143">
        <f ca="1">(PRODUCT($O$5:$O11166)-1)*36000/_xlfn.DAYS(L11166, $C$2)</f>
        <v>20.721886027071232</v>
      </c>
      <c r="O11166" s="149">
        <f t="shared" ca="1" si="360"/>
        <v>1.000173611111111</v>
      </c>
    </row>
    <row r="11167" spans="12:15" x14ac:dyDescent="0.25">
      <c r="L11167" s="147">
        <f ca="1"/>
        <v>56406</v>
      </c>
      <c r="M11167" s="92">
        <f t="shared" ca="1" si="359"/>
        <v>6.25</v>
      </c>
      <c r="N11167" s="143">
        <f ca="1">(PRODUCT($O$5:$O11167)-1)*36000/_xlfn.DAYS(L11167, $C$2)</f>
        <v>20.724186838972123</v>
      </c>
      <c r="O11167" s="149">
        <f t="shared" ca="1" si="360"/>
        <v>1.000173611111111</v>
      </c>
    </row>
    <row r="11168" spans="12:15" x14ac:dyDescent="0.25">
      <c r="L11168" s="147">
        <f ca="1"/>
        <v>56407</v>
      </c>
      <c r="M11168" s="92">
        <f t="shared" ca="1" si="359"/>
        <v>6.25</v>
      </c>
      <c r="N11168" s="143">
        <f ca="1">(PRODUCT($O$5:$O11168)-1)*36000/_xlfn.DAYS(L11168, $C$2)</f>
        <v>20.726487960345182</v>
      </c>
      <c r="O11168" s="149">
        <f t="shared" ca="1" si="360"/>
        <v>1.000173611111111</v>
      </c>
    </row>
    <row r="11169" spans="12:15" x14ac:dyDescent="0.25">
      <c r="L11169" s="147">
        <f ca="1"/>
        <v>56408</v>
      </c>
      <c r="M11169" s="92">
        <f t="shared" ca="1" si="359"/>
        <v>6.25</v>
      </c>
      <c r="N11169" s="143">
        <f ca="1">(PRODUCT($O$5:$O11169)-1)*36000/_xlfn.DAYS(L11169, $C$2)</f>
        <v>20.728789391232528</v>
      </c>
      <c r="O11169" s="149">
        <f t="shared" ca="1" si="360"/>
        <v>1.000173611111111</v>
      </c>
    </row>
    <row r="11170" spans="12:15" x14ac:dyDescent="0.25">
      <c r="L11170" s="147">
        <f ca="1"/>
        <v>56409</v>
      </c>
      <c r="M11170" s="92">
        <f t="shared" ca="1" si="359"/>
        <v>6.25</v>
      </c>
      <c r="N11170" s="143">
        <f ca="1">(PRODUCT($O$5:$O11170)-1)*36000/_xlfn.DAYS(L11170, $C$2)</f>
        <v>20.73109113167629</v>
      </c>
      <c r="O11170" s="149">
        <f t="shared" ca="1" si="360"/>
        <v>1.000173611111111</v>
      </c>
    </row>
    <row r="11171" spans="12:15" x14ac:dyDescent="0.25">
      <c r="L11171" s="147">
        <f ca="1"/>
        <v>56410</v>
      </c>
      <c r="M11171" s="92">
        <f t="shared" ca="1" si="359"/>
        <v>6.25</v>
      </c>
      <c r="N11171" s="143">
        <f ca="1">(PRODUCT($O$5:$O11171)-1)*36000/_xlfn.DAYS(L11171, $C$2)</f>
        <v>20.733393181718601</v>
      </c>
      <c r="O11171" s="149">
        <f t="shared" ca="1" si="360"/>
        <v>1.000173611111111</v>
      </c>
    </row>
    <row r="11172" spans="12:15" x14ac:dyDescent="0.25">
      <c r="L11172" s="147">
        <f ca="1"/>
        <v>56411</v>
      </c>
      <c r="M11172" s="92">
        <f t="shared" ca="1" si="359"/>
        <v>6.25</v>
      </c>
      <c r="N11172" s="143">
        <f ca="1">(PRODUCT($O$5:$O11172)-1)*36000/_xlfn.DAYS(L11172, $C$2)</f>
        <v>20.735695541401611</v>
      </c>
      <c r="O11172" s="149">
        <f t="shared" ca="1" si="360"/>
        <v>1.000173611111111</v>
      </c>
    </row>
    <row r="11173" spans="12:15" x14ac:dyDescent="0.25">
      <c r="L11173" s="147">
        <f ca="1"/>
        <v>56412</v>
      </c>
      <c r="M11173" s="92">
        <f t="shared" ca="1" si="359"/>
        <v>6.25</v>
      </c>
      <c r="N11173" s="143">
        <f ca="1">(PRODUCT($O$5:$O11173)-1)*36000/_xlfn.DAYS(L11173, $C$2)</f>
        <v>20.737998210767461</v>
      </c>
      <c r="O11173" s="149">
        <f t="shared" ca="1" si="360"/>
        <v>1.000173611111111</v>
      </c>
    </row>
    <row r="11174" spans="12:15" x14ac:dyDescent="0.25">
      <c r="L11174" s="147">
        <f ca="1"/>
        <v>56413</v>
      </c>
      <c r="M11174" s="92">
        <f t="shared" ca="1" si="359"/>
        <v>6.25</v>
      </c>
      <c r="N11174" s="143">
        <f ca="1">(PRODUCT($O$5:$O11174)-1)*36000/_xlfn.DAYS(L11174, $C$2)</f>
        <v>20.740301189858307</v>
      </c>
      <c r="O11174" s="149">
        <f t="shared" ca="1" si="360"/>
        <v>1.000173611111111</v>
      </c>
    </row>
    <row r="11175" spans="12:15" x14ac:dyDescent="0.25">
      <c r="L11175" s="147">
        <f ca="1"/>
        <v>56414</v>
      </c>
      <c r="M11175" s="92">
        <f t="shared" ca="1" si="359"/>
        <v>6.25</v>
      </c>
      <c r="N11175" s="143">
        <f ca="1">(PRODUCT($O$5:$O11175)-1)*36000/_xlfn.DAYS(L11175, $C$2)</f>
        <v>20.74260447871632</v>
      </c>
      <c r="O11175" s="149">
        <f t="shared" ca="1" si="360"/>
        <v>1.000173611111111</v>
      </c>
    </row>
    <row r="11176" spans="12:15" x14ac:dyDescent="0.25">
      <c r="L11176" s="147">
        <f ca="1"/>
        <v>56415</v>
      </c>
      <c r="M11176" s="92">
        <f t="shared" ca="1" si="359"/>
        <v>6.25</v>
      </c>
      <c r="N11176" s="143">
        <f ca="1">(PRODUCT($O$5:$O11176)-1)*36000/_xlfn.DAYS(L11176, $C$2)</f>
        <v>20.744908077383656</v>
      </c>
      <c r="O11176" s="149">
        <f t="shared" ca="1" si="360"/>
        <v>1.000173611111111</v>
      </c>
    </row>
    <row r="11177" spans="12:15" x14ac:dyDescent="0.25">
      <c r="L11177" s="147">
        <f ca="1"/>
        <v>56416</v>
      </c>
      <c r="M11177" s="92">
        <f t="shared" ca="1" si="359"/>
        <v>6.25</v>
      </c>
      <c r="N11177" s="143">
        <f ca="1">(PRODUCT($O$5:$O11177)-1)*36000/_xlfn.DAYS(L11177, $C$2)</f>
        <v>20.747211985902496</v>
      </c>
      <c r="O11177" s="149">
        <f t="shared" ca="1" si="360"/>
        <v>1.000173611111111</v>
      </c>
    </row>
    <row r="11178" spans="12:15" x14ac:dyDescent="0.25">
      <c r="L11178" s="147">
        <f ca="1"/>
        <v>56417</v>
      </c>
      <c r="M11178" s="92">
        <f t="shared" ca="1" si="359"/>
        <v>6.25</v>
      </c>
      <c r="N11178" s="143">
        <f ca="1">(PRODUCT($O$5:$O11178)-1)*36000/_xlfn.DAYS(L11178, $C$2)</f>
        <v>20.749516204315025</v>
      </c>
      <c r="O11178" s="149">
        <f t="shared" ca="1" si="360"/>
        <v>1.000173611111111</v>
      </c>
    </row>
    <row r="11179" spans="12:15" x14ac:dyDescent="0.25">
      <c r="L11179" s="147">
        <f ca="1"/>
        <v>56418</v>
      </c>
      <c r="M11179" s="92">
        <f t="shared" ca="1" si="359"/>
        <v>6.25</v>
      </c>
      <c r="N11179" s="143">
        <f ca="1">(PRODUCT($O$5:$O11179)-1)*36000/_xlfn.DAYS(L11179, $C$2)</f>
        <v>20.751820732663429</v>
      </c>
      <c r="O11179" s="149">
        <f t="shared" ca="1" si="360"/>
        <v>1.000173611111111</v>
      </c>
    </row>
    <row r="11180" spans="12:15" x14ac:dyDescent="0.25">
      <c r="L11180" s="147">
        <f ca="1"/>
        <v>56419</v>
      </c>
      <c r="M11180" s="92">
        <f t="shared" ca="1" si="359"/>
        <v>6.25</v>
      </c>
      <c r="N11180" s="143">
        <f ca="1">(PRODUCT($O$5:$O11180)-1)*36000/_xlfn.DAYS(L11180, $C$2)</f>
        <v>20.754125570989903</v>
      </c>
      <c r="O11180" s="149">
        <f t="shared" ca="1" si="360"/>
        <v>1.000173611111111</v>
      </c>
    </row>
    <row r="11181" spans="12:15" x14ac:dyDescent="0.25">
      <c r="L11181" s="147">
        <f ca="1"/>
        <v>56420</v>
      </c>
      <c r="M11181" s="92">
        <f t="shared" ca="1" si="359"/>
        <v>6.25</v>
      </c>
      <c r="N11181" s="143">
        <f ca="1">(PRODUCT($O$5:$O11181)-1)*36000/_xlfn.DAYS(L11181, $C$2)</f>
        <v>20.756430719336652</v>
      </c>
      <c r="O11181" s="149">
        <f t="shared" ca="1" si="360"/>
        <v>1.000173611111111</v>
      </c>
    </row>
    <row r="11182" spans="12:15" x14ac:dyDescent="0.25">
      <c r="L11182" s="147">
        <f ca="1"/>
        <v>56421</v>
      </c>
      <c r="M11182" s="92">
        <f t="shared" ca="1" si="359"/>
        <v>6.25</v>
      </c>
      <c r="N11182" s="143">
        <f ca="1">(PRODUCT($O$5:$O11182)-1)*36000/_xlfn.DAYS(L11182, $C$2)</f>
        <v>20.758736177745881</v>
      </c>
      <c r="O11182" s="149">
        <f t="shared" ca="1" si="360"/>
        <v>1.000173611111111</v>
      </c>
    </row>
    <row r="11183" spans="12:15" x14ac:dyDescent="0.25">
      <c r="L11183" s="147">
        <f ca="1"/>
        <v>56422</v>
      </c>
      <c r="M11183" s="92">
        <f t="shared" ca="1" si="359"/>
        <v>6.25</v>
      </c>
      <c r="N11183" s="143">
        <f ca="1">(PRODUCT($O$5:$O11183)-1)*36000/_xlfn.DAYS(L11183, $C$2)</f>
        <v>20.761041946259805</v>
      </c>
      <c r="O11183" s="149">
        <f t="shared" ca="1" si="360"/>
        <v>1.000173611111111</v>
      </c>
    </row>
    <row r="11184" spans="12:15" x14ac:dyDescent="0.25">
      <c r="L11184" s="147">
        <f ca="1"/>
        <v>56423</v>
      </c>
      <c r="M11184" s="92">
        <f t="shared" ca="1" si="359"/>
        <v>6.25</v>
      </c>
      <c r="N11184" s="143">
        <f ca="1">(PRODUCT($O$5:$O11184)-1)*36000/_xlfn.DAYS(L11184, $C$2)</f>
        <v>20.763348024920649</v>
      </c>
      <c r="O11184" s="149">
        <f t="shared" ca="1" si="360"/>
        <v>1.000173611111111</v>
      </c>
    </row>
    <row r="11185" spans="12:15" x14ac:dyDescent="0.25">
      <c r="L11185" s="147">
        <f ca="1"/>
        <v>56424</v>
      </c>
      <c r="M11185" s="92">
        <f t="shared" ca="1" si="359"/>
        <v>6.25</v>
      </c>
      <c r="N11185" s="143">
        <f ca="1">(PRODUCT($O$5:$O11185)-1)*36000/_xlfn.DAYS(L11185, $C$2)</f>
        <v>20.76565441377064</v>
      </c>
      <c r="O11185" s="149">
        <f t="shared" ca="1" si="360"/>
        <v>1.000173611111111</v>
      </c>
    </row>
    <row r="11186" spans="12:15" x14ac:dyDescent="0.25">
      <c r="L11186" s="147">
        <f ca="1"/>
        <v>56425</v>
      </c>
      <c r="M11186" s="92">
        <f t="shared" ca="1" si="359"/>
        <v>6.25</v>
      </c>
      <c r="N11186" s="143">
        <f ca="1">(PRODUCT($O$5:$O11186)-1)*36000/_xlfn.DAYS(L11186, $C$2)</f>
        <v>20.767961112852017</v>
      </c>
      <c r="O11186" s="149">
        <f t="shared" ca="1" si="360"/>
        <v>1.000173611111111</v>
      </c>
    </row>
    <row r="11187" spans="12:15" x14ac:dyDescent="0.25">
      <c r="L11187" s="147">
        <f ca="1"/>
        <v>56426</v>
      </c>
      <c r="M11187" s="92">
        <f t="shared" ca="1" si="359"/>
        <v>6.25</v>
      </c>
      <c r="N11187" s="143">
        <f ca="1">(PRODUCT($O$5:$O11187)-1)*36000/_xlfn.DAYS(L11187, $C$2)</f>
        <v>20.770268122207021</v>
      </c>
      <c r="O11187" s="149">
        <f t="shared" ca="1" si="360"/>
        <v>1.000173611111111</v>
      </c>
    </row>
    <row r="11188" spans="12:15" x14ac:dyDescent="0.25">
      <c r="L11188" s="147">
        <f ca="1"/>
        <v>56427</v>
      </c>
      <c r="M11188" s="92">
        <f t="shared" ca="1" si="359"/>
        <v>6.25</v>
      </c>
      <c r="N11188" s="143">
        <f ca="1">(PRODUCT($O$5:$O11188)-1)*36000/_xlfn.DAYS(L11188, $C$2)</f>
        <v>20.772575441877894</v>
      </c>
      <c r="O11188" s="149">
        <f t="shared" ca="1" si="360"/>
        <v>1.000173611111111</v>
      </c>
    </row>
    <row r="11189" spans="12:15" x14ac:dyDescent="0.25">
      <c r="L11189" s="147">
        <f ca="1"/>
        <v>56428</v>
      </c>
      <c r="M11189" s="92">
        <f t="shared" ca="1" si="359"/>
        <v>6.25</v>
      </c>
      <c r="N11189" s="143">
        <f ca="1">(PRODUCT($O$5:$O11189)-1)*36000/_xlfn.DAYS(L11189, $C$2)</f>
        <v>20.774883071906896</v>
      </c>
      <c r="O11189" s="149">
        <f t="shared" ca="1" si="360"/>
        <v>1.000173611111111</v>
      </c>
    </row>
    <row r="11190" spans="12:15" x14ac:dyDescent="0.25">
      <c r="L11190" s="147">
        <f ca="1"/>
        <v>56429</v>
      </c>
      <c r="M11190" s="92">
        <f t="shared" ca="1" si="359"/>
        <v>6.25</v>
      </c>
      <c r="N11190" s="143">
        <f ca="1">(PRODUCT($O$5:$O11190)-1)*36000/_xlfn.DAYS(L11190, $C$2)</f>
        <v>20.777191012336296</v>
      </c>
      <c r="O11190" s="149">
        <f t="shared" ca="1" si="360"/>
        <v>1.000173611111111</v>
      </c>
    </row>
    <row r="11191" spans="12:15" x14ac:dyDescent="0.25">
      <c r="L11191" s="147">
        <f ca="1"/>
        <v>56430</v>
      </c>
      <c r="M11191" s="92">
        <f t="shared" ca="1" si="359"/>
        <v>6.25</v>
      </c>
      <c r="N11191" s="143">
        <f ca="1">(PRODUCT($O$5:$O11191)-1)*36000/_xlfn.DAYS(L11191, $C$2)</f>
        <v>20.779499263208351</v>
      </c>
      <c r="O11191" s="149">
        <f t="shared" ca="1" si="360"/>
        <v>1.000173611111111</v>
      </c>
    </row>
    <row r="11192" spans="12:15" x14ac:dyDescent="0.25">
      <c r="L11192" s="147">
        <f ca="1"/>
        <v>56431</v>
      </c>
      <c r="M11192" s="92">
        <f t="shared" ca="1" si="359"/>
        <v>6.25</v>
      </c>
      <c r="N11192" s="143">
        <f ca="1">(PRODUCT($O$5:$O11192)-1)*36000/_xlfn.DAYS(L11192, $C$2)</f>
        <v>20.781807824565341</v>
      </c>
      <c r="O11192" s="149">
        <f t="shared" ca="1" si="360"/>
        <v>1.000173611111111</v>
      </c>
    </row>
    <row r="11193" spans="12:15" x14ac:dyDescent="0.25">
      <c r="L11193" s="147">
        <f ca="1"/>
        <v>56432</v>
      </c>
      <c r="M11193" s="92">
        <f t="shared" ca="1" si="359"/>
        <v>6.25</v>
      </c>
      <c r="N11193" s="143">
        <f ca="1">(PRODUCT($O$5:$O11193)-1)*36000/_xlfn.DAYS(L11193, $C$2)</f>
        <v>20.784116696449555</v>
      </c>
      <c r="O11193" s="149">
        <f t="shared" ca="1" si="360"/>
        <v>1.000173611111111</v>
      </c>
    </row>
    <row r="11194" spans="12:15" x14ac:dyDescent="0.25">
      <c r="L11194" s="147">
        <f ca="1"/>
        <v>56433</v>
      </c>
      <c r="M11194" s="92">
        <f t="shared" ca="1" si="359"/>
        <v>6.25</v>
      </c>
      <c r="N11194" s="143">
        <f ca="1">(PRODUCT($O$5:$O11194)-1)*36000/_xlfn.DAYS(L11194, $C$2)</f>
        <v>20.78642587890327</v>
      </c>
      <c r="O11194" s="149">
        <f t="shared" ca="1" si="360"/>
        <v>1.000173611111111</v>
      </c>
    </row>
    <row r="11195" spans="12:15" x14ac:dyDescent="0.25">
      <c r="L11195" s="147">
        <f ca="1"/>
        <v>56434</v>
      </c>
      <c r="M11195" s="92">
        <f t="shared" ca="1" si="359"/>
        <v>6.25</v>
      </c>
      <c r="N11195" s="143">
        <f ca="1">(PRODUCT($O$5:$O11195)-1)*36000/_xlfn.DAYS(L11195, $C$2)</f>
        <v>20.788735371968791</v>
      </c>
      <c r="O11195" s="149">
        <f t="shared" ca="1" si="360"/>
        <v>1.000173611111111</v>
      </c>
    </row>
    <row r="11196" spans="12:15" x14ac:dyDescent="0.25">
      <c r="L11196" s="147">
        <f ca="1"/>
        <v>56435</v>
      </c>
      <c r="M11196" s="92">
        <f t="shared" ca="1" si="359"/>
        <v>6.25</v>
      </c>
      <c r="N11196" s="143">
        <f ca="1">(PRODUCT($O$5:$O11196)-1)*36000/_xlfn.DAYS(L11196, $C$2)</f>
        <v>20.791045175688414</v>
      </c>
      <c r="O11196" s="149">
        <f t="shared" ca="1" si="360"/>
        <v>1.000173611111111</v>
      </c>
    </row>
    <row r="11197" spans="12:15" x14ac:dyDescent="0.25">
      <c r="L11197" s="147">
        <f ca="1"/>
        <v>56436</v>
      </c>
      <c r="M11197" s="92">
        <f t="shared" ca="1" si="359"/>
        <v>6.25</v>
      </c>
      <c r="N11197" s="143">
        <f ca="1">(PRODUCT($O$5:$O11197)-1)*36000/_xlfn.DAYS(L11197, $C$2)</f>
        <v>20.793355290104454</v>
      </c>
      <c r="O11197" s="149">
        <f t="shared" ca="1" si="360"/>
        <v>1.000173611111111</v>
      </c>
    </row>
    <row r="11198" spans="12:15" x14ac:dyDescent="0.25">
      <c r="L11198" s="147">
        <f ca="1"/>
        <v>56437</v>
      </c>
      <c r="M11198" s="92">
        <f t="shared" ca="1" si="359"/>
        <v>6.25</v>
      </c>
      <c r="N11198" s="143">
        <f ca="1">(PRODUCT($O$5:$O11198)-1)*36000/_xlfn.DAYS(L11198, $C$2)</f>
        <v>20.795665715259219</v>
      </c>
      <c r="O11198" s="149">
        <f t="shared" ca="1" si="360"/>
        <v>1.000173611111111</v>
      </c>
    </row>
    <row r="11199" spans="12:15" x14ac:dyDescent="0.25">
      <c r="L11199" s="147">
        <f ca="1"/>
        <v>56438</v>
      </c>
      <c r="M11199" s="92">
        <f t="shared" ca="1" si="359"/>
        <v>6.25</v>
      </c>
      <c r="N11199" s="143">
        <f ca="1">(PRODUCT($O$5:$O11199)-1)*36000/_xlfn.DAYS(L11199, $C$2)</f>
        <v>20.797976451195037</v>
      </c>
      <c r="O11199" s="149">
        <f t="shared" ca="1" si="360"/>
        <v>1.000173611111111</v>
      </c>
    </row>
    <row r="11200" spans="12:15" x14ac:dyDescent="0.25">
      <c r="L11200" s="147">
        <f ca="1"/>
        <v>56439</v>
      </c>
      <c r="M11200" s="92">
        <f t="shared" ca="1" si="359"/>
        <v>6.25</v>
      </c>
      <c r="N11200" s="143">
        <f ca="1">(PRODUCT($O$5:$O11200)-1)*36000/_xlfn.DAYS(L11200, $C$2)</f>
        <v>20.80028749795424</v>
      </c>
      <c r="O11200" s="149">
        <f t="shared" ca="1" si="360"/>
        <v>1.000173611111111</v>
      </c>
    </row>
    <row r="11201" spans="12:15" x14ac:dyDescent="0.25">
      <c r="L11201" s="147">
        <f ca="1"/>
        <v>56440</v>
      </c>
      <c r="M11201" s="92">
        <f t="shared" ca="1" si="359"/>
        <v>6.25</v>
      </c>
      <c r="N11201" s="143">
        <f ca="1">(PRODUCT($O$5:$O11201)-1)*36000/_xlfn.DAYS(L11201, $C$2)</f>
        <v>20.802598855579152</v>
      </c>
      <c r="O11201" s="149">
        <f t="shared" ca="1" si="360"/>
        <v>1.000173611111111</v>
      </c>
    </row>
    <row r="11202" spans="12:15" x14ac:dyDescent="0.25">
      <c r="L11202" s="147">
        <f ca="1"/>
        <v>56441</v>
      </c>
      <c r="M11202" s="92">
        <f t="shared" ca="1" si="359"/>
        <v>6.25</v>
      </c>
      <c r="N11202" s="143">
        <f ca="1">(PRODUCT($O$5:$O11202)-1)*36000/_xlfn.DAYS(L11202, $C$2)</f>
        <v>20.804910524112127</v>
      </c>
      <c r="O11202" s="149">
        <f t="shared" ca="1" si="360"/>
        <v>1.000173611111111</v>
      </c>
    </row>
    <row r="11203" spans="12:15" x14ac:dyDescent="0.25">
      <c r="L11203" s="147">
        <f ca="1"/>
        <v>56442</v>
      </c>
      <c r="M11203" s="92">
        <f t="shared" ca="1" si="359"/>
        <v>6.25</v>
      </c>
      <c r="N11203" s="143">
        <f ca="1">(PRODUCT($O$5:$O11203)-1)*36000/_xlfn.DAYS(L11203, $C$2)</f>
        <v>20.807222503595504</v>
      </c>
      <c r="O11203" s="149">
        <f t="shared" ca="1" si="360"/>
        <v>1.000173611111111</v>
      </c>
    </row>
    <row r="11204" spans="12:15" x14ac:dyDescent="0.25">
      <c r="L11204" s="147">
        <f ca="1"/>
        <v>56443</v>
      </c>
      <c r="M11204" s="92">
        <f t="shared" ca="1" si="359"/>
        <v>6.25</v>
      </c>
      <c r="N11204" s="143">
        <f ca="1">(PRODUCT($O$5:$O11204)-1)*36000/_xlfn.DAYS(L11204, $C$2)</f>
        <v>20.809534794071649</v>
      </c>
      <c r="O11204" s="149">
        <f t="shared" ca="1" si="360"/>
        <v>1.000173611111111</v>
      </c>
    </row>
    <row r="11205" spans="12:15" x14ac:dyDescent="0.25">
      <c r="L11205" s="147">
        <f ca="1"/>
        <v>56444</v>
      </c>
      <c r="M11205" s="92">
        <f t="shared" ref="M11205:M11268" ca="1" si="361">IFERROR(INDEX($E$27:$H$47, MATCH(L11205, $F$27:$F$47, 0), 4), IF(ISNUMBER(M11204), M11204, $C$5))</f>
        <v>6.25</v>
      </c>
      <c r="N11205" s="143">
        <f ca="1">(PRODUCT($O$5:$O11205)-1)*36000/_xlfn.DAYS(L11205, $C$2)</f>
        <v>20.811847395582916</v>
      </c>
      <c r="O11205" s="149">
        <f t="shared" ca="1" si="360"/>
        <v>1.000173611111111</v>
      </c>
    </row>
    <row r="11206" spans="12:15" x14ac:dyDescent="0.25">
      <c r="L11206" s="147">
        <f ca="1"/>
        <v>56445</v>
      </c>
      <c r="M11206" s="92">
        <f t="shared" ca="1" si="361"/>
        <v>6.25</v>
      </c>
      <c r="N11206" s="143">
        <f ca="1">(PRODUCT($O$5:$O11206)-1)*36000/_xlfn.DAYS(L11206, $C$2)</f>
        <v>20.814160308171676</v>
      </c>
      <c r="O11206" s="149">
        <f t="shared" ref="O11206:O11269" ca="1" si="362">1+M11206*IFERROR(_xlfn.DAYS(L11206, L11205), _xlfn.DAYS(L11206, $C$2))/36000</f>
        <v>1.000173611111111</v>
      </c>
    </row>
    <row r="11207" spans="12:15" x14ac:dyDescent="0.25">
      <c r="L11207" s="147">
        <f ca="1"/>
        <v>56446</v>
      </c>
      <c r="M11207" s="92">
        <f t="shared" ca="1" si="361"/>
        <v>6.25</v>
      </c>
      <c r="N11207" s="143">
        <f ca="1">(PRODUCT($O$5:$O11207)-1)*36000/_xlfn.DAYS(L11207, $C$2)</f>
        <v>20.816473531880309</v>
      </c>
      <c r="O11207" s="149">
        <f t="shared" ca="1" si="362"/>
        <v>1.000173611111111</v>
      </c>
    </row>
    <row r="11208" spans="12:15" x14ac:dyDescent="0.25">
      <c r="L11208" s="147">
        <f ca="1"/>
        <v>56447</v>
      </c>
      <c r="M11208" s="92">
        <f t="shared" ca="1" si="361"/>
        <v>6.25</v>
      </c>
      <c r="N11208" s="143">
        <f ca="1">(PRODUCT($O$5:$O11208)-1)*36000/_xlfn.DAYS(L11208, $C$2)</f>
        <v>20.818787066751192</v>
      </c>
      <c r="O11208" s="149">
        <f t="shared" ca="1" si="362"/>
        <v>1.000173611111111</v>
      </c>
    </row>
    <row r="11209" spans="12:15" x14ac:dyDescent="0.25">
      <c r="L11209" s="147">
        <f ca="1"/>
        <v>56448</v>
      </c>
      <c r="M11209" s="92">
        <f t="shared" ca="1" si="361"/>
        <v>6.25</v>
      </c>
      <c r="N11209" s="143">
        <f ca="1">(PRODUCT($O$5:$O11209)-1)*36000/_xlfn.DAYS(L11209, $C$2)</f>
        <v>20.821100912826719</v>
      </c>
      <c r="O11209" s="149">
        <f t="shared" ca="1" si="362"/>
        <v>1.000173611111111</v>
      </c>
    </row>
    <row r="11210" spans="12:15" x14ac:dyDescent="0.25">
      <c r="L11210" s="147">
        <f ca="1"/>
        <v>56449</v>
      </c>
      <c r="M11210" s="92">
        <f t="shared" ca="1" si="361"/>
        <v>6.25</v>
      </c>
      <c r="N11210" s="143">
        <f ca="1">(PRODUCT($O$5:$O11210)-1)*36000/_xlfn.DAYS(L11210, $C$2)</f>
        <v>20.823415070149281</v>
      </c>
      <c r="O11210" s="149">
        <f t="shared" ca="1" si="362"/>
        <v>1.000173611111111</v>
      </c>
    </row>
    <row r="11211" spans="12:15" x14ac:dyDescent="0.25">
      <c r="L11211" s="147">
        <f ca="1"/>
        <v>56450</v>
      </c>
      <c r="M11211" s="92">
        <f t="shared" ca="1" si="361"/>
        <v>6.25</v>
      </c>
      <c r="N11211" s="143">
        <f ca="1">(PRODUCT($O$5:$O11211)-1)*36000/_xlfn.DAYS(L11211, $C$2)</f>
        <v>20.825729538761284</v>
      </c>
      <c r="O11211" s="149">
        <f t="shared" ca="1" si="362"/>
        <v>1.000173611111111</v>
      </c>
    </row>
    <row r="11212" spans="12:15" x14ac:dyDescent="0.25">
      <c r="L11212" s="147">
        <f ca="1"/>
        <v>56451</v>
      </c>
      <c r="M11212" s="92">
        <f t="shared" ca="1" si="361"/>
        <v>6.25</v>
      </c>
      <c r="N11212" s="143">
        <f ca="1">(PRODUCT($O$5:$O11212)-1)*36000/_xlfn.DAYS(L11212, $C$2)</f>
        <v>20.828044318705132</v>
      </c>
      <c r="O11212" s="149">
        <f t="shared" ca="1" si="362"/>
        <v>1.000173611111111</v>
      </c>
    </row>
    <row r="11213" spans="12:15" x14ac:dyDescent="0.25">
      <c r="L11213" s="147">
        <f ca="1"/>
        <v>56452</v>
      </c>
      <c r="M11213" s="92">
        <f t="shared" ca="1" si="361"/>
        <v>6.25</v>
      </c>
      <c r="N11213" s="143">
        <f ca="1">(PRODUCT($O$5:$O11213)-1)*36000/_xlfn.DAYS(L11213, $C$2)</f>
        <v>20.830359410023245</v>
      </c>
      <c r="O11213" s="149">
        <f t="shared" ca="1" si="362"/>
        <v>1.000173611111111</v>
      </c>
    </row>
    <row r="11214" spans="12:15" x14ac:dyDescent="0.25">
      <c r="L11214" s="147">
        <f ca="1"/>
        <v>56453</v>
      </c>
      <c r="M11214" s="92">
        <f t="shared" ca="1" si="361"/>
        <v>6.25</v>
      </c>
      <c r="N11214" s="143">
        <f ca="1">(PRODUCT($O$5:$O11214)-1)*36000/_xlfn.DAYS(L11214, $C$2)</f>
        <v>20.832674812758047</v>
      </c>
      <c r="O11214" s="149">
        <f t="shared" ca="1" si="362"/>
        <v>1.000173611111111</v>
      </c>
    </row>
    <row r="11215" spans="12:15" x14ac:dyDescent="0.25">
      <c r="L11215" s="147">
        <f ca="1"/>
        <v>56454</v>
      </c>
      <c r="M11215" s="92">
        <f t="shared" ca="1" si="361"/>
        <v>6.25</v>
      </c>
      <c r="N11215" s="143">
        <f ca="1">(PRODUCT($O$5:$O11215)-1)*36000/_xlfn.DAYS(L11215, $C$2)</f>
        <v>20.834990526951966</v>
      </c>
      <c r="O11215" s="149">
        <f t="shared" ca="1" si="362"/>
        <v>1.000173611111111</v>
      </c>
    </row>
    <row r="11216" spans="12:15" x14ac:dyDescent="0.25">
      <c r="L11216" s="147">
        <f ca="1"/>
        <v>56455</v>
      </c>
      <c r="M11216" s="92">
        <f t="shared" ca="1" si="361"/>
        <v>6.25</v>
      </c>
      <c r="N11216" s="143">
        <f ca="1">(PRODUCT($O$5:$O11216)-1)*36000/_xlfn.DAYS(L11216, $C$2)</f>
        <v>20.837306552647437</v>
      </c>
      <c r="O11216" s="149">
        <f t="shared" ca="1" si="362"/>
        <v>1.000173611111111</v>
      </c>
    </row>
    <row r="11217" spans="12:15" x14ac:dyDescent="0.25">
      <c r="L11217" s="147">
        <f ca="1"/>
        <v>56456</v>
      </c>
      <c r="M11217" s="92">
        <f t="shared" ca="1" si="361"/>
        <v>6.25</v>
      </c>
      <c r="N11217" s="143">
        <f ca="1">(PRODUCT($O$5:$O11217)-1)*36000/_xlfn.DAYS(L11217, $C$2)</f>
        <v>20.839622889886904</v>
      </c>
      <c r="O11217" s="149">
        <f t="shared" ca="1" si="362"/>
        <v>1.000173611111111</v>
      </c>
    </row>
    <row r="11218" spans="12:15" x14ac:dyDescent="0.25">
      <c r="L11218" s="147">
        <f ca="1"/>
        <v>56457</v>
      </c>
      <c r="M11218" s="92">
        <f t="shared" ca="1" si="361"/>
        <v>6.25</v>
      </c>
      <c r="N11218" s="143">
        <f ca="1">(PRODUCT($O$5:$O11218)-1)*36000/_xlfn.DAYS(L11218, $C$2)</f>
        <v>20.841939538712815</v>
      </c>
      <c r="O11218" s="149">
        <f t="shared" ca="1" si="362"/>
        <v>1.000173611111111</v>
      </c>
    </row>
    <row r="11219" spans="12:15" x14ac:dyDescent="0.25">
      <c r="L11219" s="147">
        <f ca="1"/>
        <v>56458</v>
      </c>
      <c r="M11219" s="92">
        <f t="shared" ca="1" si="361"/>
        <v>6.25</v>
      </c>
      <c r="N11219" s="143">
        <f ca="1">(PRODUCT($O$5:$O11219)-1)*36000/_xlfn.DAYS(L11219, $C$2)</f>
        <v>20.844256499167624</v>
      </c>
      <c r="O11219" s="149">
        <f t="shared" ca="1" si="362"/>
        <v>1.000173611111111</v>
      </c>
    </row>
    <row r="11220" spans="12:15" x14ac:dyDescent="0.25">
      <c r="L11220" s="147">
        <f ca="1"/>
        <v>56459</v>
      </c>
      <c r="M11220" s="92">
        <f t="shared" ca="1" si="361"/>
        <v>6.25</v>
      </c>
      <c r="N11220" s="143">
        <f ca="1">(PRODUCT($O$5:$O11220)-1)*36000/_xlfn.DAYS(L11220, $C$2)</f>
        <v>20.846573771293798</v>
      </c>
      <c r="O11220" s="149">
        <f t="shared" ca="1" si="362"/>
        <v>1.000173611111111</v>
      </c>
    </row>
    <row r="11221" spans="12:15" x14ac:dyDescent="0.25">
      <c r="L11221" s="147">
        <f ca="1"/>
        <v>56460</v>
      </c>
      <c r="M11221" s="92">
        <f t="shared" ca="1" si="361"/>
        <v>6.25</v>
      </c>
      <c r="N11221" s="143">
        <f ca="1">(PRODUCT($O$5:$O11221)-1)*36000/_xlfn.DAYS(L11221, $C$2)</f>
        <v>20.848891355133805</v>
      </c>
      <c r="O11221" s="149">
        <f t="shared" ca="1" si="362"/>
        <v>1.000173611111111</v>
      </c>
    </row>
    <row r="11222" spans="12:15" x14ac:dyDescent="0.25">
      <c r="L11222" s="147">
        <f ca="1"/>
        <v>56461</v>
      </c>
      <c r="M11222" s="92">
        <f t="shared" ca="1" si="361"/>
        <v>6.25</v>
      </c>
      <c r="N11222" s="143">
        <f ca="1">(PRODUCT($O$5:$O11222)-1)*36000/_xlfn.DAYS(L11222, $C$2)</f>
        <v>20.851209250730118</v>
      </c>
      <c r="O11222" s="149">
        <f t="shared" ca="1" si="362"/>
        <v>1.000173611111111</v>
      </c>
    </row>
    <row r="11223" spans="12:15" x14ac:dyDescent="0.25">
      <c r="L11223" s="147">
        <f ca="1"/>
        <v>56462</v>
      </c>
      <c r="M11223" s="92">
        <f t="shared" ca="1" si="361"/>
        <v>6.25</v>
      </c>
      <c r="N11223" s="143">
        <f ca="1">(PRODUCT($O$5:$O11223)-1)*36000/_xlfn.DAYS(L11223, $C$2)</f>
        <v>20.853527458125225</v>
      </c>
      <c r="O11223" s="149">
        <f t="shared" ca="1" si="362"/>
        <v>1.000173611111111</v>
      </c>
    </row>
    <row r="11224" spans="12:15" x14ac:dyDescent="0.25">
      <c r="L11224" s="147">
        <f ca="1"/>
        <v>56463</v>
      </c>
      <c r="M11224" s="92">
        <f t="shared" ca="1" si="361"/>
        <v>6.25</v>
      </c>
      <c r="N11224" s="143">
        <f ca="1">(PRODUCT($O$5:$O11224)-1)*36000/_xlfn.DAYS(L11224, $C$2)</f>
        <v>20.855845977361614</v>
      </c>
      <c r="O11224" s="149">
        <f t="shared" ca="1" si="362"/>
        <v>1.000173611111111</v>
      </c>
    </row>
    <row r="11225" spans="12:15" x14ac:dyDescent="0.25">
      <c r="L11225" s="147">
        <f ca="1"/>
        <v>56464</v>
      </c>
      <c r="M11225" s="92">
        <f t="shared" ca="1" si="361"/>
        <v>6.25</v>
      </c>
      <c r="N11225" s="143">
        <f ca="1">(PRODUCT($O$5:$O11225)-1)*36000/_xlfn.DAYS(L11225, $C$2)</f>
        <v>20.858164808481774</v>
      </c>
      <c r="O11225" s="149">
        <f t="shared" ca="1" si="362"/>
        <v>1.000173611111111</v>
      </c>
    </row>
    <row r="11226" spans="12:15" x14ac:dyDescent="0.25">
      <c r="L11226" s="147">
        <f ca="1"/>
        <v>56465</v>
      </c>
      <c r="M11226" s="92">
        <f t="shared" ca="1" si="361"/>
        <v>6.25</v>
      </c>
      <c r="N11226" s="143">
        <f ca="1">(PRODUCT($O$5:$O11226)-1)*36000/_xlfn.DAYS(L11226, $C$2)</f>
        <v>20.86048395152822</v>
      </c>
      <c r="O11226" s="149">
        <f t="shared" ca="1" si="362"/>
        <v>1.000173611111111</v>
      </c>
    </row>
    <row r="11227" spans="12:15" x14ac:dyDescent="0.25">
      <c r="L11227" s="147">
        <f ca="1"/>
        <v>56466</v>
      </c>
      <c r="M11227" s="92">
        <f t="shared" ca="1" si="361"/>
        <v>6.25</v>
      </c>
      <c r="N11227" s="143">
        <f ca="1">(PRODUCT($O$5:$O11227)-1)*36000/_xlfn.DAYS(L11227, $C$2)</f>
        <v>20.862803406543453</v>
      </c>
      <c r="O11227" s="149">
        <f t="shared" ca="1" si="362"/>
        <v>1.000173611111111</v>
      </c>
    </row>
    <row r="11228" spans="12:15" x14ac:dyDescent="0.25">
      <c r="L11228" s="147">
        <f ca="1"/>
        <v>56467</v>
      </c>
      <c r="M11228" s="92">
        <f t="shared" ca="1" si="361"/>
        <v>6.25</v>
      </c>
      <c r="N11228" s="143">
        <f ca="1">(PRODUCT($O$5:$O11228)-1)*36000/_xlfn.DAYS(L11228, $C$2)</f>
        <v>20.865123173569994</v>
      </c>
      <c r="O11228" s="149">
        <f t="shared" ca="1" si="362"/>
        <v>1.000173611111111</v>
      </c>
    </row>
    <row r="11229" spans="12:15" x14ac:dyDescent="0.25">
      <c r="L11229" s="147">
        <f ca="1"/>
        <v>56468</v>
      </c>
      <c r="M11229" s="92">
        <f t="shared" ca="1" si="361"/>
        <v>6.25</v>
      </c>
      <c r="N11229" s="143">
        <f ca="1">(PRODUCT($O$5:$O11229)-1)*36000/_xlfn.DAYS(L11229, $C$2)</f>
        <v>20.867443252650357</v>
      </c>
      <c r="O11229" s="149">
        <f t="shared" ca="1" si="362"/>
        <v>1.000173611111111</v>
      </c>
    </row>
    <row r="11230" spans="12:15" x14ac:dyDescent="0.25">
      <c r="L11230" s="147">
        <f ca="1"/>
        <v>56469</v>
      </c>
      <c r="M11230" s="92">
        <f t="shared" ca="1" si="361"/>
        <v>6.25</v>
      </c>
      <c r="N11230" s="143">
        <f ca="1">(PRODUCT($O$5:$O11230)-1)*36000/_xlfn.DAYS(L11230, $C$2)</f>
        <v>20.869763643827085</v>
      </c>
      <c r="O11230" s="149">
        <f t="shared" ca="1" si="362"/>
        <v>1.000173611111111</v>
      </c>
    </row>
    <row r="11231" spans="12:15" x14ac:dyDescent="0.25">
      <c r="L11231" s="147">
        <f ca="1"/>
        <v>56470</v>
      </c>
      <c r="M11231" s="92">
        <f t="shared" ca="1" si="361"/>
        <v>6.25</v>
      </c>
      <c r="N11231" s="143">
        <f ca="1">(PRODUCT($O$5:$O11231)-1)*36000/_xlfn.DAYS(L11231, $C$2)</f>
        <v>20.87208434714271</v>
      </c>
      <c r="O11231" s="149">
        <f t="shared" ca="1" si="362"/>
        <v>1.000173611111111</v>
      </c>
    </row>
    <row r="11232" spans="12:15" x14ac:dyDescent="0.25">
      <c r="L11232" s="147">
        <f ca="1"/>
        <v>56471</v>
      </c>
      <c r="M11232" s="92">
        <f t="shared" ca="1" si="361"/>
        <v>6.25</v>
      </c>
      <c r="N11232" s="143">
        <f ca="1">(PRODUCT($O$5:$O11232)-1)*36000/_xlfn.DAYS(L11232, $C$2)</f>
        <v>20.87440536263977</v>
      </c>
      <c r="O11232" s="149">
        <f t="shared" ca="1" si="362"/>
        <v>1.000173611111111</v>
      </c>
    </row>
    <row r="11233" spans="12:15" x14ac:dyDescent="0.25">
      <c r="L11233" s="147">
        <f ca="1"/>
        <v>56472</v>
      </c>
      <c r="M11233" s="92">
        <f t="shared" ca="1" si="361"/>
        <v>6.25</v>
      </c>
      <c r="N11233" s="143">
        <f ca="1">(PRODUCT($O$5:$O11233)-1)*36000/_xlfn.DAYS(L11233, $C$2)</f>
        <v>20.876726690360819</v>
      </c>
      <c r="O11233" s="149">
        <f t="shared" ca="1" si="362"/>
        <v>1.000173611111111</v>
      </c>
    </row>
    <row r="11234" spans="12:15" x14ac:dyDescent="0.25">
      <c r="L11234" s="147">
        <f ca="1"/>
        <v>56473</v>
      </c>
      <c r="M11234" s="92">
        <f t="shared" ca="1" si="361"/>
        <v>6.25</v>
      </c>
      <c r="N11234" s="143">
        <f ca="1">(PRODUCT($O$5:$O11234)-1)*36000/_xlfn.DAYS(L11234, $C$2)</f>
        <v>20.879048330348411</v>
      </c>
      <c r="O11234" s="149">
        <f t="shared" ca="1" si="362"/>
        <v>1.000173611111111</v>
      </c>
    </row>
    <row r="11235" spans="12:15" x14ac:dyDescent="0.25">
      <c r="L11235" s="147">
        <f ca="1"/>
        <v>56474</v>
      </c>
      <c r="M11235" s="92">
        <f t="shared" ca="1" si="361"/>
        <v>6.25</v>
      </c>
      <c r="N11235" s="143">
        <f ca="1">(PRODUCT($O$5:$O11235)-1)*36000/_xlfn.DAYS(L11235, $C$2)</f>
        <v>20.881370282645111</v>
      </c>
      <c r="O11235" s="149">
        <f t="shared" ca="1" si="362"/>
        <v>1.000173611111111</v>
      </c>
    </row>
    <row r="11236" spans="12:15" x14ac:dyDescent="0.25">
      <c r="L11236" s="147">
        <f ca="1"/>
        <v>56475</v>
      </c>
      <c r="M11236" s="92">
        <f t="shared" ca="1" si="361"/>
        <v>6.25</v>
      </c>
      <c r="N11236" s="143">
        <f ca="1">(PRODUCT($O$5:$O11236)-1)*36000/_xlfn.DAYS(L11236, $C$2)</f>
        <v>20.883692547293492</v>
      </c>
      <c r="O11236" s="149">
        <f t="shared" ca="1" si="362"/>
        <v>1.000173611111111</v>
      </c>
    </row>
    <row r="11237" spans="12:15" x14ac:dyDescent="0.25">
      <c r="L11237" s="147">
        <f ca="1"/>
        <v>56476</v>
      </c>
      <c r="M11237" s="92">
        <f t="shared" ca="1" si="361"/>
        <v>6.25</v>
      </c>
      <c r="N11237" s="143">
        <f ca="1">(PRODUCT($O$5:$O11237)-1)*36000/_xlfn.DAYS(L11237, $C$2)</f>
        <v>20.886015124336126</v>
      </c>
      <c r="O11237" s="149">
        <f t="shared" ca="1" si="362"/>
        <v>1.000173611111111</v>
      </c>
    </row>
    <row r="11238" spans="12:15" x14ac:dyDescent="0.25">
      <c r="L11238" s="147">
        <f ca="1"/>
        <v>56477</v>
      </c>
      <c r="M11238" s="92">
        <f t="shared" ca="1" si="361"/>
        <v>6.25</v>
      </c>
      <c r="N11238" s="143">
        <f ca="1">(PRODUCT($O$5:$O11238)-1)*36000/_xlfn.DAYS(L11238, $C$2)</f>
        <v>20.888338013815599</v>
      </c>
      <c r="O11238" s="149">
        <f t="shared" ca="1" si="362"/>
        <v>1.000173611111111</v>
      </c>
    </row>
    <row r="11239" spans="12:15" x14ac:dyDescent="0.25">
      <c r="L11239" s="147">
        <f ca="1"/>
        <v>56478</v>
      </c>
      <c r="M11239" s="92">
        <f t="shared" ca="1" si="361"/>
        <v>6.25</v>
      </c>
      <c r="N11239" s="143">
        <f ca="1">(PRODUCT($O$5:$O11239)-1)*36000/_xlfn.DAYS(L11239, $C$2)</f>
        <v>20.890661215774497</v>
      </c>
      <c r="O11239" s="149">
        <f t="shared" ca="1" si="362"/>
        <v>1.000173611111111</v>
      </c>
    </row>
    <row r="11240" spans="12:15" x14ac:dyDescent="0.25">
      <c r="L11240" s="147">
        <f ca="1"/>
        <v>56479</v>
      </c>
      <c r="M11240" s="92">
        <f t="shared" ca="1" si="361"/>
        <v>6.25</v>
      </c>
      <c r="N11240" s="143">
        <f ca="1">(PRODUCT($O$5:$O11240)-1)*36000/_xlfn.DAYS(L11240, $C$2)</f>
        <v>20.892984730255424</v>
      </c>
      <c r="O11240" s="149">
        <f t="shared" ca="1" si="362"/>
        <v>1.000173611111111</v>
      </c>
    </row>
    <row r="11241" spans="12:15" x14ac:dyDescent="0.25">
      <c r="L11241" s="147">
        <f ca="1"/>
        <v>56480</v>
      </c>
      <c r="M11241" s="92">
        <f t="shared" ca="1" si="361"/>
        <v>6.25</v>
      </c>
      <c r="N11241" s="143">
        <f ca="1">(PRODUCT($O$5:$O11241)-1)*36000/_xlfn.DAYS(L11241, $C$2)</f>
        <v>20.895308557300979</v>
      </c>
      <c r="O11241" s="149">
        <f t="shared" ca="1" si="362"/>
        <v>1.000173611111111</v>
      </c>
    </row>
    <row r="11242" spans="12:15" x14ac:dyDescent="0.25">
      <c r="L11242" s="147">
        <f ca="1"/>
        <v>56481</v>
      </c>
      <c r="M11242" s="92">
        <f t="shared" ca="1" si="361"/>
        <v>6.25</v>
      </c>
      <c r="N11242" s="143">
        <f ca="1">(PRODUCT($O$5:$O11242)-1)*36000/_xlfn.DAYS(L11242, $C$2)</f>
        <v>20.897632696953771</v>
      </c>
      <c r="O11242" s="149">
        <f t="shared" ca="1" si="362"/>
        <v>1.000173611111111</v>
      </c>
    </row>
    <row r="11243" spans="12:15" x14ac:dyDescent="0.25">
      <c r="L11243" s="147">
        <f ca="1"/>
        <v>56482</v>
      </c>
      <c r="M11243" s="92">
        <f t="shared" ca="1" si="361"/>
        <v>6.25</v>
      </c>
      <c r="N11243" s="143">
        <f ca="1">(PRODUCT($O$5:$O11243)-1)*36000/_xlfn.DAYS(L11243, $C$2)</f>
        <v>20.899957149256423</v>
      </c>
      <c r="O11243" s="149">
        <f t="shared" ca="1" si="362"/>
        <v>1.000173611111111</v>
      </c>
    </row>
    <row r="11244" spans="12:15" x14ac:dyDescent="0.25">
      <c r="L11244" s="147">
        <f ca="1"/>
        <v>56483</v>
      </c>
      <c r="M11244" s="92">
        <f t="shared" ca="1" si="361"/>
        <v>6.25</v>
      </c>
      <c r="N11244" s="143">
        <f ca="1">(PRODUCT($O$5:$O11244)-1)*36000/_xlfn.DAYS(L11244, $C$2)</f>
        <v>20.902281914251549</v>
      </c>
      <c r="O11244" s="149">
        <f t="shared" ca="1" si="362"/>
        <v>1.000173611111111</v>
      </c>
    </row>
    <row r="11245" spans="12:15" x14ac:dyDescent="0.25">
      <c r="L11245" s="147">
        <f ca="1"/>
        <v>56484</v>
      </c>
      <c r="M11245" s="92">
        <f t="shared" ca="1" si="361"/>
        <v>6.25</v>
      </c>
      <c r="N11245" s="143">
        <f ca="1">(PRODUCT($O$5:$O11245)-1)*36000/_xlfn.DAYS(L11245, $C$2)</f>
        <v>20.90460699198179</v>
      </c>
      <c r="O11245" s="149">
        <f t="shared" ca="1" si="362"/>
        <v>1.000173611111111</v>
      </c>
    </row>
    <row r="11246" spans="12:15" x14ac:dyDescent="0.25">
      <c r="L11246" s="147">
        <f ca="1"/>
        <v>56485</v>
      </c>
      <c r="M11246" s="92">
        <f t="shared" ca="1" si="361"/>
        <v>6.25</v>
      </c>
      <c r="N11246" s="143">
        <f ca="1">(PRODUCT($O$5:$O11246)-1)*36000/_xlfn.DAYS(L11246, $C$2)</f>
        <v>20.906932382489774</v>
      </c>
      <c r="O11246" s="149">
        <f t="shared" ca="1" si="362"/>
        <v>1.000173611111111</v>
      </c>
    </row>
    <row r="11247" spans="12:15" x14ac:dyDescent="0.25">
      <c r="L11247" s="147">
        <f ca="1"/>
        <v>56486</v>
      </c>
      <c r="M11247" s="92">
        <f t="shared" ca="1" si="361"/>
        <v>6.25</v>
      </c>
      <c r="N11247" s="143">
        <f ca="1">(PRODUCT($O$5:$O11247)-1)*36000/_xlfn.DAYS(L11247, $C$2)</f>
        <v>20.909258085818156</v>
      </c>
      <c r="O11247" s="149">
        <f t="shared" ca="1" si="362"/>
        <v>1.000173611111111</v>
      </c>
    </row>
    <row r="11248" spans="12:15" x14ac:dyDescent="0.25">
      <c r="L11248" s="147">
        <f ca="1"/>
        <v>56487</v>
      </c>
      <c r="M11248" s="92">
        <f t="shared" ca="1" si="361"/>
        <v>6.25</v>
      </c>
      <c r="N11248" s="143">
        <f ca="1">(PRODUCT($O$5:$O11248)-1)*36000/_xlfn.DAYS(L11248, $C$2)</f>
        <v>20.911584102009574</v>
      </c>
      <c r="O11248" s="149">
        <f t="shared" ca="1" si="362"/>
        <v>1.000173611111111</v>
      </c>
    </row>
    <row r="11249" spans="12:15" x14ac:dyDescent="0.25">
      <c r="L11249" s="147">
        <f ca="1"/>
        <v>56488</v>
      </c>
      <c r="M11249" s="92">
        <f t="shared" ca="1" si="361"/>
        <v>6.25</v>
      </c>
      <c r="N11249" s="143">
        <f ca="1">(PRODUCT($O$5:$O11249)-1)*36000/_xlfn.DAYS(L11249, $C$2)</f>
        <v>20.913910431106693</v>
      </c>
      <c r="O11249" s="149">
        <f t="shared" ca="1" si="362"/>
        <v>1.000173611111111</v>
      </c>
    </row>
    <row r="11250" spans="12:15" x14ac:dyDescent="0.25">
      <c r="L11250" s="147">
        <f ca="1"/>
        <v>56489</v>
      </c>
      <c r="M11250" s="92">
        <f t="shared" ca="1" si="361"/>
        <v>6.25</v>
      </c>
      <c r="N11250" s="143">
        <f ca="1">(PRODUCT($O$5:$O11250)-1)*36000/_xlfn.DAYS(L11250, $C$2)</f>
        <v>20.916237073152175</v>
      </c>
      <c r="O11250" s="149">
        <f t="shared" ca="1" si="362"/>
        <v>1.000173611111111</v>
      </c>
    </row>
    <row r="11251" spans="12:15" x14ac:dyDescent="0.25">
      <c r="L11251" s="147">
        <f ca="1"/>
        <v>56490</v>
      </c>
      <c r="M11251" s="92">
        <f t="shared" ca="1" si="361"/>
        <v>6.25</v>
      </c>
      <c r="N11251" s="143">
        <f ca="1">(PRODUCT($O$5:$O11251)-1)*36000/_xlfn.DAYS(L11251, $C$2)</f>
        <v>20.91856402818869</v>
      </c>
      <c r="O11251" s="149">
        <f t="shared" ca="1" si="362"/>
        <v>1.000173611111111</v>
      </c>
    </row>
    <row r="11252" spans="12:15" x14ac:dyDescent="0.25">
      <c r="L11252" s="147">
        <f ca="1"/>
        <v>56491</v>
      </c>
      <c r="M11252" s="92">
        <f t="shared" ca="1" si="361"/>
        <v>6.25</v>
      </c>
      <c r="N11252" s="143">
        <f ca="1">(PRODUCT($O$5:$O11252)-1)*36000/_xlfn.DAYS(L11252, $C$2)</f>
        <v>20.920891296258919</v>
      </c>
      <c r="O11252" s="149">
        <f t="shared" ca="1" si="362"/>
        <v>1.000173611111111</v>
      </c>
    </row>
    <row r="11253" spans="12:15" x14ac:dyDescent="0.25">
      <c r="L11253" s="147">
        <f ca="1"/>
        <v>56492</v>
      </c>
      <c r="M11253" s="92">
        <f t="shared" ca="1" si="361"/>
        <v>6.25</v>
      </c>
      <c r="N11253" s="143">
        <f ca="1">(PRODUCT($O$5:$O11253)-1)*36000/_xlfn.DAYS(L11253, $C$2)</f>
        <v>20.923218877405539</v>
      </c>
      <c r="O11253" s="149">
        <f t="shared" ca="1" si="362"/>
        <v>1.000173611111111</v>
      </c>
    </row>
    <row r="11254" spans="12:15" x14ac:dyDescent="0.25">
      <c r="L11254" s="147">
        <f ca="1"/>
        <v>56493</v>
      </c>
      <c r="M11254" s="92">
        <f t="shared" ca="1" si="361"/>
        <v>6.25</v>
      </c>
      <c r="N11254" s="143">
        <f ca="1">(PRODUCT($O$5:$O11254)-1)*36000/_xlfn.DAYS(L11254, $C$2)</f>
        <v>20.925546771671247</v>
      </c>
      <c r="O11254" s="149">
        <f t="shared" ca="1" si="362"/>
        <v>1.000173611111111</v>
      </c>
    </row>
    <row r="11255" spans="12:15" x14ac:dyDescent="0.25">
      <c r="L11255" s="147">
        <f ca="1"/>
        <v>56494</v>
      </c>
      <c r="M11255" s="92">
        <f t="shared" ca="1" si="361"/>
        <v>6.25</v>
      </c>
      <c r="N11255" s="143">
        <f ca="1">(PRODUCT($O$5:$O11255)-1)*36000/_xlfn.DAYS(L11255, $C$2)</f>
        <v>20.927874979098743</v>
      </c>
      <c r="O11255" s="149">
        <f t="shared" ca="1" si="362"/>
        <v>1.000173611111111</v>
      </c>
    </row>
    <row r="11256" spans="12:15" x14ac:dyDescent="0.25">
      <c r="L11256" s="147">
        <f ca="1"/>
        <v>56495</v>
      </c>
      <c r="M11256" s="92">
        <f t="shared" ca="1" si="361"/>
        <v>6.25</v>
      </c>
      <c r="N11256" s="143">
        <f ca="1">(PRODUCT($O$5:$O11256)-1)*36000/_xlfn.DAYS(L11256, $C$2)</f>
        <v>20.930203499730723</v>
      </c>
      <c r="O11256" s="149">
        <f t="shared" ca="1" si="362"/>
        <v>1.000173611111111</v>
      </c>
    </row>
    <row r="11257" spans="12:15" x14ac:dyDescent="0.25">
      <c r="L11257" s="147">
        <f ca="1"/>
        <v>56496</v>
      </c>
      <c r="M11257" s="92">
        <f t="shared" ca="1" si="361"/>
        <v>6.25</v>
      </c>
      <c r="N11257" s="143">
        <f ca="1">(PRODUCT($O$5:$O11257)-1)*36000/_xlfn.DAYS(L11257, $C$2)</f>
        <v>20.932532333609903</v>
      </c>
      <c r="O11257" s="149">
        <f t="shared" ca="1" si="362"/>
        <v>1.000173611111111</v>
      </c>
    </row>
    <row r="11258" spans="12:15" x14ac:dyDescent="0.25">
      <c r="L11258" s="147">
        <f ca="1"/>
        <v>56497</v>
      </c>
      <c r="M11258" s="92">
        <f t="shared" ca="1" si="361"/>
        <v>6.25</v>
      </c>
      <c r="N11258" s="143">
        <f ca="1">(PRODUCT($O$5:$O11258)-1)*36000/_xlfn.DAYS(L11258, $C$2)</f>
        <v>20.934861480778999</v>
      </c>
      <c r="O11258" s="149">
        <f t="shared" ca="1" si="362"/>
        <v>1.000173611111111</v>
      </c>
    </row>
    <row r="11259" spans="12:15" x14ac:dyDescent="0.25">
      <c r="L11259" s="147">
        <f ca="1"/>
        <v>56498</v>
      </c>
      <c r="M11259" s="92">
        <f t="shared" ca="1" si="361"/>
        <v>6.25</v>
      </c>
      <c r="N11259" s="143">
        <f ca="1">(PRODUCT($O$5:$O11259)-1)*36000/_xlfn.DAYS(L11259, $C$2)</f>
        <v>20.937190941280743</v>
      </c>
      <c r="O11259" s="149">
        <f t="shared" ca="1" si="362"/>
        <v>1.000173611111111</v>
      </c>
    </row>
    <row r="11260" spans="12:15" x14ac:dyDescent="0.25">
      <c r="L11260" s="147">
        <f ca="1"/>
        <v>56499</v>
      </c>
      <c r="M11260" s="92">
        <f t="shared" ca="1" si="361"/>
        <v>6.25</v>
      </c>
      <c r="N11260" s="143">
        <f ca="1">(PRODUCT($O$5:$O11260)-1)*36000/_xlfn.DAYS(L11260, $C$2)</f>
        <v>20.939520715157855</v>
      </c>
      <c r="O11260" s="149">
        <f t="shared" ca="1" si="362"/>
        <v>1.000173611111111</v>
      </c>
    </row>
    <row r="11261" spans="12:15" x14ac:dyDescent="0.25">
      <c r="L11261" s="147">
        <f ca="1"/>
        <v>56500</v>
      </c>
      <c r="M11261" s="92">
        <f t="shared" ca="1" si="361"/>
        <v>6.25</v>
      </c>
      <c r="N11261" s="143">
        <f ca="1">(PRODUCT($O$5:$O11261)-1)*36000/_xlfn.DAYS(L11261, $C$2)</f>
        <v>20.941850802453082</v>
      </c>
      <c r="O11261" s="149">
        <f t="shared" ca="1" si="362"/>
        <v>1.000173611111111</v>
      </c>
    </row>
    <row r="11262" spans="12:15" x14ac:dyDescent="0.25">
      <c r="L11262" s="147">
        <f ca="1"/>
        <v>56501</v>
      </c>
      <c r="M11262" s="92">
        <f t="shared" ca="1" si="361"/>
        <v>6.25</v>
      </c>
      <c r="N11262" s="143">
        <f ca="1">(PRODUCT($O$5:$O11262)-1)*36000/_xlfn.DAYS(L11262, $C$2)</f>
        <v>20.944181203209165</v>
      </c>
      <c r="O11262" s="149">
        <f t="shared" ca="1" si="362"/>
        <v>1.000173611111111</v>
      </c>
    </row>
    <row r="11263" spans="12:15" x14ac:dyDescent="0.25">
      <c r="L11263" s="147">
        <f ca="1"/>
        <v>56502</v>
      </c>
      <c r="M11263" s="92">
        <f t="shared" ca="1" si="361"/>
        <v>6.25</v>
      </c>
      <c r="N11263" s="143">
        <f ca="1">(PRODUCT($O$5:$O11263)-1)*36000/_xlfn.DAYS(L11263, $C$2)</f>
        <v>20.946511917468854</v>
      </c>
      <c r="O11263" s="149">
        <f t="shared" ca="1" si="362"/>
        <v>1.000173611111111</v>
      </c>
    </row>
    <row r="11264" spans="12:15" x14ac:dyDescent="0.25">
      <c r="L11264" s="147">
        <f ca="1"/>
        <v>56503</v>
      </c>
      <c r="M11264" s="92">
        <f t="shared" ca="1" si="361"/>
        <v>6.25</v>
      </c>
      <c r="N11264" s="143">
        <f ca="1">(PRODUCT($O$5:$O11264)-1)*36000/_xlfn.DAYS(L11264, $C$2)</f>
        <v>20.948842945274908</v>
      </c>
      <c r="O11264" s="149">
        <f t="shared" ca="1" si="362"/>
        <v>1.000173611111111</v>
      </c>
    </row>
    <row r="11265" spans="12:15" x14ac:dyDescent="0.25">
      <c r="L11265" s="147">
        <f ca="1"/>
        <v>56504</v>
      </c>
      <c r="M11265" s="92">
        <f t="shared" ca="1" si="361"/>
        <v>6.25</v>
      </c>
      <c r="N11265" s="143">
        <f ca="1">(PRODUCT($O$5:$O11265)-1)*36000/_xlfn.DAYS(L11265, $C$2)</f>
        <v>20.951174286670096</v>
      </c>
      <c r="O11265" s="149">
        <f t="shared" ca="1" si="362"/>
        <v>1.000173611111111</v>
      </c>
    </row>
    <row r="11266" spans="12:15" x14ac:dyDescent="0.25">
      <c r="L11266" s="147">
        <f ca="1"/>
        <v>56505</v>
      </c>
      <c r="M11266" s="92">
        <f t="shared" ca="1" si="361"/>
        <v>6.25</v>
      </c>
      <c r="N11266" s="143">
        <f ca="1">(PRODUCT($O$5:$O11266)-1)*36000/_xlfn.DAYS(L11266, $C$2)</f>
        <v>20.953505941697184</v>
      </c>
      <c r="O11266" s="149">
        <f t="shared" ca="1" si="362"/>
        <v>1.000173611111111</v>
      </c>
    </row>
    <row r="11267" spans="12:15" x14ac:dyDescent="0.25">
      <c r="L11267" s="147">
        <f ca="1"/>
        <v>56506</v>
      </c>
      <c r="M11267" s="92">
        <f t="shared" ca="1" si="361"/>
        <v>6.25</v>
      </c>
      <c r="N11267" s="143">
        <f ca="1">(PRODUCT($O$5:$O11267)-1)*36000/_xlfn.DAYS(L11267, $C$2)</f>
        <v>20.955837910398952</v>
      </c>
      <c r="O11267" s="149">
        <f t="shared" ca="1" si="362"/>
        <v>1.000173611111111</v>
      </c>
    </row>
    <row r="11268" spans="12:15" x14ac:dyDescent="0.25">
      <c r="L11268" s="147">
        <f ca="1"/>
        <v>56507</v>
      </c>
      <c r="M11268" s="92">
        <f t="shared" ca="1" si="361"/>
        <v>6.25</v>
      </c>
      <c r="N11268" s="143">
        <f ca="1">(PRODUCT($O$5:$O11268)-1)*36000/_xlfn.DAYS(L11268, $C$2)</f>
        <v>20.958170192818187</v>
      </c>
      <c r="O11268" s="149">
        <f t="shared" ca="1" si="362"/>
        <v>1.000173611111111</v>
      </c>
    </row>
    <row r="11269" spans="12:15" x14ac:dyDescent="0.25">
      <c r="L11269" s="147">
        <f ca="1"/>
        <v>56508</v>
      </c>
      <c r="M11269" s="92">
        <f t="shared" ref="M11269:M11332" ca="1" si="363">IFERROR(INDEX($E$27:$H$47, MATCH(L11269, $F$27:$F$47, 0), 4), IF(ISNUMBER(M11268), M11268, $C$5))</f>
        <v>6.25</v>
      </c>
      <c r="N11269" s="143">
        <f ca="1">(PRODUCT($O$5:$O11269)-1)*36000/_xlfn.DAYS(L11269, $C$2)</f>
        <v>20.96050278899768</v>
      </c>
      <c r="O11269" s="149">
        <f t="shared" ca="1" si="362"/>
        <v>1.000173611111111</v>
      </c>
    </row>
    <row r="11270" spans="12:15" x14ac:dyDescent="0.25">
      <c r="L11270" s="147">
        <f ca="1"/>
        <v>56509</v>
      </c>
      <c r="M11270" s="92">
        <f t="shared" ca="1" si="363"/>
        <v>6.25</v>
      </c>
      <c r="N11270" s="143">
        <f ca="1">(PRODUCT($O$5:$O11270)-1)*36000/_xlfn.DAYS(L11270, $C$2)</f>
        <v>20.962835698980232</v>
      </c>
      <c r="O11270" s="149">
        <f t="shared" ref="O11270:O11333" ca="1" si="364">1+M11270*IFERROR(_xlfn.DAYS(L11270, L11269), _xlfn.DAYS(L11270, $C$2))/36000</f>
        <v>1.000173611111111</v>
      </c>
    </row>
    <row r="11271" spans="12:15" x14ac:dyDescent="0.25">
      <c r="L11271" s="147">
        <f ca="1"/>
        <v>56510</v>
      </c>
      <c r="M11271" s="92">
        <f t="shared" ca="1" si="363"/>
        <v>6.25</v>
      </c>
      <c r="N11271" s="143">
        <f ca="1">(PRODUCT($O$5:$O11271)-1)*36000/_xlfn.DAYS(L11271, $C$2)</f>
        <v>20.965168922808644</v>
      </c>
      <c r="O11271" s="149">
        <f t="shared" ca="1" si="364"/>
        <v>1.000173611111111</v>
      </c>
    </row>
    <row r="11272" spans="12:15" x14ac:dyDescent="0.25">
      <c r="L11272" s="147">
        <f ca="1"/>
        <v>56511</v>
      </c>
      <c r="M11272" s="92">
        <f t="shared" ca="1" si="363"/>
        <v>6.25</v>
      </c>
      <c r="N11272" s="143">
        <f ca="1">(PRODUCT($O$5:$O11272)-1)*36000/_xlfn.DAYS(L11272, $C$2)</f>
        <v>20.967502460525733</v>
      </c>
      <c r="O11272" s="149">
        <f t="shared" ca="1" si="364"/>
        <v>1.000173611111111</v>
      </c>
    </row>
    <row r="11273" spans="12:15" x14ac:dyDescent="0.25">
      <c r="L11273" s="147">
        <f ca="1"/>
        <v>56512</v>
      </c>
      <c r="M11273" s="92">
        <f t="shared" ca="1" si="363"/>
        <v>6.25</v>
      </c>
      <c r="N11273" s="143">
        <f ca="1">(PRODUCT($O$5:$O11273)-1)*36000/_xlfn.DAYS(L11273, $C$2)</f>
        <v>20.969836312174312</v>
      </c>
      <c r="O11273" s="149">
        <f t="shared" ca="1" si="364"/>
        <v>1.000173611111111</v>
      </c>
    </row>
    <row r="11274" spans="12:15" x14ac:dyDescent="0.25">
      <c r="L11274" s="147">
        <f ca="1"/>
        <v>56513</v>
      </c>
      <c r="M11274" s="92">
        <f t="shared" ca="1" si="363"/>
        <v>6.25</v>
      </c>
      <c r="N11274" s="143">
        <f ca="1">(PRODUCT($O$5:$O11274)-1)*36000/_xlfn.DAYS(L11274, $C$2)</f>
        <v>20.972170477797214</v>
      </c>
      <c r="O11274" s="149">
        <f t="shared" ca="1" si="364"/>
        <v>1.000173611111111</v>
      </c>
    </row>
    <row r="11275" spans="12:15" x14ac:dyDescent="0.25">
      <c r="L11275" s="147">
        <f ca="1"/>
        <v>56514</v>
      </c>
      <c r="M11275" s="92">
        <f t="shared" ca="1" si="363"/>
        <v>6.25</v>
      </c>
      <c r="N11275" s="143">
        <f ca="1">(PRODUCT($O$5:$O11275)-1)*36000/_xlfn.DAYS(L11275, $C$2)</f>
        <v>20.974504957437262</v>
      </c>
      <c r="O11275" s="149">
        <f t="shared" ca="1" si="364"/>
        <v>1.000173611111111</v>
      </c>
    </row>
    <row r="11276" spans="12:15" x14ac:dyDescent="0.25">
      <c r="L11276" s="147">
        <f ca="1"/>
        <v>56515</v>
      </c>
      <c r="M11276" s="92">
        <f t="shared" ca="1" si="363"/>
        <v>6.25</v>
      </c>
      <c r="N11276" s="143">
        <f ca="1">(PRODUCT($O$5:$O11276)-1)*36000/_xlfn.DAYS(L11276, $C$2)</f>
        <v>20.976839751137298</v>
      </c>
      <c r="O11276" s="149">
        <f t="shared" ca="1" si="364"/>
        <v>1.000173611111111</v>
      </c>
    </row>
    <row r="11277" spans="12:15" x14ac:dyDescent="0.25">
      <c r="L11277" s="147">
        <f ca="1"/>
        <v>56516</v>
      </c>
      <c r="M11277" s="92">
        <f t="shared" ca="1" si="363"/>
        <v>6.25</v>
      </c>
      <c r="N11277" s="143">
        <f ca="1">(PRODUCT($O$5:$O11277)-1)*36000/_xlfn.DAYS(L11277, $C$2)</f>
        <v>20.979174858940176</v>
      </c>
      <c r="O11277" s="149">
        <f t="shared" ca="1" si="364"/>
        <v>1.000173611111111</v>
      </c>
    </row>
    <row r="11278" spans="12:15" x14ac:dyDescent="0.25">
      <c r="L11278" s="147">
        <f ca="1"/>
        <v>56517</v>
      </c>
      <c r="M11278" s="92">
        <f t="shared" ca="1" si="363"/>
        <v>6.25</v>
      </c>
      <c r="N11278" s="143">
        <f ca="1">(PRODUCT($O$5:$O11278)-1)*36000/_xlfn.DAYS(L11278, $C$2)</f>
        <v>20.981510280888742</v>
      </c>
      <c r="O11278" s="149">
        <f t="shared" ca="1" si="364"/>
        <v>1.000173611111111</v>
      </c>
    </row>
    <row r="11279" spans="12:15" x14ac:dyDescent="0.25">
      <c r="L11279" s="147">
        <f ca="1"/>
        <v>56518</v>
      </c>
      <c r="M11279" s="92">
        <f t="shared" ca="1" si="363"/>
        <v>6.25</v>
      </c>
      <c r="N11279" s="143">
        <f ca="1">(PRODUCT($O$5:$O11279)-1)*36000/_xlfn.DAYS(L11279, $C$2)</f>
        <v>20.983846017025854</v>
      </c>
      <c r="O11279" s="149">
        <f t="shared" ca="1" si="364"/>
        <v>1.000173611111111</v>
      </c>
    </row>
    <row r="11280" spans="12:15" x14ac:dyDescent="0.25">
      <c r="L11280" s="147">
        <f ca="1"/>
        <v>56519</v>
      </c>
      <c r="M11280" s="92">
        <f t="shared" ca="1" si="363"/>
        <v>6.25</v>
      </c>
      <c r="N11280" s="143">
        <f ca="1">(PRODUCT($O$5:$O11280)-1)*36000/_xlfn.DAYS(L11280, $C$2)</f>
        <v>20.986182067394385</v>
      </c>
      <c r="O11280" s="149">
        <f t="shared" ca="1" si="364"/>
        <v>1.000173611111111</v>
      </c>
    </row>
    <row r="11281" spans="12:15" x14ac:dyDescent="0.25">
      <c r="L11281" s="147">
        <f ca="1"/>
        <v>56520</v>
      </c>
      <c r="M11281" s="92">
        <f t="shared" ca="1" si="363"/>
        <v>6.25</v>
      </c>
      <c r="N11281" s="143">
        <f ca="1">(PRODUCT($O$5:$O11281)-1)*36000/_xlfn.DAYS(L11281, $C$2)</f>
        <v>20.9885184320372</v>
      </c>
      <c r="O11281" s="149">
        <f t="shared" ca="1" si="364"/>
        <v>1.000173611111111</v>
      </c>
    </row>
    <row r="11282" spans="12:15" x14ac:dyDescent="0.25">
      <c r="L11282" s="147">
        <f ca="1"/>
        <v>56521</v>
      </c>
      <c r="M11282" s="92">
        <f t="shared" ca="1" si="363"/>
        <v>6.25</v>
      </c>
      <c r="N11282" s="143">
        <f ca="1">(PRODUCT($O$5:$O11282)-1)*36000/_xlfn.DAYS(L11282, $C$2)</f>
        <v>20.990855110997181</v>
      </c>
      <c r="O11282" s="149">
        <f t="shared" ca="1" si="364"/>
        <v>1.000173611111111</v>
      </c>
    </row>
    <row r="11283" spans="12:15" x14ac:dyDescent="0.25">
      <c r="L11283" s="147">
        <f ca="1"/>
        <v>56522</v>
      </c>
      <c r="M11283" s="92">
        <f t="shared" ca="1" si="363"/>
        <v>6.25</v>
      </c>
      <c r="N11283" s="143">
        <f ca="1">(PRODUCT($O$5:$O11283)-1)*36000/_xlfn.DAYS(L11283, $C$2)</f>
        <v>20.993192104317213</v>
      </c>
      <c r="O11283" s="149">
        <f t="shared" ca="1" si="364"/>
        <v>1.000173611111111</v>
      </c>
    </row>
    <row r="11284" spans="12:15" x14ac:dyDescent="0.25">
      <c r="L11284" s="147">
        <f ca="1"/>
        <v>56523</v>
      </c>
      <c r="M11284" s="92">
        <f t="shared" ca="1" si="363"/>
        <v>6.25</v>
      </c>
      <c r="N11284" s="143">
        <f ca="1">(PRODUCT($O$5:$O11284)-1)*36000/_xlfn.DAYS(L11284, $C$2)</f>
        <v>20.995529412040192</v>
      </c>
      <c r="O11284" s="149">
        <f t="shared" ca="1" si="364"/>
        <v>1.000173611111111</v>
      </c>
    </row>
    <row r="11285" spans="12:15" x14ac:dyDescent="0.25">
      <c r="L11285" s="147">
        <f ca="1"/>
        <v>56524</v>
      </c>
      <c r="M11285" s="92">
        <f t="shared" ca="1" si="363"/>
        <v>6.25</v>
      </c>
      <c r="N11285" s="143">
        <f ca="1">(PRODUCT($O$5:$O11285)-1)*36000/_xlfn.DAYS(L11285, $C$2)</f>
        <v>20.997867034209015</v>
      </c>
      <c r="O11285" s="149">
        <f t="shared" ca="1" si="364"/>
        <v>1.000173611111111</v>
      </c>
    </row>
    <row r="11286" spans="12:15" x14ac:dyDescent="0.25">
      <c r="L11286" s="147">
        <f ca="1"/>
        <v>56525</v>
      </c>
      <c r="M11286" s="92">
        <f t="shared" ca="1" si="363"/>
        <v>6.25</v>
      </c>
      <c r="N11286" s="143">
        <f ca="1">(PRODUCT($O$5:$O11286)-1)*36000/_xlfn.DAYS(L11286, $C$2)</f>
        <v>21.000204970866591</v>
      </c>
      <c r="O11286" s="149">
        <f t="shared" ca="1" si="364"/>
        <v>1.000173611111111</v>
      </c>
    </row>
    <row r="11287" spans="12:15" x14ac:dyDescent="0.25">
      <c r="L11287" s="147">
        <f ca="1"/>
        <v>56526</v>
      </c>
      <c r="M11287" s="92">
        <f t="shared" ca="1" si="363"/>
        <v>6.25</v>
      </c>
      <c r="N11287" s="143">
        <f ca="1">(PRODUCT($O$5:$O11287)-1)*36000/_xlfn.DAYS(L11287, $C$2)</f>
        <v>21.002543222055834</v>
      </c>
      <c r="O11287" s="149">
        <f t="shared" ca="1" si="364"/>
        <v>1.000173611111111</v>
      </c>
    </row>
    <row r="11288" spans="12:15" x14ac:dyDescent="0.25">
      <c r="L11288" s="147">
        <f ca="1"/>
        <v>56527</v>
      </c>
      <c r="M11288" s="92">
        <f t="shared" ca="1" si="363"/>
        <v>6.25</v>
      </c>
      <c r="N11288" s="143">
        <f ca="1">(PRODUCT($O$5:$O11288)-1)*36000/_xlfn.DAYS(L11288, $C$2)</f>
        <v>21.004881787819667</v>
      </c>
      <c r="O11288" s="149">
        <f t="shared" ca="1" si="364"/>
        <v>1.000173611111111</v>
      </c>
    </row>
    <row r="11289" spans="12:15" x14ac:dyDescent="0.25">
      <c r="L11289" s="147">
        <f ca="1"/>
        <v>56528</v>
      </c>
      <c r="M11289" s="92">
        <f t="shared" ca="1" si="363"/>
        <v>6.25</v>
      </c>
      <c r="N11289" s="143">
        <f ca="1">(PRODUCT($O$5:$O11289)-1)*36000/_xlfn.DAYS(L11289, $C$2)</f>
        <v>21.007220668201004</v>
      </c>
      <c r="O11289" s="149">
        <f t="shared" ca="1" si="364"/>
        <v>1.000173611111111</v>
      </c>
    </row>
    <row r="11290" spans="12:15" x14ac:dyDescent="0.25">
      <c r="L11290" s="147">
        <f ca="1"/>
        <v>56529</v>
      </c>
      <c r="M11290" s="92">
        <f t="shared" ca="1" si="363"/>
        <v>6.25</v>
      </c>
      <c r="N11290" s="143">
        <f ca="1">(PRODUCT($O$5:$O11290)-1)*36000/_xlfn.DAYS(L11290, $C$2)</f>
        <v>21.009559863242792</v>
      </c>
      <c r="O11290" s="149">
        <f t="shared" ca="1" si="364"/>
        <v>1.000173611111111</v>
      </c>
    </row>
    <row r="11291" spans="12:15" x14ac:dyDescent="0.25">
      <c r="L11291" s="147">
        <f ca="1"/>
        <v>56530</v>
      </c>
      <c r="M11291" s="92">
        <f t="shared" ca="1" si="363"/>
        <v>6.25</v>
      </c>
      <c r="N11291" s="143">
        <f ca="1">(PRODUCT($O$5:$O11291)-1)*36000/_xlfn.DAYS(L11291, $C$2)</f>
        <v>21.011899372987966</v>
      </c>
      <c r="O11291" s="149">
        <f t="shared" ca="1" si="364"/>
        <v>1.000173611111111</v>
      </c>
    </row>
    <row r="11292" spans="12:15" x14ac:dyDescent="0.25">
      <c r="L11292" s="147">
        <f ca="1"/>
        <v>56531</v>
      </c>
      <c r="M11292" s="92">
        <f t="shared" ca="1" si="363"/>
        <v>6.25</v>
      </c>
      <c r="N11292" s="143">
        <f ca="1">(PRODUCT($O$5:$O11292)-1)*36000/_xlfn.DAYS(L11292, $C$2)</f>
        <v>21.014239197479473</v>
      </c>
      <c r="O11292" s="149">
        <f t="shared" ca="1" si="364"/>
        <v>1.000173611111111</v>
      </c>
    </row>
    <row r="11293" spans="12:15" x14ac:dyDescent="0.25">
      <c r="L11293" s="147">
        <f ca="1"/>
        <v>56532</v>
      </c>
      <c r="M11293" s="92">
        <f t="shared" ca="1" si="363"/>
        <v>6.25</v>
      </c>
      <c r="N11293" s="143">
        <f ca="1">(PRODUCT($O$5:$O11293)-1)*36000/_xlfn.DAYS(L11293, $C$2)</f>
        <v>21.016579336760266</v>
      </c>
      <c r="O11293" s="149">
        <f t="shared" ca="1" si="364"/>
        <v>1.000173611111111</v>
      </c>
    </row>
    <row r="11294" spans="12:15" x14ac:dyDescent="0.25">
      <c r="L11294" s="147">
        <f ca="1"/>
        <v>56533</v>
      </c>
      <c r="M11294" s="92">
        <f t="shared" ca="1" si="363"/>
        <v>6.25</v>
      </c>
      <c r="N11294" s="143">
        <f ca="1">(PRODUCT($O$5:$O11294)-1)*36000/_xlfn.DAYS(L11294, $C$2)</f>
        <v>21.018919790873309</v>
      </c>
      <c r="O11294" s="149">
        <f t="shared" ca="1" si="364"/>
        <v>1.000173611111111</v>
      </c>
    </row>
    <row r="11295" spans="12:15" x14ac:dyDescent="0.25">
      <c r="L11295" s="147">
        <f ca="1"/>
        <v>56534</v>
      </c>
      <c r="M11295" s="92">
        <f t="shared" ca="1" si="363"/>
        <v>6.25</v>
      </c>
      <c r="N11295" s="143">
        <f ca="1">(PRODUCT($O$5:$O11295)-1)*36000/_xlfn.DAYS(L11295, $C$2)</f>
        <v>21.021260559861567</v>
      </c>
      <c r="O11295" s="149">
        <f t="shared" ca="1" si="364"/>
        <v>1.000173611111111</v>
      </c>
    </row>
    <row r="11296" spans="12:15" x14ac:dyDescent="0.25">
      <c r="L11296" s="147">
        <f ca="1"/>
        <v>56535</v>
      </c>
      <c r="M11296" s="92">
        <f t="shared" ca="1" si="363"/>
        <v>6.25</v>
      </c>
      <c r="N11296" s="143">
        <f ca="1">(PRODUCT($O$5:$O11296)-1)*36000/_xlfn.DAYS(L11296, $C$2)</f>
        <v>21.023601643768014</v>
      </c>
      <c r="O11296" s="149">
        <f t="shared" ca="1" si="364"/>
        <v>1.000173611111111</v>
      </c>
    </row>
    <row r="11297" spans="12:15" x14ac:dyDescent="0.25">
      <c r="L11297" s="147">
        <f ca="1"/>
        <v>56536</v>
      </c>
      <c r="M11297" s="92">
        <f t="shared" ca="1" si="363"/>
        <v>6.25</v>
      </c>
      <c r="N11297" s="143">
        <f ca="1">(PRODUCT($O$5:$O11297)-1)*36000/_xlfn.DAYS(L11297, $C$2)</f>
        <v>21.025943042635635</v>
      </c>
      <c r="O11297" s="149">
        <f t="shared" ca="1" si="364"/>
        <v>1.000173611111111</v>
      </c>
    </row>
    <row r="11298" spans="12:15" x14ac:dyDescent="0.25">
      <c r="L11298" s="147">
        <f ca="1"/>
        <v>56537</v>
      </c>
      <c r="M11298" s="92">
        <f t="shared" ca="1" si="363"/>
        <v>6.25</v>
      </c>
      <c r="N11298" s="143">
        <f ca="1">(PRODUCT($O$5:$O11298)-1)*36000/_xlfn.DAYS(L11298, $C$2)</f>
        <v>21.028284756507411</v>
      </c>
      <c r="O11298" s="149">
        <f t="shared" ca="1" si="364"/>
        <v>1.000173611111111</v>
      </c>
    </row>
    <row r="11299" spans="12:15" x14ac:dyDescent="0.25">
      <c r="L11299" s="147">
        <f ca="1"/>
        <v>56538</v>
      </c>
      <c r="M11299" s="92">
        <f t="shared" ca="1" si="363"/>
        <v>6.25</v>
      </c>
      <c r="N11299" s="143">
        <f ca="1">(PRODUCT($O$5:$O11299)-1)*36000/_xlfn.DAYS(L11299, $C$2)</f>
        <v>21.030626785426339</v>
      </c>
      <c r="O11299" s="149">
        <f t="shared" ca="1" si="364"/>
        <v>1.000173611111111</v>
      </c>
    </row>
    <row r="11300" spans="12:15" x14ac:dyDescent="0.25">
      <c r="L11300" s="147">
        <f ca="1"/>
        <v>56539</v>
      </c>
      <c r="M11300" s="92">
        <f t="shared" ca="1" si="363"/>
        <v>6.25</v>
      </c>
      <c r="N11300" s="143">
        <f ca="1">(PRODUCT($O$5:$O11300)-1)*36000/_xlfn.DAYS(L11300, $C$2)</f>
        <v>21.032969129435422</v>
      </c>
      <c r="O11300" s="149">
        <f t="shared" ca="1" si="364"/>
        <v>1.000173611111111</v>
      </c>
    </row>
    <row r="11301" spans="12:15" x14ac:dyDescent="0.25">
      <c r="L11301" s="147">
        <f ca="1"/>
        <v>56540</v>
      </c>
      <c r="M11301" s="92">
        <f t="shared" ca="1" si="363"/>
        <v>6.25</v>
      </c>
      <c r="N11301" s="143">
        <f ca="1">(PRODUCT($O$5:$O11301)-1)*36000/_xlfn.DAYS(L11301, $C$2)</f>
        <v>21.035311788577665</v>
      </c>
      <c r="O11301" s="149">
        <f t="shared" ca="1" si="364"/>
        <v>1.000173611111111</v>
      </c>
    </row>
    <row r="11302" spans="12:15" x14ac:dyDescent="0.25">
      <c r="L11302" s="147">
        <f ca="1"/>
        <v>56541</v>
      </c>
      <c r="M11302" s="92">
        <f t="shared" ca="1" si="363"/>
        <v>6.25</v>
      </c>
      <c r="N11302" s="143">
        <f ca="1">(PRODUCT($O$5:$O11302)-1)*36000/_xlfn.DAYS(L11302, $C$2)</f>
        <v>21.037654762896086</v>
      </c>
      <c r="O11302" s="149">
        <f t="shared" ca="1" si="364"/>
        <v>1.000173611111111</v>
      </c>
    </row>
    <row r="11303" spans="12:15" x14ac:dyDescent="0.25">
      <c r="L11303" s="147">
        <f ca="1"/>
        <v>56542</v>
      </c>
      <c r="M11303" s="92">
        <f t="shared" ca="1" si="363"/>
        <v>6.25</v>
      </c>
      <c r="N11303" s="143">
        <f ca="1">(PRODUCT($O$5:$O11303)-1)*36000/_xlfn.DAYS(L11303, $C$2)</f>
        <v>21.039998052433706</v>
      </c>
      <c r="O11303" s="149">
        <f t="shared" ca="1" si="364"/>
        <v>1.000173611111111</v>
      </c>
    </row>
    <row r="11304" spans="12:15" x14ac:dyDescent="0.25">
      <c r="L11304" s="147">
        <f ca="1"/>
        <v>56543</v>
      </c>
      <c r="M11304" s="92">
        <f t="shared" ca="1" si="363"/>
        <v>6.25</v>
      </c>
      <c r="N11304" s="143">
        <f ca="1">(PRODUCT($O$5:$O11304)-1)*36000/_xlfn.DAYS(L11304, $C$2)</f>
        <v>21.04234165723355</v>
      </c>
      <c r="O11304" s="149">
        <f t="shared" ca="1" si="364"/>
        <v>1.000173611111111</v>
      </c>
    </row>
    <row r="11305" spans="12:15" x14ac:dyDescent="0.25">
      <c r="L11305" s="147">
        <f ca="1"/>
        <v>56544</v>
      </c>
      <c r="M11305" s="92">
        <f t="shared" ca="1" si="363"/>
        <v>6.25</v>
      </c>
      <c r="N11305" s="143">
        <f ca="1">(PRODUCT($O$5:$O11305)-1)*36000/_xlfn.DAYS(L11305, $C$2)</f>
        <v>21.044685577338655</v>
      </c>
      <c r="O11305" s="149">
        <f t="shared" ca="1" si="364"/>
        <v>1.000173611111111</v>
      </c>
    </row>
    <row r="11306" spans="12:15" x14ac:dyDescent="0.25">
      <c r="L11306" s="147">
        <f ca="1"/>
        <v>56545</v>
      </c>
      <c r="M11306" s="92">
        <f t="shared" ca="1" si="363"/>
        <v>6.25</v>
      </c>
      <c r="N11306" s="143">
        <f ca="1">(PRODUCT($O$5:$O11306)-1)*36000/_xlfn.DAYS(L11306, $C$2)</f>
        <v>21.047029812792065</v>
      </c>
      <c r="O11306" s="149">
        <f t="shared" ca="1" si="364"/>
        <v>1.000173611111111</v>
      </c>
    </row>
    <row r="11307" spans="12:15" x14ac:dyDescent="0.25">
      <c r="L11307" s="147">
        <f ca="1"/>
        <v>56546</v>
      </c>
      <c r="M11307" s="92">
        <f t="shared" ca="1" si="363"/>
        <v>6.25</v>
      </c>
      <c r="N11307" s="143">
        <f ca="1">(PRODUCT($O$5:$O11307)-1)*36000/_xlfn.DAYS(L11307, $C$2)</f>
        <v>21.049374363636822</v>
      </c>
      <c r="O11307" s="149">
        <f t="shared" ca="1" si="364"/>
        <v>1.000173611111111</v>
      </c>
    </row>
    <row r="11308" spans="12:15" x14ac:dyDescent="0.25">
      <c r="L11308" s="147">
        <f ca="1"/>
        <v>56547</v>
      </c>
      <c r="M11308" s="92">
        <f t="shared" ca="1" si="363"/>
        <v>6.25</v>
      </c>
      <c r="N11308" s="143">
        <f ca="1">(PRODUCT($O$5:$O11308)-1)*36000/_xlfn.DAYS(L11308, $C$2)</f>
        <v>21.051719229915989</v>
      </c>
      <c r="O11308" s="149">
        <f t="shared" ca="1" si="364"/>
        <v>1.000173611111111</v>
      </c>
    </row>
    <row r="11309" spans="12:15" x14ac:dyDescent="0.25">
      <c r="L11309" s="147">
        <f ca="1"/>
        <v>56548</v>
      </c>
      <c r="M11309" s="92">
        <f t="shared" ca="1" si="363"/>
        <v>6.25</v>
      </c>
      <c r="N11309" s="143">
        <f ca="1">(PRODUCT($O$5:$O11309)-1)*36000/_xlfn.DAYS(L11309, $C$2)</f>
        <v>21.054064411672631</v>
      </c>
      <c r="O11309" s="149">
        <f t="shared" ca="1" si="364"/>
        <v>1.000173611111111</v>
      </c>
    </row>
    <row r="11310" spans="12:15" x14ac:dyDescent="0.25">
      <c r="L11310" s="147">
        <f ca="1"/>
        <v>56549</v>
      </c>
      <c r="M11310" s="92">
        <f t="shared" ca="1" si="363"/>
        <v>6.25</v>
      </c>
      <c r="N11310" s="143">
        <f ca="1">(PRODUCT($O$5:$O11310)-1)*36000/_xlfn.DAYS(L11310, $C$2)</f>
        <v>21.056409908949803</v>
      </c>
      <c r="O11310" s="149">
        <f t="shared" ca="1" si="364"/>
        <v>1.000173611111111</v>
      </c>
    </row>
    <row r="11311" spans="12:15" x14ac:dyDescent="0.25">
      <c r="L11311" s="147">
        <f ca="1"/>
        <v>56550</v>
      </c>
      <c r="M11311" s="92">
        <f t="shared" ca="1" si="363"/>
        <v>6.25</v>
      </c>
      <c r="N11311" s="143">
        <f ca="1">(PRODUCT($O$5:$O11311)-1)*36000/_xlfn.DAYS(L11311, $C$2)</f>
        <v>21.05875572179059</v>
      </c>
      <c r="O11311" s="149">
        <f t="shared" ca="1" si="364"/>
        <v>1.000173611111111</v>
      </c>
    </row>
    <row r="11312" spans="12:15" x14ac:dyDescent="0.25">
      <c r="L11312" s="147">
        <f ca="1"/>
        <v>56551</v>
      </c>
      <c r="M11312" s="92">
        <f t="shared" ca="1" si="363"/>
        <v>6.25</v>
      </c>
      <c r="N11312" s="143">
        <f ca="1">(PRODUCT($O$5:$O11312)-1)*36000/_xlfn.DAYS(L11312, $C$2)</f>
        <v>21.061101850238074</v>
      </c>
      <c r="O11312" s="149">
        <f t="shared" ca="1" si="364"/>
        <v>1.000173611111111</v>
      </c>
    </row>
    <row r="11313" spans="12:15" x14ac:dyDescent="0.25">
      <c r="L11313" s="147">
        <f ca="1"/>
        <v>56552</v>
      </c>
      <c r="M11313" s="92">
        <f t="shared" ca="1" si="363"/>
        <v>6.25</v>
      </c>
      <c r="N11313" s="143">
        <f ca="1">(PRODUCT($O$5:$O11313)-1)*36000/_xlfn.DAYS(L11313, $C$2)</f>
        <v>21.063448294335341</v>
      </c>
      <c r="O11313" s="149">
        <f t="shared" ca="1" si="364"/>
        <v>1.000173611111111</v>
      </c>
    </row>
    <row r="11314" spans="12:15" x14ac:dyDescent="0.25">
      <c r="L11314" s="147">
        <f ca="1"/>
        <v>56553</v>
      </c>
      <c r="M11314" s="92">
        <f t="shared" ca="1" si="363"/>
        <v>6.25</v>
      </c>
      <c r="N11314" s="143">
        <f ca="1">(PRODUCT($O$5:$O11314)-1)*36000/_xlfn.DAYS(L11314, $C$2)</f>
        <v>21.065795054125491</v>
      </c>
      <c r="O11314" s="149">
        <f t="shared" ca="1" si="364"/>
        <v>1.000173611111111</v>
      </c>
    </row>
    <row r="11315" spans="12:15" x14ac:dyDescent="0.25">
      <c r="L11315" s="147">
        <f ca="1"/>
        <v>56554</v>
      </c>
      <c r="M11315" s="92">
        <f t="shared" ca="1" si="363"/>
        <v>6.25</v>
      </c>
      <c r="N11315" s="143">
        <f ca="1">(PRODUCT($O$5:$O11315)-1)*36000/_xlfn.DAYS(L11315, $C$2)</f>
        <v>21.068142129651626</v>
      </c>
      <c r="O11315" s="149">
        <f t="shared" ca="1" si="364"/>
        <v>1.000173611111111</v>
      </c>
    </row>
    <row r="11316" spans="12:15" x14ac:dyDescent="0.25">
      <c r="L11316" s="147">
        <f ca="1"/>
        <v>56555</v>
      </c>
      <c r="M11316" s="92">
        <f t="shared" ca="1" si="363"/>
        <v>6.25</v>
      </c>
      <c r="N11316" s="143">
        <f ca="1">(PRODUCT($O$5:$O11316)-1)*36000/_xlfn.DAYS(L11316, $C$2)</f>
        <v>21.070489520956851</v>
      </c>
      <c r="O11316" s="149">
        <f t="shared" ca="1" si="364"/>
        <v>1.000173611111111</v>
      </c>
    </row>
    <row r="11317" spans="12:15" x14ac:dyDescent="0.25">
      <c r="L11317" s="147">
        <f ca="1"/>
        <v>56556</v>
      </c>
      <c r="M11317" s="92">
        <f t="shared" ca="1" si="363"/>
        <v>6.25</v>
      </c>
      <c r="N11317" s="143">
        <f ca="1">(PRODUCT($O$5:$O11317)-1)*36000/_xlfn.DAYS(L11317, $C$2)</f>
        <v>21.072837228084285</v>
      </c>
      <c r="O11317" s="149">
        <f t="shared" ca="1" si="364"/>
        <v>1.000173611111111</v>
      </c>
    </row>
    <row r="11318" spans="12:15" x14ac:dyDescent="0.25">
      <c r="L11318" s="147">
        <f ca="1"/>
        <v>56557</v>
      </c>
      <c r="M11318" s="92">
        <f t="shared" ca="1" si="363"/>
        <v>6.25</v>
      </c>
      <c r="N11318" s="143">
        <f ca="1">(PRODUCT($O$5:$O11318)-1)*36000/_xlfn.DAYS(L11318, $C$2)</f>
        <v>21.075185251077055</v>
      </c>
      <c r="O11318" s="149">
        <f t="shared" ca="1" si="364"/>
        <v>1.000173611111111</v>
      </c>
    </row>
    <row r="11319" spans="12:15" x14ac:dyDescent="0.25">
      <c r="L11319" s="147">
        <f ca="1"/>
        <v>56558</v>
      </c>
      <c r="M11319" s="92">
        <f t="shared" ca="1" si="363"/>
        <v>6.25</v>
      </c>
      <c r="N11319" s="143">
        <f ca="1">(PRODUCT($O$5:$O11319)-1)*36000/_xlfn.DAYS(L11319, $C$2)</f>
        <v>21.077533589978287</v>
      </c>
      <c r="O11319" s="149">
        <f t="shared" ca="1" si="364"/>
        <v>1.000173611111111</v>
      </c>
    </row>
    <row r="11320" spans="12:15" x14ac:dyDescent="0.25">
      <c r="L11320" s="147">
        <f ca="1"/>
        <v>56559</v>
      </c>
      <c r="M11320" s="92">
        <f t="shared" ca="1" si="363"/>
        <v>6.25</v>
      </c>
      <c r="N11320" s="143">
        <f ca="1">(PRODUCT($O$5:$O11320)-1)*36000/_xlfn.DAYS(L11320, $C$2)</f>
        <v>21.079882244831111</v>
      </c>
      <c r="O11320" s="149">
        <f t="shared" ca="1" si="364"/>
        <v>1.000173611111111</v>
      </c>
    </row>
    <row r="11321" spans="12:15" x14ac:dyDescent="0.25">
      <c r="L11321" s="147">
        <f ca="1"/>
        <v>56560</v>
      </c>
      <c r="M11321" s="92">
        <f t="shared" ca="1" si="363"/>
        <v>6.25</v>
      </c>
      <c r="N11321" s="143">
        <f ca="1">(PRODUCT($O$5:$O11321)-1)*36000/_xlfn.DAYS(L11321, $C$2)</f>
        <v>21.082231215678682</v>
      </c>
      <c r="O11321" s="149">
        <f t="shared" ca="1" si="364"/>
        <v>1.000173611111111</v>
      </c>
    </row>
    <row r="11322" spans="12:15" x14ac:dyDescent="0.25">
      <c r="L11322" s="147">
        <f ca="1"/>
        <v>56561</v>
      </c>
      <c r="M11322" s="92">
        <f t="shared" ca="1" si="363"/>
        <v>6.25</v>
      </c>
      <c r="N11322" s="143">
        <f ca="1">(PRODUCT($O$5:$O11322)-1)*36000/_xlfn.DAYS(L11322, $C$2)</f>
        <v>21.084580502564148</v>
      </c>
      <c r="O11322" s="149">
        <f t="shared" ca="1" si="364"/>
        <v>1.000173611111111</v>
      </c>
    </row>
    <row r="11323" spans="12:15" x14ac:dyDescent="0.25">
      <c r="L11323" s="147">
        <f ca="1"/>
        <v>56562</v>
      </c>
      <c r="M11323" s="92">
        <f t="shared" ca="1" si="363"/>
        <v>6.25</v>
      </c>
      <c r="N11323" s="143">
        <f ca="1">(PRODUCT($O$5:$O11323)-1)*36000/_xlfn.DAYS(L11323, $C$2)</f>
        <v>21.086930105530666</v>
      </c>
      <c r="O11323" s="149">
        <f t="shared" ca="1" si="364"/>
        <v>1.000173611111111</v>
      </c>
    </row>
    <row r="11324" spans="12:15" x14ac:dyDescent="0.25">
      <c r="L11324" s="147">
        <f ca="1"/>
        <v>56563</v>
      </c>
      <c r="M11324" s="92">
        <f t="shared" ca="1" si="363"/>
        <v>6.25</v>
      </c>
      <c r="N11324" s="143">
        <f ca="1">(PRODUCT($O$5:$O11324)-1)*36000/_xlfn.DAYS(L11324, $C$2)</f>
        <v>21.089280024621392</v>
      </c>
      <c r="O11324" s="149">
        <f t="shared" ca="1" si="364"/>
        <v>1.000173611111111</v>
      </c>
    </row>
    <row r="11325" spans="12:15" x14ac:dyDescent="0.25">
      <c r="L11325" s="147">
        <f ca="1"/>
        <v>56564</v>
      </c>
      <c r="M11325" s="92">
        <f t="shared" ca="1" si="363"/>
        <v>6.25</v>
      </c>
      <c r="N11325" s="143">
        <f ca="1">(PRODUCT($O$5:$O11325)-1)*36000/_xlfn.DAYS(L11325, $C$2)</f>
        <v>21.091630259879505</v>
      </c>
      <c r="O11325" s="149">
        <f t="shared" ca="1" si="364"/>
        <v>1.000173611111111</v>
      </c>
    </row>
    <row r="11326" spans="12:15" x14ac:dyDescent="0.25">
      <c r="L11326" s="147">
        <f ca="1"/>
        <v>56565</v>
      </c>
      <c r="M11326" s="92">
        <f t="shared" ca="1" si="363"/>
        <v>6.25</v>
      </c>
      <c r="N11326" s="143">
        <f ca="1">(PRODUCT($O$5:$O11326)-1)*36000/_xlfn.DAYS(L11326, $C$2)</f>
        <v>21.093980811348175</v>
      </c>
      <c r="O11326" s="149">
        <f t="shared" ca="1" si="364"/>
        <v>1.000173611111111</v>
      </c>
    </row>
    <row r="11327" spans="12:15" x14ac:dyDescent="0.25">
      <c r="L11327" s="147">
        <f ca="1"/>
        <v>56566</v>
      </c>
      <c r="M11327" s="92">
        <f t="shared" ca="1" si="363"/>
        <v>6.25</v>
      </c>
      <c r="N11327" s="143">
        <f ca="1">(PRODUCT($O$5:$O11327)-1)*36000/_xlfn.DAYS(L11327, $C$2)</f>
        <v>21.096331679070591</v>
      </c>
      <c r="O11327" s="149">
        <f t="shared" ca="1" si="364"/>
        <v>1.000173611111111</v>
      </c>
    </row>
    <row r="11328" spans="12:15" x14ac:dyDescent="0.25">
      <c r="L11328" s="147">
        <f ca="1"/>
        <v>56567</v>
      </c>
      <c r="M11328" s="92">
        <f t="shared" ca="1" si="363"/>
        <v>6.25</v>
      </c>
      <c r="N11328" s="143">
        <f ca="1">(PRODUCT($O$5:$O11328)-1)*36000/_xlfn.DAYS(L11328, $C$2)</f>
        <v>21.098682863089945</v>
      </c>
      <c r="O11328" s="149">
        <f t="shared" ca="1" si="364"/>
        <v>1.000173611111111</v>
      </c>
    </row>
    <row r="11329" spans="12:15" x14ac:dyDescent="0.25">
      <c r="L11329" s="147">
        <f ca="1"/>
        <v>56568</v>
      </c>
      <c r="M11329" s="92">
        <f t="shared" ca="1" si="363"/>
        <v>6.25</v>
      </c>
      <c r="N11329" s="143">
        <f ca="1">(PRODUCT($O$5:$O11329)-1)*36000/_xlfn.DAYS(L11329, $C$2)</f>
        <v>21.101034363449433</v>
      </c>
      <c r="O11329" s="149">
        <f t="shared" ca="1" si="364"/>
        <v>1.000173611111111</v>
      </c>
    </row>
    <row r="11330" spans="12:15" x14ac:dyDescent="0.25">
      <c r="L11330" s="147">
        <f ca="1"/>
        <v>56569</v>
      </c>
      <c r="M11330" s="92">
        <f t="shared" ca="1" si="363"/>
        <v>6.25</v>
      </c>
      <c r="N11330" s="143">
        <f ca="1">(PRODUCT($O$5:$O11330)-1)*36000/_xlfn.DAYS(L11330, $C$2)</f>
        <v>21.10338618019226</v>
      </c>
      <c r="O11330" s="149">
        <f t="shared" ca="1" si="364"/>
        <v>1.000173611111111</v>
      </c>
    </row>
    <row r="11331" spans="12:15" x14ac:dyDescent="0.25">
      <c r="L11331" s="147">
        <f ca="1"/>
        <v>56570</v>
      </c>
      <c r="M11331" s="92">
        <f t="shared" ca="1" si="363"/>
        <v>6.25</v>
      </c>
      <c r="N11331" s="143">
        <f ca="1">(PRODUCT($O$5:$O11331)-1)*36000/_xlfn.DAYS(L11331, $C$2)</f>
        <v>21.105738313361638</v>
      </c>
      <c r="O11331" s="149">
        <f t="shared" ca="1" si="364"/>
        <v>1.000173611111111</v>
      </c>
    </row>
    <row r="11332" spans="12:15" x14ac:dyDescent="0.25">
      <c r="L11332" s="147">
        <f ca="1"/>
        <v>56571</v>
      </c>
      <c r="M11332" s="92">
        <f t="shared" ca="1" si="363"/>
        <v>6.25</v>
      </c>
      <c r="N11332" s="143">
        <f ca="1">(PRODUCT($O$5:$O11332)-1)*36000/_xlfn.DAYS(L11332, $C$2)</f>
        <v>21.108090763000778</v>
      </c>
      <c r="O11332" s="149">
        <f t="shared" ca="1" si="364"/>
        <v>1.000173611111111</v>
      </c>
    </row>
    <row r="11333" spans="12:15" x14ac:dyDescent="0.25">
      <c r="L11333" s="147">
        <f ca="1"/>
        <v>56572</v>
      </c>
      <c r="M11333" s="92">
        <f t="shared" ref="M11333:M11396" ca="1" si="365">IFERROR(INDEX($E$27:$H$47, MATCH(L11333, $F$27:$F$47, 0), 4), IF(ISNUMBER(M11332), M11332, $C$5))</f>
        <v>6.25</v>
      </c>
      <c r="N11333" s="143">
        <f ca="1">(PRODUCT($O$5:$O11333)-1)*36000/_xlfn.DAYS(L11333, $C$2)</f>
        <v>21.110443529152914</v>
      </c>
      <c r="O11333" s="149">
        <f t="shared" ca="1" si="364"/>
        <v>1.000173611111111</v>
      </c>
    </row>
    <row r="11334" spans="12:15" x14ac:dyDescent="0.25">
      <c r="L11334" s="147">
        <f ca="1"/>
        <v>56573</v>
      </c>
      <c r="M11334" s="92">
        <f t="shared" ca="1" si="365"/>
        <v>6.25</v>
      </c>
      <c r="N11334" s="143">
        <f ca="1">(PRODUCT($O$5:$O11334)-1)*36000/_xlfn.DAYS(L11334, $C$2)</f>
        <v>21.112796611861274</v>
      </c>
      <c r="O11334" s="149">
        <f t="shared" ref="O11334:O11397" ca="1" si="366">1+M11334*IFERROR(_xlfn.DAYS(L11334, L11333), _xlfn.DAYS(L11334, $C$2))/36000</f>
        <v>1.000173611111111</v>
      </c>
    </row>
    <row r="11335" spans="12:15" x14ac:dyDescent="0.25">
      <c r="L11335" s="147">
        <f ca="1"/>
        <v>56574</v>
      </c>
      <c r="M11335" s="92">
        <f t="shared" ca="1" si="365"/>
        <v>6.25</v>
      </c>
      <c r="N11335" s="143">
        <f ca="1">(PRODUCT($O$5:$O11335)-1)*36000/_xlfn.DAYS(L11335, $C$2)</f>
        <v>21.115150011169096</v>
      </c>
      <c r="O11335" s="149">
        <f t="shared" ca="1" si="366"/>
        <v>1.000173611111111</v>
      </c>
    </row>
    <row r="11336" spans="12:15" x14ac:dyDescent="0.25">
      <c r="L11336" s="147">
        <f ca="1"/>
        <v>56575</v>
      </c>
      <c r="M11336" s="92">
        <f t="shared" ca="1" si="365"/>
        <v>6.25</v>
      </c>
      <c r="N11336" s="143">
        <f ca="1">(PRODUCT($O$5:$O11336)-1)*36000/_xlfn.DAYS(L11336, $C$2)</f>
        <v>21.11750372711963</v>
      </c>
      <c r="O11336" s="149">
        <f t="shared" ca="1" si="366"/>
        <v>1.000173611111111</v>
      </c>
    </row>
    <row r="11337" spans="12:15" x14ac:dyDescent="0.25">
      <c r="L11337" s="147">
        <f ca="1"/>
        <v>56576</v>
      </c>
      <c r="M11337" s="92">
        <f t="shared" ca="1" si="365"/>
        <v>6.25</v>
      </c>
      <c r="N11337" s="143">
        <f ca="1">(PRODUCT($O$5:$O11337)-1)*36000/_xlfn.DAYS(L11337, $C$2)</f>
        <v>21.119857759756119</v>
      </c>
      <c r="O11337" s="149">
        <f t="shared" ca="1" si="366"/>
        <v>1.000173611111111</v>
      </c>
    </row>
    <row r="11338" spans="12:15" x14ac:dyDescent="0.25">
      <c r="L11338" s="147">
        <f ca="1"/>
        <v>56577</v>
      </c>
      <c r="M11338" s="92">
        <f t="shared" ca="1" si="365"/>
        <v>6.25</v>
      </c>
      <c r="N11338" s="143">
        <f ca="1">(PRODUCT($O$5:$O11338)-1)*36000/_xlfn.DAYS(L11338, $C$2)</f>
        <v>21.122212109121826</v>
      </c>
      <c r="O11338" s="149">
        <f t="shared" ca="1" si="366"/>
        <v>1.000173611111111</v>
      </c>
    </row>
    <row r="11339" spans="12:15" x14ac:dyDescent="0.25">
      <c r="L11339" s="147">
        <f ca="1"/>
        <v>56578</v>
      </c>
      <c r="M11339" s="92">
        <f t="shared" ca="1" si="365"/>
        <v>6.25</v>
      </c>
      <c r="N11339" s="143">
        <f ca="1">(PRODUCT($O$5:$O11339)-1)*36000/_xlfn.DAYS(L11339, $C$2)</f>
        <v>21.124566775260018</v>
      </c>
      <c r="O11339" s="149">
        <f t="shared" ca="1" si="366"/>
        <v>1.000173611111111</v>
      </c>
    </row>
    <row r="11340" spans="12:15" x14ac:dyDescent="0.25">
      <c r="L11340" s="147">
        <f ca="1"/>
        <v>56579</v>
      </c>
      <c r="M11340" s="92">
        <f t="shared" ca="1" si="365"/>
        <v>6.25</v>
      </c>
      <c r="N11340" s="143">
        <f ca="1">(PRODUCT($O$5:$O11340)-1)*36000/_xlfn.DAYS(L11340, $C$2)</f>
        <v>21.126921758213967</v>
      </c>
      <c r="O11340" s="149">
        <f t="shared" ca="1" si="366"/>
        <v>1.000173611111111</v>
      </c>
    </row>
    <row r="11341" spans="12:15" x14ac:dyDescent="0.25">
      <c r="L11341" s="147">
        <f ca="1"/>
        <v>56580</v>
      </c>
      <c r="M11341" s="92">
        <f t="shared" ca="1" si="365"/>
        <v>6.25</v>
      </c>
      <c r="N11341" s="143">
        <f ca="1">(PRODUCT($O$5:$O11341)-1)*36000/_xlfn.DAYS(L11341, $C$2)</f>
        <v>21.129277058026947</v>
      </c>
      <c r="O11341" s="149">
        <f t="shared" ca="1" si="366"/>
        <v>1.000173611111111</v>
      </c>
    </row>
    <row r="11342" spans="12:15" x14ac:dyDescent="0.25">
      <c r="L11342" s="147">
        <f ca="1"/>
        <v>56581</v>
      </c>
      <c r="M11342" s="92">
        <f t="shared" ca="1" si="365"/>
        <v>6.25</v>
      </c>
      <c r="N11342" s="143">
        <f ca="1">(PRODUCT($O$5:$O11342)-1)*36000/_xlfn.DAYS(L11342, $C$2)</f>
        <v>21.131632674742256</v>
      </c>
      <c r="O11342" s="149">
        <f t="shared" ca="1" si="366"/>
        <v>1.000173611111111</v>
      </c>
    </row>
    <row r="11343" spans="12:15" x14ac:dyDescent="0.25">
      <c r="L11343" s="147">
        <f ca="1"/>
        <v>56582</v>
      </c>
      <c r="M11343" s="92">
        <f t="shared" ca="1" si="365"/>
        <v>6.25</v>
      </c>
      <c r="N11343" s="143">
        <f ca="1">(PRODUCT($O$5:$O11343)-1)*36000/_xlfn.DAYS(L11343, $C$2)</f>
        <v>21.133988608403179</v>
      </c>
      <c r="O11343" s="149">
        <f t="shared" ca="1" si="366"/>
        <v>1.000173611111111</v>
      </c>
    </row>
    <row r="11344" spans="12:15" x14ac:dyDescent="0.25">
      <c r="L11344" s="147">
        <f ca="1"/>
        <v>56583</v>
      </c>
      <c r="M11344" s="92">
        <f t="shared" ca="1" si="365"/>
        <v>6.25</v>
      </c>
      <c r="N11344" s="143">
        <f ca="1">(PRODUCT($O$5:$O11344)-1)*36000/_xlfn.DAYS(L11344, $C$2)</f>
        <v>21.136344859053011</v>
      </c>
      <c r="O11344" s="149">
        <f t="shared" ca="1" si="366"/>
        <v>1.000173611111111</v>
      </c>
    </row>
    <row r="11345" spans="12:15" x14ac:dyDescent="0.25">
      <c r="L11345" s="147">
        <f ca="1"/>
        <v>56584</v>
      </c>
      <c r="M11345" s="92">
        <f t="shared" ca="1" si="365"/>
        <v>6.25</v>
      </c>
      <c r="N11345" s="143">
        <f ca="1">(PRODUCT($O$5:$O11345)-1)*36000/_xlfn.DAYS(L11345, $C$2)</f>
        <v>21.138701426735068</v>
      </c>
      <c r="O11345" s="149">
        <f t="shared" ca="1" si="366"/>
        <v>1.000173611111111</v>
      </c>
    </row>
    <row r="11346" spans="12:15" x14ac:dyDescent="0.25">
      <c r="L11346" s="147">
        <f ca="1"/>
        <v>56585</v>
      </c>
      <c r="M11346" s="92">
        <f t="shared" ca="1" si="365"/>
        <v>6.25</v>
      </c>
      <c r="N11346" s="143">
        <f ca="1">(PRODUCT($O$5:$O11346)-1)*36000/_xlfn.DAYS(L11346, $C$2)</f>
        <v>21.141058311492653</v>
      </c>
      <c r="O11346" s="149">
        <f t="shared" ca="1" si="366"/>
        <v>1.000173611111111</v>
      </c>
    </row>
    <row r="11347" spans="12:15" x14ac:dyDescent="0.25">
      <c r="L11347" s="147">
        <f ca="1"/>
        <v>56586</v>
      </c>
      <c r="M11347" s="92">
        <f t="shared" ca="1" si="365"/>
        <v>6.25</v>
      </c>
      <c r="N11347" s="143">
        <f ca="1">(PRODUCT($O$5:$O11347)-1)*36000/_xlfn.DAYS(L11347, $C$2)</f>
        <v>21.143415513369096</v>
      </c>
      <c r="O11347" s="149">
        <f t="shared" ca="1" si="366"/>
        <v>1.000173611111111</v>
      </c>
    </row>
    <row r="11348" spans="12:15" x14ac:dyDescent="0.25">
      <c r="L11348" s="147">
        <f ca="1"/>
        <v>56587</v>
      </c>
      <c r="M11348" s="92">
        <f t="shared" ca="1" si="365"/>
        <v>6.25</v>
      </c>
      <c r="N11348" s="143">
        <f ca="1">(PRODUCT($O$5:$O11348)-1)*36000/_xlfn.DAYS(L11348, $C$2)</f>
        <v>21.145773032407718</v>
      </c>
      <c r="O11348" s="149">
        <f t="shared" ca="1" si="366"/>
        <v>1.000173611111111</v>
      </c>
    </row>
    <row r="11349" spans="12:15" x14ac:dyDescent="0.25">
      <c r="L11349" s="147">
        <f ca="1"/>
        <v>56588</v>
      </c>
      <c r="M11349" s="92">
        <f t="shared" ca="1" si="365"/>
        <v>6.25</v>
      </c>
      <c r="N11349" s="143">
        <f ca="1">(PRODUCT($O$5:$O11349)-1)*36000/_xlfn.DAYS(L11349, $C$2)</f>
        <v>21.148130868651855</v>
      </c>
      <c r="O11349" s="149">
        <f t="shared" ca="1" si="366"/>
        <v>1.000173611111111</v>
      </c>
    </row>
    <row r="11350" spans="12:15" x14ac:dyDescent="0.25">
      <c r="L11350" s="147">
        <f ca="1"/>
        <v>56589</v>
      </c>
      <c r="M11350" s="92">
        <f t="shared" ca="1" si="365"/>
        <v>6.25</v>
      </c>
      <c r="N11350" s="143">
        <f ca="1">(PRODUCT($O$5:$O11350)-1)*36000/_xlfn.DAYS(L11350, $C$2)</f>
        <v>21.150489022144843</v>
      </c>
      <c r="O11350" s="149">
        <f t="shared" ca="1" si="366"/>
        <v>1.000173611111111</v>
      </c>
    </row>
    <row r="11351" spans="12:15" x14ac:dyDescent="0.25">
      <c r="L11351" s="147">
        <f ca="1"/>
        <v>56590</v>
      </c>
      <c r="M11351" s="92">
        <f t="shared" ca="1" si="365"/>
        <v>6.25</v>
      </c>
      <c r="N11351" s="143">
        <f ca="1">(PRODUCT($O$5:$O11351)-1)*36000/_xlfn.DAYS(L11351, $C$2)</f>
        <v>21.152847492930036</v>
      </c>
      <c r="O11351" s="149">
        <f t="shared" ca="1" si="366"/>
        <v>1.000173611111111</v>
      </c>
    </row>
    <row r="11352" spans="12:15" x14ac:dyDescent="0.25">
      <c r="L11352" s="147">
        <f ca="1"/>
        <v>56591</v>
      </c>
      <c r="M11352" s="92">
        <f t="shared" ca="1" si="365"/>
        <v>6.25</v>
      </c>
      <c r="N11352" s="143">
        <f ca="1">(PRODUCT($O$5:$O11352)-1)*36000/_xlfn.DAYS(L11352, $C$2)</f>
        <v>21.155206281050784</v>
      </c>
      <c r="O11352" s="149">
        <f t="shared" ca="1" si="366"/>
        <v>1.000173611111111</v>
      </c>
    </row>
    <row r="11353" spans="12:15" x14ac:dyDescent="0.25">
      <c r="L11353" s="147">
        <f ca="1"/>
        <v>56592</v>
      </c>
      <c r="M11353" s="92">
        <f t="shared" ca="1" si="365"/>
        <v>6.25</v>
      </c>
      <c r="N11353" s="143">
        <f ca="1">(PRODUCT($O$5:$O11353)-1)*36000/_xlfn.DAYS(L11353, $C$2)</f>
        <v>21.157565386550448</v>
      </c>
      <c r="O11353" s="149">
        <f t="shared" ca="1" si="366"/>
        <v>1.000173611111111</v>
      </c>
    </row>
    <row r="11354" spans="12:15" x14ac:dyDescent="0.25">
      <c r="L11354" s="147">
        <f ca="1"/>
        <v>56593</v>
      </c>
      <c r="M11354" s="92">
        <f t="shared" ca="1" si="365"/>
        <v>6.25</v>
      </c>
      <c r="N11354" s="143">
        <f ca="1">(PRODUCT($O$5:$O11354)-1)*36000/_xlfn.DAYS(L11354, $C$2)</f>
        <v>21.1599248094724</v>
      </c>
      <c r="O11354" s="149">
        <f t="shared" ca="1" si="366"/>
        <v>1.000173611111111</v>
      </c>
    </row>
    <row r="11355" spans="12:15" x14ac:dyDescent="0.25">
      <c r="L11355" s="147">
        <f ca="1"/>
        <v>56594</v>
      </c>
      <c r="M11355" s="92">
        <f t="shared" ca="1" si="365"/>
        <v>6.25</v>
      </c>
      <c r="N11355" s="143">
        <f ca="1">(PRODUCT($O$5:$O11355)-1)*36000/_xlfn.DAYS(L11355, $C$2)</f>
        <v>21.162284549860008</v>
      </c>
      <c r="O11355" s="149">
        <f t="shared" ca="1" si="366"/>
        <v>1.000173611111111</v>
      </c>
    </row>
    <row r="11356" spans="12:15" x14ac:dyDescent="0.25">
      <c r="L11356" s="147">
        <f ca="1"/>
        <v>56595</v>
      </c>
      <c r="M11356" s="92">
        <f t="shared" ca="1" si="365"/>
        <v>6.25</v>
      </c>
      <c r="N11356" s="143">
        <f ca="1">(PRODUCT($O$5:$O11356)-1)*36000/_xlfn.DAYS(L11356, $C$2)</f>
        <v>21.164644607756649</v>
      </c>
      <c r="O11356" s="149">
        <f t="shared" ca="1" si="366"/>
        <v>1.000173611111111</v>
      </c>
    </row>
    <row r="11357" spans="12:15" x14ac:dyDescent="0.25">
      <c r="L11357" s="147">
        <f ca="1"/>
        <v>56596</v>
      </c>
      <c r="M11357" s="92">
        <f t="shared" ca="1" si="365"/>
        <v>6.25</v>
      </c>
      <c r="N11357" s="143">
        <f ca="1">(PRODUCT($O$5:$O11357)-1)*36000/_xlfn.DAYS(L11357, $C$2)</f>
        <v>21.167004983205725</v>
      </c>
      <c r="O11357" s="149">
        <f t="shared" ca="1" si="366"/>
        <v>1.000173611111111</v>
      </c>
    </row>
    <row r="11358" spans="12:15" x14ac:dyDescent="0.25">
      <c r="L11358" s="147">
        <f ca="1"/>
        <v>56597</v>
      </c>
      <c r="M11358" s="92">
        <f t="shared" ca="1" si="365"/>
        <v>6.25</v>
      </c>
      <c r="N11358" s="143">
        <f ca="1">(PRODUCT($O$5:$O11358)-1)*36000/_xlfn.DAYS(L11358, $C$2)</f>
        <v>21.169365676250621</v>
      </c>
      <c r="O11358" s="149">
        <f t="shared" ca="1" si="366"/>
        <v>1.000173611111111</v>
      </c>
    </row>
    <row r="11359" spans="12:15" x14ac:dyDescent="0.25">
      <c r="L11359" s="147">
        <f ca="1"/>
        <v>56598</v>
      </c>
      <c r="M11359" s="92">
        <f t="shared" ca="1" si="365"/>
        <v>6.25</v>
      </c>
      <c r="N11359" s="143">
        <f ca="1">(PRODUCT($O$5:$O11359)-1)*36000/_xlfn.DAYS(L11359, $C$2)</f>
        <v>21.171726686934743</v>
      </c>
      <c r="O11359" s="149">
        <f t="shared" ca="1" si="366"/>
        <v>1.000173611111111</v>
      </c>
    </row>
    <row r="11360" spans="12:15" x14ac:dyDescent="0.25">
      <c r="L11360" s="147">
        <f ca="1"/>
        <v>56599</v>
      </c>
      <c r="M11360" s="92">
        <f t="shared" ca="1" si="365"/>
        <v>6.25</v>
      </c>
      <c r="N11360" s="143">
        <f ca="1">(PRODUCT($O$5:$O11360)-1)*36000/_xlfn.DAYS(L11360, $C$2)</f>
        <v>21.1740880153015</v>
      </c>
      <c r="O11360" s="149">
        <f t="shared" ca="1" si="366"/>
        <v>1.000173611111111</v>
      </c>
    </row>
    <row r="11361" spans="12:15" x14ac:dyDescent="0.25">
      <c r="L11361" s="147">
        <f ca="1"/>
        <v>56600</v>
      </c>
      <c r="M11361" s="92">
        <f t="shared" ca="1" si="365"/>
        <v>6.25</v>
      </c>
      <c r="N11361" s="143">
        <f ca="1">(PRODUCT($O$5:$O11361)-1)*36000/_xlfn.DAYS(L11361, $C$2)</f>
        <v>21.176449661394301</v>
      </c>
      <c r="O11361" s="149">
        <f t="shared" ca="1" si="366"/>
        <v>1.000173611111111</v>
      </c>
    </row>
    <row r="11362" spans="12:15" x14ac:dyDescent="0.25">
      <c r="L11362" s="147">
        <f ca="1"/>
        <v>56601</v>
      </c>
      <c r="M11362" s="92">
        <f t="shared" ca="1" si="365"/>
        <v>6.25</v>
      </c>
      <c r="N11362" s="143">
        <f ca="1">(PRODUCT($O$5:$O11362)-1)*36000/_xlfn.DAYS(L11362, $C$2)</f>
        <v>21.178811625256571</v>
      </c>
      <c r="O11362" s="149">
        <f t="shared" ca="1" si="366"/>
        <v>1.000173611111111</v>
      </c>
    </row>
    <row r="11363" spans="12:15" x14ac:dyDescent="0.25">
      <c r="L11363" s="147">
        <f ca="1"/>
        <v>56602</v>
      </c>
      <c r="M11363" s="92">
        <f t="shared" ca="1" si="365"/>
        <v>6.25</v>
      </c>
      <c r="N11363" s="143">
        <f ca="1">(PRODUCT($O$5:$O11363)-1)*36000/_xlfn.DAYS(L11363, $C$2)</f>
        <v>21.181173906931743</v>
      </c>
      <c r="O11363" s="149">
        <f t="shared" ca="1" si="366"/>
        <v>1.000173611111111</v>
      </c>
    </row>
    <row r="11364" spans="12:15" x14ac:dyDescent="0.25">
      <c r="L11364" s="147">
        <f ca="1"/>
        <v>56603</v>
      </c>
      <c r="M11364" s="92">
        <f t="shared" ca="1" si="365"/>
        <v>6.25</v>
      </c>
      <c r="N11364" s="143">
        <f ca="1">(PRODUCT($O$5:$O11364)-1)*36000/_xlfn.DAYS(L11364, $C$2)</f>
        <v>21.183536506463252</v>
      </c>
      <c r="O11364" s="149">
        <f t="shared" ca="1" si="366"/>
        <v>1.000173611111111</v>
      </c>
    </row>
    <row r="11365" spans="12:15" x14ac:dyDescent="0.25">
      <c r="L11365" s="147">
        <f ca="1"/>
        <v>56604</v>
      </c>
      <c r="M11365" s="92">
        <f t="shared" ca="1" si="365"/>
        <v>6.25</v>
      </c>
      <c r="N11365" s="143">
        <f ca="1">(PRODUCT($O$5:$O11365)-1)*36000/_xlfn.DAYS(L11365, $C$2)</f>
        <v>21.185899423894536</v>
      </c>
      <c r="O11365" s="149">
        <f t="shared" ca="1" si="366"/>
        <v>1.000173611111111</v>
      </c>
    </row>
    <row r="11366" spans="12:15" x14ac:dyDescent="0.25">
      <c r="L11366" s="147">
        <f ca="1"/>
        <v>56605</v>
      </c>
      <c r="M11366" s="92">
        <f t="shared" ca="1" si="365"/>
        <v>6.25</v>
      </c>
      <c r="N11366" s="143">
        <f ca="1">(PRODUCT($O$5:$O11366)-1)*36000/_xlfn.DAYS(L11366, $C$2)</f>
        <v>21.188262659269046</v>
      </c>
      <c r="O11366" s="149">
        <f t="shared" ca="1" si="366"/>
        <v>1.000173611111111</v>
      </c>
    </row>
    <row r="11367" spans="12:15" x14ac:dyDescent="0.25">
      <c r="L11367" s="147">
        <f ca="1"/>
        <v>56606</v>
      </c>
      <c r="M11367" s="92">
        <f t="shared" ca="1" si="365"/>
        <v>6.25</v>
      </c>
      <c r="N11367" s="143">
        <f ca="1">(PRODUCT($O$5:$O11367)-1)*36000/_xlfn.DAYS(L11367, $C$2)</f>
        <v>21.190626212630242</v>
      </c>
      <c r="O11367" s="149">
        <f t="shared" ca="1" si="366"/>
        <v>1.000173611111111</v>
      </c>
    </row>
    <row r="11368" spans="12:15" x14ac:dyDescent="0.25">
      <c r="L11368" s="147">
        <f ca="1"/>
        <v>56607</v>
      </c>
      <c r="M11368" s="92">
        <f t="shared" ca="1" si="365"/>
        <v>6.25</v>
      </c>
      <c r="N11368" s="143">
        <f ca="1">(PRODUCT($O$5:$O11368)-1)*36000/_xlfn.DAYS(L11368, $C$2)</f>
        <v>21.192990084021577</v>
      </c>
      <c r="O11368" s="149">
        <f t="shared" ca="1" si="366"/>
        <v>1.000173611111111</v>
      </c>
    </row>
    <row r="11369" spans="12:15" x14ac:dyDescent="0.25">
      <c r="L11369" s="147">
        <f ca="1"/>
        <v>56608</v>
      </c>
      <c r="M11369" s="92">
        <f t="shared" ca="1" si="365"/>
        <v>6.25</v>
      </c>
      <c r="N11369" s="143">
        <f ca="1">(PRODUCT($O$5:$O11369)-1)*36000/_xlfn.DAYS(L11369, $C$2)</f>
        <v>21.195354273486533</v>
      </c>
      <c r="O11369" s="149">
        <f t="shared" ca="1" si="366"/>
        <v>1.000173611111111</v>
      </c>
    </row>
    <row r="11370" spans="12:15" x14ac:dyDescent="0.25">
      <c r="L11370" s="147">
        <f ca="1"/>
        <v>56609</v>
      </c>
      <c r="M11370" s="92">
        <f t="shared" ca="1" si="365"/>
        <v>6.25</v>
      </c>
      <c r="N11370" s="143">
        <f ca="1">(PRODUCT($O$5:$O11370)-1)*36000/_xlfn.DAYS(L11370, $C$2)</f>
        <v>21.197718781068584</v>
      </c>
      <c r="O11370" s="149">
        <f t="shared" ca="1" si="366"/>
        <v>1.000173611111111</v>
      </c>
    </row>
    <row r="11371" spans="12:15" x14ac:dyDescent="0.25">
      <c r="L11371" s="147">
        <f ca="1"/>
        <v>56610</v>
      </c>
      <c r="M11371" s="92">
        <f t="shared" ca="1" si="365"/>
        <v>6.25</v>
      </c>
      <c r="N11371" s="143">
        <f ca="1">(PRODUCT($O$5:$O11371)-1)*36000/_xlfn.DAYS(L11371, $C$2)</f>
        <v>21.200083606811209</v>
      </c>
      <c r="O11371" s="149">
        <f t="shared" ca="1" si="366"/>
        <v>1.000173611111111</v>
      </c>
    </row>
    <row r="11372" spans="12:15" x14ac:dyDescent="0.25">
      <c r="L11372" s="147">
        <f ca="1"/>
        <v>56611</v>
      </c>
      <c r="M11372" s="92">
        <f t="shared" ca="1" si="365"/>
        <v>6.25</v>
      </c>
      <c r="N11372" s="143">
        <f ca="1">(PRODUCT($O$5:$O11372)-1)*36000/_xlfn.DAYS(L11372, $C$2)</f>
        <v>21.202448750757902</v>
      </c>
      <c r="O11372" s="149">
        <f t="shared" ca="1" si="366"/>
        <v>1.000173611111111</v>
      </c>
    </row>
    <row r="11373" spans="12:15" x14ac:dyDescent="0.25">
      <c r="L11373" s="147">
        <f ca="1"/>
        <v>56612</v>
      </c>
      <c r="M11373" s="92">
        <f t="shared" ca="1" si="365"/>
        <v>6.25</v>
      </c>
      <c r="N11373" s="143">
        <f ca="1">(PRODUCT($O$5:$O11373)-1)*36000/_xlfn.DAYS(L11373, $C$2)</f>
        <v>21.204814212952154</v>
      </c>
      <c r="O11373" s="149">
        <f t="shared" ca="1" si="366"/>
        <v>1.000173611111111</v>
      </c>
    </row>
    <row r="11374" spans="12:15" x14ac:dyDescent="0.25">
      <c r="L11374" s="147">
        <f ca="1"/>
        <v>56613</v>
      </c>
      <c r="M11374" s="92">
        <f t="shared" ca="1" si="365"/>
        <v>6.25</v>
      </c>
      <c r="N11374" s="143">
        <f ca="1">(PRODUCT($O$5:$O11374)-1)*36000/_xlfn.DAYS(L11374, $C$2)</f>
        <v>21.207179993437478</v>
      </c>
      <c r="O11374" s="149">
        <f t="shared" ca="1" si="366"/>
        <v>1.000173611111111</v>
      </c>
    </row>
    <row r="11375" spans="12:15" x14ac:dyDescent="0.25">
      <c r="L11375" s="147">
        <f ca="1"/>
        <v>56614</v>
      </c>
      <c r="M11375" s="92">
        <f t="shared" ca="1" si="365"/>
        <v>6.25</v>
      </c>
      <c r="N11375" s="143">
        <f ca="1">(PRODUCT($O$5:$O11375)-1)*36000/_xlfn.DAYS(L11375, $C$2)</f>
        <v>21.20954609225738</v>
      </c>
      <c r="O11375" s="149">
        <f t="shared" ca="1" si="366"/>
        <v>1.000173611111111</v>
      </c>
    </row>
    <row r="11376" spans="12:15" x14ac:dyDescent="0.25">
      <c r="L11376" s="147">
        <f ca="1"/>
        <v>56615</v>
      </c>
      <c r="M11376" s="92">
        <f t="shared" ca="1" si="365"/>
        <v>6.25</v>
      </c>
      <c r="N11376" s="143">
        <f ca="1">(PRODUCT($O$5:$O11376)-1)*36000/_xlfn.DAYS(L11376, $C$2)</f>
        <v>21.211912509455374</v>
      </c>
      <c r="O11376" s="149">
        <f t="shared" ca="1" si="366"/>
        <v>1.000173611111111</v>
      </c>
    </row>
    <row r="11377" spans="12:15" x14ac:dyDescent="0.25">
      <c r="L11377" s="147">
        <f ca="1"/>
        <v>56616</v>
      </c>
      <c r="M11377" s="92">
        <f t="shared" ca="1" si="365"/>
        <v>6.25</v>
      </c>
      <c r="N11377" s="143">
        <f ca="1">(PRODUCT($O$5:$O11377)-1)*36000/_xlfn.DAYS(L11377, $C$2)</f>
        <v>21.214279245074991</v>
      </c>
      <c r="O11377" s="149">
        <f t="shared" ca="1" si="366"/>
        <v>1.000173611111111</v>
      </c>
    </row>
    <row r="11378" spans="12:15" x14ac:dyDescent="0.25">
      <c r="L11378" s="147">
        <f ca="1"/>
        <v>56617</v>
      </c>
      <c r="M11378" s="92">
        <f t="shared" ca="1" si="365"/>
        <v>6.25</v>
      </c>
      <c r="N11378" s="143">
        <f ca="1">(PRODUCT($O$5:$O11378)-1)*36000/_xlfn.DAYS(L11378, $C$2)</f>
        <v>21.216646299159759</v>
      </c>
      <c r="O11378" s="149">
        <f t="shared" ca="1" si="366"/>
        <v>1.000173611111111</v>
      </c>
    </row>
    <row r="11379" spans="12:15" x14ac:dyDescent="0.25">
      <c r="L11379" s="147">
        <f ca="1"/>
        <v>56618</v>
      </c>
      <c r="M11379" s="92">
        <f t="shared" ca="1" si="365"/>
        <v>6.25</v>
      </c>
      <c r="N11379" s="143">
        <f ca="1">(PRODUCT($O$5:$O11379)-1)*36000/_xlfn.DAYS(L11379, $C$2)</f>
        <v>21.219013671753217</v>
      </c>
      <c r="O11379" s="149">
        <f t="shared" ca="1" si="366"/>
        <v>1.000173611111111</v>
      </c>
    </row>
    <row r="11380" spans="12:15" x14ac:dyDescent="0.25">
      <c r="L11380" s="147">
        <f ca="1"/>
        <v>56619</v>
      </c>
      <c r="M11380" s="92">
        <f t="shared" ca="1" si="365"/>
        <v>6.25</v>
      </c>
      <c r="N11380" s="143">
        <f ca="1">(PRODUCT($O$5:$O11380)-1)*36000/_xlfn.DAYS(L11380, $C$2)</f>
        <v>21.22138136289891</v>
      </c>
      <c r="O11380" s="149">
        <f t="shared" ca="1" si="366"/>
        <v>1.000173611111111</v>
      </c>
    </row>
    <row r="11381" spans="12:15" x14ac:dyDescent="0.25">
      <c r="L11381" s="147">
        <f ca="1"/>
        <v>56620</v>
      </c>
      <c r="M11381" s="92">
        <f t="shared" ca="1" si="365"/>
        <v>6.25</v>
      </c>
      <c r="N11381" s="143">
        <f ca="1">(PRODUCT($O$5:$O11381)-1)*36000/_xlfn.DAYS(L11381, $C$2)</f>
        <v>21.223749372640391</v>
      </c>
      <c r="O11381" s="149">
        <f t="shared" ca="1" si="366"/>
        <v>1.000173611111111</v>
      </c>
    </row>
    <row r="11382" spans="12:15" x14ac:dyDescent="0.25">
      <c r="L11382" s="147">
        <f ca="1"/>
        <v>56621</v>
      </c>
      <c r="M11382" s="92">
        <f t="shared" ca="1" si="365"/>
        <v>6.25</v>
      </c>
      <c r="N11382" s="143">
        <f ca="1">(PRODUCT($O$5:$O11382)-1)*36000/_xlfn.DAYS(L11382, $C$2)</f>
        <v>21.226117701021213</v>
      </c>
      <c r="O11382" s="149">
        <f t="shared" ca="1" si="366"/>
        <v>1.000173611111111</v>
      </c>
    </row>
    <row r="11383" spans="12:15" x14ac:dyDescent="0.25">
      <c r="L11383" s="147">
        <f ca="1"/>
        <v>56622</v>
      </c>
      <c r="M11383" s="92">
        <f t="shared" ca="1" si="365"/>
        <v>6.25</v>
      </c>
      <c r="N11383" s="143">
        <f ca="1">(PRODUCT($O$5:$O11383)-1)*36000/_xlfn.DAYS(L11383, $C$2)</f>
        <v>21.228486348084949</v>
      </c>
      <c r="O11383" s="149">
        <f t="shared" ca="1" si="366"/>
        <v>1.000173611111111</v>
      </c>
    </row>
    <row r="11384" spans="12:15" x14ac:dyDescent="0.25">
      <c r="L11384" s="147">
        <f ca="1"/>
        <v>56623</v>
      </c>
      <c r="M11384" s="92">
        <f t="shared" ca="1" si="365"/>
        <v>6.25</v>
      </c>
      <c r="N11384" s="143">
        <f ca="1">(PRODUCT($O$5:$O11384)-1)*36000/_xlfn.DAYS(L11384, $C$2)</f>
        <v>21.230855313875168</v>
      </c>
      <c r="O11384" s="149">
        <f t="shared" ca="1" si="366"/>
        <v>1.000173611111111</v>
      </c>
    </row>
    <row r="11385" spans="12:15" x14ac:dyDescent="0.25">
      <c r="L11385" s="147">
        <f ca="1"/>
        <v>56624</v>
      </c>
      <c r="M11385" s="92">
        <f t="shared" ca="1" si="365"/>
        <v>6.25</v>
      </c>
      <c r="N11385" s="143">
        <f ca="1">(PRODUCT($O$5:$O11385)-1)*36000/_xlfn.DAYS(L11385, $C$2)</f>
        <v>21.233224598435445</v>
      </c>
      <c r="O11385" s="149">
        <f t="shared" ca="1" si="366"/>
        <v>1.000173611111111</v>
      </c>
    </row>
    <row r="11386" spans="12:15" x14ac:dyDescent="0.25">
      <c r="L11386" s="147">
        <f ca="1"/>
        <v>56625</v>
      </c>
      <c r="M11386" s="92">
        <f t="shared" ca="1" si="365"/>
        <v>6.25</v>
      </c>
      <c r="N11386" s="143">
        <f ca="1">(PRODUCT($O$5:$O11386)-1)*36000/_xlfn.DAYS(L11386, $C$2)</f>
        <v>21.23559420180937</v>
      </c>
      <c r="O11386" s="149">
        <f t="shared" ca="1" si="366"/>
        <v>1.000173611111111</v>
      </c>
    </row>
    <row r="11387" spans="12:15" x14ac:dyDescent="0.25">
      <c r="L11387" s="147">
        <f ca="1"/>
        <v>56626</v>
      </c>
      <c r="M11387" s="92">
        <f t="shared" ca="1" si="365"/>
        <v>6.25</v>
      </c>
      <c r="N11387" s="143">
        <f ca="1">(PRODUCT($O$5:$O11387)-1)*36000/_xlfn.DAYS(L11387, $C$2)</f>
        <v>21.237964124040538</v>
      </c>
      <c r="O11387" s="149">
        <f t="shared" ca="1" si="366"/>
        <v>1.000173611111111</v>
      </c>
    </row>
    <row r="11388" spans="12:15" x14ac:dyDescent="0.25">
      <c r="L11388" s="147">
        <f ca="1"/>
        <v>56627</v>
      </c>
      <c r="M11388" s="92">
        <f t="shared" ca="1" si="365"/>
        <v>6.25</v>
      </c>
      <c r="N11388" s="143">
        <f ca="1">(PRODUCT($O$5:$O11388)-1)*36000/_xlfn.DAYS(L11388, $C$2)</f>
        <v>21.240334365172547</v>
      </c>
      <c r="O11388" s="149">
        <f t="shared" ca="1" si="366"/>
        <v>1.000173611111111</v>
      </c>
    </row>
    <row r="11389" spans="12:15" x14ac:dyDescent="0.25">
      <c r="L11389" s="147">
        <f ca="1"/>
        <v>56628</v>
      </c>
      <c r="M11389" s="92">
        <f t="shared" ca="1" si="365"/>
        <v>6.25</v>
      </c>
      <c r="N11389" s="143">
        <f ca="1">(PRODUCT($O$5:$O11389)-1)*36000/_xlfn.DAYS(L11389, $C$2)</f>
        <v>21.242704925248997</v>
      </c>
      <c r="O11389" s="149">
        <f t="shared" ca="1" si="366"/>
        <v>1.000173611111111</v>
      </c>
    </row>
    <row r="11390" spans="12:15" x14ac:dyDescent="0.25">
      <c r="L11390" s="147">
        <f ca="1"/>
        <v>56629</v>
      </c>
      <c r="M11390" s="92">
        <f t="shared" ca="1" si="365"/>
        <v>6.25</v>
      </c>
      <c r="N11390" s="143">
        <f ca="1">(PRODUCT($O$5:$O11390)-1)*36000/_xlfn.DAYS(L11390, $C$2)</f>
        <v>21.245075804313508</v>
      </c>
      <c r="O11390" s="149">
        <f t="shared" ca="1" si="366"/>
        <v>1.000173611111111</v>
      </c>
    </row>
    <row r="11391" spans="12:15" x14ac:dyDescent="0.25">
      <c r="L11391" s="147">
        <f ca="1"/>
        <v>56630</v>
      </c>
      <c r="M11391" s="92">
        <f t="shared" ca="1" si="365"/>
        <v>6.25</v>
      </c>
      <c r="N11391" s="143">
        <f ca="1">(PRODUCT($O$5:$O11391)-1)*36000/_xlfn.DAYS(L11391, $C$2)</f>
        <v>21.247447002409704</v>
      </c>
      <c r="O11391" s="149">
        <f t="shared" ca="1" si="366"/>
        <v>1.000173611111111</v>
      </c>
    </row>
    <row r="11392" spans="12:15" x14ac:dyDescent="0.25">
      <c r="L11392" s="147">
        <f ca="1"/>
        <v>56631</v>
      </c>
      <c r="M11392" s="92">
        <f t="shared" ca="1" si="365"/>
        <v>6.25</v>
      </c>
      <c r="N11392" s="143">
        <f ca="1">(PRODUCT($O$5:$O11392)-1)*36000/_xlfn.DAYS(L11392, $C$2)</f>
        <v>21.249818519581201</v>
      </c>
      <c r="O11392" s="149">
        <f t="shared" ca="1" si="366"/>
        <v>1.000173611111111</v>
      </c>
    </row>
    <row r="11393" spans="12:15" x14ac:dyDescent="0.25">
      <c r="L11393" s="147">
        <f ca="1"/>
        <v>56632</v>
      </c>
      <c r="M11393" s="92">
        <f t="shared" ca="1" si="365"/>
        <v>6.25</v>
      </c>
      <c r="N11393" s="143">
        <f ca="1">(PRODUCT($O$5:$O11393)-1)*36000/_xlfn.DAYS(L11393, $C$2)</f>
        <v>21.25219035587164</v>
      </c>
      <c r="O11393" s="149">
        <f t="shared" ca="1" si="366"/>
        <v>1.000173611111111</v>
      </c>
    </row>
    <row r="11394" spans="12:15" x14ac:dyDescent="0.25">
      <c r="L11394" s="147">
        <f ca="1"/>
        <v>56633</v>
      </c>
      <c r="M11394" s="92">
        <f t="shared" ca="1" si="365"/>
        <v>6.25</v>
      </c>
      <c r="N11394" s="143">
        <f ca="1">(PRODUCT($O$5:$O11394)-1)*36000/_xlfn.DAYS(L11394, $C$2)</f>
        <v>21.254562511324661</v>
      </c>
      <c r="O11394" s="149">
        <f t="shared" ca="1" si="366"/>
        <v>1.000173611111111</v>
      </c>
    </row>
    <row r="11395" spans="12:15" x14ac:dyDescent="0.25">
      <c r="L11395" s="147">
        <f ca="1"/>
        <v>56634</v>
      </c>
      <c r="M11395" s="92">
        <f t="shared" ca="1" si="365"/>
        <v>6.25</v>
      </c>
      <c r="N11395" s="143">
        <f ca="1">(PRODUCT($O$5:$O11395)-1)*36000/_xlfn.DAYS(L11395, $C$2)</f>
        <v>21.256934985983911</v>
      </c>
      <c r="O11395" s="149">
        <f t="shared" ca="1" si="366"/>
        <v>1.000173611111111</v>
      </c>
    </row>
    <row r="11396" spans="12:15" x14ac:dyDescent="0.25">
      <c r="L11396" s="147">
        <f ca="1"/>
        <v>56635</v>
      </c>
      <c r="M11396" s="92">
        <f t="shared" ca="1" si="365"/>
        <v>6.25</v>
      </c>
      <c r="N11396" s="143">
        <f ca="1">(PRODUCT($O$5:$O11396)-1)*36000/_xlfn.DAYS(L11396, $C$2)</f>
        <v>21.259307779893046</v>
      </c>
      <c r="O11396" s="149">
        <f t="shared" ca="1" si="366"/>
        <v>1.000173611111111</v>
      </c>
    </row>
    <row r="11397" spans="12:15" x14ac:dyDescent="0.25">
      <c r="L11397" s="147">
        <f ca="1"/>
        <v>56636</v>
      </c>
      <c r="M11397" s="92">
        <f t="shared" ref="M11397:M11402" ca="1" si="367">IFERROR(INDEX($E$27:$H$47, MATCH(L11397, $F$27:$F$47, 0), 4), IF(ISNUMBER(M11396), M11396, $C$5))</f>
        <v>6.25</v>
      </c>
      <c r="N11397" s="143">
        <f ca="1">(PRODUCT($O$5:$O11397)-1)*36000/_xlfn.DAYS(L11397, $C$2)</f>
        <v>21.261680893095722</v>
      </c>
      <c r="O11397" s="149">
        <f t="shared" ca="1" si="366"/>
        <v>1.000173611111111</v>
      </c>
    </row>
    <row r="11398" spans="12:15" x14ac:dyDescent="0.25">
      <c r="L11398" s="147">
        <f ca="1"/>
        <v>56637</v>
      </c>
      <c r="M11398" s="92">
        <f t="shared" ca="1" si="367"/>
        <v>6.25</v>
      </c>
      <c r="N11398" s="143">
        <f ca="1">(PRODUCT($O$5:$O11398)-1)*36000/_xlfn.DAYS(L11398, $C$2)</f>
        <v>21.264054325635612</v>
      </c>
      <c r="O11398" s="149">
        <f t="shared" ref="O11398:O11402" ca="1" si="368">1+M11398*IFERROR(_xlfn.DAYS(L11398, L11397), _xlfn.DAYS(L11398, $C$2))/36000</f>
        <v>1.000173611111111</v>
      </c>
    </row>
    <row r="11399" spans="12:15" x14ac:dyDescent="0.25">
      <c r="L11399" s="147">
        <f ca="1"/>
        <v>56638</v>
      </c>
      <c r="M11399" s="92">
        <f t="shared" ca="1" si="367"/>
        <v>6.25</v>
      </c>
      <c r="N11399" s="143">
        <f ca="1">(PRODUCT($O$5:$O11399)-1)*36000/_xlfn.DAYS(L11399, $C$2)</f>
        <v>21.266428077556387</v>
      </c>
      <c r="O11399" s="149">
        <f t="shared" ca="1" si="368"/>
        <v>1.000173611111111</v>
      </c>
    </row>
    <row r="11400" spans="12:15" x14ac:dyDescent="0.25">
      <c r="L11400" s="147">
        <f ca="1"/>
        <v>56639</v>
      </c>
      <c r="M11400" s="92">
        <f t="shared" ca="1" si="367"/>
        <v>6.25</v>
      </c>
      <c r="N11400" s="143">
        <f ca="1">(PRODUCT($O$5:$O11400)-1)*36000/_xlfn.DAYS(L11400, $C$2)</f>
        <v>21.268802148901731</v>
      </c>
      <c r="O11400" s="149">
        <f t="shared" ca="1" si="368"/>
        <v>1.000173611111111</v>
      </c>
    </row>
    <row r="11401" spans="12:15" x14ac:dyDescent="0.25">
      <c r="L11401" s="147">
        <f ca="1"/>
        <v>56640</v>
      </c>
      <c r="M11401" s="92">
        <f t="shared" ca="1" si="367"/>
        <v>6.25</v>
      </c>
      <c r="N11401" s="143">
        <f ca="1">(PRODUCT($O$5:$O11401)-1)*36000/_xlfn.DAYS(L11401, $C$2)</f>
        <v>21.271176539715331</v>
      </c>
      <c r="O11401" s="149">
        <f t="shared" ca="1" si="368"/>
        <v>1.000173611111111</v>
      </c>
    </row>
    <row r="11402" spans="12:15" x14ac:dyDescent="0.25">
      <c r="L11402" s="147">
        <f ca="1"/>
        <v>56641</v>
      </c>
      <c r="M11402" s="92">
        <f t="shared" ca="1" si="367"/>
        <v>6.25</v>
      </c>
      <c r="N11402" s="143">
        <f ca="1">(PRODUCT($O$5:$O11402)-1)*36000/_xlfn.DAYS(L11402, $C$2)</f>
        <v>21.273551250040885</v>
      </c>
      <c r="O11402" s="149">
        <f t="shared" ca="1" si="368"/>
        <v>1.000173611111111</v>
      </c>
    </row>
  </sheetData>
  <mergeCells count="12">
    <mergeCell ref="V4:V5"/>
    <mergeCell ref="R4:R5"/>
    <mergeCell ref="S4:S5"/>
    <mergeCell ref="U4:U5"/>
    <mergeCell ref="E2:I3"/>
    <mergeCell ref="L2:N3"/>
    <mergeCell ref="E4:E5"/>
    <mergeCell ref="F4:I4"/>
    <mergeCell ref="E27:E28"/>
    <mergeCell ref="F27:F28"/>
    <mergeCell ref="H27:H28"/>
    <mergeCell ref="I27:I28"/>
  </mergeCells>
  <dataValidations disablePrompts="1" count="1">
    <dataValidation type="list" allowBlank="1" showInputMessage="1" showErrorMessage="1" sqref="G27" xr:uid="{0EE20CE5-8350-4F3E-B501-766DB893BB52}">
      <formula1>"Scenario A,Scenario B,Scenario C, Scenario D"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66828-4DDF-4E02-8832-48ED09777796}">
  <sheetPr codeName="Hoja8"/>
  <dimension ref="B1:I5"/>
  <sheetViews>
    <sheetView zoomScale="90" zoomScaleNormal="90" workbookViewId="0">
      <selection activeCell="F4" sqref="F4"/>
    </sheetView>
  </sheetViews>
  <sheetFormatPr baseColWidth="10" defaultColWidth="11.42578125" defaultRowHeight="15" x14ac:dyDescent="0.25"/>
  <cols>
    <col min="1" max="1" width="3.7109375" style="6" customWidth="1"/>
    <col min="2" max="2" width="15.140625" style="6" bestFit="1" customWidth="1"/>
    <col min="3" max="3" width="25.7109375" style="6" customWidth="1"/>
    <col min="4" max="4" width="11.42578125" style="6"/>
    <col min="5" max="5" width="25.140625" style="6" bestFit="1" customWidth="1"/>
    <col min="6" max="6" width="31" style="6" customWidth="1"/>
    <col min="7" max="7" width="11.42578125" style="6"/>
    <col min="8" max="8" width="19.7109375" style="6" bestFit="1" customWidth="1"/>
    <col min="9" max="9" width="46.42578125" style="6" customWidth="1"/>
    <col min="10" max="16384" width="11.42578125" style="6"/>
  </cols>
  <sheetData>
    <row r="1" spans="2:9" x14ac:dyDescent="0.25">
      <c r="B1" s="18" t="s">
        <v>52</v>
      </c>
      <c r="C1" s="17" t="s">
        <v>54</v>
      </c>
      <c r="E1" s="18" t="s">
        <v>53</v>
      </c>
      <c r="F1" s="17" t="s">
        <v>54</v>
      </c>
      <c r="G1"/>
      <c r="H1" s="18" t="s">
        <v>49</v>
      </c>
      <c r="I1" s="17" t="s">
        <v>54</v>
      </c>
    </row>
    <row r="2" spans="2:9" ht="45" x14ac:dyDescent="0.25">
      <c r="B2" s="21" t="s">
        <v>0</v>
      </c>
      <c r="C2" s="20" t="s">
        <v>59</v>
      </c>
      <c r="D2" s="22"/>
      <c r="E2" s="24" t="s">
        <v>6</v>
      </c>
      <c r="F2" s="26" t="s">
        <v>61</v>
      </c>
      <c r="G2" s="25"/>
      <c r="H2" s="24" t="s">
        <v>43</v>
      </c>
      <c r="I2" s="26" t="s">
        <v>101</v>
      </c>
    </row>
    <row r="3" spans="2:9" ht="120" x14ac:dyDescent="0.25">
      <c r="B3" s="95" t="s">
        <v>1</v>
      </c>
      <c r="C3" s="19" t="s">
        <v>60</v>
      </c>
      <c r="D3" s="22"/>
      <c r="E3" s="24" t="s">
        <v>7</v>
      </c>
      <c r="F3" s="26" t="s">
        <v>62</v>
      </c>
      <c r="G3" s="25"/>
      <c r="H3" s="24" t="s">
        <v>44</v>
      </c>
      <c r="I3" s="27" t="s">
        <v>56</v>
      </c>
    </row>
    <row r="4" spans="2:9" ht="90" x14ac:dyDescent="0.25">
      <c r="D4" s="23"/>
      <c r="E4" s="28" t="s">
        <v>50</v>
      </c>
      <c r="F4" s="27" t="s">
        <v>55</v>
      </c>
      <c r="G4" s="25"/>
      <c r="H4" s="24" t="s">
        <v>45</v>
      </c>
      <c r="I4" s="27" t="s">
        <v>57</v>
      </c>
    </row>
    <row r="5" spans="2:9" ht="45.75" customHeight="1" x14ac:dyDescent="0.25">
      <c r="D5" s="23"/>
      <c r="E5" s="24" t="s">
        <v>51</v>
      </c>
      <c r="F5" s="26" t="s">
        <v>58</v>
      </c>
      <c r="G5" s="25"/>
      <c r="H5" s="24" t="s">
        <v>46</v>
      </c>
      <c r="I5" s="27" t="s">
        <v>102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A9742D-0275-4F03-82C7-AF67C19F3535}">
  <sheetPr codeName="Hoja3"/>
  <dimension ref="A1:C29"/>
  <sheetViews>
    <sheetView zoomScale="130" zoomScaleNormal="13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9.140625" defaultRowHeight="15" x14ac:dyDescent="0.25"/>
  <cols>
    <col min="1" max="2" width="9.140625" style="5" customWidth="1"/>
    <col min="3" max="3" width="10.7109375" style="5" bestFit="1" customWidth="1"/>
    <col min="4" max="22" width="9.140625" style="5" customWidth="1"/>
    <col min="23" max="16384" width="9.140625" style="5"/>
  </cols>
  <sheetData>
    <row r="1" spans="1:3" x14ac:dyDescent="0.25">
      <c r="A1" s="4" t="s">
        <v>15</v>
      </c>
      <c r="B1" s="4" t="s">
        <v>16</v>
      </c>
      <c r="C1" s="4" t="s">
        <v>17</v>
      </c>
    </row>
    <row r="2" spans="1:3" x14ac:dyDescent="0.25">
      <c r="A2" s="5">
        <v>0</v>
      </c>
      <c r="B2" s="5">
        <v>1</v>
      </c>
      <c r="C2" s="5" t="s">
        <v>201</v>
      </c>
    </row>
    <row r="3" spans="1:3" x14ac:dyDescent="0.25">
      <c r="A3" s="5">
        <v>1</v>
      </c>
      <c r="B3" s="5">
        <v>28</v>
      </c>
      <c r="C3" s="5" t="s">
        <v>18</v>
      </c>
    </row>
    <row r="4" spans="1:3" x14ac:dyDescent="0.25">
      <c r="A4" s="5">
        <v>2</v>
      </c>
      <c r="B4" s="5">
        <v>56</v>
      </c>
      <c r="C4" s="5" t="s">
        <v>19</v>
      </c>
    </row>
    <row r="5" spans="1:3" x14ac:dyDescent="0.25">
      <c r="A5" s="5">
        <v>3</v>
      </c>
      <c r="B5" s="5">
        <v>84</v>
      </c>
      <c r="C5" s="5" t="s">
        <v>20</v>
      </c>
    </row>
    <row r="6" spans="1:3" x14ac:dyDescent="0.25">
      <c r="A6" s="5">
        <v>4</v>
      </c>
      <c r="B6" s="5">
        <v>112</v>
      </c>
      <c r="C6" s="5" t="s">
        <v>13</v>
      </c>
    </row>
    <row r="7" spans="1:3" x14ac:dyDescent="0.25">
      <c r="A7" s="5">
        <v>5</v>
      </c>
      <c r="B7" s="5">
        <v>140</v>
      </c>
      <c r="C7" s="5" t="s">
        <v>8</v>
      </c>
    </row>
    <row r="8" spans="1:3" x14ac:dyDescent="0.25">
      <c r="A8" s="5">
        <v>6</v>
      </c>
      <c r="B8" s="5">
        <v>168</v>
      </c>
      <c r="C8" s="5" t="s">
        <v>21</v>
      </c>
    </row>
    <row r="9" spans="1:3" x14ac:dyDescent="0.25">
      <c r="A9" s="5">
        <v>7</v>
      </c>
      <c r="B9" s="5">
        <v>196</v>
      </c>
      <c r="C9" s="5" t="s">
        <v>22</v>
      </c>
    </row>
    <row r="10" spans="1:3" x14ac:dyDescent="0.25">
      <c r="A10" s="5">
        <v>8</v>
      </c>
      <c r="B10" s="5">
        <v>224</v>
      </c>
      <c r="C10" s="5" t="s">
        <v>23</v>
      </c>
    </row>
    <row r="11" spans="1:3" x14ac:dyDescent="0.25">
      <c r="A11" s="5">
        <v>9</v>
      </c>
      <c r="B11" s="5">
        <v>252</v>
      </c>
      <c r="C11" s="5" t="s">
        <v>24</v>
      </c>
    </row>
    <row r="12" spans="1:3" x14ac:dyDescent="0.25">
      <c r="A12" s="5">
        <v>10</v>
      </c>
      <c r="B12" s="5">
        <v>280</v>
      </c>
      <c r="C12" s="5" t="s">
        <v>25</v>
      </c>
    </row>
    <row r="13" spans="1:3" x14ac:dyDescent="0.25">
      <c r="A13" s="5">
        <v>11</v>
      </c>
      <c r="B13" s="5">
        <v>308</v>
      </c>
      <c r="C13" s="5" t="s">
        <v>26</v>
      </c>
    </row>
    <row r="14" spans="1:3" x14ac:dyDescent="0.25">
      <c r="A14" s="5">
        <v>12</v>
      </c>
      <c r="B14" s="5">
        <v>336</v>
      </c>
      <c r="C14" s="5" t="s">
        <v>27</v>
      </c>
    </row>
    <row r="15" spans="1:3" x14ac:dyDescent="0.25">
      <c r="A15" s="5">
        <v>13</v>
      </c>
      <c r="B15" s="5">
        <v>364</v>
      </c>
      <c r="C15" s="5" t="s">
        <v>2</v>
      </c>
    </row>
    <row r="16" spans="1:3" x14ac:dyDescent="0.25">
      <c r="A16" s="5">
        <v>19</v>
      </c>
      <c r="B16" s="5">
        <v>532</v>
      </c>
      <c r="C16" s="5" t="s">
        <v>28</v>
      </c>
    </row>
    <row r="17" spans="1:3" x14ac:dyDescent="0.25">
      <c r="A17" s="5">
        <v>26</v>
      </c>
      <c r="B17" s="5">
        <v>728</v>
      </c>
      <c r="C17" s="5" t="s">
        <v>11</v>
      </c>
    </row>
    <row r="18" spans="1:3" x14ac:dyDescent="0.25">
      <c r="A18" s="5">
        <v>39</v>
      </c>
      <c r="B18" s="5">
        <v>1092</v>
      </c>
      <c r="C18" s="5" t="s">
        <v>10</v>
      </c>
    </row>
    <row r="19" spans="1:3" x14ac:dyDescent="0.25">
      <c r="A19" s="5">
        <v>52</v>
      </c>
      <c r="B19" s="5">
        <v>1456</v>
      </c>
      <c r="C19" s="5" t="s">
        <v>14</v>
      </c>
    </row>
    <row r="20" spans="1:3" x14ac:dyDescent="0.25">
      <c r="A20" s="5">
        <v>65</v>
      </c>
      <c r="B20" s="5">
        <v>1820</v>
      </c>
      <c r="C20" s="5" t="s">
        <v>9</v>
      </c>
    </row>
    <row r="21" spans="1:3" x14ac:dyDescent="0.25">
      <c r="A21" s="5">
        <v>78</v>
      </c>
      <c r="B21" s="5">
        <v>2184</v>
      </c>
      <c r="C21" s="5" t="s">
        <v>29</v>
      </c>
    </row>
    <row r="22" spans="1:3" x14ac:dyDescent="0.25">
      <c r="A22" s="5">
        <v>91</v>
      </c>
      <c r="B22" s="5">
        <v>2548</v>
      </c>
      <c r="C22" s="5" t="s">
        <v>30</v>
      </c>
    </row>
    <row r="23" spans="1:3" x14ac:dyDescent="0.25">
      <c r="A23" s="5">
        <v>104</v>
      </c>
      <c r="B23" s="5">
        <v>2912</v>
      </c>
      <c r="C23" s="5" t="s">
        <v>31</v>
      </c>
    </row>
    <row r="24" spans="1:3" x14ac:dyDescent="0.25">
      <c r="A24" s="5">
        <v>117</v>
      </c>
      <c r="B24" s="5">
        <v>3276</v>
      </c>
      <c r="C24" s="5" t="s">
        <v>32</v>
      </c>
    </row>
    <row r="25" spans="1:3" x14ac:dyDescent="0.25">
      <c r="A25" s="5">
        <v>130</v>
      </c>
      <c r="B25" s="5">
        <v>3640</v>
      </c>
      <c r="C25" s="5" t="s">
        <v>3</v>
      </c>
    </row>
    <row r="26" spans="1:3" x14ac:dyDescent="0.25">
      <c r="A26" s="5">
        <v>156</v>
      </c>
      <c r="B26" s="5">
        <v>4368</v>
      </c>
      <c r="C26" s="5" t="s">
        <v>33</v>
      </c>
    </row>
    <row r="27" spans="1:3" x14ac:dyDescent="0.25">
      <c r="A27" s="5">
        <v>195</v>
      </c>
      <c r="B27" s="5">
        <v>5460</v>
      </c>
      <c r="C27" s="5" t="s">
        <v>34</v>
      </c>
    </row>
    <row r="28" spans="1:3" x14ac:dyDescent="0.25">
      <c r="A28" s="5">
        <v>260</v>
      </c>
      <c r="B28" s="5">
        <v>7280</v>
      </c>
      <c r="C28" s="5" t="s">
        <v>35</v>
      </c>
    </row>
    <row r="29" spans="1:3" x14ac:dyDescent="0.25">
      <c r="A29" s="5">
        <v>390</v>
      </c>
      <c r="B29" s="5">
        <v>10920</v>
      </c>
      <c r="C29" s="5" t="s">
        <v>36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7E69B-CDFC-4FE8-8C99-17CCBECAE52B}">
  <sheetPr codeName="Hoja2"/>
  <dimension ref="A1:F5"/>
  <sheetViews>
    <sheetView workbookViewId="0">
      <selection activeCell="A4" sqref="A4"/>
    </sheetView>
  </sheetViews>
  <sheetFormatPr baseColWidth="10" defaultColWidth="11.42578125" defaultRowHeight="15" x14ac:dyDescent="0.25"/>
  <cols>
    <col min="3" max="3" width="11.85546875" bestFit="1" customWidth="1"/>
  </cols>
  <sheetData>
    <row r="1" spans="1:6" x14ac:dyDescent="0.25">
      <c r="A1" t="s">
        <v>4</v>
      </c>
      <c r="C1" t="s">
        <v>12</v>
      </c>
      <c r="F1" t="s">
        <v>42</v>
      </c>
    </row>
    <row r="2" spans="1:6" x14ac:dyDescent="0.25">
      <c r="A2" t="s">
        <v>0</v>
      </c>
      <c r="C2" t="b">
        <f>TRUE</f>
        <v>1</v>
      </c>
      <c r="F2" t="s">
        <v>43</v>
      </c>
    </row>
    <row r="3" spans="1:6" x14ac:dyDescent="0.25">
      <c r="A3" t="s">
        <v>1</v>
      </c>
      <c r="C3" t="b">
        <f>FALSE</f>
        <v>0</v>
      </c>
      <c r="F3" t="s">
        <v>44</v>
      </c>
    </row>
    <row r="4" spans="1:6" x14ac:dyDescent="0.25">
      <c r="F4" t="s">
        <v>45</v>
      </c>
    </row>
    <row r="5" spans="1:6" x14ac:dyDescent="0.25">
      <c r="F5" t="s">
        <v>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Graphs</vt:lpstr>
      <vt:lpstr>ASW_Bonos</vt:lpstr>
      <vt:lpstr>ASW_Cetes</vt:lpstr>
      <vt:lpstr>Snapshot</vt:lpstr>
      <vt:lpstr>Summary</vt:lpstr>
      <vt:lpstr>Scenarios</vt:lpstr>
      <vt:lpstr>Appendix</vt:lpstr>
      <vt:lpstr>Tenor</vt:lpstr>
      <vt:lpstr>Graph_Types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Gabriela Abreu Olvera</dc:creator>
  <cp:lastModifiedBy>Gabriela Abreu Olvera</cp:lastModifiedBy>
  <dcterms:created xsi:type="dcterms:W3CDTF">2023-06-13T18:13:02Z</dcterms:created>
  <dcterms:modified xsi:type="dcterms:W3CDTF">2023-11-13T19:25:20Z</dcterms:modified>
</cp:coreProperties>
</file>